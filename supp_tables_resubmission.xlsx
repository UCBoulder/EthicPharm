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o365coloradoedu-my.sharepoint.com/personal/vama3024_colorado_edu/Documents/Paper_1_submission_3/"/>
    </mc:Choice>
  </mc:AlternateContent>
  <xr:revisionPtr revIDLastSave="2939" documentId="13_ncr:1_{0BFAC3EC-0945-4A2C-9FFB-80DF10ADBF5F}" xr6:coauthVersionLast="47" xr6:coauthVersionMax="47" xr10:uidLastSave="{48AF33DD-13B0-4D2F-90AC-56C0EFCEE2F1}"/>
  <bookViews>
    <workbookView xWindow="-108" yWindow="-108" windowWidth="23256" windowHeight="13896" activeTab="9" xr2:uid="{BE26ABD7-BEE2-4B7F-9978-EB12590A82CE}"/>
  </bookViews>
  <sheets>
    <sheet name="S1" sheetId="8" r:id="rId1"/>
    <sheet name="S2" sheetId="9" r:id="rId2"/>
    <sheet name="S3" sheetId="2" r:id="rId3"/>
    <sheet name="S4" sheetId="4" r:id="rId4"/>
    <sheet name="S5" sheetId="15" r:id="rId5"/>
    <sheet name="S6" sheetId="6" r:id="rId6"/>
    <sheet name="S7" sheetId="13" r:id="rId7"/>
    <sheet name="S8" sheetId="12" r:id="rId8"/>
    <sheet name="S9" sheetId="5" r:id="rId9"/>
    <sheet name="S10" sheetId="3" r:id="rId10"/>
    <sheet name="S11" sheetId="14" r:id="rId11"/>
  </sheets>
  <definedNames>
    <definedName name="_Hlk33311675" localSheetId="7">'S8'!#REF!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77" i="6" l="1"/>
  <c r="E1877" i="6"/>
  <c r="M1373" i="6"/>
  <c r="M1374" i="6"/>
  <c r="M1375" i="6"/>
  <c r="M1372" i="6"/>
  <c r="F1375" i="6"/>
  <c r="E1375" i="6"/>
  <c r="F1374" i="6"/>
  <c r="E1374" i="6"/>
  <c r="F1373" i="6"/>
  <c r="E1373" i="6"/>
  <c r="F1372" i="6"/>
  <c r="E1372" i="6"/>
  <c r="M1901" i="6"/>
  <c r="F1901" i="6"/>
  <c r="M1900" i="6"/>
  <c r="F1900" i="6"/>
  <c r="N1900" i="6" s="1"/>
  <c r="M1899" i="6"/>
  <c r="F1899" i="6"/>
  <c r="M1898" i="6"/>
  <c r="F1898" i="6"/>
  <c r="M1897" i="6"/>
  <c r="N1897" i="6" s="1"/>
  <c r="F1897" i="6"/>
  <c r="M1896" i="6"/>
  <c r="N1896" i="6" s="1"/>
  <c r="F1896" i="6"/>
  <c r="M1895" i="6"/>
  <c r="N1895" i="6" s="1"/>
  <c r="F1895" i="6"/>
  <c r="M1894" i="6"/>
  <c r="F1894" i="6"/>
  <c r="N1894" i="6" s="1"/>
  <c r="M1893" i="6"/>
  <c r="F1893" i="6"/>
  <c r="M1892" i="6"/>
  <c r="F1892" i="6"/>
  <c r="N1892" i="6" s="1"/>
  <c r="M1891" i="6"/>
  <c r="N1891" i="6" s="1"/>
  <c r="F1891" i="6"/>
  <c r="M1890" i="6"/>
  <c r="N1890" i="6" s="1"/>
  <c r="F1890" i="6"/>
  <c r="N1889" i="6"/>
  <c r="M1889" i="6"/>
  <c r="F1889" i="6"/>
  <c r="M1888" i="6"/>
  <c r="N1888" i="6" s="1"/>
  <c r="F1888" i="6"/>
  <c r="M1887" i="6"/>
  <c r="N1887" i="6" s="1"/>
  <c r="F1887" i="6"/>
  <c r="M1886" i="6"/>
  <c r="F1886" i="6"/>
  <c r="N1886" i="6" s="1"/>
  <c r="M1885" i="6"/>
  <c r="F1885" i="6"/>
  <c r="M1884" i="6"/>
  <c r="F1884" i="6"/>
  <c r="M1883" i="6"/>
  <c r="N1883" i="6" s="1"/>
  <c r="F1883" i="6"/>
  <c r="M1882" i="6"/>
  <c r="N1882" i="6" s="1"/>
  <c r="F1882" i="6"/>
  <c r="M1881" i="6"/>
  <c r="F1881" i="6"/>
  <c r="N1881" i="6" s="1"/>
  <c r="M1880" i="6"/>
  <c r="F1880" i="6"/>
  <c r="M1879" i="6"/>
  <c r="N1879" i="6" s="1"/>
  <c r="F1879" i="6"/>
  <c r="M1878" i="6"/>
  <c r="F1878" i="6"/>
  <c r="M1877" i="6"/>
  <c r="N1877" i="6" s="1"/>
  <c r="M1876" i="6"/>
  <c r="F1876" i="6"/>
  <c r="N1876" i="6" s="1"/>
  <c r="M1875" i="6"/>
  <c r="F1875" i="6"/>
  <c r="G1875" i="6" s="1"/>
  <c r="M1874" i="6"/>
  <c r="F1874" i="6"/>
  <c r="M1873" i="6"/>
  <c r="G1873" i="6"/>
  <c r="F1873" i="6"/>
  <c r="M1872" i="6"/>
  <c r="F1872" i="6"/>
  <c r="M1871" i="6"/>
  <c r="N1871" i="6" s="1"/>
  <c r="F1871" i="6"/>
  <c r="M1870" i="6"/>
  <c r="K1870" i="6"/>
  <c r="F1870" i="6"/>
  <c r="K1869" i="6"/>
  <c r="M1869" i="6" s="1"/>
  <c r="N1869" i="6" s="1"/>
  <c r="G1869" i="6"/>
  <c r="F1869" i="6"/>
  <c r="K1868" i="6"/>
  <c r="M1868" i="6" s="1"/>
  <c r="N1868" i="6" s="1"/>
  <c r="G1868" i="6"/>
  <c r="F1868" i="6"/>
  <c r="K1867" i="6"/>
  <c r="M1867" i="6" s="1"/>
  <c r="F1867" i="6"/>
  <c r="N1866" i="6"/>
  <c r="M1866" i="6"/>
  <c r="K1866" i="6"/>
  <c r="G1866" i="6"/>
  <c r="F1866" i="6"/>
  <c r="M1865" i="6"/>
  <c r="N1865" i="6" s="1"/>
  <c r="K1865" i="6"/>
  <c r="F1865" i="6"/>
  <c r="G1865" i="6" s="1"/>
  <c r="K1864" i="6"/>
  <c r="M1864" i="6" s="1"/>
  <c r="F1864" i="6"/>
  <c r="G1864" i="6" s="1"/>
  <c r="N1863" i="6"/>
  <c r="M1863" i="6"/>
  <c r="G1863" i="6"/>
  <c r="F1863" i="6"/>
  <c r="N1862" i="6"/>
  <c r="M1862" i="6"/>
  <c r="F1862" i="6"/>
  <c r="G1862" i="6" s="1"/>
  <c r="N1861" i="6"/>
  <c r="M1861" i="6"/>
  <c r="F1861" i="6"/>
  <c r="G1861" i="6" s="1"/>
  <c r="N1860" i="6"/>
  <c r="M1860" i="6"/>
  <c r="F1860" i="6"/>
  <c r="G1860" i="6" s="1"/>
  <c r="M1859" i="6"/>
  <c r="F1859" i="6"/>
  <c r="M1858" i="6"/>
  <c r="F1858" i="6"/>
  <c r="G1858" i="6" s="1"/>
  <c r="M1857" i="6"/>
  <c r="F1857" i="6"/>
  <c r="M1856" i="6"/>
  <c r="G1856" i="6"/>
  <c r="F1856" i="6"/>
  <c r="N1855" i="6"/>
  <c r="M1855" i="6"/>
  <c r="G1855" i="6"/>
  <c r="F1855" i="6"/>
  <c r="M1854" i="6"/>
  <c r="F1854" i="6"/>
  <c r="M1853" i="6"/>
  <c r="F1853" i="6"/>
  <c r="G1853" i="6" s="1"/>
  <c r="M1852" i="6"/>
  <c r="N1852" i="6" s="1"/>
  <c r="G1852" i="6"/>
  <c r="F1852" i="6"/>
  <c r="M1851" i="6"/>
  <c r="G1851" i="6"/>
  <c r="F1851" i="6"/>
  <c r="N1850" i="6"/>
  <c r="M1850" i="6"/>
  <c r="F1850" i="6"/>
  <c r="G1850" i="6" s="1"/>
  <c r="M1849" i="6"/>
  <c r="G1849" i="6"/>
  <c r="F1849" i="6"/>
  <c r="N1848" i="6"/>
  <c r="M1848" i="6"/>
  <c r="F1848" i="6"/>
  <c r="G1848" i="6" s="1"/>
  <c r="M1847" i="6"/>
  <c r="F1847" i="6"/>
  <c r="M1846" i="6"/>
  <c r="G1846" i="6"/>
  <c r="N1846" i="6" s="1"/>
  <c r="F1846" i="6"/>
  <c r="M1845" i="6"/>
  <c r="G1845" i="6"/>
  <c r="F1845" i="6"/>
  <c r="M1844" i="6"/>
  <c r="G1844" i="6"/>
  <c r="F1844" i="6"/>
  <c r="M1843" i="6"/>
  <c r="G1843" i="6"/>
  <c r="F1843" i="6"/>
  <c r="M1842" i="6"/>
  <c r="N1842" i="6" s="1"/>
  <c r="K1842" i="6"/>
  <c r="F1842" i="6"/>
  <c r="G1842" i="6" s="1"/>
  <c r="M1841" i="6"/>
  <c r="K1841" i="6"/>
  <c r="F1841" i="6"/>
  <c r="K1840" i="6"/>
  <c r="M1840" i="6" s="1"/>
  <c r="N1840" i="6" s="1"/>
  <c r="G1840" i="6"/>
  <c r="F1840" i="6"/>
  <c r="N1839" i="6"/>
  <c r="K1839" i="6"/>
  <c r="M1839" i="6" s="1"/>
  <c r="F1839" i="6"/>
  <c r="G1839" i="6" s="1"/>
  <c r="M1838" i="6"/>
  <c r="N1838" i="6" s="1"/>
  <c r="K1838" i="6"/>
  <c r="G1838" i="6"/>
  <c r="F1838" i="6"/>
  <c r="N1837" i="6"/>
  <c r="M1837" i="6"/>
  <c r="K1837" i="6"/>
  <c r="G1837" i="6"/>
  <c r="F1837" i="6"/>
  <c r="K1836" i="6"/>
  <c r="M1836" i="6" s="1"/>
  <c r="N1836" i="6" s="1"/>
  <c r="F1836" i="6"/>
  <c r="G1836" i="6" s="1"/>
  <c r="K1835" i="6"/>
  <c r="M1835" i="6" s="1"/>
  <c r="N1835" i="6" s="1"/>
  <c r="F1835" i="6"/>
  <c r="G1835" i="6" s="1"/>
  <c r="K1834" i="6"/>
  <c r="M1834" i="6" s="1"/>
  <c r="N1834" i="6" s="1"/>
  <c r="G1834" i="6"/>
  <c r="F1834" i="6"/>
  <c r="N1833" i="6"/>
  <c r="K1833" i="6"/>
  <c r="M1833" i="6" s="1"/>
  <c r="F1833" i="6"/>
  <c r="G1833" i="6" s="1"/>
  <c r="K1832" i="6"/>
  <c r="M1832" i="6" s="1"/>
  <c r="F1832" i="6"/>
  <c r="K1831" i="6"/>
  <c r="M1831" i="6" s="1"/>
  <c r="F1831" i="6"/>
  <c r="G1831" i="6" s="1"/>
  <c r="K1830" i="6"/>
  <c r="M1830" i="6" s="1"/>
  <c r="N1830" i="6" s="1"/>
  <c r="F1830" i="6"/>
  <c r="G1830" i="6" s="1"/>
  <c r="K1829" i="6"/>
  <c r="M1829" i="6" s="1"/>
  <c r="N1829" i="6" s="1"/>
  <c r="G1829" i="6"/>
  <c r="F1829" i="6"/>
  <c r="K1828" i="6"/>
  <c r="M1828" i="6" s="1"/>
  <c r="F1828" i="6"/>
  <c r="G1828" i="6" s="1"/>
  <c r="K1827" i="6"/>
  <c r="M1827" i="6" s="1"/>
  <c r="F1827" i="6"/>
  <c r="G1827" i="6" s="1"/>
  <c r="M1826" i="6"/>
  <c r="K1826" i="6"/>
  <c r="F1826" i="6"/>
  <c r="G1826" i="6" s="1"/>
  <c r="M1825" i="6"/>
  <c r="K1825" i="6"/>
  <c r="F1825" i="6"/>
  <c r="G1825" i="6" s="1"/>
  <c r="N1824" i="6"/>
  <c r="K1824" i="6"/>
  <c r="M1824" i="6" s="1"/>
  <c r="G1824" i="6"/>
  <c r="F1824" i="6"/>
  <c r="M1823" i="6"/>
  <c r="G1823" i="6"/>
  <c r="F1823" i="6"/>
  <c r="N1822" i="6"/>
  <c r="M1822" i="6"/>
  <c r="G1822" i="6"/>
  <c r="F1822" i="6"/>
  <c r="M1821" i="6"/>
  <c r="G1821" i="6"/>
  <c r="F1821" i="6"/>
  <c r="M1820" i="6"/>
  <c r="N1820" i="6" s="1"/>
  <c r="G1820" i="6"/>
  <c r="F1820" i="6"/>
  <c r="M1819" i="6"/>
  <c r="F1819" i="6"/>
  <c r="G1819" i="6" s="1"/>
  <c r="M1818" i="6"/>
  <c r="N1818" i="6" s="1"/>
  <c r="F1818" i="6"/>
  <c r="G1818" i="6" s="1"/>
  <c r="M1817" i="6"/>
  <c r="F1817" i="6"/>
  <c r="M1816" i="6"/>
  <c r="G1816" i="6"/>
  <c r="F1816" i="6"/>
  <c r="M1815" i="6"/>
  <c r="F1815" i="6"/>
  <c r="G1815" i="6" s="1"/>
  <c r="M1814" i="6"/>
  <c r="G1814" i="6"/>
  <c r="N1814" i="6" s="1"/>
  <c r="F1814" i="6"/>
  <c r="M1813" i="6"/>
  <c r="N1813" i="6" s="1"/>
  <c r="G1813" i="6"/>
  <c r="F1813" i="6"/>
  <c r="M1812" i="6"/>
  <c r="G1812" i="6"/>
  <c r="F1812" i="6"/>
  <c r="N1811" i="6"/>
  <c r="M1811" i="6"/>
  <c r="F1811" i="6"/>
  <c r="G1811" i="6" s="1"/>
  <c r="M1810" i="6"/>
  <c r="G1810" i="6"/>
  <c r="N1810" i="6" s="1"/>
  <c r="F1810" i="6"/>
  <c r="M1809" i="6"/>
  <c r="N1809" i="6" s="1"/>
  <c r="G1809" i="6"/>
  <c r="F1809" i="6"/>
  <c r="N1808" i="6"/>
  <c r="M1808" i="6"/>
  <c r="F1808" i="6"/>
  <c r="G1808" i="6" s="1"/>
  <c r="M1807" i="6"/>
  <c r="N1807" i="6" s="1"/>
  <c r="F1807" i="6"/>
  <c r="G1807" i="6" s="1"/>
  <c r="M1806" i="6"/>
  <c r="N1806" i="6" s="1"/>
  <c r="G1806" i="6"/>
  <c r="F1806" i="6"/>
  <c r="N1805" i="6"/>
  <c r="M1805" i="6"/>
  <c r="F1805" i="6"/>
  <c r="G1805" i="6" s="1"/>
  <c r="N1804" i="6"/>
  <c r="M1804" i="6"/>
  <c r="F1804" i="6"/>
  <c r="G1804" i="6" s="1"/>
  <c r="N1803" i="6"/>
  <c r="M1803" i="6"/>
  <c r="F1803" i="6"/>
  <c r="G1803" i="6" s="1"/>
  <c r="M1802" i="6"/>
  <c r="G1802" i="6"/>
  <c r="F1802" i="6"/>
  <c r="M1801" i="6"/>
  <c r="F1801" i="6"/>
  <c r="G1801" i="6" s="1"/>
  <c r="M1800" i="6"/>
  <c r="N1800" i="6" s="1"/>
  <c r="F1800" i="6"/>
  <c r="G1800" i="6" s="1"/>
  <c r="N1799" i="6"/>
  <c r="M1799" i="6"/>
  <c r="G1799" i="6"/>
  <c r="F1799" i="6"/>
  <c r="M1798" i="6"/>
  <c r="G1798" i="6"/>
  <c r="N1798" i="6" s="1"/>
  <c r="F1798" i="6"/>
  <c r="M1797" i="6"/>
  <c r="G1797" i="6"/>
  <c r="F1797" i="6"/>
  <c r="M1796" i="6"/>
  <c r="F1796" i="6"/>
  <c r="G1796" i="6" s="1"/>
  <c r="N1795" i="6"/>
  <c r="M1795" i="6"/>
  <c r="F1795" i="6"/>
  <c r="G1795" i="6" s="1"/>
  <c r="M1794" i="6"/>
  <c r="N1794" i="6" s="1"/>
  <c r="G1794" i="6"/>
  <c r="F1794" i="6"/>
  <c r="M1793" i="6"/>
  <c r="F1793" i="6"/>
  <c r="M1792" i="6"/>
  <c r="F1792" i="6"/>
  <c r="N1791" i="6"/>
  <c r="M1791" i="6"/>
  <c r="G1791" i="6"/>
  <c r="F1791" i="6"/>
  <c r="M1790" i="6"/>
  <c r="F1790" i="6"/>
  <c r="G1790" i="6" s="1"/>
  <c r="M1789" i="6"/>
  <c r="F1789" i="6"/>
  <c r="G1789" i="6" s="1"/>
  <c r="M1788" i="6"/>
  <c r="F1788" i="6"/>
  <c r="G1788" i="6" s="1"/>
  <c r="M1787" i="6"/>
  <c r="G1787" i="6"/>
  <c r="N1787" i="6" s="1"/>
  <c r="F1787" i="6"/>
  <c r="N1786" i="6"/>
  <c r="M1786" i="6"/>
  <c r="G1786" i="6"/>
  <c r="F1786" i="6"/>
  <c r="M1785" i="6"/>
  <c r="N1785" i="6" s="1"/>
  <c r="F1785" i="6"/>
  <c r="G1785" i="6" s="1"/>
  <c r="M1784" i="6"/>
  <c r="G1784" i="6"/>
  <c r="F1784" i="6"/>
  <c r="M1783" i="6"/>
  <c r="N1783" i="6" s="1"/>
  <c r="G1783" i="6"/>
  <c r="F1783" i="6"/>
  <c r="M1782" i="6"/>
  <c r="F1782" i="6"/>
  <c r="G1782" i="6" s="1"/>
  <c r="M1781" i="6"/>
  <c r="F1781" i="6"/>
  <c r="M1780" i="6"/>
  <c r="F1780" i="6"/>
  <c r="M1779" i="6"/>
  <c r="F1779" i="6"/>
  <c r="G1779" i="6" s="1"/>
  <c r="N1778" i="6"/>
  <c r="M1778" i="6"/>
  <c r="F1778" i="6"/>
  <c r="G1778" i="6" s="1"/>
  <c r="M1777" i="6"/>
  <c r="F1777" i="6"/>
  <c r="N1776" i="6"/>
  <c r="M1776" i="6"/>
  <c r="G1776" i="6"/>
  <c r="F1776" i="6"/>
  <c r="M1775" i="6"/>
  <c r="F1775" i="6"/>
  <c r="G1775" i="6" s="1"/>
  <c r="N1775" i="6" s="1"/>
  <c r="N1774" i="6"/>
  <c r="M1774" i="6"/>
  <c r="F1774" i="6"/>
  <c r="G1774" i="6" s="1"/>
  <c r="M1773" i="6"/>
  <c r="F1773" i="6"/>
  <c r="M1772" i="6"/>
  <c r="N1772" i="6" s="1"/>
  <c r="F1772" i="6"/>
  <c r="G1772" i="6" s="1"/>
  <c r="M1771" i="6"/>
  <c r="F1771" i="6"/>
  <c r="G1771" i="6" s="1"/>
  <c r="M1770" i="6"/>
  <c r="F1770" i="6"/>
  <c r="M1769" i="6"/>
  <c r="G1769" i="6"/>
  <c r="F1769" i="6"/>
  <c r="M1768" i="6"/>
  <c r="N1768" i="6" s="1"/>
  <c r="F1768" i="6"/>
  <c r="G1768" i="6" s="1"/>
  <c r="M1767" i="6"/>
  <c r="N1767" i="6" s="1"/>
  <c r="F1767" i="6"/>
  <c r="G1767" i="6" s="1"/>
  <c r="M1766" i="6"/>
  <c r="F1766" i="6"/>
  <c r="G1766" i="6" s="1"/>
  <c r="N1765" i="6"/>
  <c r="M1765" i="6"/>
  <c r="G1765" i="6"/>
  <c r="F1765" i="6"/>
  <c r="M1764" i="6"/>
  <c r="N1764" i="6" s="1"/>
  <c r="G1764" i="6"/>
  <c r="F1764" i="6"/>
  <c r="M1763" i="6"/>
  <c r="F1763" i="6"/>
  <c r="M1762" i="6"/>
  <c r="N1762" i="6" s="1"/>
  <c r="G1762" i="6"/>
  <c r="F1762" i="6"/>
  <c r="M1761" i="6"/>
  <c r="F1761" i="6"/>
  <c r="M1760" i="6"/>
  <c r="F1760" i="6"/>
  <c r="G1760" i="6" s="1"/>
  <c r="M1759" i="6"/>
  <c r="F1759" i="6"/>
  <c r="G1759" i="6" s="1"/>
  <c r="M1758" i="6"/>
  <c r="N1758" i="6" s="1"/>
  <c r="F1758" i="6"/>
  <c r="G1758" i="6" s="1"/>
  <c r="M1757" i="6"/>
  <c r="N1757" i="6" s="1"/>
  <c r="F1757" i="6"/>
  <c r="G1757" i="6" s="1"/>
  <c r="M1756" i="6"/>
  <c r="N1756" i="6" s="1"/>
  <c r="F1756" i="6"/>
  <c r="G1756" i="6" s="1"/>
  <c r="M1755" i="6"/>
  <c r="F1755" i="6"/>
  <c r="G1755" i="6" s="1"/>
  <c r="M1754" i="6"/>
  <c r="G1754" i="6"/>
  <c r="N1754" i="6" s="1"/>
  <c r="F1754" i="6"/>
  <c r="M1753" i="6"/>
  <c r="F1753" i="6"/>
  <c r="M1752" i="6"/>
  <c r="F1752" i="6"/>
  <c r="N1751" i="6"/>
  <c r="M1751" i="6"/>
  <c r="F1751" i="6"/>
  <c r="G1751" i="6" s="1"/>
  <c r="N1750" i="6"/>
  <c r="M1750" i="6"/>
  <c r="F1750" i="6"/>
  <c r="G1750" i="6" s="1"/>
  <c r="M1749" i="6"/>
  <c r="G1749" i="6"/>
  <c r="F1749" i="6"/>
  <c r="N1749" i="6" s="1"/>
  <c r="M1748" i="6"/>
  <c r="F1748" i="6"/>
  <c r="M1747" i="6"/>
  <c r="F1747" i="6"/>
  <c r="M1746" i="6"/>
  <c r="G1746" i="6"/>
  <c r="F1746" i="6"/>
  <c r="M1745" i="6"/>
  <c r="F1745" i="6"/>
  <c r="M1744" i="6"/>
  <c r="F1744" i="6"/>
  <c r="G1744" i="6" s="1"/>
  <c r="M1743" i="6"/>
  <c r="G1743" i="6"/>
  <c r="N1743" i="6" s="1"/>
  <c r="F1743" i="6"/>
  <c r="M1742" i="6"/>
  <c r="G1742" i="6"/>
  <c r="F1742" i="6"/>
  <c r="N1741" i="6"/>
  <c r="M1741" i="6"/>
  <c r="F1741" i="6"/>
  <c r="G1741" i="6" s="1"/>
  <c r="M1740" i="6"/>
  <c r="G1740" i="6"/>
  <c r="F1740" i="6"/>
  <c r="M1739" i="6"/>
  <c r="N1739" i="6" s="1"/>
  <c r="G1739" i="6"/>
  <c r="F1739" i="6"/>
  <c r="N1738" i="6"/>
  <c r="M1738" i="6"/>
  <c r="F1738" i="6"/>
  <c r="G1738" i="6" s="1"/>
  <c r="N1737" i="6"/>
  <c r="M1737" i="6"/>
  <c r="F1737" i="6"/>
  <c r="G1737" i="6" s="1"/>
  <c r="M1736" i="6"/>
  <c r="F1736" i="6"/>
  <c r="G1736" i="6" s="1"/>
  <c r="M1735" i="6"/>
  <c r="G1735" i="6"/>
  <c r="F1735" i="6"/>
  <c r="M1734" i="6"/>
  <c r="G1734" i="6"/>
  <c r="F1734" i="6"/>
  <c r="N1733" i="6"/>
  <c r="M1733" i="6"/>
  <c r="F1733" i="6"/>
  <c r="G1733" i="6" s="1"/>
  <c r="M1732" i="6"/>
  <c r="N1732" i="6" s="1"/>
  <c r="G1732" i="6"/>
  <c r="F1732" i="6"/>
  <c r="M1731" i="6"/>
  <c r="G1731" i="6"/>
  <c r="N1731" i="6" s="1"/>
  <c r="F1731" i="6"/>
  <c r="M1730" i="6"/>
  <c r="F1730" i="6"/>
  <c r="G1730" i="6" s="1"/>
  <c r="M1729" i="6"/>
  <c r="F1729" i="6"/>
  <c r="M1728" i="6"/>
  <c r="F1728" i="6"/>
  <c r="G1728" i="6" s="1"/>
  <c r="N1728" i="6" s="1"/>
  <c r="M1727" i="6"/>
  <c r="F1727" i="6"/>
  <c r="M1726" i="6"/>
  <c r="K1726" i="6"/>
  <c r="F1726" i="6"/>
  <c r="G1726" i="6" s="1"/>
  <c r="K1725" i="6"/>
  <c r="M1725" i="6" s="1"/>
  <c r="N1725" i="6" s="1"/>
  <c r="F1725" i="6"/>
  <c r="G1725" i="6" s="1"/>
  <c r="N1724" i="6"/>
  <c r="K1724" i="6"/>
  <c r="M1724" i="6" s="1"/>
  <c r="F1724" i="6"/>
  <c r="G1724" i="6" s="1"/>
  <c r="M1723" i="6"/>
  <c r="N1723" i="6" s="1"/>
  <c r="K1723" i="6"/>
  <c r="F1723" i="6"/>
  <c r="G1723" i="6" s="1"/>
  <c r="M1722" i="6"/>
  <c r="N1722" i="6" s="1"/>
  <c r="K1722" i="6"/>
  <c r="F1722" i="6"/>
  <c r="G1722" i="6" s="1"/>
  <c r="N1721" i="6"/>
  <c r="M1721" i="6"/>
  <c r="F1721" i="6"/>
  <c r="N1720" i="6"/>
  <c r="M1720" i="6"/>
  <c r="F1720" i="6"/>
  <c r="M1719" i="6"/>
  <c r="N1719" i="6" s="1"/>
  <c r="F1719" i="6"/>
  <c r="N1718" i="6"/>
  <c r="M1718" i="6"/>
  <c r="F1718" i="6"/>
  <c r="M1717" i="6"/>
  <c r="N1717" i="6" s="1"/>
  <c r="F1717" i="6"/>
  <c r="M1716" i="6"/>
  <c r="N1716" i="6" s="1"/>
  <c r="F1716" i="6"/>
  <c r="M1715" i="6"/>
  <c r="N1715" i="6" s="1"/>
  <c r="F1715" i="6"/>
  <c r="N1714" i="6"/>
  <c r="M1714" i="6"/>
  <c r="F1714" i="6"/>
  <c r="M1713" i="6"/>
  <c r="N1713" i="6" s="1"/>
  <c r="F1713" i="6"/>
  <c r="M1712" i="6"/>
  <c r="F1712" i="6"/>
  <c r="N1711" i="6"/>
  <c r="M1711" i="6"/>
  <c r="F1711" i="6"/>
  <c r="M1710" i="6"/>
  <c r="F1710" i="6"/>
  <c r="M1709" i="6"/>
  <c r="F1709" i="6"/>
  <c r="N1708" i="6"/>
  <c r="M1708" i="6"/>
  <c r="F1708" i="6"/>
  <c r="N1707" i="6"/>
  <c r="M1707" i="6"/>
  <c r="F1707" i="6"/>
  <c r="M1706" i="6"/>
  <c r="F1706" i="6"/>
  <c r="M1705" i="6"/>
  <c r="F1705" i="6"/>
  <c r="N1705" i="6" s="1"/>
  <c r="M1704" i="6"/>
  <c r="N1704" i="6" s="1"/>
  <c r="F1704" i="6"/>
  <c r="M1703" i="6"/>
  <c r="F1703" i="6"/>
  <c r="N1703" i="6" s="1"/>
  <c r="N1702" i="6"/>
  <c r="M1702" i="6"/>
  <c r="F1702" i="6"/>
  <c r="N1701" i="6"/>
  <c r="M1701" i="6"/>
  <c r="F1701" i="6"/>
  <c r="M1700" i="6"/>
  <c r="N1700" i="6" s="1"/>
  <c r="F1700" i="6"/>
  <c r="M1699" i="6"/>
  <c r="F1699" i="6"/>
  <c r="N1698" i="6"/>
  <c r="M1698" i="6"/>
  <c r="F1698" i="6"/>
  <c r="N1697" i="6"/>
  <c r="M1697" i="6"/>
  <c r="F1697" i="6"/>
  <c r="N1696" i="6"/>
  <c r="M1696" i="6"/>
  <c r="F1696" i="6"/>
  <c r="M1695" i="6"/>
  <c r="F1695" i="6"/>
  <c r="N1694" i="6"/>
  <c r="M1694" i="6"/>
  <c r="F1694" i="6"/>
  <c r="M1693" i="6"/>
  <c r="F1693" i="6"/>
  <c r="M1692" i="6"/>
  <c r="N1692" i="6" s="1"/>
  <c r="F1692" i="6"/>
  <c r="M1691" i="6"/>
  <c r="N1691" i="6" s="1"/>
  <c r="F1691" i="6"/>
  <c r="M1690" i="6"/>
  <c r="F1690" i="6"/>
  <c r="M1689" i="6"/>
  <c r="F1689" i="6"/>
  <c r="N1689" i="6" s="1"/>
  <c r="N1688" i="6"/>
  <c r="M1688" i="6"/>
  <c r="F1688" i="6"/>
  <c r="M1687" i="6"/>
  <c r="N1687" i="6" s="1"/>
  <c r="F1687" i="6"/>
  <c r="M1686" i="6"/>
  <c r="N1686" i="6" s="1"/>
  <c r="F1686" i="6"/>
  <c r="G1686" i="6" s="1"/>
  <c r="M1685" i="6"/>
  <c r="F1685" i="6"/>
  <c r="G1685" i="6" s="1"/>
  <c r="M1684" i="6"/>
  <c r="N1684" i="6" s="1"/>
  <c r="F1684" i="6"/>
  <c r="G1684" i="6" s="1"/>
  <c r="M1683" i="6"/>
  <c r="F1683" i="6"/>
  <c r="M1682" i="6"/>
  <c r="F1682" i="6"/>
  <c r="G1682" i="6" s="1"/>
  <c r="M1681" i="6"/>
  <c r="N1681" i="6" s="1"/>
  <c r="G1681" i="6"/>
  <c r="F1681" i="6"/>
  <c r="M1680" i="6"/>
  <c r="F1680" i="6"/>
  <c r="M1679" i="6"/>
  <c r="G1679" i="6"/>
  <c r="N1679" i="6" s="1"/>
  <c r="F1679" i="6"/>
  <c r="M1678" i="6"/>
  <c r="F1678" i="6"/>
  <c r="G1678" i="6" s="1"/>
  <c r="N1677" i="6"/>
  <c r="M1677" i="6"/>
  <c r="F1677" i="6"/>
  <c r="G1677" i="6" s="1"/>
  <c r="M1676" i="6"/>
  <c r="G1676" i="6"/>
  <c r="F1676" i="6"/>
  <c r="N1676" i="6" s="1"/>
  <c r="N1675" i="6"/>
  <c r="M1675" i="6"/>
  <c r="G1675" i="6"/>
  <c r="F1675" i="6"/>
  <c r="M1674" i="6"/>
  <c r="F1674" i="6"/>
  <c r="N1673" i="6"/>
  <c r="M1673" i="6"/>
  <c r="F1673" i="6"/>
  <c r="M1672" i="6"/>
  <c r="N1672" i="6" s="1"/>
  <c r="F1672" i="6"/>
  <c r="M1671" i="6"/>
  <c r="F1671" i="6"/>
  <c r="N1670" i="6"/>
  <c r="M1670" i="6"/>
  <c r="F1670" i="6"/>
  <c r="N1669" i="6"/>
  <c r="M1669" i="6"/>
  <c r="F1669" i="6"/>
  <c r="M1668" i="6"/>
  <c r="F1668" i="6"/>
  <c r="N1668" i="6" s="1"/>
  <c r="M1667" i="6"/>
  <c r="N1667" i="6" s="1"/>
  <c r="F1667" i="6"/>
  <c r="N1666" i="6"/>
  <c r="M1666" i="6"/>
  <c r="F1666" i="6"/>
  <c r="N1665" i="6"/>
  <c r="M1665" i="6"/>
  <c r="F1665" i="6"/>
  <c r="N1664" i="6"/>
  <c r="M1664" i="6"/>
  <c r="F1664" i="6"/>
  <c r="M1663" i="6"/>
  <c r="N1663" i="6" s="1"/>
  <c r="F1663" i="6"/>
  <c r="M1662" i="6"/>
  <c r="N1662" i="6" s="1"/>
  <c r="F1662" i="6"/>
  <c r="M1661" i="6"/>
  <c r="N1661" i="6" s="1"/>
  <c r="F1661" i="6"/>
  <c r="M1660" i="6"/>
  <c r="F1660" i="6"/>
  <c r="M1659" i="6"/>
  <c r="N1659" i="6" s="1"/>
  <c r="F1659" i="6"/>
  <c r="M1658" i="6"/>
  <c r="N1658" i="6" s="1"/>
  <c r="K1658" i="6"/>
  <c r="F1658" i="6"/>
  <c r="M1657" i="6"/>
  <c r="N1657" i="6" s="1"/>
  <c r="K1657" i="6"/>
  <c r="F1657" i="6"/>
  <c r="M1656" i="6"/>
  <c r="K1656" i="6"/>
  <c r="F1656" i="6"/>
  <c r="M1655" i="6"/>
  <c r="K1655" i="6"/>
  <c r="F1655" i="6"/>
  <c r="N1654" i="6"/>
  <c r="K1654" i="6"/>
  <c r="M1654" i="6" s="1"/>
  <c r="F1654" i="6"/>
  <c r="K1653" i="6"/>
  <c r="M1653" i="6" s="1"/>
  <c r="F1653" i="6"/>
  <c r="K1652" i="6"/>
  <c r="M1652" i="6" s="1"/>
  <c r="F1652" i="6"/>
  <c r="M1651" i="6"/>
  <c r="K1651" i="6"/>
  <c r="F1651" i="6"/>
  <c r="N1651" i="6" s="1"/>
  <c r="M1650" i="6"/>
  <c r="N1650" i="6" s="1"/>
  <c r="K1650" i="6"/>
  <c r="F1650" i="6"/>
  <c r="N1649" i="6"/>
  <c r="M1649" i="6"/>
  <c r="F1649" i="6"/>
  <c r="N1648" i="6"/>
  <c r="M1648" i="6"/>
  <c r="G1648" i="6"/>
  <c r="F1648" i="6"/>
  <c r="M1647" i="6"/>
  <c r="N1647" i="6" s="1"/>
  <c r="G1647" i="6"/>
  <c r="F1647" i="6"/>
  <c r="M1646" i="6"/>
  <c r="F1646" i="6"/>
  <c r="G1646" i="6" s="1"/>
  <c r="M1645" i="6"/>
  <c r="G1645" i="6"/>
  <c r="N1645" i="6" s="1"/>
  <c r="F1645" i="6"/>
  <c r="M1644" i="6"/>
  <c r="F1644" i="6"/>
  <c r="N1643" i="6"/>
  <c r="M1643" i="6"/>
  <c r="F1643" i="6"/>
  <c r="N1642" i="6"/>
  <c r="M1642" i="6"/>
  <c r="F1642" i="6"/>
  <c r="M1641" i="6"/>
  <c r="N1641" i="6" s="1"/>
  <c r="G1641" i="6"/>
  <c r="F1641" i="6"/>
  <c r="M1640" i="6"/>
  <c r="F1640" i="6"/>
  <c r="N1639" i="6"/>
  <c r="M1639" i="6"/>
  <c r="F1639" i="6"/>
  <c r="G1639" i="6" s="1"/>
  <c r="N1638" i="6"/>
  <c r="M1638" i="6"/>
  <c r="F1638" i="6"/>
  <c r="G1638" i="6" s="1"/>
  <c r="M1637" i="6"/>
  <c r="N1637" i="6" s="1"/>
  <c r="F1637" i="6"/>
  <c r="G1637" i="6" s="1"/>
  <c r="N1636" i="6"/>
  <c r="M1636" i="6"/>
  <c r="G1636" i="6"/>
  <c r="F1636" i="6"/>
  <c r="N1635" i="6"/>
  <c r="M1635" i="6"/>
  <c r="F1635" i="6"/>
  <c r="G1635" i="6" s="1"/>
  <c r="M1634" i="6"/>
  <c r="N1634" i="6" s="1"/>
  <c r="F1634" i="6"/>
  <c r="G1634" i="6" s="1"/>
  <c r="M1633" i="6"/>
  <c r="G1633" i="6"/>
  <c r="F1633" i="6"/>
  <c r="M1632" i="6"/>
  <c r="N1632" i="6" s="1"/>
  <c r="F1632" i="6"/>
  <c r="G1632" i="6" s="1"/>
  <c r="M1631" i="6"/>
  <c r="G1631" i="6"/>
  <c r="N1631" i="6" s="1"/>
  <c r="F1631" i="6"/>
  <c r="M1630" i="6"/>
  <c r="N1630" i="6" s="1"/>
  <c r="G1630" i="6"/>
  <c r="F1630" i="6"/>
  <c r="N1629" i="6"/>
  <c r="M1629" i="6"/>
  <c r="G1629" i="6"/>
  <c r="F1629" i="6"/>
  <c r="N1628" i="6"/>
  <c r="M1628" i="6"/>
  <c r="G1628" i="6"/>
  <c r="F1628" i="6"/>
  <c r="M1627" i="6"/>
  <c r="F1627" i="6"/>
  <c r="G1627" i="6" s="1"/>
  <c r="M1626" i="6"/>
  <c r="F1626" i="6"/>
  <c r="M1625" i="6"/>
  <c r="G1625" i="6"/>
  <c r="F1625" i="6"/>
  <c r="N1625" i="6" s="1"/>
  <c r="M1624" i="6"/>
  <c r="F1624" i="6"/>
  <c r="G1624" i="6" s="1"/>
  <c r="M1623" i="6"/>
  <c r="F1623" i="6"/>
  <c r="G1623" i="6" s="1"/>
  <c r="M1622" i="6"/>
  <c r="N1622" i="6" s="1"/>
  <c r="G1622" i="6"/>
  <c r="F1622" i="6"/>
  <c r="M1621" i="6"/>
  <c r="F1621" i="6"/>
  <c r="G1621" i="6" s="1"/>
  <c r="M1620" i="6"/>
  <c r="G1620" i="6"/>
  <c r="F1620" i="6"/>
  <c r="N1619" i="6"/>
  <c r="M1619" i="6"/>
  <c r="G1619" i="6"/>
  <c r="F1619" i="6"/>
  <c r="M1618" i="6"/>
  <c r="G1618" i="6"/>
  <c r="F1618" i="6"/>
  <c r="M1617" i="6"/>
  <c r="F1617" i="6"/>
  <c r="M1616" i="6"/>
  <c r="N1616" i="6" s="1"/>
  <c r="F1616" i="6"/>
  <c r="G1616" i="6" s="1"/>
  <c r="N1615" i="6"/>
  <c r="M1615" i="6"/>
  <c r="G1615" i="6"/>
  <c r="F1615" i="6"/>
  <c r="M1614" i="6"/>
  <c r="F1614" i="6"/>
  <c r="M1613" i="6"/>
  <c r="F1613" i="6"/>
  <c r="M1612" i="6"/>
  <c r="N1612" i="6" s="1"/>
  <c r="F1612" i="6"/>
  <c r="G1612" i="6" s="1"/>
  <c r="M1611" i="6"/>
  <c r="F1611" i="6"/>
  <c r="M1610" i="6"/>
  <c r="F1610" i="6"/>
  <c r="G1610" i="6" s="1"/>
  <c r="N1609" i="6"/>
  <c r="M1609" i="6"/>
  <c r="G1609" i="6"/>
  <c r="F1609" i="6"/>
  <c r="M1608" i="6"/>
  <c r="G1608" i="6"/>
  <c r="N1608" i="6" s="1"/>
  <c r="F1608" i="6"/>
  <c r="M1607" i="6"/>
  <c r="F1607" i="6"/>
  <c r="G1607" i="6" s="1"/>
  <c r="M1606" i="6"/>
  <c r="G1606" i="6"/>
  <c r="F1606" i="6"/>
  <c r="M1605" i="6"/>
  <c r="N1605" i="6" s="1"/>
  <c r="F1605" i="6"/>
  <c r="G1605" i="6" s="1"/>
  <c r="N1604" i="6"/>
  <c r="M1604" i="6"/>
  <c r="G1604" i="6"/>
  <c r="F1604" i="6"/>
  <c r="N1603" i="6"/>
  <c r="M1603" i="6"/>
  <c r="F1603" i="6"/>
  <c r="G1603" i="6" s="1"/>
  <c r="M1602" i="6"/>
  <c r="G1602" i="6"/>
  <c r="F1602" i="6"/>
  <c r="N1602" i="6" s="1"/>
  <c r="M1601" i="6"/>
  <c r="F1601" i="6"/>
  <c r="G1601" i="6" s="1"/>
  <c r="N1601" i="6" s="1"/>
  <c r="M1600" i="6"/>
  <c r="N1600" i="6" s="1"/>
  <c r="G1600" i="6"/>
  <c r="F1600" i="6"/>
  <c r="M1599" i="6"/>
  <c r="F1599" i="6"/>
  <c r="G1599" i="6" s="1"/>
  <c r="M1598" i="6"/>
  <c r="N1598" i="6" s="1"/>
  <c r="G1598" i="6"/>
  <c r="F1598" i="6"/>
  <c r="M1597" i="6"/>
  <c r="N1597" i="6" s="1"/>
  <c r="G1597" i="6"/>
  <c r="F1597" i="6"/>
  <c r="M1596" i="6"/>
  <c r="F1596" i="6"/>
  <c r="G1596" i="6" s="1"/>
  <c r="M1595" i="6"/>
  <c r="F1595" i="6"/>
  <c r="G1595" i="6" s="1"/>
  <c r="N1595" i="6" s="1"/>
  <c r="M1594" i="6"/>
  <c r="N1594" i="6" s="1"/>
  <c r="F1594" i="6"/>
  <c r="G1594" i="6" s="1"/>
  <c r="N1593" i="6"/>
  <c r="M1593" i="6"/>
  <c r="G1593" i="6"/>
  <c r="F1593" i="6"/>
  <c r="M1592" i="6"/>
  <c r="G1592" i="6"/>
  <c r="N1592" i="6" s="1"/>
  <c r="F1592" i="6"/>
  <c r="M1591" i="6"/>
  <c r="F1591" i="6"/>
  <c r="M1590" i="6"/>
  <c r="F1590" i="6"/>
  <c r="M1589" i="6"/>
  <c r="G1589" i="6"/>
  <c r="F1589" i="6"/>
  <c r="M1588" i="6"/>
  <c r="F1588" i="6"/>
  <c r="G1588" i="6" s="1"/>
  <c r="M1587" i="6"/>
  <c r="N1587" i="6" s="1"/>
  <c r="G1587" i="6"/>
  <c r="F1587" i="6"/>
  <c r="M1586" i="6"/>
  <c r="N1586" i="6" s="1"/>
  <c r="G1586" i="6"/>
  <c r="F1586" i="6"/>
  <c r="N1585" i="6"/>
  <c r="M1585" i="6"/>
  <c r="G1585" i="6"/>
  <c r="F1585" i="6"/>
  <c r="M1584" i="6"/>
  <c r="F1584" i="6"/>
  <c r="G1584" i="6" s="1"/>
  <c r="M1583" i="6"/>
  <c r="F1583" i="6"/>
  <c r="G1583" i="6" s="1"/>
  <c r="N1582" i="6"/>
  <c r="M1582" i="6"/>
  <c r="F1582" i="6"/>
  <c r="G1582" i="6" s="1"/>
  <c r="M1581" i="6"/>
  <c r="F1581" i="6"/>
  <c r="N1580" i="6"/>
  <c r="M1580" i="6"/>
  <c r="F1580" i="6"/>
  <c r="G1580" i="6" s="1"/>
  <c r="M1579" i="6"/>
  <c r="N1579" i="6" s="1"/>
  <c r="G1579" i="6"/>
  <c r="F1579" i="6"/>
  <c r="N1578" i="6"/>
  <c r="M1578" i="6"/>
  <c r="G1578" i="6"/>
  <c r="F1578" i="6"/>
  <c r="M1577" i="6"/>
  <c r="G1577" i="6"/>
  <c r="F1577" i="6"/>
  <c r="N1576" i="6"/>
  <c r="M1576" i="6"/>
  <c r="G1576" i="6"/>
  <c r="F1576" i="6"/>
  <c r="M1575" i="6"/>
  <c r="N1575" i="6" s="1"/>
  <c r="G1575" i="6"/>
  <c r="F1575" i="6"/>
  <c r="M1574" i="6"/>
  <c r="G1574" i="6"/>
  <c r="F1574" i="6"/>
  <c r="M1573" i="6"/>
  <c r="N1573" i="6" s="1"/>
  <c r="F1573" i="6"/>
  <c r="G1573" i="6" s="1"/>
  <c r="M1572" i="6"/>
  <c r="N1572" i="6" s="1"/>
  <c r="F1572" i="6"/>
  <c r="G1572" i="6" s="1"/>
  <c r="M1571" i="6"/>
  <c r="G1571" i="6"/>
  <c r="F1571" i="6"/>
  <c r="M1570" i="6"/>
  <c r="G1570" i="6"/>
  <c r="N1570" i="6" s="1"/>
  <c r="F1570" i="6"/>
  <c r="M1569" i="6"/>
  <c r="G1569" i="6"/>
  <c r="N1569" i="6" s="1"/>
  <c r="F1569" i="6"/>
  <c r="M1568" i="6"/>
  <c r="F1568" i="6"/>
  <c r="M1567" i="6"/>
  <c r="G1567" i="6"/>
  <c r="N1567" i="6" s="1"/>
  <c r="F1567" i="6"/>
  <c r="M1566" i="6"/>
  <c r="F1566" i="6"/>
  <c r="G1566" i="6" s="1"/>
  <c r="M1565" i="6"/>
  <c r="G1565" i="6"/>
  <c r="F1565" i="6"/>
  <c r="N1564" i="6"/>
  <c r="M1564" i="6"/>
  <c r="G1564" i="6"/>
  <c r="F1564" i="6"/>
  <c r="M1563" i="6"/>
  <c r="N1563" i="6" s="1"/>
  <c r="F1563" i="6"/>
  <c r="G1563" i="6" s="1"/>
  <c r="N1562" i="6"/>
  <c r="M1562" i="6"/>
  <c r="F1562" i="6"/>
  <c r="G1562" i="6" s="1"/>
  <c r="M1561" i="6"/>
  <c r="F1561" i="6"/>
  <c r="G1561" i="6" s="1"/>
  <c r="M1560" i="6"/>
  <c r="N1560" i="6" s="1"/>
  <c r="G1560" i="6"/>
  <c r="F1560" i="6"/>
  <c r="N1559" i="6"/>
  <c r="M1559" i="6"/>
  <c r="F1559" i="6"/>
  <c r="G1559" i="6" s="1"/>
  <c r="M1558" i="6"/>
  <c r="G1558" i="6"/>
  <c r="F1558" i="6"/>
  <c r="M1557" i="6"/>
  <c r="G1557" i="6"/>
  <c r="F1557" i="6"/>
  <c r="M1556" i="6"/>
  <c r="G1556" i="6"/>
  <c r="F1556" i="6"/>
  <c r="M1555" i="6"/>
  <c r="G1555" i="6"/>
  <c r="F1555" i="6"/>
  <c r="N1554" i="6"/>
  <c r="M1554" i="6"/>
  <c r="G1554" i="6"/>
  <c r="F1554" i="6"/>
  <c r="N1553" i="6"/>
  <c r="M1553" i="6"/>
  <c r="G1553" i="6"/>
  <c r="F1553" i="6"/>
  <c r="M1552" i="6"/>
  <c r="F1552" i="6"/>
  <c r="G1552" i="6" s="1"/>
  <c r="M1551" i="6"/>
  <c r="N1551" i="6" s="1"/>
  <c r="G1551" i="6"/>
  <c r="F1551" i="6"/>
  <c r="N1550" i="6"/>
  <c r="M1550" i="6"/>
  <c r="F1550" i="6"/>
  <c r="G1550" i="6" s="1"/>
  <c r="N1549" i="6"/>
  <c r="M1549" i="6"/>
  <c r="F1549" i="6"/>
  <c r="G1549" i="6" s="1"/>
  <c r="M1548" i="6"/>
  <c r="F1548" i="6"/>
  <c r="N1547" i="6"/>
  <c r="M1547" i="6"/>
  <c r="G1547" i="6"/>
  <c r="F1547" i="6"/>
  <c r="N1546" i="6"/>
  <c r="M1546" i="6"/>
  <c r="G1546" i="6"/>
  <c r="F1546" i="6"/>
  <c r="N1545" i="6"/>
  <c r="M1545" i="6"/>
  <c r="F1545" i="6"/>
  <c r="G1545" i="6" s="1"/>
  <c r="M1544" i="6"/>
  <c r="F1544" i="6"/>
  <c r="G1544" i="6" s="1"/>
  <c r="N1543" i="6"/>
  <c r="M1543" i="6"/>
  <c r="G1543" i="6"/>
  <c r="F1543" i="6"/>
  <c r="M1542" i="6"/>
  <c r="G1542" i="6"/>
  <c r="N1542" i="6" s="1"/>
  <c r="F1542" i="6"/>
  <c r="M1541" i="6"/>
  <c r="N1541" i="6" s="1"/>
  <c r="F1541" i="6"/>
  <c r="G1541" i="6" s="1"/>
  <c r="M1540" i="6"/>
  <c r="F1540" i="6"/>
  <c r="G1540" i="6" s="1"/>
  <c r="N1539" i="6"/>
  <c r="M1539" i="6"/>
  <c r="F1539" i="6"/>
  <c r="G1539" i="6" s="1"/>
  <c r="M1538" i="6"/>
  <c r="F1538" i="6"/>
  <c r="G1538" i="6" s="1"/>
  <c r="M1537" i="6"/>
  <c r="F1537" i="6"/>
  <c r="M1536" i="6"/>
  <c r="F1536" i="6"/>
  <c r="G1536" i="6" s="1"/>
  <c r="N1536" i="6" s="1"/>
  <c r="M1535" i="6"/>
  <c r="G1535" i="6"/>
  <c r="F1535" i="6"/>
  <c r="M1534" i="6"/>
  <c r="F1534" i="6"/>
  <c r="M1533" i="6"/>
  <c r="F1533" i="6"/>
  <c r="G1533" i="6" s="1"/>
  <c r="M1532" i="6"/>
  <c r="G1532" i="6"/>
  <c r="F1532" i="6"/>
  <c r="M1531" i="6"/>
  <c r="N1531" i="6" s="1"/>
  <c r="G1531" i="6"/>
  <c r="F1531" i="6"/>
  <c r="M1530" i="6"/>
  <c r="N1530" i="6" s="1"/>
  <c r="G1530" i="6"/>
  <c r="F1530" i="6"/>
  <c r="M1529" i="6"/>
  <c r="F1529" i="6"/>
  <c r="G1529" i="6" s="1"/>
  <c r="M1528" i="6"/>
  <c r="N1528" i="6" s="1"/>
  <c r="F1528" i="6"/>
  <c r="G1528" i="6" s="1"/>
  <c r="M1527" i="6"/>
  <c r="N1527" i="6" s="1"/>
  <c r="G1527" i="6"/>
  <c r="F1527" i="6"/>
  <c r="M1526" i="6"/>
  <c r="G1526" i="6"/>
  <c r="N1526" i="6" s="1"/>
  <c r="F1526" i="6"/>
  <c r="M1525" i="6"/>
  <c r="G1525" i="6"/>
  <c r="F1525" i="6"/>
  <c r="M1524" i="6"/>
  <c r="N1524" i="6" s="1"/>
  <c r="G1524" i="6"/>
  <c r="F1524" i="6"/>
  <c r="N1523" i="6"/>
  <c r="M1523" i="6"/>
  <c r="G1523" i="6"/>
  <c r="F1523" i="6"/>
  <c r="M1522" i="6"/>
  <c r="G1522" i="6"/>
  <c r="F1522" i="6"/>
  <c r="N1521" i="6"/>
  <c r="M1521" i="6"/>
  <c r="G1521" i="6"/>
  <c r="F1521" i="6"/>
  <c r="N1520" i="6"/>
  <c r="M1520" i="6"/>
  <c r="G1520" i="6"/>
  <c r="F1520" i="6"/>
  <c r="M1519" i="6"/>
  <c r="N1519" i="6" s="1"/>
  <c r="F1519" i="6"/>
  <c r="G1519" i="6" s="1"/>
  <c r="M1518" i="6"/>
  <c r="F1518" i="6"/>
  <c r="N1517" i="6"/>
  <c r="M1517" i="6"/>
  <c r="F1517" i="6"/>
  <c r="G1517" i="6" s="1"/>
  <c r="M1516" i="6"/>
  <c r="F1516" i="6"/>
  <c r="M1515" i="6"/>
  <c r="F1515" i="6"/>
  <c r="N1514" i="6"/>
  <c r="M1514" i="6"/>
  <c r="G1514" i="6"/>
  <c r="F1514" i="6"/>
  <c r="M1513" i="6"/>
  <c r="N1513" i="6" s="1"/>
  <c r="G1513" i="6"/>
  <c r="F1513" i="6"/>
  <c r="N1512" i="6"/>
  <c r="M1512" i="6"/>
  <c r="F1512" i="6"/>
  <c r="G1512" i="6" s="1"/>
  <c r="M1511" i="6"/>
  <c r="N1511" i="6" s="1"/>
  <c r="F1511" i="6"/>
  <c r="G1511" i="6" s="1"/>
  <c r="N1510" i="6"/>
  <c r="M1510" i="6"/>
  <c r="G1510" i="6"/>
  <c r="F1510" i="6"/>
  <c r="M1509" i="6"/>
  <c r="G1509" i="6"/>
  <c r="F1509" i="6"/>
  <c r="M1508" i="6"/>
  <c r="F1508" i="6"/>
  <c r="G1508" i="6" s="1"/>
  <c r="M1507" i="6"/>
  <c r="N1507" i="6" s="1"/>
  <c r="F1507" i="6"/>
  <c r="G1507" i="6" s="1"/>
  <c r="M1506" i="6"/>
  <c r="N1506" i="6" s="1"/>
  <c r="F1506" i="6"/>
  <c r="G1506" i="6" s="1"/>
  <c r="M1505" i="6"/>
  <c r="F1505" i="6"/>
  <c r="G1505" i="6" s="1"/>
  <c r="N1505" i="6" s="1"/>
  <c r="M1504" i="6"/>
  <c r="G1504" i="6"/>
  <c r="F1504" i="6"/>
  <c r="N1504" i="6" s="1"/>
  <c r="M1503" i="6"/>
  <c r="F1503" i="6"/>
  <c r="G1503" i="6" s="1"/>
  <c r="M1502" i="6"/>
  <c r="G1502" i="6"/>
  <c r="F1502" i="6"/>
  <c r="N1501" i="6"/>
  <c r="M1501" i="6"/>
  <c r="G1501" i="6"/>
  <c r="F1501" i="6"/>
  <c r="M1500" i="6"/>
  <c r="G1500" i="6"/>
  <c r="F1500" i="6"/>
  <c r="M1499" i="6"/>
  <c r="G1499" i="6"/>
  <c r="F1499" i="6"/>
  <c r="N1498" i="6"/>
  <c r="M1498" i="6"/>
  <c r="G1498" i="6"/>
  <c r="F1498" i="6"/>
  <c r="N1497" i="6"/>
  <c r="M1497" i="6"/>
  <c r="F1497" i="6"/>
  <c r="G1497" i="6" s="1"/>
  <c r="M1496" i="6"/>
  <c r="G1496" i="6"/>
  <c r="F1496" i="6"/>
  <c r="N1495" i="6"/>
  <c r="M1495" i="6"/>
  <c r="F1495" i="6"/>
  <c r="G1495" i="6" s="1"/>
  <c r="M1494" i="6"/>
  <c r="G1494" i="6"/>
  <c r="F1494" i="6"/>
  <c r="N1493" i="6"/>
  <c r="M1493" i="6"/>
  <c r="F1493" i="6"/>
  <c r="G1493" i="6" s="1"/>
  <c r="N1492" i="6"/>
  <c r="M1492" i="6"/>
  <c r="G1492" i="6"/>
  <c r="F1492" i="6"/>
  <c r="M1491" i="6"/>
  <c r="N1491" i="6" s="1"/>
  <c r="F1491" i="6"/>
  <c r="G1491" i="6" s="1"/>
  <c r="M1490" i="6"/>
  <c r="F1490" i="6"/>
  <c r="G1490" i="6" s="1"/>
  <c r="M1489" i="6"/>
  <c r="N1489" i="6" s="1"/>
  <c r="F1489" i="6"/>
  <c r="G1489" i="6" s="1"/>
  <c r="M1488" i="6"/>
  <c r="N1488" i="6" s="1"/>
  <c r="G1488" i="6"/>
  <c r="F1488" i="6"/>
  <c r="N1487" i="6"/>
  <c r="M1487" i="6"/>
  <c r="G1487" i="6"/>
  <c r="F1487" i="6"/>
  <c r="M1486" i="6"/>
  <c r="F1486" i="6"/>
  <c r="G1486" i="6" s="1"/>
  <c r="N1485" i="6"/>
  <c r="M1485" i="6"/>
  <c r="G1485" i="6"/>
  <c r="F1485" i="6"/>
  <c r="N1484" i="6"/>
  <c r="M1484" i="6"/>
  <c r="F1484" i="6"/>
  <c r="G1484" i="6" s="1"/>
  <c r="M1483" i="6"/>
  <c r="G1483" i="6"/>
  <c r="N1483" i="6" s="1"/>
  <c r="F1483" i="6"/>
  <c r="M1482" i="6"/>
  <c r="G1482" i="6"/>
  <c r="F1482" i="6"/>
  <c r="M1481" i="6"/>
  <c r="G1481" i="6"/>
  <c r="F1481" i="6"/>
  <c r="M1480" i="6"/>
  <c r="F1480" i="6"/>
  <c r="G1480" i="6" s="1"/>
  <c r="M1479" i="6"/>
  <c r="G1479" i="6"/>
  <c r="N1479" i="6" s="1"/>
  <c r="F1479" i="6"/>
  <c r="M1478" i="6"/>
  <c r="G1478" i="6"/>
  <c r="F1478" i="6"/>
  <c r="M1477" i="6"/>
  <c r="G1477" i="6"/>
  <c r="F1477" i="6"/>
  <c r="M1476" i="6"/>
  <c r="G1476" i="6"/>
  <c r="F1476" i="6"/>
  <c r="M1475" i="6"/>
  <c r="N1475" i="6" s="1"/>
  <c r="F1475" i="6"/>
  <c r="G1475" i="6" s="1"/>
  <c r="N1474" i="6"/>
  <c r="M1474" i="6"/>
  <c r="F1474" i="6"/>
  <c r="G1474" i="6" s="1"/>
  <c r="N1473" i="6"/>
  <c r="M1473" i="6"/>
  <c r="F1473" i="6"/>
  <c r="G1473" i="6" s="1"/>
  <c r="N1472" i="6"/>
  <c r="M1472" i="6"/>
  <c r="G1472" i="6"/>
  <c r="F1472" i="6"/>
  <c r="N1471" i="6"/>
  <c r="M1471" i="6"/>
  <c r="G1471" i="6"/>
  <c r="F1471" i="6"/>
  <c r="N1470" i="6"/>
  <c r="M1470" i="6"/>
  <c r="F1470" i="6"/>
  <c r="G1470" i="6" s="1"/>
  <c r="M1469" i="6"/>
  <c r="F1469" i="6"/>
  <c r="G1469" i="6" s="1"/>
  <c r="M1468" i="6"/>
  <c r="F1468" i="6"/>
  <c r="G1468" i="6" s="1"/>
  <c r="M1467" i="6"/>
  <c r="G1467" i="6"/>
  <c r="F1467" i="6"/>
  <c r="M1466" i="6"/>
  <c r="N1466" i="6" s="1"/>
  <c r="G1466" i="6"/>
  <c r="F1466" i="6"/>
  <c r="N1465" i="6"/>
  <c r="M1465" i="6"/>
  <c r="G1465" i="6"/>
  <c r="F1465" i="6"/>
  <c r="M1464" i="6"/>
  <c r="F1464" i="6"/>
  <c r="M1463" i="6"/>
  <c r="N1463" i="6" s="1"/>
  <c r="F1463" i="6"/>
  <c r="G1463" i="6" s="1"/>
  <c r="M1462" i="6"/>
  <c r="F1462" i="6"/>
  <c r="N1461" i="6"/>
  <c r="M1461" i="6"/>
  <c r="G1461" i="6"/>
  <c r="F1461" i="6"/>
  <c r="N1460" i="6"/>
  <c r="M1460" i="6"/>
  <c r="F1460" i="6"/>
  <c r="G1460" i="6" s="1"/>
  <c r="M1459" i="6"/>
  <c r="G1459" i="6"/>
  <c r="N1459" i="6" s="1"/>
  <c r="F1459" i="6"/>
  <c r="M1458" i="6"/>
  <c r="N1458" i="6" s="1"/>
  <c r="G1458" i="6"/>
  <c r="F1458" i="6"/>
  <c r="M1457" i="6"/>
  <c r="F1457" i="6"/>
  <c r="M1456" i="6"/>
  <c r="N1456" i="6" s="1"/>
  <c r="G1456" i="6"/>
  <c r="F1456" i="6"/>
  <c r="M1455" i="6"/>
  <c r="N1455" i="6" s="1"/>
  <c r="G1455" i="6"/>
  <c r="F1455" i="6"/>
  <c r="M1454" i="6"/>
  <c r="N1454" i="6" s="1"/>
  <c r="G1454" i="6"/>
  <c r="F1454" i="6"/>
  <c r="M1453" i="6"/>
  <c r="G1453" i="6"/>
  <c r="F1453" i="6"/>
  <c r="N1452" i="6"/>
  <c r="M1452" i="6"/>
  <c r="F1452" i="6"/>
  <c r="G1452" i="6" s="1"/>
  <c r="M1451" i="6"/>
  <c r="N1451" i="6" s="1"/>
  <c r="F1451" i="6"/>
  <c r="G1451" i="6" s="1"/>
  <c r="M1450" i="6"/>
  <c r="G1450" i="6"/>
  <c r="F1450" i="6"/>
  <c r="M1449" i="6"/>
  <c r="G1449" i="6"/>
  <c r="N1449" i="6" s="1"/>
  <c r="F1449" i="6"/>
  <c r="M1448" i="6"/>
  <c r="G1448" i="6"/>
  <c r="N1448" i="6" s="1"/>
  <c r="F1448" i="6"/>
  <c r="M1447" i="6"/>
  <c r="N1447" i="6" s="1"/>
  <c r="F1447" i="6"/>
  <c r="G1447" i="6" s="1"/>
  <c r="M1446" i="6"/>
  <c r="F1446" i="6"/>
  <c r="M1445" i="6"/>
  <c r="F1445" i="6"/>
  <c r="G1445" i="6" s="1"/>
  <c r="M1444" i="6"/>
  <c r="G1444" i="6"/>
  <c r="N1444" i="6" s="1"/>
  <c r="F1444" i="6"/>
  <c r="M1443" i="6"/>
  <c r="N1443" i="6" s="1"/>
  <c r="G1443" i="6"/>
  <c r="F1443" i="6"/>
  <c r="M1442" i="6"/>
  <c r="N1442" i="6" s="1"/>
  <c r="F1442" i="6"/>
  <c r="G1442" i="6" s="1"/>
  <c r="M1441" i="6"/>
  <c r="F1441" i="6"/>
  <c r="M1440" i="6"/>
  <c r="F1440" i="6"/>
  <c r="G1440" i="6" s="1"/>
  <c r="M1439" i="6"/>
  <c r="N1439" i="6" s="1"/>
  <c r="F1439" i="6"/>
  <c r="G1439" i="6" s="1"/>
  <c r="M1438" i="6"/>
  <c r="G1438" i="6"/>
  <c r="F1438" i="6"/>
  <c r="N1438" i="6" s="1"/>
  <c r="M1437" i="6"/>
  <c r="G1437" i="6"/>
  <c r="F1437" i="6"/>
  <c r="N1437" i="6" s="1"/>
  <c r="M1436" i="6"/>
  <c r="F1436" i="6"/>
  <c r="M1435" i="6"/>
  <c r="N1435" i="6" s="1"/>
  <c r="G1435" i="6"/>
  <c r="F1435" i="6"/>
  <c r="M1434" i="6"/>
  <c r="G1434" i="6"/>
  <c r="F1434" i="6"/>
  <c r="N1433" i="6"/>
  <c r="M1433" i="6"/>
  <c r="G1433" i="6"/>
  <c r="F1433" i="6"/>
  <c r="M1432" i="6"/>
  <c r="G1432" i="6"/>
  <c r="N1432" i="6" s="1"/>
  <c r="F1432" i="6"/>
  <c r="M1431" i="6"/>
  <c r="N1431" i="6" s="1"/>
  <c r="F1431" i="6"/>
  <c r="G1431" i="6" s="1"/>
  <c r="M1430" i="6"/>
  <c r="N1430" i="6" s="1"/>
  <c r="G1430" i="6"/>
  <c r="F1430" i="6"/>
  <c r="M1429" i="6"/>
  <c r="N1429" i="6" s="1"/>
  <c r="F1429" i="6"/>
  <c r="G1429" i="6" s="1"/>
  <c r="M1428" i="6"/>
  <c r="G1428" i="6"/>
  <c r="F1428" i="6"/>
  <c r="M1427" i="6"/>
  <c r="G1427" i="6"/>
  <c r="N1427" i="6" s="1"/>
  <c r="F1427" i="6"/>
  <c r="M1426" i="6"/>
  <c r="G1426" i="6"/>
  <c r="N1426" i="6" s="1"/>
  <c r="F1426" i="6"/>
  <c r="M1425" i="6"/>
  <c r="N1425" i="6" s="1"/>
  <c r="G1425" i="6"/>
  <c r="F1425" i="6"/>
  <c r="N1424" i="6"/>
  <c r="M1424" i="6"/>
  <c r="F1424" i="6"/>
  <c r="G1424" i="6" s="1"/>
  <c r="M1423" i="6"/>
  <c r="N1423" i="6" s="1"/>
  <c r="F1423" i="6"/>
  <c r="G1423" i="6" s="1"/>
  <c r="M1422" i="6"/>
  <c r="G1422" i="6"/>
  <c r="N1422" i="6" s="1"/>
  <c r="F1422" i="6"/>
  <c r="M1421" i="6"/>
  <c r="G1421" i="6"/>
  <c r="F1421" i="6"/>
  <c r="M1420" i="6"/>
  <c r="F1420" i="6"/>
  <c r="G1420" i="6" s="1"/>
  <c r="M1419" i="6"/>
  <c r="N1419" i="6" s="1"/>
  <c r="F1419" i="6"/>
  <c r="G1419" i="6" s="1"/>
  <c r="M1418" i="6"/>
  <c r="F1418" i="6"/>
  <c r="G1418" i="6" s="1"/>
  <c r="N1417" i="6"/>
  <c r="M1417" i="6"/>
  <c r="G1417" i="6"/>
  <c r="F1417" i="6"/>
  <c r="M1416" i="6"/>
  <c r="F1416" i="6"/>
  <c r="G1416" i="6" s="1"/>
  <c r="N1415" i="6"/>
  <c r="M1415" i="6"/>
  <c r="F1415" i="6"/>
  <c r="G1415" i="6" s="1"/>
  <c r="N1414" i="6"/>
  <c r="M1414" i="6"/>
  <c r="F1414" i="6"/>
  <c r="G1414" i="6" s="1"/>
  <c r="M1413" i="6"/>
  <c r="F1413" i="6"/>
  <c r="M1412" i="6"/>
  <c r="F1412" i="6"/>
  <c r="G1412" i="6" s="1"/>
  <c r="M1411" i="6"/>
  <c r="G1411" i="6"/>
  <c r="F1411" i="6"/>
  <c r="M1410" i="6"/>
  <c r="N1410" i="6" s="1"/>
  <c r="G1410" i="6"/>
  <c r="F1410" i="6"/>
  <c r="M1409" i="6"/>
  <c r="F1409" i="6"/>
  <c r="M1408" i="6"/>
  <c r="N1408" i="6" s="1"/>
  <c r="F1408" i="6"/>
  <c r="G1408" i="6" s="1"/>
  <c r="M1407" i="6"/>
  <c r="N1407" i="6" s="1"/>
  <c r="F1407" i="6"/>
  <c r="G1407" i="6" s="1"/>
  <c r="M1406" i="6"/>
  <c r="G1406" i="6"/>
  <c r="F1406" i="6"/>
  <c r="N1405" i="6"/>
  <c r="M1405" i="6"/>
  <c r="F1405" i="6"/>
  <c r="G1405" i="6" s="1"/>
  <c r="M1404" i="6"/>
  <c r="G1404" i="6"/>
  <c r="F1404" i="6"/>
  <c r="M1403" i="6"/>
  <c r="G1403" i="6"/>
  <c r="F1403" i="6"/>
  <c r="M1402" i="6"/>
  <c r="N1402" i="6" s="1"/>
  <c r="G1402" i="6"/>
  <c r="F1402" i="6"/>
  <c r="M1401" i="6"/>
  <c r="G1401" i="6"/>
  <c r="F1401" i="6"/>
  <c r="N1400" i="6"/>
  <c r="M1400" i="6"/>
  <c r="G1400" i="6"/>
  <c r="F1400" i="6"/>
  <c r="N1399" i="6"/>
  <c r="M1399" i="6"/>
  <c r="G1399" i="6"/>
  <c r="F1399" i="6"/>
  <c r="M1398" i="6"/>
  <c r="N1398" i="6" s="1"/>
  <c r="G1398" i="6"/>
  <c r="F1398" i="6"/>
  <c r="N1397" i="6"/>
  <c r="M1397" i="6"/>
  <c r="F1397" i="6"/>
  <c r="G1397" i="6" s="1"/>
  <c r="N1396" i="6"/>
  <c r="M1396" i="6"/>
  <c r="F1396" i="6"/>
  <c r="G1396" i="6" s="1"/>
  <c r="M1395" i="6"/>
  <c r="N1395" i="6" s="1"/>
  <c r="F1395" i="6"/>
  <c r="G1395" i="6" s="1"/>
  <c r="M1394" i="6"/>
  <c r="G1394" i="6"/>
  <c r="F1394" i="6"/>
  <c r="N1394" i="6" s="1"/>
  <c r="M1393" i="6"/>
  <c r="G1393" i="6"/>
  <c r="N1393" i="6" s="1"/>
  <c r="F1393" i="6"/>
  <c r="M1392" i="6"/>
  <c r="F1392" i="6"/>
  <c r="G1392" i="6" s="1"/>
  <c r="M1391" i="6"/>
  <c r="F1391" i="6"/>
  <c r="M1390" i="6"/>
  <c r="N1390" i="6" s="1"/>
  <c r="F1390" i="6"/>
  <c r="G1390" i="6" s="1"/>
  <c r="N1389" i="6"/>
  <c r="M1389" i="6"/>
  <c r="G1389" i="6"/>
  <c r="F1389" i="6"/>
  <c r="M1388" i="6"/>
  <c r="G1388" i="6"/>
  <c r="F1388" i="6"/>
  <c r="M1387" i="6"/>
  <c r="N1387" i="6" s="1"/>
  <c r="G1387" i="6"/>
  <c r="F1387" i="6"/>
  <c r="M1386" i="6"/>
  <c r="F1386" i="6"/>
  <c r="G1386" i="6" s="1"/>
  <c r="N1386" i="6" s="1"/>
  <c r="M1385" i="6"/>
  <c r="N1385" i="6" s="1"/>
  <c r="F1385" i="6"/>
  <c r="G1385" i="6" s="1"/>
  <c r="N1384" i="6"/>
  <c r="M1384" i="6"/>
  <c r="F1384" i="6"/>
  <c r="G1384" i="6" s="1"/>
  <c r="M1383" i="6"/>
  <c r="G1383" i="6"/>
  <c r="F1383" i="6"/>
  <c r="M1382" i="6"/>
  <c r="G1382" i="6"/>
  <c r="F1382" i="6"/>
  <c r="M1381" i="6"/>
  <c r="N1381" i="6" s="1"/>
  <c r="F1381" i="6"/>
  <c r="G1381" i="6" s="1"/>
  <c r="M1380" i="6"/>
  <c r="G1380" i="6"/>
  <c r="N1380" i="6" s="1"/>
  <c r="F1380" i="6"/>
  <c r="M1379" i="6"/>
  <c r="G1379" i="6"/>
  <c r="F1379" i="6"/>
  <c r="M1378" i="6"/>
  <c r="G1378" i="6"/>
  <c r="F1378" i="6"/>
  <c r="N1377" i="6"/>
  <c r="M1377" i="6"/>
  <c r="G1377" i="6"/>
  <c r="F1377" i="6"/>
  <c r="M1376" i="6"/>
  <c r="F1376" i="6"/>
  <c r="N1375" i="6"/>
  <c r="N1374" i="6"/>
  <c r="N1373" i="6"/>
  <c r="N1372" i="6"/>
  <c r="M1371" i="6"/>
  <c r="N1371" i="6" s="1"/>
  <c r="F1371" i="6"/>
  <c r="M1370" i="6"/>
  <c r="F1370" i="6"/>
  <c r="N1369" i="6"/>
  <c r="M1369" i="6"/>
  <c r="F1369" i="6"/>
  <c r="N1368" i="6"/>
  <c r="M1368" i="6"/>
  <c r="F1368" i="6"/>
  <c r="N1367" i="6"/>
  <c r="M1367" i="6"/>
  <c r="F1367" i="6"/>
  <c r="M1366" i="6"/>
  <c r="F1366" i="6"/>
  <c r="N1365" i="6"/>
  <c r="M1365" i="6"/>
  <c r="F1365" i="6"/>
  <c r="M1364" i="6"/>
  <c r="N1364" i="6" s="1"/>
  <c r="G1364" i="6"/>
  <c r="F1364" i="6"/>
  <c r="M1363" i="6"/>
  <c r="F1363" i="6"/>
  <c r="G1363" i="6" s="1"/>
  <c r="M1362" i="6"/>
  <c r="N1362" i="6" s="1"/>
  <c r="G1362" i="6"/>
  <c r="F1362" i="6"/>
  <c r="M1361" i="6"/>
  <c r="G1361" i="6"/>
  <c r="N1361" i="6" s="1"/>
  <c r="F1361" i="6"/>
  <c r="M1360" i="6"/>
  <c r="G1360" i="6"/>
  <c r="F1360" i="6"/>
  <c r="M1359" i="6"/>
  <c r="F1359" i="6"/>
  <c r="G1359" i="6" s="1"/>
  <c r="M1358" i="6"/>
  <c r="N1358" i="6" s="1"/>
  <c r="F1358" i="6"/>
  <c r="G1358" i="6" s="1"/>
  <c r="M1357" i="6"/>
  <c r="G1357" i="6"/>
  <c r="F1357" i="6"/>
  <c r="N1357" i="6" s="1"/>
  <c r="K1356" i="6"/>
  <c r="M1356" i="6" s="1"/>
  <c r="N1356" i="6" s="1"/>
  <c r="G1356" i="6"/>
  <c r="F1356" i="6"/>
  <c r="K1355" i="6"/>
  <c r="M1355" i="6" s="1"/>
  <c r="G1355" i="6"/>
  <c r="F1355" i="6"/>
  <c r="N1354" i="6"/>
  <c r="M1354" i="6"/>
  <c r="K1354" i="6"/>
  <c r="F1354" i="6"/>
  <c r="G1354" i="6" s="1"/>
  <c r="M1353" i="6"/>
  <c r="K1353" i="6"/>
  <c r="G1353" i="6"/>
  <c r="F1353" i="6"/>
  <c r="N1352" i="6"/>
  <c r="M1352" i="6"/>
  <c r="F1352" i="6"/>
  <c r="G1352" i="6" s="1"/>
  <c r="M1351" i="6"/>
  <c r="K1351" i="6"/>
  <c r="F1351" i="6"/>
  <c r="G1351" i="6" s="1"/>
  <c r="N1350" i="6"/>
  <c r="K1350" i="6"/>
  <c r="M1350" i="6" s="1"/>
  <c r="G1350" i="6"/>
  <c r="F1350" i="6"/>
  <c r="K1349" i="6"/>
  <c r="M1349" i="6" s="1"/>
  <c r="N1349" i="6" s="1"/>
  <c r="G1349" i="6"/>
  <c r="F1349" i="6"/>
  <c r="K1348" i="6"/>
  <c r="M1348" i="6" s="1"/>
  <c r="N1348" i="6" s="1"/>
  <c r="G1348" i="6"/>
  <c r="F1348" i="6"/>
  <c r="M1347" i="6"/>
  <c r="N1347" i="6" s="1"/>
  <c r="K1347" i="6"/>
  <c r="F1347" i="6"/>
  <c r="G1347" i="6" s="1"/>
  <c r="K1346" i="6"/>
  <c r="M1346" i="6" s="1"/>
  <c r="N1346" i="6" s="1"/>
  <c r="G1346" i="6"/>
  <c r="F1346" i="6"/>
  <c r="K1345" i="6"/>
  <c r="M1345" i="6" s="1"/>
  <c r="N1345" i="6" s="1"/>
  <c r="G1345" i="6"/>
  <c r="F1345" i="6"/>
  <c r="K1344" i="6"/>
  <c r="M1344" i="6" s="1"/>
  <c r="N1344" i="6" s="1"/>
  <c r="G1344" i="6"/>
  <c r="F1344" i="6"/>
  <c r="K1343" i="6"/>
  <c r="M1343" i="6" s="1"/>
  <c r="F1343" i="6"/>
  <c r="G1343" i="6" s="1"/>
  <c r="M1342" i="6"/>
  <c r="K1342" i="6"/>
  <c r="G1342" i="6"/>
  <c r="F1342" i="6"/>
  <c r="N1342" i="6" s="1"/>
  <c r="K1341" i="6"/>
  <c r="M1341" i="6" s="1"/>
  <c r="N1341" i="6" s="1"/>
  <c r="F1341" i="6"/>
  <c r="G1341" i="6" s="1"/>
  <c r="K1340" i="6"/>
  <c r="M1340" i="6" s="1"/>
  <c r="F1340" i="6"/>
  <c r="G1340" i="6" s="1"/>
  <c r="N1340" i="6" s="1"/>
  <c r="K1339" i="6"/>
  <c r="M1339" i="6" s="1"/>
  <c r="F1339" i="6"/>
  <c r="G1339" i="6" s="1"/>
  <c r="N1339" i="6" s="1"/>
  <c r="K1338" i="6"/>
  <c r="M1338" i="6" s="1"/>
  <c r="N1338" i="6" s="1"/>
  <c r="G1338" i="6"/>
  <c r="F1338" i="6"/>
  <c r="K1337" i="6"/>
  <c r="M1337" i="6" s="1"/>
  <c r="N1337" i="6" s="1"/>
  <c r="G1337" i="6"/>
  <c r="F1337" i="6"/>
  <c r="K1336" i="6"/>
  <c r="M1336" i="6" s="1"/>
  <c r="N1336" i="6" s="1"/>
  <c r="G1336" i="6"/>
  <c r="F1336" i="6"/>
  <c r="M1335" i="6"/>
  <c r="K1335" i="6"/>
  <c r="F1335" i="6"/>
  <c r="G1335" i="6" s="1"/>
  <c r="K1334" i="6"/>
  <c r="M1334" i="6" s="1"/>
  <c r="N1334" i="6" s="1"/>
  <c r="G1334" i="6"/>
  <c r="F1334" i="6"/>
  <c r="K1333" i="6"/>
  <c r="M1333" i="6" s="1"/>
  <c r="G1333" i="6"/>
  <c r="F1333" i="6"/>
  <c r="K1332" i="6"/>
  <c r="M1332" i="6" s="1"/>
  <c r="N1332" i="6" s="1"/>
  <c r="F1332" i="6"/>
  <c r="G1332" i="6" s="1"/>
  <c r="K1331" i="6"/>
  <c r="M1331" i="6" s="1"/>
  <c r="N1331" i="6" s="1"/>
  <c r="G1331" i="6"/>
  <c r="F1331" i="6"/>
  <c r="N1330" i="6"/>
  <c r="K1330" i="6"/>
  <c r="M1330" i="6" s="1"/>
  <c r="F1330" i="6"/>
  <c r="G1330" i="6" s="1"/>
  <c r="N1329" i="6"/>
  <c r="M1329" i="6"/>
  <c r="K1329" i="6"/>
  <c r="F1329" i="6"/>
  <c r="G1329" i="6" s="1"/>
  <c r="K1328" i="6"/>
  <c r="M1328" i="6" s="1"/>
  <c r="F1328" i="6"/>
  <c r="G1328" i="6" s="1"/>
  <c r="K1327" i="6"/>
  <c r="M1327" i="6" s="1"/>
  <c r="G1327" i="6"/>
  <c r="F1327" i="6"/>
  <c r="M1326" i="6"/>
  <c r="G1326" i="6"/>
  <c r="F1326" i="6"/>
  <c r="M1325" i="6"/>
  <c r="F1325" i="6"/>
  <c r="G1325" i="6" s="1"/>
  <c r="M1324" i="6"/>
  <c r="F1324" i="6"/>
  <c r="G1324" i="6" s="1"/>
  <c r="M1323" i="6"/>
  <c r="F1323" i="6"/>
  <c r="G1323" i="6" s="1"/>
  <c r="M1322" i="6"/>
  <c r="N1322" i="6" s="1"/>
  <c r="F1322" i="6"/>
  <c r="G1322" i="6" s="1"/>
  <c r="M1321" i="6"/>
  <c r="G1321" i="6"/>
  <c r="F1321" i="6"/>
  <c r="N1320" i="6"/>
  <c r="M1320" i="6"/>
  <c r="F1320" i="6"/>
  <c r="M1319" i="6"/>
  <c r="N1319" i="6" s="1"/>
  <c r="F1319" i="6"/>
  <c r="M1318" i="6"/>
  <c r="N1318" i="6" s="1"/>
  <c r="F1318" i="6"/>
  <c r="N1317" i="6"/>
  <c r="M1317" i="6"/>
  <c r="F1317" i="6"/>
  <c r="N1316" i="6"/>
  <c r="M1316" i="6"/>
  <c r="G1316" i="6"/>
  <c r="F1316" i="6"/>
  <c r="M1315" i="6"/>
  <c r="F1315" i="6"/>
  <c r="G1315" i="6" s="1"/>
  <c r="N1315" i="6" s="1"/>
  <c r="M1314" i="6"/>
  <c r="G1314" i="6"/>
  <c r="F1314" i="6"/>
  <c r="N1314" i="6" s="1"/>
  <c r="M1313" i="6"/>
  <c r="G1313" i="6"/>
  <c r="F1313" i="6"/>
  <c r="N1313" i="6" s="1"/>
  <c r="M1312" i="6"/>
  <c r="N1312" i="6" s="1"/>
  <c r="F1312" i="6"/>
  <c r="G1312" i="6" s="1"/>
  <c r="M1311" i="6"/>
  <c r="F1311" i="6"/>
  <c r="M1310" i="6"/>
  <c r="F1310" i="6"/>
  <c r="M1309" i="6"/>
  <c r="N1309" i="6" s="1"/>
  <c r="G1309" i="6"/>
  <c r="F1309" i="6"/>
  <c r="M1308" i="6"/>
  <c r="N1308" i="6" s="1"/>
  <c r="G1308" i="6"/>
  <c r="F1308" i="6"/>
  <c r="M1307" i="6"/>
  <c r="N1307" i="6" s="1"/>
  <c r="G1307" i="6"/>
  <c r="F1307" i="6"/>
  <c r="M1306" i="6"/>
  <c r="G1306" i="6"/>
  <c r="F1306" i="6"/>
  <c r="M1305" i="6"/>
  <c r="G1305" i="6"/>
  <c r="F1305" i="6"/>
  <c r="M1304" i="6"/>
  <c r="F1304" i="6"/>
  <c r="N1303" i="6"/>
  <c r="M1303" i="6"/>
  <c r="F1303" i="6"/>
  <c r="N1302" i="6"/>
  <c r="M1302" i="6"/>
  <c r="F1302" i="6"/>
  <c r="M1301" i="6"/>
  <c r="N1301" i="6" s="1"/>
  <c r="F1301" i="6"/>
  <c r="M1300" i="6"/>
  <c r="N1300" i="6" s="1"/>
  <c r="F1300" i="6"/>
  <c r="M1299" i="6"/>
  <c r="N1299" i="6" s="1"/>
  <c r="F1299" i="6"/>
  <c r="M1298" i="6"/>
  <c r="F1298" i="6"/>
  <c r="G1298" i="6" s="1"/>
  <c r="M1297" i="6"/>
  <c r="G1297" i="6"/>
  <c r="F1297" i="6"/>
  <c r="M1296" i="6"/>
  <c r="N1296" i="6" s="1"/>
  <c r="F1296" i="6"/>
  <c r="G1296" i="6" s="1"/>
  <c r="M1295" i="6"/>
  <c r="G1295" i="6"/>
  <c r="N1295" i="6" s="1"/>
  <c r="F1295" i="6"/>
  <c r="M1294" i="6"/>
  <c r="F1294" i="6"/>
  <c r="N1293" i="6"/>
  <c r="M1293" i="6"/>
  <c r="G1293" i="6"/>
  <c r="F1293" i="6"/>
  <c r="M1292" i="6"/>
  <c r="G1292" i="6"/>
  <c r="F1292" i="6"/>
  <c r="M1291" i="6"/>
  <c r="F1291" i="6"/>
  <c r="G1291" i="6" s="1"/>
  <c r="M1290" i="6"/>
  <c r="F1290" i="6"/>
  <c r="M1289" i="6"/>
  <c r="N1289" i="6" s="1"/>
  <c r="F1289" i="6"/>
  <c r="G1289" i="6" s="1"/>
  <c r="M1288" i="6"/>
  <c r="N1288" i="6" s="1"/>
  <c r="F1288" i="6"/>
  <c r="G1288" i="6" s="1"/>
  <c r="M1287" i="6"/>
  <c r="F1287" i="6"/>
  <c r="M1286" i="6"/>
  <c r="G1286" i="6"/>
  <c r="F1286" i="6"/>
  <c r="N1286" i="6" s="1"/>
  <c r="M1285" i="6"/>
  <c r="N1285" i="6" s="1"/>
  <c r="F1285" i="6"/>
  <c r="G1285" i="6" s="1"/>
  <c r="N1284" i="6"/>
  <c r="M1284" i="6"/>
  <c r="F1284" i="6"/>
  <c r="G1284" i="6" s="1"/>
  <c r="M1283" i="6"/>
  <c r="F1283" i="6"/>
  <c r="M1282" i="6"/>
  <c r="N1282" i="6" s="1"/>
  <c r="F1282" i="6"/>
  <c r="G1282" i="6" s="1"/>
  <c r="M1281" i="6"/>
  <c r="G1281" i="6"/>
  <c r="F1281" i="6"/>
  <c r="M1280" i="6"/>
  <c r="N1280" i="6" s="1"/>
  <c r="G1280" i="6"/>
  <c r="F1280" i="6"/>
  <c r="M1279" i="6"/>
  <c r="F1279" i="6"/>
  <c r="M1278" i="6"/>
  <c r="F1278" i="6"/>
  <c r="M1277" i="6"/>
  <c r="G1277" i="6"/>
  <c r="F1277" i="6"/>
  <c r="N1276" i="6"/>
  <c r="M1276" i="6"/>
  <c r="G1276" i="6"/>
  <c r="F1276" i="6"/>
  <c r="M1275" i="6"/>
  <c r="G1275" i="6"/>
  <c r="F1275" i="6"/>
  <c r="M1274" i="6"/>
  <c r="N1274" i="6" s="1"/>
  <c r="G1274" i="6"/>
  <c r="F1274" i="6"/>
  <c r="M1273" i="6"/>
  <c r="G1273" i="6"/>
  <c r="F1273" i="6"/>
  <c r="M1272" i="6"/>
  <c r="E1272" i="6"/>
  <c r="F1272" i="6" s="1"/>
  <c r="N1272" i="6" s="1"/>
  <c r="M1271" i="6"/>
  <c r="E1271" i="6"/>
  <c r="F1271" i="6" s="1"/>
  <c r="M1270" i="6"/>
  <c r="N1270" i="6" s="1"/>
  <c r="G1270" i="6"/>
  <c r="F1270" i="6"/>
  <c r="M1269" i="6"/>
  <c r="F1269" i="6"/>
  <c r="M1268" i="6"/>
  <c r="N1268" i="6" s="1"/>
  <c r="G1268" i="6"/>
  <c r="F1268" i="6"/>
  <c r="M1267" i="6"/>
  <c r="N1267" i="6" s="1"/>
  <c r="F1267" i="6"/>
  <c r="G1267" i="6" s="1"/>
  <c r="M1266" i="6"/>
  <c r="N1266" i="6" s="1"/>
  <c r="G1266" i="6"/>
  <c r="F1266" i="6"/>
  <c r="M1265" i="6"/>
  <c r="F1265" i="6"/>
  <c r="G1265" i="6" s="1"/>
  <c r="N1264" i="6"/>
  <c r="M1264" i="6"/>
  <c r="F1264" i="6"/>
  <c r="G1264" i="6" s="1"/>
  <c r="M1263" i="6"/>
  <c r="F1263" i="6"/>
  <c r="M1262" i="6"/>
  <c r="G1262" i="6"/>
  <c r="F1262" i="6"/>
  <c r="M1261" i="6"/>
  <c r="F1261" i="6"/>
  <c r="G1261" i="6" s="1"/>
  <c r="M1260" i="6"/>
  <c r="N1260" i="6" s="1"/>
  <c r="F1260" i="6"/>
  <c r="G1260" i="6" s="1"/>
  <c r="N1259" i="6"/>
  <c r="M1259" i="6"/>
  <c r="G1259" i="6"/>
  <c r="F1259" i="6"/>
  <c r="M1258" i="6"/>
  <c r="F1258" i="6"/>
  <c r="G1258" i="6" s="1"/>
  <c r="M1257" i="6"/>
  <c r="F1257" i="6"/>
  <c r="M1256" i="6"/>
  <c r="N1256" i="6" s="1"/>
  <c r="F1256" i="6"/>
  <c r="G1256" i="6" s="1"/>
  <c r="M1255" i="6"/>
  <c r="G1255" i="6"/>
  <c r="F1255" i="6"/>
  <c r="M1254" i="6"/>
  <c r="F1254" i="6"/>
  <c r="G1254" i="6" s="1"/>
  <c r="M1253" i="6"/>
  <c r="F1253" i="6"/>
  <c r="G1253" i="6" s="1"/>
  <c r="M1252" i="6"/>
  <c r="F1252" i="6"/>
  <c r="G1252" i="6" s="1"/>
  <c r="M1251" i="6"/>
  <c r="G1251" i="6"/>
  <c r="N1251" i="6" s="1"/>
  <c r="F1251" i="6"/>
  <c r="M1250" i="6"/>
  <c r="N1250" i="6" s="1"/>
  <c r="F1250" i="6"/>
  <c r="G1250" i="6" s="1"/>
  <c r="N1249" i="6"/>
  <c r="M1249" i="6"/>
  <c r="F1249" i="6"/>
  <c r="G1249" i="6" s="1"/>
  <c r="M1248" i="6"/>
  <c r="G1248" i="6"/>
  <c r="F1248" i="6"/>
  <c r="M1247" i="6"/>
  <c r="N1247" i="6" s="1"/>
  <c r="G1247" i="6"/>
  <c r="F1247" i="6"/>
  <c r="N1246" i="6"/>
  <c r="M1246" i="6"/>
  <c r="F1246" i="6"/>
  <c r="G1246" i="6" s="1"/>
  <c r="N1245" i="6"/>
  <c r="M1245" i="6"/>
  <c r="G1245" i="6"/>
  <c r="F1245" i="6"/>
  <c r="M1244" i="6"/>
  <c r="F1244" i="6"/>
  <c r="G1244" i="6" s="1"/>
  <c r="M1243" i="6"/>
  <c r="N1243" i="6" s="1"/>
  <c r="G1243" i="6"/>
  <c r="F1243" i="6"/>
  <c r="N1242" i="6"/>
  <c r="M1242" i="6"/>
  <c r="F1242" i="6"/>
  <c r="G1242" i="6" s="1"/>
  <c r="N1241" i="6"/>
  <c r="M1241" i="6"/>
  <c r="F1241" i="6"/>
  <c r="G1241" i="6" s="1"/>
  <c r="M1240" i="6"/>
  <c r="F1240" i="6"/>
  <c r="M1239" i="6"/>
  <c r="F1239" i="6"/>
  <c r="M1238" i="6"/>
  <c r="G1238" i="6"/>
  <c r="F1238" i="6"/>
  <c r="M1237" i="6"/>
  <c r="F1237" i="6"/>
  <c r="G1237" i="6" s="1"/>
  <c r="M1236" i="6"/>
  <c r="G1236" i="6"/>
  <c r="N1236" i="6" s="1"/>
  <c r="F1236" i="6"/>
  <c r="M1235" i="6"/>
  <c r="G1235" i="6"/>
  <c r="F1235" i="6"/>
  <c r="M1234" i="6"/>
  <c r="F1234" i="6"/>
  <c r="G1234" i="6" s="1"/>
  <c r="M1233" i="6"/>
  <c r="F1233" i="6"/>
  <c r="G1233" i="6" s="1"/>
  <c r="M1232" i="6"/>
  <c r="G1232" i="6"/>
  <c r="N1232" i="6" s="1"/>
  <c r="F1232" i="6"/>
  <c r="N1231" i="6"/>
  <c r="M1231" i="6"/>
  <c r="F1231" i="6"/>
  <c r="G1231" i="6" s="1"/>
  <c r="N1230" i="6"/>
  <c r="M1230" i="6"/>
  <c r="F1230" i="6"/>
  <c r="G1230" i="6" s="1"/>
  <c r="M1229" i="6"/>
  <c r="F1229" i="6"/>
  <c r="G1229" i="6" s="1"/>
  <c r="M1228" i="6"/>
  <c r="N1228" i="6" s="1"/>
  <c r="F1228" i="6"/>
  <c r="G1228" i="6" s="1"/>
  <c r="N1227" i="6"/>
  <c r="M1227" i="6"/>
  <c r="F1227" i="6"/>
  <c r="G1227" i="6" s="1"/>
  <c r="M1226" i="6"/>
  <c r="G1226" i="6"/>
  <c r="F1226" i="6"/>
  <c r="M1225" i="6"/>
  <c r="N1225" i="6" s="1"/>
  <c r="G1225" i="6"/>
  <c r="F1225" i="6"/>
  <c r="M1224" i="6"/>
  <c r="N1224" i="6" s="1"/>
  <c r="G1224" i="6"/>
  <c r="F1224" i="6"/>
  <c r="M1223" i="6"/>
  <c r="F1223" i="6"/>
  <c r="G1223" i="6" s="1"/>
  <c r="N1223" i="6" s="1"/>
  <c r="M1222" i="6"/>
  <c r="F1222" i="6"/>
  <c r="G1222" i="6" s="1"/>
  <c r="M1221" i="6"/>
  <c r="G1221" i="6"/>
  <c r="N1221" i="6" s="1"/>
  <c r="F1221" i="6"/>
  <c r="M1220" i="6"/>
  <c r="F1220" i="6"/>
  <c r="G1220" i="6" s="1"/>
  <c r="M1219" i="6"/>
  <c r="N1219" i="6" s="1"/>
  <c r="G1219" i="6"/>
  <c r="F1219" i="6"/>
  <c r="M1218" i="6"/>
  <c r="F1218" i="6"/>
  <c r="M1217" i="6"/>
  <c r="F1217" i="6"/>
  <c r="M1216" i="6"/>
  <c r="N1216" i="6" s="1"/>
  <c r="F1216" i="6"/>
  <c r="G1216" i="6" s="1"/>
  <c r="M1215" i="6"/>
  <c r="F1215" i="6"/>
  <c r="N1214" i="6"/>
  <c r="M1214" i="6"/>
  <c r="F1214" i="6"/>
  <c r="G1214" i="6" s="1"/>
  <c r="M1213" i="6"/>
  <c r="G1213" i="6"/>
  <c r="F1213" i="6"/>
  <c r="M1212" i="6"/>
  <c r="F1212" i="6"/>
  <c r="M1211" i="6"/>
  <c r="F1211" i="6"/>
  <c r="G1211" i="6" s="1"/>
  <c r="M1210" i="6"/>
  <c r="G1210" i="6"/>
  <c r="N1210" i="6" s="1"/>
  <c r="F1210" i="6"/>
  <c r="M1209" i="6"/>
  <c r="N1209" i="6" s="1"/>
  <c r="F1209" i="6"/>
  <c r="G1209" i="6" s="1"/>
  <c r="N1208" i="6"/>
  <c r="M1208" i="6"/>
  <c r="G1208" i="6"/>
  <c r="F1208" i="6"/>
  <c r="M1207" i="6"/>
  <c r="G1207" i="6"/>
  <c r="F1207" i="6"/>
  <c r="M1206" i="6"/>
  <c r="F1206" i="6"/>
  <c r="G1206" i="6" s="1"/>
  <c r="M1205" i="6"/>
  <c r="G1205" i="6"/>
  <c r="F1205" i="6"/>
  <c r="M1204" i="6"/>
  <c r="F1204" i="6"/>
  <c r="M1203" i="6"/>
  <c r="F1203" i="6"/>
  <c r="G1203" i="6" s="1"/>
  <c r="M1202" i="6"/>
  <c r="N1202" i="6" s="1"/>
  <c r="G1202" i="6"/>
  <c r="F1202" i="6"/>
  <c r="M1201" i="6"/>
  <c r="N1201" i="6" s="1"/>
  <c r="G1201" i="6"/>
  <c r="F1201" i="6"/>
  <c r="M1200" i="6"/>
  <c r="G1200" i="6"/>
  <c r="F1200" i="6"/>
  <c r="M1199" i="6"/>
  <c r="N1199" i="6" s="1"/>
  <c r="G1199" i="6"/>
  <c r="F1199" i="6"/>
  <c r="M1198" i="6"/>
  <c r="G1198" i="6"/>
  <c r="F1198" i="6"/>
  <c r="M1197" i="6"/>
  <c r="G1197" i="6"/>
  <c r="F1197" i="6"/>
  <c r="N1196" i="6"/>
  <c r="M1196" i="6"/>
  <c r="G1196" i="6"/>
  <c r="F1196" i="6"/>
  <c r="M1195" i="6"/>
  <c r="N1195" i="6" s="1"/>
  <c r="F1195" i="6"/>
  <c r="G1195" i="6" s="1"/>
  <c r="M1194" i="6"/>
  <c r="N1194" i="6" s="1"/>
  <c r="G1194" i="6"/>
  <c r="F1194" i="6"/>
  <c r="M1193" i="6"/>
  <c r="N1193" i="6" s="1"/>
  <c r="G1193" i="6"/>
  <c r="F1193" i="6"/>
  <c r="N1192" i="6"/>
  <c r="M1192" i="6"/>
  <c r="F1192" i="6"/>
  <c r="G1192" i="6" s="1"/>
  <c r="N1191" i="6"/>
  <c r="M1191" i="6"/>
  <c r="F1191" i="6"/>
  <c r="G1191" i="6" s="1"/>
  <c r="M1190" i="6"/>
  <c r="F1190" i="6"/>
  <c r="G1190" i="6" s="1"/>
  <c r="M1189" i="6"/>
  <c r="N1189" i="6" s="1"/>
  <c r="F1189" i="6"/>
  <c r="G1189" i="6" s="1"/>
  <c r="M1188" i="6"/>
  <c r="G1188" i="6"/>
  <c r="F1188" i="6"/>
  <c r="N1187" i="6"/>
  <c r="M1187" i="6"/>
  <c r="G1187" i="6"/>
  <c r="F1187" i="6"/>
  <c r="M1186" i="6"/>
  <c r="F1186" i="6"/>
  <c r="G1186" i="6" s="1"/>
  <c r="M1185" i="6"/>
  <c r="F1185" i="6"/>
  <c r="M1184" i="6"/>
  <c r="F1184" i="6"/>
  <c r="G1184" i="6" s="1"/>
  <c r="M1183" i="6"/>
  <c r="G1183" i="6"/>
  <c r="N1183" i="6" s="1"/>
  <c r="F1183" i="6"/>
  <c r="M1182" i="6"/>
  <c r="G1182" i="6"/>
  <c r="F1182" i="6"/>
  <c r="N1182" i="6" s="1"/>
  <c r="N1181" i="6"/>
  <c r="M1181" i="6"/>
  <c r="F1181" i="6"/>
  <c r="G1181" i="6" s="1"/>
  <c r="M1180" i="6"/>
  <c r="F1180" i="6"/>
  <c r="M1179" i="6"/>
  <c r="F1179" i="6"/>
  <c r="G1179" i="6" s="1"/>
  <c r="M1178" i="6"/>
  <c r="F1178" i="6"/>
  <c r="G1178" i="6" s="1"/>
  <c r="M1177" i="6"/>
  <c r="G1177" i="6"/>
  <c r="F1177" i="6"/>
  <c r="N1176" i="6"/>
  <c r="M1176" i="6"/>
  <c r="F1176" i="6"/>
  <c r="G1176" i="6" s="1"/>
  <c r="M1175" i="6"/>
  <c r="N1175" i="6" s="1"/>
  <c r="F1175" i="6"/>
  <c r="G1175" i="6" s="1"/>
  <c r="M1174" i="6"/>
  <c r="F1174" i="6"/>
  <c r="M1173" i="6"/>
  <c r="N1173" i="6" s="1"/>
  <c r="F1173" i="6"/>
  <c r="G1173" i="6" s="1"/>
  <c r="M1172" i="6"/>
  <c r="N1172" i="6" s="1"/>
  <c r="G1172" i="6"/>
  <c r="F1172" i="6"/>
  <c r="N1171" i="6"/>
  <c r="M1171" i="6"/>
  <c r="F1171" i="6"/>
  <c r="G1171" i="6" s="1"/>
  <c r="N1170" i="6"/>
  <c r="M1170" i="6"/>
  <c r="G1170" i="6"/>
  <c r="F1170" i="6"/>
  <c r="M1169" i="6"/>
  <c r="G1169" i="6"/>
  <c r="N1169" i="6" s="1"/>
  <c r="F1169" i="6"/>
  <c r="M1168" i="6"/>
  <c r="F1168" i="6"/>
  <c r="G1168" i="6" s="1"/>
  <c r="M1167" i="6"/>
  <c r="F1167" i="6"/>
  <c r="G1167" i="6" s="1"/>
  <c r="M1166" i="6"/>
  <c r="N1166" i="6" s="1"/>
  <c r="F1166" i="6"/>
  <c r="G1166" i="6" s="1"/>
  <c r="M1165" i="6"/>
  <c r="N1165" i="6" s="1"/>
  <c r="F1165" i="6"/>
  <c r="G1165" i="6" s="1"/>
  <c r="M1164" i="6"/>
  <c r="N1164" i="6" s="1"/>
  <c r="F1164" i="6"/>
  <c r="G1164" i="6" s="1"/>
  <c r="M1163" i="6"/>
  <c r="F1163" i="6"/>
  <c r="G1163" i="6" s="1"/>
  <c r="N1163" i="6" s="1"/>
  <c r="M1162" i="6"/>
  <c r="F1162" i="6"/>
  <c r="M1161" i="6"/>
  <c r="N1161" i="6" s="1"/>
  <c r="F1161" i="6"/>
  <c r="G1161" i="6" s="1"/>
  <c r="M1160" i="6"/>
  <c r="F1160" i="6"/>
  <c r="N1159" i="6"/>
  <c r="M1159" i="6"/>
  <c r="G1159" i="6"/>
  <c r="F1159" i="6"/>
  <c r="N1158" i="6"/>
  <c r="M1158" i="6"/>
  <c r="G1158" i="6"/>
  <c r="F1158" i="6"/>
  <c r="M1157" i="6"/>
  <c r="N1157" i="6" s="1"/>
  <c r="G1157" i="6"/>
  <c r="F1157" i="6"/>
  <c r="M1156" i="6"/>
  <c r="F1156" i="6"/>
  <c r="G1156" i="6" s="1"/>
  <c r="M1155" i="6"/>
  <c r="N1155" i="6" s="1"/>
  <c r="G1155" i="6"/>
  <c r="F1155" i="6"/>
  <c r="M1154" i="6"/>
  <c r="F1154" i="6"/>
  <c r="G1154" i="6" s="1"/>
  <c r="N1153" i="6"/>
  <c r="M1153" i="6"/>
  <c r="G1153" i="6"/>
  <c r="F1153" i="6"/>
  <c r="N1152" i="6"/>
  <c r="M1152" i="6"/>
  <c r="F1152" i="6"/>
  <c r="G1152" i="6" s="1"/>
  <c r="M1151" i="6"/>
  <c r="N1151" i="6" s="1"/>
  <c r="F1151" i="6"/>
  <c r="G1151" i="6" s="1"/>
  <c r="N1150" i="6"/>
  <c r="M1150" i="6"/>
  <c r="G1150" i="6"/>
  <c r="F1150" i="6"/>
  <c r="M1149" i="6"/>
  <c r="N1149" i="6" s="1"/>
  <c r="G1149" i="6"/>
  <c r="F1149" i="6"/>
  <c r="M1148" i="6"/>
  <c r="G1148" i="6"/>
  <c r="F1148" i="6"/>
  <c r="M1147" i="6"/>
  <c r="N1147" i="6" s="1"/>
  <c r="F1147" i="6"/>
  <c r="G1147" i="6" s="1"/>
  <c r="M1146" i="6"/>
  <c r="N1146" i="6" s="1"/>
  <c r="G1146" i="6"/>
  <c r="F1146" i="6"/>
  <c r="M1145" i="6"/>
  <c r="N1145" i="6" s="1"/>
  <c r="F1145" i="6"/>
  <c r="G1145" i="6" s="1"/>
  <c r="N1144" i="6"/>
  <c r="M1144" i="6"/>
  <c r="G1144" i="6"/>
  <c r="F1144" i="6"/>
  <c r="M1143" i="6"/>
  <c r="N1143" i="6" s="1"/>
  <c r="F1143" i="6"/>
  <c r="G1143" i="6" s="1"/>
  <c r="M1142" i="6"/>
  <c r="N1142" i="6" s="1"/>
  <c r="G1142" i="6"/>
  <c r="F1142" i="6"/>
  <c r="M1141" i="6"/>
  <c r="F1141" i="6"/>
  <c r="G1141" i="6" s="1"/>
  <c r="N1140" i="6"/>
  <c r="M1140" i="6"/>
  <c r="F1140" i="6"/>
  <c r="G1140" i="6" s="1"/>
  <c r="M1139" i="6"/>
  <c r="F1139" i="6"/>
  <c r="G1139" i="6" s="1"/>
  <c r="N1138" i="6"/>
  <c r="M1138" i="6"/>
  <c r="G1138" i="6"/>
  <c r="F1138" i="6"/>
  <c r="M1137" i="6"/>
  <c r="G1137" i="6"/>
  <c r="F1137" i="6"/>
  <c r="M1136" i="6"/>
  <c r="N1136" i="6" s="1"/>
  <c r="G1136" i="6"/>
  <c r="F1136" i="6"/>
  <c r="M1135" i="6"/>
  <c r="F1135" i="6"/>
  <c r="M1134" i="6"/>
  <c r="G1134" i="6"/>
  <c r="F1134" i="6"/>
  <c r="M1133" i="6"/>
  <c r="F1133" i="6"/>
  <c r="G1133" i="6" s="1"/>
  <c r="N1132" i="6"/>
  <c r="M1132" i="6"/>
  <c r="G1132" i="6"/>
  <c r="F1132" i="6"/>
  <c r="M1131" i="6"/>
  <c r="G1131" i="6"/>
  <c r="F1131" i="6"/>
  <c r="M1130" i="6"/>
  <c r="N1130" i="6" s="1"/>
  <c r="G1130" i="6"/>
  <c r="F1130" i="6"/>
  <c r="M1129" i="6"/>
  <c r="F1129" i="6"/>
  <c r="N1128" i="6"/>
  <c r="M1128" i="6"/>
  <c r="G1128" i="6"/>
  <c r="F1128" i="6"/>
  <c r="M1127" i="6"/>
  <c r="N1127" i="6" s="1"/>
  <c r="G1127" i="6"/>
  <c r="F1127" i="6"/>
  <c r="M1126" i="6"/>
  <c r="G1126" i="6"/>
  <c r="F1126" i="6"/>
  <c r="M1125" i="6"/>
  <c r="G1125" i="6"/>
  <c r="F1125" i="6"/>
  <c r="N1124" i="6"/>
  <c r="M1124" i="6"/>
  <c r="F1124" i="6"/>
  <c r="G1124" i="6" s="1"/>
  <c r="M1123" i="6"/>
  <c r="G1123" i="6"/>
  <c r="F1123" i="6"/>
  <c r="M1122" i="6"/>
  <c r="N1122" i="6" s="1"/>
  <c r="F1122" i="6"/>
  <c r="G1122" i="6" s="1"/>
  <c r="N1121" i="6"/>
  <c r="M1121" i="6"/>
  <c r="G1121" i="6"/>
  <c r="F1121" i="6"/>
  <c r="N1120" i="6"/>
  <c r="M1120" i="6"/>
  <c r="F1120" i="6"/>
  <c r="G1120" i="6" s="1"/>
  <c r="N1119" i="6"/>
  <c r="M1119" i="6"/>
  <c r="F1119" i="6"/>
  <c r="G1119" i="6" s="1"/>
  <c r="M1118" i="6"/>
  <c r="N1118" i="6" s="1"/>
  <c r="F1118" i="6"/>
  <c r="G1118" i="6" s="1"/>
  <c r="N1117" i="6"/>
  <c r="M1117" i="6"/>
  <c r="G1117" i="6"/>
  <c r="F1117" i="6"/>
  <c r="M1116" i="6"/>
  <c r="N1116" i="6" s="1"/>
  <c r="F1116" i="6"/>
  <c r="G1116" i="6" s="1"/>
  <c r="M1115" i="6"/>
  <c r="N1115" i="6" s="1"/>
  <c r="G1115" i="6"/>
  <c r="F1115" i="6"/>
  <c r="N1114" i="6"/>
  <c r="M1114" i="6"/>
  <c r="G1114" i="6"/>
  <c r="F1114" i="6"/>
  <c r="N1113" i="6"/>
  <c r="M1113" i="6"/>
  <c r="F1113" i="6"/>
  <c r="G1113" i="6" s="1"/>
  <c r="M1112" i="6"/>
  <c r="N1112" i="6" s="1"/>
  <c r="F1112" i="6"/>
  <c r="G1112" i="6" s="1"/>
  <c r="M1111" i="6"/>
  <c r="G1111" i="6"/>
  <c r="N1111" i="6" s="1"/>
  <c r="F1111" i="6"/>
  <c r="M1110" i="6"/>
  <c r="F1110" i="6"/>
  <c r="G1110" i="6" s="1"/>
  <c r="N1110" i="6" s="1"/>
  <c r="M1109" i="6"/>
  <c r="G1109" i="6"/>
  <c r="F1109" i="6"/>
  <c r="M1108" i="6"/>
  <c r="F1108" i="6"/>
  <c r="G1108" i="6" s="1"/>
  <c r="M1107" i="6"/>
  <c r="N1107" i="6" s="1"/>
  <c r="F1107" i="6"/>
  <c r="G1107" i="6" s="1"/>
  <c r="M1106" i="6"/>
  <c r="N1106" i="6" s="1"/>
  <c r="F1106" i="6"/>
  <c r="G1106" i="6" s="1"/>
  <c r="M1105" i="6"/>
  <c r="G1105" i="6"/>
  <c r="F1105" i="6"/>
  <c r="N1105" i="6" s="1"/>
  <c r="N1104" i="6"/>
  <c r="M1104" i="6"/>
  <c r="F1104" i="6"/>
  <c r="G1104" i="6" s="1"/>
  <c r="M1103" i="6"/>
  <c r="N1103" i="6" s="1"/>
  <c r="G1103" i="6"/>
  <c r="F1103" i="6"/>
  <c r="M1102" i="6"/>
  <c r="F1102" i="6"/>
  <c r="G1102" i="6" s="1"/>
  <c r="M1101" i="6"/>
  <c r="G1101" i="6"/>
  <c r="F1101" i="6"/>
  <c r="M1100" i="6"/>
  <c r="G1100" i="6"/>
  <c r="F1100" i="6"/>
  <c r="M1099" i="6"/>
  <c r="G1099" i="6"/>
  <c r="F1099" i="6"/>
  <c r="N1099" i="6" s="1"/>
  <c r="M1098" i="6"/>
  <c r="N1098" i="6" s="1"/>
  <c r="F1098" i="6"/>
  <c r="G1098" i="6" s="1"/>
  <c r="N1097" i="6"/>
  <c r="M1097" i="6"/>
  <c r="F1097" i="6"/>
  <c r="G1097" i="6" s="1"/>
  <c r="M1096" i="6"/>
  <c r="N1096" i="6" s="1"/>
  <c r="F1096" i="6"/>
  <c r="G1096" i="6" s="1"/>
  <c r="M1095" i="6"/>
  <c r="F1095" i="6"/>
  <c r="G1095" i="6" s="1"/>
  <c r="M1094" i="6"/>
  <c r="F1094" i="6"/>
  <c r="M1093" i="6"/>
  <c r="N1093" i="6" s="1"/>
  <c r="G1093" i="6"/>
  <c r="F1093" i="6"/>
  <c r="M1092" i="6"/>
  <c r="F1092" i="6"/>
  <c r="G1092" i="6" s="1"/>
  <c r="N1091" i="6"/>
  <c r="M1091" i="6"/>
  <c r="G1091" i="6"/>
  <c r="F1091" i="6"/>
  <c r="M1090" i="6"/>
  <c r="N1090" i="6" s="1"/>
  <c r="F1090" i="6"/>
  <c r="G1090" i="6" s="1"/>
  <c r="M1089" i="6"/>
  <c r="G1089" i="6"/>
  <c r="F1089" i="6"/>
  <c r="M1088" i="6"/>
  <c r="F1088" i="6"/>
  <c r="G1088" i="6" s="1"/>
  <c r="M1087" i="6"/>
  <c r="N1087" i="6" s="1"/>
  <c r="G1087" i="6"/>
  <c r="F1087" i="6"/>
  <c r="M1086" i="6"/>
  <c r="F1086" i="6"/>
  <c r="M1085" i="6"/>
  <c r="F1085" i="6"/>
  <c r="G1085" i="6" s="1"/>
  <c r="M1084" i="6"/>
  <c r="F1084" i="6"/>
  <c r="G1084" i="6" s="1"/>
  <c r="N1083" i="6"/>
  <c r="M1083" i="6"/>
  <c r="F1083" i="6"/>
  <c r="G1083" i="6" s="1"/>
  <c r="M1082" i="6"/>
  <c r="N1082" i="6" s="1"/>
  <c r="G1082" i="6"/>
  <c r="F1082" i="6"/>
  <c r="N1081" i="6"/>
  <c r="M1081" i="6"/>
  <c r="G1081" i="6"/>
  <c r="F1081" i="6"/>
  <c r="N1080" i="6"/>
  <c r="M1080" i="6"/>
  <c r="G1080" i="6"/>
  <c r="F1080" i="6"/>
  <c r="M1079" i="6"/>
  <c r="F1079" i="6"/>
  <c r="G1079" i="6" s="1"/>
  <c r="M1078" i="6"/>
  <c r="F1078" i="6"/>
  <c r="G1078" i="6" s="1"/>
  <c r="M1077" i="6"/>
  <c r="N1077" i="6" s="1"/>
  <c r="G1077" i="6"/>
  <c r="F1077" i="6"/>
  <c r="M1076" i="6"/>
  <c r="F1076" i="6"/>
  <c r="N1075" i="6"/>
  <c r="M1075" i="6"/>
  <c r="F1075" i="6"/>
  <c r="G1075" i="6" s="1"/>
  <c r="M1074" i="6"/>
  <c r="N1074" i="6" s="1"/>
  <c r="F1074" i="6"/>
  <c r="G1074" i="6" s="1"/>
  <c r="M1073" i="6"/>
  <c r="F1073" i="6"/>
  <c r="G1073" i="6" s="1"/>
  <c r="M1072" i="6"/>
  <c r="G1072" i="6"/>
  <c r="F1072" i="6"/>
  <c r="M1071" i="6"/>
  <c r="F1071" i="6"/>
  <c r="G1071" i="6" s="1"/>
  <c r="M1070" i="6"/>
  <c r="N1070" i="6" s="1"/>
  <c r="G1070" i="6"/>
  <c r="F1070" i="6"/>
  <c r="M1069" i="6"/>
  <c r="G1069" i="6"/>
  <c r="F1069" i="6"/>
  <c r="M1068" i="6"/>
  <c r="F1068" i="6"/>
  <c r="G1068" i="6" s="1"/>
  <c r="M1067" i="6"/>
  <c r="F1067" i="6"/>
  <c r="N1066" i="6"/>
  <c r="M1066" i="6"/>
  <c r="F1066" i="6"/>
  <c r="G1066" i="6" s="1"/>
  <c r="M1065" i="6"/>
  <c r="N1065" i="6" s="1"/>
  <c r="F1065" i="6"/>
  <c r="G1065" i="6" s="1"/>
  <c r="M1064" i="6"/>
  <c r="F1064" i="6"/>
  <c r="G1064" i="6" s="1"/>
  <c r="M1063" i="6"/>
  <c r="F1063" i="6"/>
  <c r="M1062" i="6"/>
  <c r="F1062" i="6"/>
  <c r="N1061" i="6"/>
  <c r="M1061" i="6"/>
  <c r="F1061" i="6"/>
  <c r="G1061" i="6" s="1"/>
  <c r="M1060" i="6"/>
  <c r="G1060" i="6"/>
  <c r="F1060" i="6"/>
  <c r="M1059" i="6"/>
  <c r="G1059" i="6"/>
  <c r="F1059" i="6"/>
  <c r="M1058" i="6"/>
  <c r="N1058" i="6" s="1"/>
  <c r="G1058" i="6"/>
  <c r="F1058" i="6"/>
  <c r="M1057" i="6"/>
  <c r="F1057" i="6"/>
  <c r="G1057" i="6" s="1"/>
  <c r="M1056" i="6"/>
  <c r="F1056" i="6"/>
  <c r="G1056" i="6" s="1"/>
  <c r="M1055" i="6"/>
  <c r="F1055" i="6"/>
  <c r="G1055" i="6" s="1"/>
  <c r="N1055" i="6" s="1"/>
  <c r="M1054" i="6"/>
  <c r="F1054" i="6"/>
  <c r="G1054" i="6" s="1"/>
  <c r="M1053" i="6"/>
  <c r="G1053" i="6"/>
  <c r="F1053" i="6"/>
  <c r="N1053" i="6" s="1"/>
  <c r="M1052" i="6"/>
  <c r="F1052" i="6"/>
  <c r="G1052" i="6" s="1"/>
  <c r="M1051" i="6"/>
  <c r="G1051" i="6"/>
  <c r="N1051" i="6" s="1"/>
  <c r="F1051" i="6"/>
  <c r="M1050" i="6"/>
  <c r="N1050" i="6" s="1"/>
  <c r="G1050" i="6"/>
  <c r="F1050" i="6"/>
  <c r="M1049" i="6"/>
  <c r="F1049" i="6"/>
  <c r="G1049" i="6" s="1"/>
  <c r="N1049" i="6" s="1"/>
  <c r="M1048" i="6"/>
  <c r="F1048" i="6"/>
  <c r="G1048" i="6" s="1"/>
  <c r="M1047" i="6"/>
  <c r="F1047" i="6"/>
  <c r="G1047" i="6" s="1"/>
  <c r="M1046" i="6"/>
  <c r="G1046" i="6"/>
  <c r="F1046" i="6"/>
  <c r="M1045" i="6"/>
  <c r="F1045" i="6"/>
  <c r="G1045" i="6" s="1"/>
  <c r="M1044" i="6"/>
  <c r="F1044" i="6"/>
  <c r="G1044" i="6" s="1"/>
  <c r="M1043" i="6"/>
  <c r="G1043" i="6"/>
  <c r="F1043" i="6"/>
  <c r="M1042" i="6"/>
  <c r="F1042" i="6"/>
  <c r="G1042" i="6" s="1"/>
  <c r="M1041" i="6"/>
  <c r="F1041" i="6"/>
  <c r="G1041" i="6" s="1"/>
  <c r="M1040" i="6"/>
  <c r="G1040" i="6"/>
  <c r="F1040" i="6"/>
  <c r="M1039" i="6"/>
  <c r="F1039" i="6"/>
  <c r="G1039" i="6" s="1"/>
  <c r="M1038" i="6"/>
  <c r="F1038" i="6"/>
  <c r="G1038" i="6" s="1"/>
  <c r="M1037" i="6"/>
  <c r="F1037" i="6"/>
  <c r="G1037" i="6" s="1"/>
  <c r="M1036" i="6"/>
  <c r="G1036" i="6"/>
  <c r="N1036" i="6" s="1"/>
  <c r="F1036" i="6"/>
  <c r="M1035" i="6"/>
  <c r="F1035" i="6"/>
  <c r="G1035" i="6" s="1"/>
  <c r="N1034" i="6"/>
  <c r="M1034" i="6"/>
  <c r="F1034" i="6"/>
  <c r="G1034" i="6" s="1"/>
  <c r="M1033" i="6"/>
  <c r="G1033" i="6"/>
  <c r="F1033" i="6"/>
  <c r="N1033" i="6" s="1"/>
  <c r="M1032" i="6"/>
  <c r="N1032" i="6" s="1"/>
  <c r="G1032" i="6"/>
  <c r="F1032" i="6"/>
  <c r="M1031" i="6"/>
  <c r="G1031" i="6"/>
  <c r="F1031" i="6"/>
  <c r="M1030" i="6"/>
  <c r="N1030" i="6" s="1"/>
  <c r="F1030" i="6"/>
  <c r="G1030" i="6" s="1"/>
  <c r="M1029" i="6"/>
  <c r="F1029" i="6"/>
  <c r="G1029" i="6" s="1"/>
  <c r="M1028" i="6"/>
  <c r="F1028" i="6"/>
  <c r="G1028" i="6" s="1"/>
  <c r="M1027" i="6"/>
  <c r="F1027" i="6"/>
  <c r="G1027" i="6" s="1"/>
  <c r="M1026" i="6"/>
  <c r="G1026" i="6"/>
  <c r="N1026" i="6" s="1"/>
  <c r="F1026" i="6"/>
  <c r="M1025" i="6"/>
  <c r="F1025" i="6"/>
  <c r="N1024" i="6"/>
  <c r="M1024" i="6"/>
  <c r="F1024" i="6"/>
  <c r="G1024" i="6" s="1"/>
  <c r="M1023" i="6"/>
  <c r="N1023" i="6" s="1"/>
  <c r="F1023" i="6"/>
  <c r="G1023" i="6" s="1"/>
  <c r="M1022" i="6"/>
  <c r="F1022" i="6"/>
  <c r="M1021" i="6"/>
  <c r="F1021" i="6"/>
  <c r="G1021" i="6" s="1"/>
  <c r="M1020" i="6"/>
  <c r="F1020" i="6"/>
  <c r="M1019" i="6"/>
  <c r="N1019" i="6" s="1"/>
  <c r="F1019" i="6"/>
  <c r="G1019" i="6" s="1"/>
  <c r="M1018" i="6"/>
  <c r="F1018" i="6"/>
  <c r="G1018" i="6" s="1"/>
  <c r="M1017" i="6"/>
  <c r="N1017" i="6" s="1"/>
  <c r="G1017" i="6"/>
  <c r="F1017" i="6"/>
  <c r="M1016" i="6"/>
  <c r="F1016" i="6"/>
  <c r="G1016" i="6" s="1"/>
  <c r="M1015" i="6"/>
  <c r="N1015" i="6" s="1"/>
  <c r="F1015" i="6"/>
  <c r="G1015" i="6" s="1"/>
  <c r="N1014" i="6"/>
  <c r="M1014" i="6"/>
  <c r="G1014" i="6"/>
  <c r="F1014" i="6"/>
  <c r="M1013" i="6"/>
  <c r="N1013" i="6" s="1"/>
  <c r="G1013" i="6"/>
  <c r="F1013" i="6"/>
  <c r="M1012" i="6"/>
  <c r="N1012" i="6" s="1"/>
  <c r="F1012" i="6"/>
  <c r="G1012" i="6" s="1"/>
  <c r="M1011" i="6"/>
  <c r="N1011" i="6" s="1"/>
  <c r="G1011" i="6"/>
  <c r="F1011" i="6"/>
  <c r="M1010" i="6"/>
  <c r="G1010" i="6"/>
  <c r="F1010" i="6"/>
  <c r="M1009" i="6"/>
  <c r="F1009" i="6"/>
  <c r="M1008" i="6"/>
  <c r="G1008" i="6"/>
  <c r="F1008" i="6"/>
  <c r="N1007" i="6"/>
  <c r="M1007" i="6"/>
  <c r="F1007" i="6"/>
  <c r="G1007" i="6" s="1"/>
  <c r="M1006" i="6"/>
  <c r="N1006" i="6" s="1"/>
  <c r="G1006" i="6"/>
  <c r="F1006" i="6"/>
  <c r="M1005" i="6"/>
  <c r="F1005" i="6"/>
  <c r="G1005" i="6" s="1"/>
  <c r="M1004" i="6"/>
  <c r="N1004" i="6" s="1"/>
  <c r="G1004" i="6"/>
  <c r="F1004" i="6"/>
  <c r="N1003" i="6"/>
  <c r="M1003" i="6"/>
  <c r="F1003" i="6"/>
  <c r="G1003" i="6" s="1"/>
  <c r="M1002" i="6"/>
  <c r="F1002" i="6"/>
  <c r="G1002" i="6" s="1"/>
  <c r="M1001" i="6"/>
  <c r="F1001" i="6"/>
  <c r="G1001" i="6" s="1"/>
  <c r="M1000" i="6"/>
  <c r="F1000" i="6"/>
  <c r="G1000" i="6" s="1"/>
  <c r="M999" i="6"/>
  <c r="F999" i="6"/>
  <c r="M998" i="6"/>
  <c r="N998" i="6" s="1"/>
  <c r="G998" i="6"/>
  <c r="F998" i="6"/>
  <c r="N997" i="6"/>
  <c r="M997" i="6"/>
  <c r="G997" i="6"/>
  <c r="F997" i="6"/>
  <c r="M996" i="6"/>
  <c r="F996" i="6"/>
  <c r="G996" i="6" s="1"/>
  <c r="M995" i="6"/>
  <c r="F995" i="6"/>
  <c r="G995" i="6" s="1"/>
  <c r="M994" i="6"/>
  <c r="G994" i="6"/>
  <c r="N994" i="6" s="1"/>
  <c r="F994" i="6"/>
  <c r="M993" i="6"/>
  <c r="F993" i="6"/>
  <c r="G993" i="6" s="1"/>
  <c r="M992" i="6"/>
  <c r="F992" i="6"/>
  <c r="G992" i="6" s="1"/>
  <c r="M991" i="6"/>
  <c r="F991" i="6"/>
  <c r="G991" i="6" s="1"/>
  <c r="N991" i="6" s="1"/>
  <c r="M990" i="6"/>
  <c r="N990" i="6" s="1"/>
  <c r="F990" i="6"/>
  <c r="G990" i="6" s="1"/>
  <c r="M989" i="6"/>
  <c r="F989" i="6"/>
  <c r="G989" i="6" s="1"/>
  <c r="M988" i="6"/>
  <c r="N988" i="6" s="1"/>
  <c r="G988" i="6"/>
  <c r="F988" i="6"/>
  <c r="M987" i="6"/>
  <c r="F987" i="6"/>
  <c r="M986" i="6"/>
  <c r="G986" i="6"/>
  <c r="N986" i="6" s="1"/>
  <c r="F986" i="6"/>
  <c r="M985" i="6"/>
  <c r="F985" i="6"/>
  <c r="M984" i="6"/>
  <c r="G984" i="6"/>
  <c r="F984" i="6"/>
  <c r="M983" i="6"/>
  <c r="N983" i="6" s="1"/>
  <c r="F983" i="6"/>
  <c r="G983" i="6" s="1"/>
  <c r="M982" i="6"/>
  <c r="N982" i="6" s="1"/>
  <c r="F982" i="6"/>
  <c r="G982" i="6" s="1"/>
  <c r="M981" i="6"/>
  <c r="F981" i="6"/>
  <c r="M980" i="6"/>
  <c r="G980" i="6"/>
  <c r="F980" i="6"/>
  <c r="N979" i="6"/>
  <c r="M979" i="6"/>
  <c r="F979" i="6"/>
  <c r="G979" i="6" s="1"/>
  <c r="M978" i="6"/>
  <c r="N978" i="6" s="1"/>
  <c r="F978" i="6"/>
  <c r="G978" i="6" s="1"/>
  <c r="M977" i="6"/>
  <c r="N977" i="6" s="1"/>
  <c r="F977" i="6"/>
  <c r="G977" i="6" s="1"/>
  <c r="M976" i="6"/>
  <c r="F976" i="6"/>
  <c r="M975" i="6"/>
  <c r="F975" i="6"/>
  <c r="N974" i="6"/>
  <c r="M974" i="6"/>
  <c r="F974" i="6"/>
  <c r="G974" i="6" s="1"/>
  <c r="M973" i="6"/>
  <c r="N973" i="6" s="1"/>
  <c r="F973" i="6"/>
  <c r="G973" i="6" s="1"/>
  <c r="M972" i="6"/>
  <c r="F972" i="6"/>
  <c r="M971" i="6"/>
  <c r="F971" i="6"/>
  <c r="G971" i="6" s="1"/>
  <c r="M970" i="6"/>
  <c r="F970" i="6"/>
  <c r="G970" i="6" s="1"/>
  <c r="M969" i="6"/>
  <c r="F969" i="6"/>
  <c r="G969" i="6" s="1"/>
  <c r="N969" i="6" s="1"/>
  <c r="N968" i="6"/>
  <c r="M968" i="6"/>
  <c r="F968" i="6"/>
  <c r="G968" i="6" s="1"/>
  <c r="M967" i="6"/>
  <c r="F967" i="6"/>
  <c r="G967" i="6" s="1"/>
  <c r="M966" i="6"/>
  <c r="G966" i="6"/>
  <c r="F966" i="6"/>
  <c r="M965" i="6"/>
  <c r="G965" i="6"/>
  <c r="F965" i="6"/>
  <c r="M964" i="6"/>
  <c r="G964" i="6"/>
  <c r="N964" i="6" s="1"/>
  <c r="F964" i="6"/>
  <c r="M963" i="6"/>
  <c r="N963" i="6" s="1"/>
  <c r="G963" i="6"/>
  <c r="F963" i="6"/>
  <c r="M962" i="6"/>
  <c r="G962" i="6"/>
  <c r="F962" i="6"/>
  <c r="N961" i="6"/>
  <c r="M961" i="6"/>
  <c r="G961" i="6"/>
  <c r="F961" i="6"/>
  <c r="M960" i="6"/>
  <c r="F960" i="6"/>
  <c r="G960" i="6" s="1"/>
  <c r="N960" i="6" s="1"/>
  <c r="M959" i="6"/>
  <c r="F959" i="6"/>
  <c r="G959" i="6" s="1"/>
  <c r="N958" i="6"/>
  <c r="M958" i="6"/>
  <c r="G958" i="6"/>
  <c r="F958" i="6"/>
  <c r="M957" i="6"/>
  <c r="N957" i="6" s="1"/>
  <c r="F957" i="6"/>
  <c r="G957" i="6" s="1"/>
  <c r="M956" i="6"/>
  <c r="F956" i="6"/>
  <c r="G956" i="6" s="1"/>
  <c r="M955" i="6"/>
  <c r="N955" i="6" s="1"/>
  <c r="F955" i="6"/>
  <c r="G955" i="6" s="1"/>
  <c r="M954" i="6"/>
  <c r="F954" i="6"/>
  <c r="G954" i="6" s="1"/>
  <c r="M953" i="6"/>
  <c r="F953" i="6"/>
  <c r="M952" i="6"/>
  <c r="F952" i="6"/>
  <c r="G952" i="6" s="1"/>
  <c r="N952" i="6" s="1"/>
  <c r="M951" i="6"/>
  <c r="G951" i="6"/>
  <c r="F951" i="6"/>
  <c r="M950" i="6"/>
  <c r="F950" i="6"/>
  <c r="G950" i="6" s="1"/>
  <c r="N949" i="6"/>
  <c r="M949" i="6"/>
  <c r="F949" i="6"/>
  <c r="G949" i="6" s="1"/>
  <c r="N948" i="6"/>
  <c r="M948" i="6"/>
  <c r="F948" i="6"/>
  <c r="G948" i="6" s="1"/>
  <c r="M947" i="6"/>
  <c r="F947" i="6"/>
  <c r="G947" i="6" s="1"/>
  <c r="N946" i="6"/>
  <c r="M946" i="6"/>
  <c r="F946" i="6"/>
  <c r="G946" i="6" s="1"/>
  <c r="M945" i="6"/>
  <c r="G945" i="6"/>
  <c r="N945" i="6" s="1"/>
  <c r="F945" i="6"/>
  <c r="M944" i="6"/>
  <c r="F944" i="6"/>
  <c r="M943" i="6"/>
  <c r="G943" i="6"/>
  <c r="F943" i="6"/>
  <c r="M942" i="6"/>
  <c r="N942" i="6" s="1"/>
  <c r="G942" i="6"/>
  <c r="F942" i="6"/>
  <c r="M941" i="6"/>
  <c r="G941" i="6"/>
  <c r="F941" i="6"/>
  <c r="M940" i="6"/>
  <c r="G940" i="6"/>
  <c r="F940" i="6"/>
  <c r="M939" i="6"/>
  <c r="N939" i="6" s="1"/>
  <c r="F939" i="6"/>
  <c r="G939" i="6" s="1"/>
  <c r="M938" i="6"/>
  <c r="G938" i="6"/>
  <c r="N938" i="6" s="1"/>
  <c r="F938" i="6"/>
  <c r="M937" i="6"/>
  <c r="N937" i="6" s="1"/>
  <c r="F937" i="6"/>
  <c r="G937" i="6" s="1"/>
  <c r="M936" i="6"/>
  <c r="N936" i="6" s="1"/>
  <c r="F936" i="6"/>
  <c r="G936" i="6" s="1"/>
  <c r="M935" i="6"/>
  <c r="N935" i="6" s="1"/>
  <c r="F935" i="6"/>
  <c r="G935" i="6" s="1"/>
  <c r="M934" i="6"/>
  <c r="F934" i="6"/>
  <c r="G934" i="6" s="1"/>
  <c r="M933" i="6"/>
  <c r="G933" i="6"/>
  <c r="F933" i="6"/>
  <c r="N932" i="6"/>
  <c r="M932" i="6"/>
  <c r="F932" i="6"/>
  <c r="G932" i="6" s="1"/>
  <c r="M931" i="6"/>
  <c r="G931" i="6"/>
  <c r="F931" i="6"/>
  <c r="M930" i="6"/>
  <c r="F930" i="6"/>
  <c r="M929" i="6"/>
  <c r="F929" i="6"/>
  <c r="G929" i="6" s="1"/>
  <c r="M928" i="6"/>
  <c r="N928" i="6" s="1"/>
  <c r="F928" i="6"/>
  <c r="G928" i="6" s="1"/>
  <c r="M927" i="6"/>
  <c r="N927" i="6" s="1"/>
  <c r="F927" i="6"/>
  <c r="G927" i="6" s="1"/>
  <c r="M926" i="6"/>
  <c r="F926" i="6"/>
  <c r="G926" i="6" s="1"/>
  <c r="N926" i="6" s="1"/>
  <c r="N925" i="6"/>
  <c r="M925" i="6"/>
  <c r="F925" i="6"/>
  <c r="G925" i="6" s="1"/>
  <c r="M924" i="6"/>
  <c r="F924" i="6"/>
  <c r="G924" i="6" s="1"/>
  <c r="M923" i="6"/>
  <c r="F923" i="6"/>
  <c r="M922" i="6"/>
  <c r="N922" i="6" s="1"/>
  <c r="F922" i="6"/>
  <c r="G922" i="6" s="1"/>
  <c r="M921" i="6"/>
  <c r="F921" i="6"/>
  <c r="G921" i="6" s="1"/>
  <c r="M920" i="6"/>
  <c r="G920" i="6"/>
  <c r="F920" i="6"/>
  <c r="M919" i="6"/>
  <c r="N919" i="6" s="1"/>
  <c r="G919" i="6"/>
  <c r="F919" i="6"/>
  <c r="M918" i="6"/>
  <c r="F918" i="6"/>
  <c r="G918" i="6" s="1"/>
  <c r="M917" i="6"/>
  <c r="F917" i="6"/>
  <c r="G917" i="6" s="1"/>
  <c r="M916" i="6"/>
  <c r="G916" i="6"/>
  <c r="F916" i="6"/>
  <c r="N916" i="6" s="1"/>
  <c r="M915" i="6"/>
  <c r="N915" i="6" s="1"/>
  <c r="G915" i="6"/>
  <c r="F915" i="6"/>
  <c r="M914" i="6"/>
  <c r="N914" i="6" s="1"/>
  <c r="G914" i="6"/>
  <c r="F914" i="6"/>
  <c r="M913" i="6"/>
  <c r="N913" i="6" s="1"/>
  <c r="F913" i="6"/>
  <c r="G913" i="6" s="1"/>
  <c r="N912" i="6"/>
  <c r="M912" i="6"/>
  <c r="F912" i="6"/>
  <c r="G912" i="6" s="1"/>
  <c r="M911" i="6"/>
  <c r="G911" i="6"/>
  <c r="F911" i="6"/>
  <c r="M910" i="6"/>
  <c r="G910" i="6"/>
  <c r="N910" i="6" s="1"/>
  <c r="F910" i="6"/>
  <c r="M909" i="6"/>
  <c r="N909" i="6" s="1"/>
  <c r="F909" i="6"/>
  <c r="G909" i="6" s="1"/>
  <c r="N908" i="6"/>
  <c r="M908" i="6"/>
  <c r="G908" i="6"/>
  <c r="F908" i="6"/>
  <c r="M907" i="6"/>
  <c r="F907" i="6"/>
  <c r="G907" i="6" s="1"/>
  <c r="M906" i="6"/>
  <c r="G906" i="6"/>
  <c r="F906" i="6"/>
  <c r="M905" i="6"/>
  <c r="F905" i="6"/>
  <c r="G905" i="6" s="1"/>
  <c r="M904" i="6"/>
  <c r="G904" i="6"/>
  <c r="F904" i="6"/>
  <c r="N903" i="6"/>
  <c r="M903" i="6"/>
  <c r="G903" i="6"/>
  <c r="F903" i="6"/>
  <c r="M902" i="6"/>
  <c r="N902" i="6" s="1"/>
  <c r="F902" i="6"/>
  <c r="G902" i="6" s="1"/>
  <c r="M901" i="6"/>
  <c r="G901" i="6"/>
  <c r="N901" i="6" s="1"/>
  <c r="F901" i="6"/>
  <c r="M900" i="6"/>
  <c r="G900" i="6"/>
  <c r="F900" i="6"/>
  <c r="M899" i="6"/>
  <c r="F899" i="6"/>
  <c r="G899" i="6" s="1"/>
  <c r="M898" i="6"/>
  <c r="N898" i="6" s="1"/>
  <c r="G898" i="6"/>
  <c r="F898" i="6"/>
  <c r="M897" i="6"/>
  <c r="F897" i="6"/>
  <c r="G897" i="6" s="1"/>
  <c r="M896" i="6"/>
  <c r="N896" i="6" s="1"/>
  <c r="G896" i="6"/>
  <c r="F896" i="6"/>
  <c r="M895" i="6"/>
  <c r="F895" i="6"/>
  <c r="G895" i="6" s="1"/>
  <c r="M894" i="6"/>
  <c r="N894" i="6" s="1"/>
  <c r="G894" i="6"/>
  <c r="F894" i="6"/>
  <c r="M893" i="6"/>
  <c r="N893" i="6" s="1"/>
  <c r="F893" i="6"/>
  <c r="G893" i="6" s="1"/>
  <c r="M892" i="6"/>
  <c r="N892" i="6" s="1"/>
  <c r="G892" i="6"/>
  <c r="F892" i="6"/>
  <c r="M891" i="6"/>
  <c r="N891" i="6" s="1"/>
  <c r="F891" i="6"/>
  <c r="G891" i="6" s="1"/>
  <c r="N890" i="6"/>
  <c r="M890" i="6"/>
  <c r="G890" i="6"/>
  <c r="F890" i="6"/>
  <c r="N889" i="6"/>
  <c r="M889" i="6"/>
  <c r="G889" i="6"/>
  <c r="F889" i="6"/>
  <c r="M888" i="6"/>
  <c r="F888" i="6"/>
  <c r="G888" i="6" s="1"/>
  <c r="M887" i="6"/>
  <c r="F887" i="6"/>
  <c r="G887" i="6" s="1"/>
  <c r="N887" i="6" s="1"/>
  <c r="M886" i="6"/>
  <c r="F886" i="6"/>
  <c r="G886" i="6" s="1"/>
  <c r="M885" i="6"/>
  <c r="F885" i="6"/>
  <c r="G885" i="6" s="1"/>
  <c r="M884" i="6"/>
  <c r="N884" i="6" s="1"/>
  <c r="F884" i="6"/>
  <c r="G884" i="6" s="1"/>
  <c r="M883" i="6"/>
  <c r="N883" i="6" s="1"/>
  <c r="G883" i="6"/>
  <c r="F883" i="6"/>
  <c r="M882" i="6"/>
  <c r="F882" i="6"/>
  <c r="G882" i="6" s="1"/>
  <c r="M881" i="6"/>
  <c r="N881" i="6" s="1"/>
  <c r="G881" i="6"/>
  <c r="F881" i="6"/>
  <c r="M880" i="6"/>
  <c r="F880" i="6"/>
  <c r="G880" i="6" s="1"/>
  <c r="N879" i="6"/>
  <c r="M879" i="6"/>
  <c r="G879" i="6"/>
  <c r="F879" i="6"/>
  <c r="M878" i="6"/>
  <c r="F878" i="6"/>
  <c r="M877" i="6"/>
  <c r="N877" i="6" s="1"/>
  <c r="G877" i="6"/>
  <c r="F877" i="6"/>
  <c r="M876" i="6"/>
  <c r="G876" i="6"/>
  <c r="F876" i="6"/>
  <c r="M875" i="6"/>
  <c r="G875" i="6"/>
  <c r="N875" i="6" s="1"/>
  <c r="F875" i="6"/>
  <c r="M874" i="6"/>
  <c r="F874" i="6"/>
  <c r="G874" i="6" s="1"/>
  <c r="M873" i="6"/>
  <c r="G873" i="6"/>
  <c r="F873" i="6"/>
  <c r="M872" i="6"/>
  <c r="G872" i="6"/>
  <c r="F872" i="6"/>
  <c r="M871" i="6"/>
  <c r="N871" i="6" s="1"/>
  <c r="G871" i="6"/>
  <c r="F871" i="6"/>
  <c r="M870" i="6"/>
  <c r="F870" i="6"/>
  <c r="G870" i="6" s="1"/>
  <c r="N869" i="6"/>
  <c r="M869" i="6"/>
  <c r="F869" i="6"/>
  <c r="G869" i="6" s="1"/>
  <c r="M868" i="6"/>
  <c r="F868" i="6"/>
  <c r="G868" i="6" s="1"/>
  <c r="M867" i="6"/>
  <c r="N867" i="6" s="1"/>
  <c r="G867" i="6"/>
  <c r="F867" i="6"/>
  <c r="M866" i="6"/>
  <c r="N866" i="6" s="1"/>
  <c r="G866" i="6"/>
  <c r="F866" i="6"/>
  <c r="N865" i="6"/>
  <c r="M865" i="6"/>
  <c r="G865" i="6"/>
  <c r="F865" i="6"/>
  <c r="M864" i="6"/>
  <c r="F864" i="6"/>
  <c r="G864" i="6" s="1"/>
  <c r="M863" i="6"/>
  <c r="G863" i="6"/>
  <c r="F863" i="6"/>
  <c r="M862" i="6"/>
  <c r="N862" i="6" s="1"/>
  <c r="F862" i="6"/>
  <c r="G862" i="6" s="1"/>
  <c r="M861" i="6"/>
  <c r="F861" i="6"/>
  <c r="G861" i="6" s="1"/>
  <c r="N860" i="6"/>
  <c r="M860" i="6"/>
  <c r="F860" i="6"/>
  <c r="G860" i="6" s="1"/>
  <c r="N859" i="6"/>
  <c r="M859" i="6"/>
  <c r="G859" i="6"/>
  <c r="F859" i="6"/>
  <c r="M858" i="6"/>
  <c r="N858" i="6" s="1"/>
  <c r="F858" i="6"/>
  <c r="G858" i="6" s="1"/>
  <c r="M857" i="6"/>
  <c r="F857" i="6"/>
  <c r="G857" i="6" s="1"/>
  <c r="M856" i="6"/>
  <c r="F856" i="6"/>
  <c r="G856" i="6" s="1"/>
  <c r="N856" i="6" s="1"/>
  <c r="M855" i="6"/>
  <c r="G855" i="6"/>
  <c r="F855" i="6"/>
  <c r="M854" i="6"/>
  <c r="G854" i="6"/>
  <c r="F854" i="6"/>
  <c r="M853" i="6"/>
  <c r="N853" i="6" s="1"/>
  <c r="G853" i="6"/>
  <c r="F853" i="6"/>
  <c r="M852" i="6"/>
  <c r="F852" i="6"/>
  <c r="G852" i="6" s="1"/>
  <c r="M851" i="6"/>
  <c r="F851" i="6"/>
  <c r="G851" i="6" s="1"/>
  <c r="N851" i="6" s="1"/>
  <c r="M850" i="6"/>
  <c r="F850" i="6"/>
  <c r="G850" i="6" s="1"/>
  <c r="M849" i="6"/>
  <c r="F849" i="6"/>
  <c r="G849" i="6" s="1"/>
  <c r="M848" i="6"/>
  <c r="F848" i="6"/>
  <c r="N847" i="6"/>
  <c r="M847" i="6"/>
  <c r="F847" i="6"/>
  <c r="G847" i="6" s="1"/>
  <c r="M846" i="6"/>
  <c r="G846" i="6"/>
  <c r="F846" i="6"/>
  <c r="M845" i="6"/>
  <c r="N845" i="6" s="1"/>
  <c r="F845" i="6"/>
  <c r="G845" i="6" s="1"/>
  <c r="M844" i="6"/>
  <c r="N844" i="6" s="1"/>
  <c r="G844" i="6"/>
  <c r="F844" i="6"/>
  <c r="M843" i="6"/>
  <c r="F843" i="6"/>
  <c r="G843" i="6" s="1"/>
  <c r="M842" i="6"/>
  <c r="G842" i="6"/>
  <c r="N842" i="6" s="1"/>
  <c r="F842" i="6"/>
  <c r="M841" i="6"/>
  <c r="N841" i="6" s="1"/>
  <c r="G841" i="6"/>
  <c r="F841" i="6"/>
  <c r="M840" i="6"/>
  <c r="N840" i="6" s="1"/>
  <c r="G840" i="6"/>
  <c r="F840" i="6"/>
  <c r="M839" i="6"/>
  <c r="G839" i="6"/>
  <c r="F839" i="6"/>
  <c r="N838" i="6"/>
  <c r="M838" i="6"/>
  <c r="F838" i="6"/>
  <c r="G838" i="6" s="1"/>
  <c r="M837" i="6"/>
  <c r="N837" i="6" s="1"/>
  <c r="F837" i="6"/>
  <c r="G837" i="6" s="1"/>
  <c r="M836" i="6"/>
  <c r="N836" i="6" s="1"/>
  <c r="F836" i="6"/>
  <c r="G836" i="6" s="1"/>
  <c r="M835" i="6"/>
  <c r="N835" i="6" s="1"/>
  <c r="G835" i="6"/>
  <c r="F835" i="6"/>
  <c r="M834" i="6"/>
  <c r="N834" i="6" s="1"/>
  <c r="F834" i="6"/>
  <c r="G834" i="6" s="1"/>
  <c r="M833" i="6"/>
  <c r="F833" i="6"/>
  <c r="G833" i="6" s="1"/>
  <c r="N832" i="6"/>
  <c r="M832" i="6"/>
  <c r="F832" i="6"/>
  <c r="G832" i="6" s="1"/>
  <c r="N831" i="6"/>
  <c r="M831" i="6"/>
  <c r="F831" i="6"/>
  <c r="G831" i="6" s="1"/>
  <c r="M830" i="6"/>
  <c r="F830" i="6"/>
  <c r="G830" i="6" s="1"/>
  <c r="M829" i="6"/>
  <c r="G829" i="6"/>
  <c r="N829" i="6" s="1"/>
  <c r="F829" i="6"/>
  <c r="M828" i="6"/>
  <c r="G828" i="6"/>
  <c r="F828" i="6"/>
  <c r="M827" i="6"/>
  <c r="N827" i="6" s="1"/>
  <c r="F827" i="6"/>
  <c r="G827" i="6" s="1"/>
  <c r="M826" i="6"/>
  <c r="F826" i="6"/>
  <c r="G826" i="6" s="1"/>
  <c r="N825" i="6"/>
  <c r="M825" i="6"/>
  <c r="F825" i="6"/>
  <c r="G825" i="6" s="1"/>
  <c r="M824" i="6"/>
  <c r="F824" i="6"/>
  <c r="G824" i="6" s="1"/>
  <c r="M823" i="6"/>
  <c r="F823" i="6"/>
  <c r="G823" i="6" s="1"/>
  <c r="M822" i="6"/>
  <c r="F822" i="6"/>
  <c r="G822" i="6" s="1"/>
  <c r="M821" i="6"/>
  <c r="G821" i="6"/>
  <c r="N821" i="6" s="1"/>
  <c r="F821" i="6"/>
  <c r="M820" i="6"/>
  <c r="N820" i="6" s="1"/>
  <c r="F820" i="6"/>
  <c r="G820" i="6" s="1"/>
  <c r="M819" i="6"/>
  <c r="F819" i="6"/>
  <c r="G819" i="6" s="1"/>
  <c r="N818" i="6"/>
  <c r="M818" i="6"/>
  <c r="F818" i="6"/>
  <c r="G818" i="6" s="1"/>
  <c r="M817" i="6"/>
  <c r="G817" i="6"/>
  <c r="F817" i="6"/>
  <c r="M816" i="6"/>
  <c r="G816" i="6"/>
  <c r="F816" i="6"/>
  <c r="M815" i="6"/>
  <c r="F815" i="6"/>
  <c r="M814" i="6"/>
  <c r="N814" i="6" s="1"/>
  <c r="F814" i="6"/>
  <c r="G814" i="6" s="1"/>
  <c r="M813" i="6"/>
  <c r="N813" i="6" s="1"/>
  <c r="G813" i="6"/>
  <c r="F813" i="6"/>
  <c r="N812" i="6"/>
  <c r="M812" i="6"/>
  <c r="G812" i="6"/>
  <c r="F812" i="6"/>
  <c r="M811" i="6"/>
  <c r="N811" i="6" s="1"/>
  <c r="F811" i="6"/>
  <c r="G811" i="6" s="1"/>
  <c r="M810" i="6"/>
  <c r="G810" i="6"/>
  <c r="F810" i="6"/>
  <c r="N810" i="6" s="1"/>
  <c r="M809" i="6"/>
  <c r="F809" i="6"/>
  <c r="G809" i="6" s="1"/>
  <c r="M808" i="6"/>
  <c r="G808" i="6"/>
  <c r="F808" i="6"/>
  <c r="M807" i="6"/>
  <c r="N807" i="6" s="1"/>
  <c r="F807" i="6"/>
  <c r="G807" i="6" s="1"/>
  <c r="N806" i="6"/>
  <c r="M806" i="6"/>
  <c r="G806" i="6"/>
  <c r="F806" i="6"/>
  <c r="M805" i="6"/>
  <c r="F805" i="6"/>
  <c r="M804" i="6"/>
  <c r="F804" i="6"/>
  <c r="G804" i="6" s="1"/>
  <c r="M803" i="6"/>
  <c r="N803" i="6" s="1"/>
  <c r="F803" i="6"/>
  <c r="G803" i="6" s="1"/>
  <c r="M802" i="6"/>
  <c r="F802" i="6"/>
  <c r="G802" i="6" s="1"/>
  <c r="M801" i="6"/>
  <c r="G801" i="6"/>
  <c r="F801" i="6"/>
  <c r="M800" i="6"/>
  <c r="F800" i="6"/>
  <c r="G800" i="6" s="1"/>
  <c r="M799" i="6"/>
  <c r="G799" i="6"/>
  <c r="F799" i="6"/>
  <c r="M798" i="6"/>
  <c r="G798" i="6"/>
  <c r="N798" i="6" s="1"/>
  <c r="F798" i="6"/>
  <c r="M797" i="6"/>
  <c r="N797" i="6" s="1"/>
  <c r="G797" i="6"/>
  <c r="F797" i="6"/>
  <c r="M796" i="6"/>
  <c r="F796" i="6"/>
  <c r="G796" i="6" s="1"/>
  <c r="M795" i="6"/>
  <c r="F795" i="6"/>
  <c r="G795" i="6" s="1"/>
  <c r="M794" i="6"/>
  <c r="G794" i="6"/>
  <c r="N794" i="6" s="1"/>
  <c r="F794" i="6"/>
  <c r="N793" i="6"/>
  <c r="M793" i="6"/>
  <c r="G793" i="6"/>
  <c r="F793" i="6"/>
  <c r="M792" i="6"/>
  <c r="N792" i="6" s="1"/>
  <c r="F792" i="6"/>
  <c r="G792" i="6" s="1"/>
  <c r="M791" i="6"/>
  <c r="N791" i="6" s="1"/>
  <c r="G791" i="6"/>
  <c r="F791" i="6"/>
  <c r="M790" i="6"/>
  <c r="G790" i="6"/>
  <c r="F790" i="6"/>
  <c r="M789" i="6"/>
  <c r="F789" i="6"/>
  <c r="G789" i="6" s="1"/>
  <c r="M788" i="6"/>
  <c r="N788" i="6" s="1"/>
  <c r="F788" i="6"/>
  <c r="G788" i="6" s="1"/>
  <c r="M787" i="6"/>
  <c r="F787" i="6"/>
  <c r="G787" i="6" s="1"/>
  <c r="M786" i="6"/>
  <c r="F786" i="6"/>
  <c r="G786" i="6" s="1"/>
  <c r="M785" i="6"/>
  <c r="N785" i="6" s="1"/>
  <c r="F785" i="6"/>
  <c r="G785" i="6" s="1"/>
  <c r="M784" i="6"/>
  <c r="F784" i="6"/>
  <c r="M783" i="6"/>
  <c r="G783" i="6"/>
  <c r="N783" i="6" s="1"/>
  <c r="F783" i="6"/>
  <c r="M782" i="6"/>
  <c r="F782" i="6"/>
  <c r="M781" i="6"/>
  <c r="N781" i="6" s="1"/>
  <c r="F781" i="6"/>
  <c r="G781" i="6" s="1"/>
  <c r="N780" i="6"/>
  <c r="M780" i="6"/>
  <c r="G780" i="6"/>
  <c r="F780" i="6"/>
  <c r="M779" i="6"/>
  <c r="N779" i="6" s="1"/>
  <c r="G779" i="6"/>
  <c r="F779" i="6"/>
  <c r="M778" i="6"/>
  <c r="F778" i="6"/>
  <c r="G778" i="6" s="1"/>
  <c r="M777" i="6"/>
  <c r="N777" i="6" s="1"/>
  <c r="F777" i="6"/>
  <c r="G777" i="6" s="1"/>
  <c r="M776" i="6"/>
  <c r="G776" i="6"/>
  <c r="F776" i="6"/>
  <c r="M775" i="6"/>
  <c r="G775" i="6"/>
  <c r="F775" i="6"/>
  <c r="M774" i="6"/>
  <c r="N774" i="6" s="1"/>
  <c r="F774" i="6"/>
  <c r="G774" i="6" s="1"/>
  <c r="M773" i="6"/>
  <c r="F773" i="6"/>
  <c r="G773" i="6" s="1"/>
  <c r="M772" i="6"/>
  <c r="F772" i="6"/>
  <c r="M771" i="6"/>
  <c r="N771" i="6" s="1"/>
  <c r="G771" i="6"/>
  <c r="F771" i="6"/>
  <c r="M770" i="6"/>
  <c r="N770" i="6" s="1"/>
  <c r="F770" i="6"/>
  <c r="G770" i="6" s="1"/>
  <c r="M769" i="6"/>
  <c r="G769" i="6"/>
  <c r="F769" i="6"/>
  <c r="N768" i="6"/>
  <c r="M768" i="6"/>
  <c r="F768" i="6"/>
  <c r="G768" i="6" s="1"/>
  <c r="M767" i="6"/>
  <c r="F767" i="6"/>
  <c r="G767" i="6" s="1"/>
  <c r="M766" i="6"/>
  <c r="F766" i="6"/>
  <c r="M765" i="6"/>
  <c r="F765" i="6"/>
  <c r="G765" i="6" s="1"/>
  <c r="M764" i="6"/>
  <c r="N764" i="6" s="1"/>
  <c r="G764" i="6"/>
  <c r="F764" i="6"/>
  <c r="M763" i="6"/>
  <c r="F763" i="6"/>
  <c r="G763" i="6" s="1"/>
  <c r="M762" i="6"/>
  <c r="G762" i="6"/>
  <c r="F762" i="6"/>
  <c r="M761" i="6"/>
  <c r="F761" i="6"/>
  <c r="G761" i="6" s="1"/>
  <c r="M760" i="6"/>
  <c r="F760" i="6"/>
  <c r="G760" i="6" s="1"/>
  <c r="M759" i="6"/>
  <c r="F759" i="6"/>
  <c r="M758" i="6"/>
  <c r="N758" i="6" s="1"/>
  <c r="G758" i="6"/>
  <c r="F758" i="6"/>
  <c r="M757" i="6"/>
  <c r="F757" i="6"/>
  <c r="N756" i="6"/>
  <c r="M756" i="6"/>
  <c r="F756" i="6"/>
  <c r="G756" i="6" s="1"/>
  <c r="M755" i="6"/>
  <c r="N755" i="6" s="1"/>
  <c r="G755" i="6"/>
  <c r="F755" i="6"/>
  <c r="M754" i="6"/>
  <c r="F754" i="6"/>
  <c r="M753" i="6"/>
  <c r="F753" i="6"/>
  <c r="G753" i="6" s="1"/>
  <c r="M752" i="6"/>
  <c r="F752" i="6"/>
  <c r="G752" i="6" s="1"/>
  <c r="M751" i="6"/>
  <c r="F751" i="6"/>
  <c r="G751" i="6" s="1"/>
  <c r="M750" i="6"/>
  <c r="N750" i="6" s="1"/>
  <c r="G750" i="6"/>
  <c r="F750" i="6"/>
  <c r="M749" i="6"/>
  <c r="G749" i="6"/>
  <c r="F749" i="6"/>
  <c r="M748" i="6"/>
  <c r="F748" i="6"/>
  <c r="M747" i="6"/>
  <c r="F747" i="6"/>
  <c r="G747" i="6" s="1"/>
  <c r="M746" i="6"/>
  <c r="N746" i="6" s="1"/>
  <c r="G746" i="6"/>
  <c r="F746" i="6"/>
  <c r="M745" i="6"/>
  <c r="G745" i="6"/>
  <c r="F745" i="6"/>
  <c r="N745" i="6" s="1"/>
  <c r="M744" i="6"/>
  <c r="N744" i="6" s="1"/>
  <c r="F744" i="6"/>
  <c r="G744" i="6" s="1"/>
  <c r="M743" i="6"/>
  <c r="N743" i="6" s="1"/>
  <c r="F743" i="6"/>
  <c r="G743" i="6" s="1"/>
  <c r="M742" i="6"/>
  <c r="N742" i="6" s="1"/>
  <c r="G742" i="6"/>
  <c r="F742" i="6"/>
  <c r="M741" i="6"/>
  <c r="F741" i="6"/>
  <c r="G741" i="6" s="1"/>
  <c r="M740" i="6"/>
  <c r="N740" i="6" s="1"/>
  <c r="F740" i="6"/>
  <c r="G740" i="6" s="1"/>
  <c r="M739" i="6"/>
  <c r="N739" i="6" s="1"/>
  <c r="F739" i="6"/>
  <c r="G739" i="6" s="1"/>
  <c r="M738" i="6"/>
  <c r="F738" i="6"/>
  <c r="M737" i="6"/>
  <c r="N737" i="6" s="1"/>
  <c r="F737" i="6"/>
  <c r="G737" i="6" s="1"/>
  <c r="N736" i="6"/>
  <c r="M736" i="6"/>
  <c r="F736" i="6"/>
  <c r="G736" i="6" s="1"/>
  <c r="M735" i="6"/>
  <c r="F735" i="6"/>
  <c r="G735" i="6" s="1"/>
  <c r="M734" i="6"/>
  <c r="F734" i="6"/>
  <c r="G734" i="6" s="1"/>
  <c r="M733" i="6"/>
  <c r="N733" i="6" s="1"/>
  <c r="G733" i="6"/>
  <c r="F733" i="6"/>
  <c r="M732" i="6"/>
  <c r="F732" i="6"/>
  <c r="M731" i="6"/>
  <c r="G731" i="6"/>
  <c r="F731" i="6"/>
  <c r="M730" i="6"/>
  <c r="F730" i="6"/>
  <c r="M729" i="6"/>
  <c r="F729" i="6"/>
  <c r="G729" i="6" s="1"/>
  <c r="M728" i="6"/>
  <c r="F728" i="6"/>
  <c r="G728" i="6" s="1"/>
  <c r="M727" i="6"/>
  <c r="F727" i="6"/>
  <c r="M726" i="6"/>
  <c r="N726" i="6" s="1"/>
  <c r="F726" i="6"/>
  <c r="G726" i="6" s="1"/>
  <c r="M725" i="6"/>
  <c r="F725" i="6"/>
  <c r="M724" i="6"/>
  <c r="N724" i="6" s="1"/>
  <c r="G724" i="6"/>
  <c r="F724" i="6"/>
  <c r="N723" i="6"/>
  <c r="M723" i="6"/>
  <c r="G723" i="6"/>
  <c r="F723" i="6"/>
  <c r="M722" i="6"/>
  <c r="F722" i="6"/>
  <c r="G722" i="6" s="1"/>
  <c r="M721" i="6"/>
  <c r="F721" i="6"/>
  <c r="G721" i="6" s="1"/>
  <c r="M720" i="6"/>
  <c r="F720" i="6"/>
  <c r="G720" i="6" s="1"/>
  <c r="M719" i="6"/>
  <c r="N719" i="6" s="1"/>
  <c r="G719" i="6"/>
  <c r="F719" i="6"/>
  <c r="M718" i="6"/>
  <c r="F718" i="6"/>
  <c r="N717" i="6"/>
  <c r="M717" i="6"/>
  <c r="F717" i="6"/>
  <c r="G717" i="6" s="1"/>
  <c r="M716" i="6"/>
  <c r="N716" i="6" s="1"/>
  <c r="F716" i="6"/>
  <c r="G716" i="6" s="1"/>
  <c r="N715" i="6"/>
  <c r="M715" i="6"/>
  <c r="F715" i="6"/>
  <c r="G715" i="6" s="1"/>
  <c r="M714" i="6"/>
  <c r="N714" i="6" s="1"/>
  <c r="F714" i="6"/>
  <c r="G714" i="6" s="1"/>
  <c r="M713" i="6"/>
  <c r="N713" i="6" s="1"/>
  <c r="F713" i="6"/>
  <c r="G713" i="6" s="1"/>
  <c r="M712" i="6"/>
  <c r="N712" i="6" s="1"/>
  <c r="G712" i="6"/>
  <c r="F712" i="6"/>
  <c r="N711" i="6"/>
  <c r="M711" i="6"/>
  <c r="F711" i="6"/>
  <c r="G711" i="6" s="1"/>
  <c r="M710" i="6"/>
  <c r="F710" i="6"/>
  <c r="G710" i="6" s="1"/>
  <c r="M709" i="6"/>
  <c r="F709" i="6"/>
  <c r="G709" i="6" s="1"/>
  <c r="M708" i="6"/>
  <c r="G708" i="6"/>
  <c r="F708" i="6"/>
  <c r="M707" i="6"/>
  <c r="G707" i="6"/>
  <c r="F707" i="6"/>
  <c r="M706" i="6"/>
  <c r="F706" i="6"/>
  <c r="G706" i="6" s="1"/>
  <c r="M705" i="6"/>
  <c r="G705" i="6"/>
  <c r="F705" i="6"/>
  <c r="M704" i="6"/>
  <c r="N704" i="6" s="1"/>
  <c r="F704" i="6"/>
  <c r="G704" i="6" s="1"/>
  <c r="M703" i="6"/>
  <c r="G703" i="6"/>
  <c r="F703" i="6"/>
  <c r="M702" i="6"/>
  <c r="G702" i="6"/>
  <c r="N702" i="6" s="1"/>
  <c r="F702" i="6"/>
  <c r="M701" i="6"/>
  <c r="G701" i="6"/>
  <c r="F701" i="6"/>
  <c r="N700" i="6"/>
  <c r="M700" i="6"/>
  <c r="G700" i="6"/>
  <c r="F700" i="6"/>
  <c r="M699" i="6"/>
  <c r="N699" i="6" s="1"/>
  <c r="G699" i="6"/>
  <c r="F699" i="6"/>
  <c r="M698" i="6"/>
  <c r="F698" i="6"/>
  <c r="G698" i="6" s="1"/>
  <c r="M697" i="6"/>
  <c r="G697" i="6"/>
  <c r="F697" i="6"/>
  <c r="M696" i="6"/>
  <c r="G696" i="6"/>
  <c r="F696" i="6"/>
  <c r="M695" i="6"/>
  <c r="G695" i="6"/>
  <c r="N695" i="6" s="1"/>
  <c r="F695" i="6"/>
  <c r="N694" i="6"/>
  <c r="M694" i="6"/>
  <c r="F694" i="6"/>
  <c r="G694" i="6" s="1"/>
  <c r="N693" i="6"/>
  <c r="M693" i="6"/>
  <c r="F693" i="6"/>
  <c r="G693" i="6" s="1"/>
  <c r="M692" i="6"/>
  <c r="F692" i="6"/>
  <c r="G692" i="6" s="1"/>
  <c r="M691" i="6"/>
  <c r="F691" i="6"/>
  <c r="G691" i="6" s="1"/>
  <c r="M690" i="6"/>
  <c r="N690" i="6" s="1"/>
  <c r="F690" i="6"/>
  <c r="G690" i="6" s="1"/>
  <c r="M689" i="6"/>
  <c r="N689" i="6" s="1"/>
  <c r="F689" i="6"/>
  <c r="G689" i="6" s="1"/>
  <c r="N688" i="6"/>
  <c r="M688" i="6"/>
  <c r="G688" i="6"/>
  <c r="F688" i="6"/>
  <c r="M687" i="6"/>
  <c r="N687" i="6" s="1"/>
  <c r="F687" i="6"/>
  <c r="G687" i="6" s="1"/>
  <c r="M686" i="6"/>
  <c r="N686" i="6" s="1"/>
  <c r="F686" i="6"/>
  <c r="G686" i="6" s="1"/>
  <c r="M685" i="6"/>
  <c r="G685" i="6"/>
  <c r="N685" i="6" s="1"/>
  <c r="F685" i="6"/>
  <c r="M684" i="6"/>
  <c r="G684" i="6"/>
  <c r="F684" i="6"/>
  <c r="M683" i="6"/>
  <c r="F683" i="6"/>
  <c r="G683" i="6" s="1"/>
  <c r="M682" i="6"/>
  <c r="N682" i="6" s="1"/>
  <c r="F682" i="6"/>
  <c r="G682" i="6" s="1"/>
  <c r="M681" i="6"/>
  <c r="F681" i="6"/>
  <c r="G681" i="6" s="1"/>
  <c r="N680" i="6"/>
  <c r="M680" i="6"/>
  <c r="F680" i="6"/>
  <c r="G680" i="6" s="1"/>
  <c r="M679" i="6"/>
  <c r="F679" i="6"/>
  <c r="G679" i="6" s="1"/>
  <c r="M678" i="6"/>
  <c r="N678" i="6" s="1"/>
  <c r="G678" i="6"/>
  <c r="F678" i="6"/>
  <c r="M677" i="6"/>
  <c r="N677" i="6" s="1"/>
  <c r="G677" i="6"/>
  <c r="F677" i="6"/>
  <c r="M676" i="6"/>
  <c r="G676" i="6"/>
  <c r="F676" i="6"/>
  <c r="M675" i="6"/>
  <c r="F675" i="6"/>
  <c r="G675" i="6" s="1"/>
  <c r="M674" i="6"/>
  <c r="F674" i="6"/>
  <c r="G674" i="6" s="1"/>
  <c r="N674" i="6" s="1"/>
  <c r="M673" i="6"/>
  <c r="G673" i="6"/>
  <c r="F673" i="6"/>
  <c r="M672" i="6"/>
  <c r="F672" i="6"/>
  <c r="N671" i="6"/>
  <c r="M671" i="6"/>
  <c r="F671" i="6"/>
  <c r="G671" i="6" s="1"/>
  <c r="N670" i="6"/>
  <c r="M670" i="6"/>
  <c r="G670" i="6"/>
  <c r="F670" i="6"/>
  <c r="M669" i="6"/>
  <c r="F669" i="6"/>
  <c r="G669" i="6" s="1"/>
  <c r="M668" i="6"/>
  <c r="F668" i="6"/>
  <c r="G668" i="6" s="1"/>
  <c r="N668" i="6" s="1"/>
  <c r="M667" i="6"/>
  <c r="F667" i="6"/>
  <c r="G667" i="6" s="1"/>
  <c r="M666" i="6"/>
  <c r="N666" i="6" s="1"/>
  <c r="G666" i="6"/>
  <c r="F666" i="6"/>
  <c r="M665" i="6"/>
  <c r="N665" i="6" s="1"/>
  <c r="F665" i="6"/>
  <c r="G665" i="6" s="1"/>
  <c r="N664" i="6"/>
  <c r="M664" i="6"/>
  <c r="G664" i="6"/>
  <c r="F664" i="6"/>
  <c r="M663" i="6"/>
  <c r="G663" i="6"/>
  <c r="F663" i="6"/>
  <c r="M662" i="6"/>
  <c r="G662" i="6"/>
  <c r="F662" i="6"/>
  <c r="M661" i="6"/>
  <c r="F661" i="6"/>
  <c r="M660" i="6"/>
  <c r="N660" i="6" s="1"/>
  <c r="F660" i="6"/>
  <c r="G660" i="6" s="1"/>
  <c r="M659" i="6"/>
  <c r="G659" i="6"/>
  <c r="N659" i="6" s="1"/>
  <c r="F659" i="6"/>
  <c r="M658" i="6"/>
  <c r="N658" i="6" s="1"/>
  <c r="G658" i="6"/>
  <c r="F658" i="6"/>
  <c r="M657" i="6"/>
  <c r="G657" i="6"/>
  <c r="F657" i="6"/>
  <c r="M656" i="6"/>
  <c r="F656" i="6"/>
  <c r="G656" i="6" s="1"/>
  <c r="M655" i="6"/>
  <c r="F655" i="6"/>
  <c r="G655" i="6" s="1"/>
  <c r="M654" i="6"/>
  <c r="G654" i="6"/>
  <c r="F654" i="6"/>
  <c r="M653" i="6"/>
  <c r="F653" i="6"/>
  <c r="G653" i="6" s="1"/>
  <c r="M652" i="6"/>
  <c r="G652" i="6"/>
  <c r="F652" i="6"/>
  <c r="M651" i="6"/>
  <c r="F651" i="6"/>
  <c r="G651" i="6" s="1"/>
  <c r="M650" i="6"/>
  <c r="G650" i="6"/>
  <c r="F650" i="6"/>
  <c r="M649" i="6"/>
  <c r="N649" i="6" s="1"/>
  <c r="F649" i="6"/>
  <c r="G649" i="6" s="1"/>
  <c r="M648" i="6"/>
  <c r="G648" i="6"/>
  <c r="F648" i="6"/>
  <c r="M647" i="6"/>
  <c r="F647" i="6"/>
  <c r="N646" i="6"/>
  <c r="M646" i="6"/>
  <c r="G646" i="6"/>
  <c r="F646" i="6"/>
  <c r="M645" i="6"/>
  <c r="N645" i="6" s="1"/>
  <c r="G645" i="6"/>
  <c r="F645" i="6"/>
  <c r="N644" i="6"/>
  <c r="M644" i="6"/>
  <c r="F644" i="6"/>
  <c r="G644" i="6" s="1"/>
  <c r="M643" i="6"/>
  <c r="F643" i="6"/>
  <c r="G643" i="6" s="1"/>
  <c r="M642" i="6"/>
  <c r="F642" i="6"/>
  <c r="G642" i="6" s="1"/>
  <c r="M641" i="6"/>
  <c r="N641" i="6" s="1"/>
  <c r="F641" i="6"/>
  <c r="G641" i="6" s="1"/>
  <c r="N640" i="6"/>
  <c r="M640" i="6"/>
  <c r="G640" i="6"/>
  <c r="F640" i="6"/>
  <c r="M639" i="6"/>
  <c r="G639" i="6"/>
  <c r="F639" i="6"/>
  <c r="N638" i="6"/>
  <c r="M638" i="6"/>
  <c r="F638" i="6"/>
  <c r="G638" i="6" s="1"/>
  <c r="M637" i="6"/>
  <c r="N637" i="6" s="1"/>
  <c r="F637" i="6"/>
  <c r="G637" i="6" s="1"/>
  <c r="M636" i="6"/>
  <c r="G636" i="6"/>
  <c r="F636" i="6"/>
  <c r="M635" i="6"/>
  <c r="F635" i="6"/>
  <c r="G635" i="6" s="1"/>
  <c r="N634" i="6"/>
  <c r="M634" i="6"/>
  <c r="G634" i="6"/>
  <c r="F634" i="6"/>
  <c r="M633" i="6"/>
  <c r="N633" i="6" s="1"/>
  <c r="G633" i="6"/>
  <c r="F633" i="6"/>
  <c r="M632" i="6"/>
  <c r="F632" i="6"/>
  <c r="G632" i="6" s="1"/>
  <c r="N631" i="6"/>
  <c r="M631" i="6"/>
  <c r="F631" i="6"/>
  <c r="G631" i="6" s="1"/>
  <c r="M630" i="6"/>
  <c r="F630" i="6"/>
  <c r="G630" i="6" s="1"/>
  <c r="M629" i="6"/>
  <c r="G629" i="6"/>
  <c r="N629" i="6" s="1"/>
  <c r="F629" i="6"/>
  <c r="M628" i="6"/>
  <c r="N628" i="6" s="1"/>
  <c r="G628" i="6"/>
  <c r="F628" i="6"/>
  <c r="M627" i="6"/>
  <c r="N627" i="6" s="1"/>
  <c r="F627" i="6"/>
  <c r="G627" i="6" s="1"/>
  <c r="M626" i="6"/>
  <c r="G626" i="6"/>
  <c r="F626" i="6"/>
  <c r="M625" i="6"/>
  <c r="N625" i="6" s="1"/>
  <c r="G625" i="6"/>
  <c r="F625" i="6"/>
  <c r="M624" i="6"/>
  <c r="F624" i="6"/>
  <c r="G624" i="6" s="1"/>
  <c r="M623" i="6"/>
  <c r="N623" i="6" s="1"/>
  <c r="F623" i="6"/>
  <c r="G623" i="6" s="1"/>
  <c r="M622" i="6"/>
  <c r="N622" i="6" s="1"/>
  <c r="G622" i="6"/>
  <c r="F622" i="6"/>
  <c r="M621" i="6"/>
  <c r="N621" i="6" s="1"/>
  <c r="G621" i="6"/>
  <c r="F621" i="6"/>
  <c r="M620" i="6"/>
  <c r="G620" i="6"/>
  <c r="F620" i="6"/>
  <c r="N619" i="6"/>
  <c r="M619" i="6"/>
  <c r="F619" i="6"/>
  <c r="G619" i="6" s="1"/>
  <c r="M618" i="6"/>
  <c r="N618" i="6" s="1"/>
  <c r="G618" i="6"/>
  <c r="F618" i="6"/>
  <c r="M617" i="6"/>
  <c r="N617" i="6" s="1"/>
  <c r="G617" i="6"/>
  <c r="F617" i="6"/>
  <c r="N616" i="6"/>
  <c r="M616" i="6"/>
  <c r="F616" i="6"/>
  <c r="G616" i="6" s="1"/>
  <c r="M615" i="6"/>
  <c r="F615" i="6"/>
  <c r="G615" i="6" s="1"/>
  <c r="M614" i="6"/>
  <c r="F614" i="6"/>
  <c r="M613" i="6"/>
  <c r="G613" i="6"/>
  <c r="N613" i="6" s="1"/>
  <c r="F613" i="6"/>
  <c r="M612" i="6"/>
  <c r="F612" i="6"/>
  <c r="G612" i="6" s="1"/>
  <c r="M611" i="6"/>
  <c r="N611" i="6" s="1"/>
  <c r="F611" i="6"/>
  <c r="G611" i="6" s="1"/>
  <c r="M610" i="6"/>
  <c r="G610" i="6"/>
  <c r="F610" i="6"/>
  <c r="M609" i="6"/>
  <c r="G609" i="6"/>
  <c r="F609" i="6"/>
  <c r="N608" i="6"/>
  <c r="M608" i="6"/>
  <c r="F608" i="6"/>
  <c r="G608" i="6" s="1"/>
  <c r="M607" i="6"/>
  <c r="F607" i="6"/>
  <c r="G607" i="6" s="1"/>
  <c r="M606" i="6"/>
  <c r="N606" i="6" s="1"/>
  <c r="F606" i="6"/>
  <c r="G606" i="6" s="1"/>
  <c r="M605" i="6"/>
  <c r="N605" i="6" s="1"/>
  <c r="F605" i="6"/>
  <c r="G605" i="6" s="1"/>
  <c r="N604" i="6"/>
  <c r="M604" i="6"/>
  <c r="G604" i="6"/>
  <c r="F604" i="6"/>
  <c r="N603" i="6"/>
  <c r="M603" i="6"/>
  <c r="G603" i="6"/>
  <c r="F603" i="6"/>
  <c r="M602" i="6"/>
  <c r="N602" i="6" s="1"/>
  <c r="F602" i="6"/>
  <c r="G602" i="6" s="1"/>
  <c r="M601" i="6"/>
  <c r="N601" i="6" s="1"/>
  <c r="G601" i="6"/>
  <c r="F601" i="6"/>
  <c r="M600" i="6"/>
  <c r="N600" i="6" s="1"/>
  <c r="F600" i="6"/>
  <c r="G600" i="6" s="1"/>
  <c r="M599" i="6"/>
  <c r="N599" i="6" s="1"/>
  <c r="F599" i="6"/>
  <c r="G599" i="6" s="1"/>
  <c r="N598" i="6"/>
  <c r="M598" i="6"/>
  <c r="F598" i="6"/>
  <c r="G598" i="6" s="1"/>
  <c r="M597" i="6"/>
  <c r="G597" i="6"/>
  <c r="N597" i="6" s="1"/>
  <c r="F597" i="6"/>
  <c r="M596" i="6"/>
  <c r="G596" i="6"/>
  <c r="F596" i="6"/>
  <c r="N595" i="6"/>
  <c r="M595" i="6"/>
  <c r="G595" i="6"/>
  <c r="F595" i="6"/>
  <c r="M594" i="6"/>
  <c r="F594" i="6"/>
  <c r="G594" i="6" s="1"/>
  <c r="M593" i="6"/>
  <c r="G593" i="6"/>
  <c r="F593" i="6"/>
  <c r="M592" i="6"/>
  <c r="G592" i="6"/>
  <c r="F592" i="6"/>
  <c r="M591" i="6"/>
  <c r="F591" i="6"/>
  <c r="G591" i="6" s="1"/>
  <c r="M590" i="6"/>
  <c r="F590" i="6"/>
  <c r="M589" i="6"/>
  <c r="G589" i="6"/>
  <c r="N589" i="6" s="1"/>
  <c r="F589" i="6"/>
  <c r="M588" i="6"/>
  <c r="G588" i="6"/>
  <c r="F588" i="6"/>
  <c r="N587" i="6"/>
  <c r="M587" i="6"/>
  <c r="G587" i="6"/>
  <c r="F587" i="6"/>
  <c r="M586" i="6"/>
  <c r="G586" i="6"/>
  <c r="F586" i="6"/>
  <c r="M585" i="6"/>
  <c r="F585" i="6"/>
  <c r="G585" i="6" s="1"/>
  <c r="M584" i="6"/>
  <c r="N584" i="6" s="1"/>
  <c r="F584" i="6"/>
  <c r="G584" i="6" s="1"/>
  <c r="M583" i="6"/>
  <c r="N583" i="6" s="1"/>
  <c r="G583" i="6"/>
  <c r="F583" i="6"/>
  <c r="M582" i="6"/>
  <c r="G582" i="6"/>
  <c r="F582" i="6"/>
  <c r="M581" i="6"/>
  <c r="N581" i="6" s="1"/>
  <c r="G581" i="6"/>
  <c r="F581" i="6"/>
  <c r="M580" i="6"/>
  <c r="F580" i="6"/>
  <c r="M579" i="6"/>
  <c r="F579" i="6"/>
  <c r="G579" i="6" s="1"/>
  <c r="M578" i="6"/>
  <c r="F578" i="6"/>
  <c r="G578" i="6" s="1"/>
  <c r="M577" i="6"/>
  <c r="F577" i="6"/>
  <c r="G577" i="6" s="1"/>
  <c r="N577" i="6" s="1"/>
  <c r="M576" i="6"/>
  <c r="F576" i="6"/>
  <c r="N575" i="6"/>
  <c r="M575" i="6"/>
  <c r="F575" i="6"/>
  <c r="G575" i="6" s="1"/>
  <c r="M574" i="6"/>
  <c r="G574" i="6"/>
  <c r="F574" i="6"/>
  <c r="M573" i="6"/>
  <c r="N573" i="6" s="1"/>
  <c r="F573" i="6"/>
  <c r="G573" i="6" s="1"/>
  <c r="M572" i="6"/>
  <c r="F572" i="6"/>
  <c r="G572" i="6" s="1"/>
  <c r="M571" i="6"/>
  <c r="N571" i="6" s="1"/>
  <c r="G571" i="6"/>
  <c r="F571" i="6"/>
  <c r="M570" i="6"/>
  <c r="F570" i="6"/>
  <c r="G570" i="6" s="1"/>
  <c r="M569" i="6"/>
  <c r="F569" i="6"/>
  <c r="M568" i="6"/>
  <c r="G568" i="6"/>
  <c r="N568" i="6" s="1"/>
  <c r="F568" i="6"/>
  <c r="M567" i="6"/>
  <c r="N567" i="6" s="1"/>
  <c r="F567" i="6"/>
  <c r="G567" i="6" s="1"/>
  <c r="M566" i="6"/>
  <c r="F566" i="6"/>
  <c r="N565" i="6"/>
  <c r="M565" i="6"/>
  <c r="F565" i="6"/>
  <c r="G565" i="6" s="1"/>
  <c r="M564" i="6"/>
  <c r="G564" i="6"/>
  <c r="F564" i="6"/>
  <c r="M563" i="6"/>
  <c r="G563" i="6"/>
  <c r="F563" i="6"/>
  <c r="M562" i="6"/>
  <c r="N562" i="6" s="1"/>
  <c r="F562" i="6"/>
  <c r="G562" i="6" s="1"/>
  <c r="M561" i="6"/>
  <c r="G561" i="6"/>
  <c r="F561" i="6"/>
  <c r="N560" i="6"/>
  <c r="M560" i="6"/>
  <c r="G560" i="6"/>
  <c r="F560" i="6"/>
  <c r="N559" i="6"/>
  <c r="M559" i="6"/>
  <c r="F559" i="6"/>
  <c r="G559" i="6" s="1"/>
  <c r="M558" i="6"/>
  <c r="N558" i="6" s="1"/>
  <c r="F558" i="6"/>
  <c r="G558" i="6" s="1"/>
  <c r="M557" i="6"/>
  <c r="F557" i="6"/>
  <c r="G557" i="6" s="1"/>
  <c r="M556" i="6"/>
  <c r="G556" i="6"/>
  <c r="F556" i="6"/>
  <c r="N555" i="6"/>
  <c r="M555" i="6"/>
  <c r="F555" i="6"/>
  <c r="G555" i="6" s="1"/>
  <c r="M554" i="6"/>
  <c r="G554" i="6"/>
  <c r="N554" i="6" s="1"/>
  <c r="F554" i="6"/>
  <c r="N553" i="6"/>
  <c r="M553" i="6"/>
  <c r="F553" i="6"/>
  <c r="G553" i="6" s="1"/>
  <c r="M552" i="6"/>
  <c r="N552" i="6" s="1"/>
  <c r="G552" i="6"/>
  <c r="F552" i="6"/>
  <c r="M551" i="6"/>
  <c r="F551" i="6"/>
  <c r="G551" i="6" s="1"/>
  <c r="M550" i="6"/>
  <c r="N550" i="6" s="1"/>
  <c r="G550" i="6"/>
  <c r="F550" i="6"/>
  <c r="N549" i="6"/>
  <c r="M549" i="6"/>
  <c r="G549" i="6"/>
  <c r="F549" i="6"/>
  <c r="M548" i="6"/>
  <c r="N548" i="6" s="1"/>
  <c r="G548" i="6"/>
  <c r="F548" i="6"/>
  <c r="M547" i="6"/>
  <c r="N547" i="6" s="1"/>
  <c r="F547" i="6"/>
  <c r="G547" i="6" s="1"/>
  <c r="N546" i="6"/>
  <c r="M546" i="6"/>
  <c r="F546" i="6"/>
  <c r="G546" i="6" s="1"/>
  <c r="N545" i="6"/>
  <c r="M545" i="6"/>
  <c r="G545" i="6"/>
  <c r="F545" i="6"/>
  <c r="M544" i="6"/>
  <c r="F544" i="6"/>
  <c r="G544" i="6" s="1"/>
  <c r="M543" i="6"/>
  <c r="F543" i="6"/>
  <c r="G543" i="6" s="1"/>
  <c r="M542" i="6"/>
  <c r="F542" i="6"/>
  <c r="G542" i="6" s="1"/>
  <c r="M541" i="6"/>
  <c r="F541" i="6"/>
  <c r="G541" i="6" s="1"/>
  <c r="M540" i="6"/>
  <c r="G540" i="6"/>
  <c r="F540" i="6"/>
  <c r="M539" i="6"/>
  <c r="N539" i="6" s="1"/>
  <c r="F539" i="6"/>
  <c r="G539" i="6" s="1"/>
  <c r="M538" i="6"/>
  <c r="G538" i="6"/>
  <c r="F538" i="6"/>
  <c r="N537" i="6"/>
  <c r="M537" i="6"/>
  <c r="G537" i="6"/>
  <c r="F537" i="6"/>
  <c r="M536" i="6"/>
  <c r="N536" i="6" s="1"/>
  <c r="F536" i="6"/>
  <c r="G536" i="6" s="1"/>
  <c r="N535" i="6"/>
  <c r="M535" i="6"/>
  <c r="G535" i="6"/>
  <c r="F535" i="6"/>
  <c r="M534" i="6"/>
  <c r="G534" i="6"/>
  <c r="F534" i="6"/>
  <c r="M533" i="6"/>
  <c r="F533" i="6"/>
  <c r="G533" i="6" s="1"/>
  <c r="M532" i="6"/>
  <c r="F532" i="6"/>
  <c r="G532" i="6" s="1"/>
  <c r="N531" i="6"/>
  <c r="M531" i="6"/>
  <c r="G531" i="6"/>
  <c r="F531" i="6"/>
  <c r="M530" i="6"/>
  <c r="G530" i="6"/>
  <c r="F530" i="6"/>
  <c r="N529" i="6"/>
  <c r="M529" i="6"/>
  <c r="G529" i="6"/>
  <c r="F529" i="6"/>
  <c r="M528" i="6"/>
  <c r="F528" i="6"/>
  <c r="G528" i="6" s="1"/>
  <c r="N527" i="6"/>
  <c r="M527" i="6"/>
  <c r="G527" i="6"/>
  <c r="F527" i="6"/>
  <c r="M526" i="6"/>
  <c r="F526" i="6"/>
  <c r="G526" i="6" s="1"/>
  <c r="M525" i="6"/>
  <c r="F525" i="6"/>
  <c r="G525" i="6" s="1"/>
  <c r="M524" i="6"/>
  <c r="G524" i="6"/>
  <c r="F524" i="6"/>
  <c r="M523" i="6"/>
  <c r="F523" i="6"/>
  <c r="G523" i="6" s="1"/>
  <c r="M522" i="6"/>
  <c r="G522" i="6"/>
  <c r="F522" i="6"/>
  <c r="N521" i="6"/>
  <c r="M521" i="6"/>
  <c r="F521" i="6"/>
  <c r="G521" i="6" s="1"/>
  <c r="M520" i="6"/>
  <c r="F520" i="6"/>
  <c r="G520" i="6" s="1"/>
  <c r="N520" i="6" s="1"/>
  <c r="M519" i="6"/>
  <c r="G519" i="6"/>
  <c r="F519" i="6"/>
  <c r="N518" i="6"/>
  <c r="M518" i="6"/>
  <c r="F518" i="6"/>
  <c r="G518" i="6" s="1"/>
  <c r="M517" i="6"/>
  <c r="F517" i="6"/>
  <c r="M516" i="6"/>
  <c r="G516" i="6"/>
  <c r="F516" i="6"/>
  <c r="M515" i="6"/>
  <c r="N515" i="6" s="1"/>
  <c r="G515" i="6"/>
  <c r="F515" i="6"/>
  <c r="N514" i="6"/>
  <c r="M514" i="6"/>
  <c r="F514" i="6"/>
  <c r="G514" i="6" s="1"/>
  <c r="M513" i="6"/>
  <c r="G513" i="6"/>
  <c r="N513" i="6" s="1"/>
  <c r="F513" i="6"/>
  <c r="N512" i="6"/>
  <c r="M512" i="6"/>
  <c r="G512" i="6"/>
  <c r="F512" i="6"/>
  <c r="M511" i="6"/>
  <c r="F511" i="6"/>
  <c r="G511" i="6" s="1"/>
  <c r="M510" i="6"/>
  <c r="F510" i="6"/>
  <c r="M509" i="6"/>
  <c r="F509" i="6"/>
  <c r="M508" i="6"/>
  <c r="G508" i="6"/>
  <c r="F508" i="6"/>
  <c r="N507" i="6"/>
  <c r="M507" i="6"/>
  <c r="F507" i="6"/>
  <c r="G507" i="6" s="1"/>
  <c r="M506" i="6"/>
  <c r="N506" i="6" s="1"/>
  <c r="G506" i="6"/>
  <c r="F506" i="6"/>
  <c r="M505" i="6"/>
  <c r="N505" i="6" s="1"/>
  <c r="G505" i="6"/>
  <c r="F505" i="6"/>
  <c r="M504" i="6"/>
  <c r="G504" i="6"/>
  <c r="N504" i="6" s="1"/>
  <c r="F504" i="6"/>
  <c r="N503" i="6"/>
  <c r="M503" i="6"/>
  <c r="F503" i="6"/>
  <c r="G503" i="6" s="1"/>
  <c r="M502" i="6"/>
  <c r="N502" i="6" s="1"/>
  <c r="F502" i="6"/>
  <c r="G502" i="6" s="1"/>
  <c r="M501" i="6"/>
  <c r="N501" i="6" s="1"/>
  <c r="F501" i="6"/>
  <c r="G501" i="6" s="1"/>
  <c r="M500" i="6"/>
  <c r="F500" i="6"/>
  <c r="G500" i="6" s="1"/>
  <c r="M499" i="6"/>
  <c r="F499" i="6"/>
  <c r="M498" i="6"/>
  <c r="G498" i="6"/>
  <c r="F498" i="6"/>
  <c r="M497" i="6"/>
  <c r="F497" i="6"/>
  <c r="G497" i="6" s="1"/>
  <c r="M496" i="6"/>
  <c r="F496" i="6"/>
  <c r="G496" i="6" s="1"/>
  <c r="M495" i="6"/>
  <c r="G495" i="6"/>
  <c r="F495" i="6"/>
  <c r="M494" i="6"/>
  <c r="G494" i="6"/>
  <c r="N494" i="6" s="1"/>
  <c r="F494" i="6"/>
  <c r="M493" i="6"/>
  <c r="F493" i="6"/>
  <c r="G493" i="6" s="1"/>
  <c r="N492" i="6"/>
  <c r="M492" i="6"/>
  <c r="F492" i="6"/>
  <c r="G492" i="6" s="1"/>
  <c r="M491" i="6"/>
  <c r="F491" i="6"/>
  <c r="G491" i="6" s="1"/>
  <c r="M490" i="6"/>
  <c r="N490" i="6" s="1"/>
  <c r="F490" i="6"/>
  <c r="G490" i="6" s="1"/>
  <c r="N489" i="6"/>
  <c r="M489" i="6"/>
  <c r="G489" i="6"/>
  <c r="F489" i="6"/>
  <c r="M488" i="6"/>
  <c r="G488" i="6"/>
  <c r="F488" i="6"/>
  <c r="M487" i="6"/>
  <c r="F487" i="6"/>
  <c r="G487" i="6" s="1"/>
  <c r="M486" i="6"/>
  <c r="F486" i="6"/>
  <c r="G486" i="6" s="1"/>
  <c r="M485" i="6"/>
  <c r="N485" i="6" s="1"/>
  <c r="F485" i="6"/>
  <c r="G485" i="6" s="1"/>
  <c r="M484" i="6"/>
  <c r="F484" i="6"/>
  <c r="G484" i="6" s="1"/>
  <c r="M483" i="6"/>
  <c r="N483" i="6" s="1"/>
  <c r="G483" i="6"/>
  <c r="F483" i="6"/>
  <c r="N482" i="6"/>
  <c r="M482" i="6"/>
  <c r="G482" i="6"/>
  <c r="F482" i="6"/>
  <c r="M481" i="6"/>
  <c r="N481" i="6" s="1"/>
  <c r="F481" i="6"/>
  <c r="G481" i="6" s="1"/>
  <c r="M480" i="6"/>
  <c r="N480" i="6" s="1"/>
  <c r="G480" i="6"/>
  <c r="F480" i="6"/>
  <c r="M479" i="6"/>
  <c r="F479" i="6"/>
  <c r="M478" i="6"/>
  <c r="G478" i="6"/>
  <c r="F478" i="6"/>
  <c r="M477" i="6"/>
  <c r="F477" i="6"/>
  <c r="M476" i="6"/>
  <c r="N476" i="6" s="1"/>
  <c r="G476" i="6"/>
  <c r="F476" i="6"/>
  <c r="M475" i="6"/>
  <c r="F475" i="6"/>
  <c r="G475" i="6" s="1"/>
  <c r="N474" i="6"/>
  <c r="M474" i="6"/>
  <c r="G474" i="6"/>
  <c r="F474" i="6"/>
  <c r="M473" i="6"/>
  <c r="N473" i="6" s="1"/>
  <c r="F473" i="6"/>
  <c r="G473" i="6" s="1"/>
  <c r="N472" i="6"/>
  <c r="M472" i="6"/>
  <c r="G472" i="6"/>
  <c r="F472" i="6"/>
  <c r="M471" i="6"/>
  <c r="F471" i="6"/>
  <c r="M470" i="6"/>
  <c r="N470" i="6" s="1"/>
  <c r="F470" i="6"/>
  <c r="G470" i="6" s="1"/>
  <c r="M469" i="6"/>
  <c r="N469" i="6" s="1"/>
  <c r="F469" i="6"/>
  <c r="G469" i="6" s="1"/>
  <c r="M468" i="6"/>
  <c r="F468" i="6"/>
  <c r="M467" i="6"/>
  <c r="N467" i="6" s="1"/>
  <c r="F467" i="6"/>
  <c r="G467" i="6" s="1"/>
  <c r="M466" i="6"/>
  <c r="G466" i="6"/>
  <c r="N466" i="6" s="1"/>
  <c r="F466" i="6"/>
  <c r="M465" i="6"/>
  <c r="G465" i="6"/>
  <c r="F465" i="6"/>
  <c r="M464" i="6"/>
  <c r="F464" i="6"/>
  <c r="G464" i="6" s="1"/>
  <c r="M463" i="6"/>
  <c r="N463" i="6" s="1"/>
  <c r="F463" i="6"/>
  <c r="G463" i="6" s="1"/>
  <c r="M462" i="6"/>
  <c r="F462" i="6"/>
  <c r="G462" i="6" s="1"/>
  <c r="M461" i="6"/>
  <c r="N461" i="6" s="1"/>
  <c r="G461" i="6"/>
  <c r="F461" i="6"/>
  <c r="N460" i="6"/>
  <c r="M460" i="6"/>
  <c r="G460" i="6"/>
  <c r="F460" i="6"/>
  <c r="N459" i="6"/>
  <c r="M459" i="6"/>
  <c r="F459" i="6"/>
  <c r="G459" i="6" s="1"/>
  <c r="N458" i="6"/>
  <c r="M458" i="6"/>
  <c r="G458" i="6"/>
  <c r="F458" i="6"/>
  <c r="M457" i="6"/>
  <c r="G457" i="6"/>
  <c r="F457" i="6"/>
  <c r="M456" i="6"/>
  <c r="F456" i="6"/>
  <c r="G456" i="6" s="1"/>
  <c r="M455" i="6"/>
  <c r="G455" i="6"/>
  <c r="F455" i="6"/>
  <c r="M454" i="6"/>
  <c r="F454" i="6"/>
  <c r="M453" i="6"/>
  <c r="G453" i="6"/>
  <c r="F453" i="6"/>
  <c r="M452" i="6"/>
  <c r="N452" i="6" s="1"/>
  <c r="G452" i="6"/>
  <c r="F452" i="6"/>
  <c r="M451" i="6"/>
  <c r="F451" i="6"/>
  <c r="G451" i="6" s="1"/>
  <c r="M450" i="6"/>
  <c r="N450" i="6" s="1"/>
  <c r="G450" i="6"/>
  <c r="F450" i="6"/>
  <c r="M449" i="6"/>
  <c r="N449" i="6" s="1"/>
  <c r="F449" i="6"/>
  <c r="G449" i="6" s="1"/>
  <c r="M448" i="6"/>
  <c r="F448" i="6"/>
  <c r="M447" i="6"/>
  <c r="F447" i="6"/>
  <c r="G447" i="6" s="1"/>
  <c r="M446" i="6"/>
  <c r="G446" i="6"/>
  <c r="F446" i="6"/>
  <c r="M445" i="6"/>
  <c r="G445" i="6"/>
  <c r="F445" i="6"/>
  <c r="M444" i="6"/>
  <c r="F444" i="6"/>
  <c r="M443" i="6"/>
  <c r="G443" i="6"/>
  <c r="F443" i="6"/>
  <c r="M442" i="6"/>
  <c r="G442" i="6"/>
  <c r="F442" i="6"/>
  <c r="M441" i="6"/>
  <c r="N441" i="6" s="1"/>
  <c r="G441" i="6"/>
  <c r="F441" i="6"/>
  <c r="M440" i="6"/>
  <c r="F440" i="6"/>
  <c r="G440" i="6" s="1"/>
  <c r="M439" i="6"/>
  <c r="N439" i="6" s="1"/>
  <c r="G439" i="6"/>
  <c r="F439" i="6"/>
  <c r="M438" i="6"/>
  <c r="G438" i="6"/>
  <c r="N438" i="6" s="1"/>
  <c r="F438" i="6"/>
  <c r="M437" i="6"/>
  <c r="N437" i="6" s="1"/>
  <c r="F437" i="6"/>
  <c r="G437" i="6" s="1"/>
  <c r="M436" i="6"/>
  <c r="F436" i="6"/>
  <c r="G436" i="6" s="1"/>
  <c r="M435" i="6"/>
  <c r="N435" i="6" s="1"/>
  <c r="G435" i="6"/>
  <c r="F435" i="6"/>
  <c r="N434" i="6"/>
  <c r="M434" i="6"/>
  <c r="F434" i="6"/>
  <c r="G434" i="6" s="1"/>
  <c r="M433" i="6"/>
  <c r="F433" i="6"/>
  <c r="M432" i="6"/>
  <c r="F432" i="6"/>
  <c r="G432" i="6" s="1"/>
  <c r="M431" i="6"/>
  <c r="N431" i="6" s="1"/>
  <c r="G431" i="6"/>
  <c r="F431" i="6"/>
  <c r="M430" i="6"/>
  <c r="F430" i="6"/>
  <c r="G430" i="6" s="1"/>
  <c r="M429" i="6"/>
  <c r="F429" i="6"/>
  <c r="G429" i="6" s="1"/>
  <c r="N428" i="6"/>
  <c r="M428" i="6"/>
  <c r="G428" i="6"/>
  <c r="F428" i="6"/>
  <c r="M427" i="6"/>
  <c r="G427" i="6"/>
  <c r="F427" i="6"/>
  <c r="N426" i="6"/>
  <c r="M426" i="6"/>
  <c r="F426" i="6"/>
  <c r="G426" i="6" s="1"/>
  <c r="M425" i="6"/>
  <c r="F425" i="6"/>
  <c r="M424" i="6"/>
  <c r="F424" i="6"/>
  <c r="G424" i="6" s="1"/>
  <c r="M423" i="6"/>
  <c r="F423" i="6"/>
  <c r="G423" i="6" s="1"/>
  <c r="N423" i="6" s="1"/>
  <c r="M422" i="6"/>
  <c r="F422" i="6"/>
  <c r="G422" i="6" s="1"/>
  <c r="N422" i="6" s="1"/>
  <c r="M421" i="6"/>
  <c r="F421" i="6"/>
  <c r="G421" i="6" s="1"/>
  <c r="M420" i="6"/>
  <c r="F420" i="6"/>
  <c r="G420" i="6" s="1"/>
  <c r="M419" i="6"/>
  <c r="G419" i="6"/>
  <c r="F419" i="6"/>
  <c r="M418" i="6"/>
  <c r="N418" i="6" s="1"/>
  <c r="F418" i="6"/>
  <c r="G418" i="6" s="1"/>
  <c r="N417" i="6"/>
  <c r="M417" i="6"/>
  <c r="G417" i="6"/>
  <c r="F417" i="6"/>
  <c r="M416" i="6"/>
  <c r="F416" i="6"/>
  <c r="G416" i="6" s="1"/>
  <c r="N416" i="6" s="1"/>
  <c r="N415" i="6"/>
  <c r="M415" i="6"/>
  <c r="F415" i="6"/>
  <c r="G415" i="6" s="1"/>
  <c r="M414" i="6"/>
  <c r="N414" i="6" s="1"/>
  <c r="G414" i="6"/>
  <c r="F414" i="6"/>
  <c r="M413" i="6"/>
  <c r="N413" i="6" s="1"/>
  <c r="F413" i="6"/>
  <c r="G413" i="6" s="1"/>
  <c r="M412" i="6"/>
  <c r="G412" i="6"/>
  <c r="F412" i="6"/>
  <c r="N411" i="6"/>
  <c r="M411" i="6"/>
  <c r="G411" i="6"/>
  <c r="F411" i="6"/>
  <c r="N410" i="6"/>
  <c r="M410" i="6"/>
  <c r="F410" i="6"/>
  <c r="G410" i="6" s="1"/>
  <c r="M409" i="6"/>
  <c r="N409" i="6" s="1"/>
  <c r="G409" i="6"/>
  <c r="F409" i="6"/>
  <c r="N408" i="6"/>
  <c r="M408" i="6"/>
  <c r="G408" i="6"/>
  <c r="F408" i="6"/>
  <c r="M407" i="6"/>
  <c r="N407" i="6" s="1"/>
  <c r="F407" i="6"/>
  <c r="G407" i="6" s="1"/>
  <c r="M406" i="6"/>
  <c r="N406" i="6" s="1"/>
  <c r="G406" i="6"/>
  <c r="F406" i="6"/>
  <c r="M405" i="6"/>
  <c r="N405" i="6" s="1"/>
  <c r="G405" i="6"/>
  <c r="F405" i="6"/>
  <c r="M404" i="6"/>
  <c r="N404" i="6" s="1"/>
  <c r="F404" i="6"/>
  <c r="G404" i="6" s="1"/>
  <c r="M403" i="6"/>
  <c r="N403" i="6" s="1"/>
  <c r="G403" i="6"/>
  <c r="F403" i="6"/>
  <c r="M402" i="6"/>
  <c r="F402" i="6"/>
  <c r="M401" i="6"/>
  <c r="F401" i="6"/>
  <c r="G401" i="6" s="1"/>
  <c r="M400" i="6"/>
  <c r="F400" i="6"/>
  <c r="M399" i="6"/>
  <c r="F399" i="6"/>
  <c r="G399" i="6" s="1"/>
  <c r="M398" i="6"/>
  <c r="F398" i="6"/>
  <c r="G398" i="6" s="1"/>
  <c r="M397" i="6"/>
  <c r="G397" i="6"/>
  <c r="N397" i="6" s="1"/>
  <c r="F397" i="6"/>
  <c r="M396" i="6"/>
  <c r="G396" i="6"/>
  <c r="F396" i="6"/>
  <c r="M395" i="6"/>
  <c r="N395" i="6" s="1"/>
  <c r="G395" i="6"/>
  <c r="F395" i="6"/>
  <c r="M394" i="6"/>
  <c r="G394" i="6"/>
  <c r="N394" i="6" s="1"/>
  <c r="F394" i="6"/>
  <c r="N393" i="6"/>
  <c r="M393" i="6"/>
  <c r="F393" i="6"/>
  <c r="G393" i="6" s="1"/>
  <c r="M392" i="6"/>
  <c r="F392" i="6"/>
  <c r="G392" i="6" s="1"/>
  <c r="N392" i="6" s="1"/>
  <c r="M391" i="6"/>
  <c r="G391" i="6"/>
  <c r="F391" i="6"/>
  <c r="M390" i="6"/>
  <c r="N390" i="6" s="1"/>
  <c r="F390" i="6"/>
  <c r="G390" i="6" s="1"/>
  <c r="N389" i="6"/>
  <c r="M389" i="6"/>
  <c r="F389" i="6"/>
  <c r="G389" i="6" s="1"/>
  <c r="N388" i="6"/>
  <c r="M388" i="6"/>
  <c r="G388" i="6"/>
  <c r="F388" i="6"/>
  <c r="M387" i="6"/>
  <c r="F387" i="6"/>
  <c r="G387" i="6" s="1"/>
  <c r="N386" i="6"/>
  <c r="M386" i="6"/>
  <c r="F386" i="6"/>
  <c r="G386" i="6" s="1"/>
  <c r="M385" i="6"/>
  <c r="N385" i="6" s="1"/>
  <c r="G385" i="6"/>
  <c r="F385" i="6"/>
  <c r="M384" i="6"/>
  <c r="N384" i="6" s="1"/>
  <c r="G384" i="6"/>
  <c r="F384" i="6"/>
  <c r="M383" i="6"/>
  <c r="F383" i="6"/>
  <c r="G383" i="6" s="1"/>
  <c r="M382" i="6"/>
  <c r="F382" i="6"/>
  <c r="G382" i="6" s="1"/>
  <c r="M381" i="6"/>
  <c r="N381" i="6" s="1"/>
  <c r="F381" i="6"/>
  <c r="G381" i="6" s="1"/>
  <c r="M380" i="6"/>
  <c r="N380" i="6" s="1"/>
  <c r="F380" i="6"/>
  <c r="G380" i="6" s="1"/>
  <c r="N379" i="6"/>
  <c r="M379" i="6"/>
  <c r="F379" i="6"/>
  <c r="G379" i="6" s="1"/>
  <c r="M378" i="6"/>
  <c r="G378" i="6"/>
  <c r="N378" i="6" s="1"/>
  <c r="F378" i="6"/>
  <c r="M377" i="6"/>
  <c r="F377" i="6"/>
  <c r="G377" i="6" s="1"/>
  <c r="M376" i="6"/>
  <c r="N376" i="6" s="1"/>
  <c r="F376" i="6"/>
  <c r="G376" i="6" s="1"/>
  <c r="M375" i="6"/>
  <c r="G375" i="6"/>
  <c r="N375" i="6" s="1"/>
  <c r="F375" i="6"/>
  <c r="M374" i="6"/>
  <c r="N374" i="6" s="1"/>
  <c r="F374" i="6"/>
  <c r="G374" i="6" s="1"/>
  <c r="M373" i="6"/>
  <c r="G373" i="6"/>
  <c r="N373" i="6" s="1"/>
  <c r="F373" i="6"/>
  <c r="M372" i="6"/>
  <c r="N372" i="6" s="1"/>
  <c r="F372" i="6"/>
  <c r="G372" i="6" s="1"/>
  <c r="M371" i="6"/>
  <c r="N371" i="6" s="1"/>
  <c r="F371" i="6"/>
  <c r="G371" i="6" s="1"/>
  <c r="M370" i="6"/>
  <c r="F370" i="6"/>
  <c r="G370" i="6" s="1"/>
  <c r="M369" i="6"/>
  <c r="F369" i="6"/>
  <c r="G369" i="6" s="1"/>
  <c r="M368" i="6"/>
  <c r="N368" i="6" s="1"/>
  <c r="G368" i="6"/>
  <c r="F368" i="6"/>
  <c r="M367" i="6"/>
  <c r="F367" i="6"/>
  <c r="M366" i="6"/>
  <c r="G366" i="6"/>
  <c r="F366" i="6"/>
  <c r="M365" i="6"/>
  <c r="F365" i="6"/>
  <c r="G365" i="6" s="1"/>
  <c r="M364" i="6"/>
  <c r="G364" i="6"/>
  <c r="F364" i="6"/>
  <c r="M363" i="6"/>
  <c r="F363" i="6"/>
  <c r="G363" i="6" s="1"/>
  <c r="M362" i="6"/>
  <c r="N362" i="6" s="1"/>
  <c r="G362" i="6"/>
  <c r="F362" i="6"/>
  <c r="M361" i="6"/>
  <c r="N361" i="6" s="1"/>
  <c r="F361" i="6"/>
  <c r="G361" i="6" s="1"/>
  <c r="N360" i="6"/>
  <c r="M360" i="6"/>
  <c r="F360" i="6"/>
  <c r="G360" i="6" s="1"/>
  <c r="M359" i="6"/>
  <c r="N359" i="6" s="1"/>
  <c r="F359" i="6"/>
  <c r="G359" i="6" s="1"/>
  <c r="M358" i="6"/>
  <c r="N358" i="6" s="1"/>
  <c r="G358" i="6"/>
  <c r="F358" i="6"/>
  <c r="M357" i="6"/>
  <c r="G357" i="6"/>
  <c r="F357" i="6"/>
  <c r="M356" i="6"/>
  <c r="F356" i="6"/>
  <c r="M355" i="6"/>
  <c r="N355" i="6" s="1"/>
  <c r="F355" i="6"/>
  <c r="G355" i="6" s="1"/>
  <c r="M354" i="6"/>
  <c r="G354" i="6"/>
  <c r="F354" i="6"/>
  <c r="M353" i="6"/>
  <c r="N353" i="6" s="1"/>
  <c r="G353" i="6"/>
  <c r="F353" i="6"/>
  <c r="N352" i="6"/>
  <c r="M352" i="6"/>
  <c r="F352" i="6"/>
  <c r="G352" i="6" s="1"/>
  <c r="M351" i="6"/>
  <c r="N351" i="6" s="1"/>
  <c r="G351" i="6"/>
  <c r="F351" i="6"/>
  <c r="M350" i="6"/>
  <c r="F350" i="6"/>
  <c r="N349" i="6"/>
  <c r="M349" i="6"/>
  <c r="F349" i="6"/>
  <c r="G349" i="6" s="1"/>
  <c r="M348" i="6"/>
  <c r="F348" i="6"/>
  <c r="G348" i="6" s="1"/>
  <c r="M347" i="6"/>
  <c r="G347" i="6"/>
  <c r="N347" i="6" s="1"/>
  <c r="F347" i="6"/>
  <c r="M346" i="6"/>
  <c r="N346" i="6" s="1"/>
  <c r="F346" i="6"/>
  <c r="G346" i="6" s="1"/>
  <c r="N345" i="6"/>
  <c r="M345" i="6"/>
  <c r="G345" i="6"/>
  <c r="F345" i="6"/>
  <c r="M344" i="6"/>
  <c r="F344" i="6"/>
  <c r="G344" i="6" s="1"/>
  <c r="M343" i="6"/>
  <c r="F343" i="6"/>
  <c r="G343" i="6" s="1"/>
  <c r="M342" i="6"/>
  <c r="N342" i="6" s="1"/>
  <c r="F342" i="6"/>
  <c r="G342" i="6" s="1"/>
  <c r="M341" i="6"/>
  <c r="N341" i="6" s="1"/>
  <c r="G341" i="6"/>
  <c r="F341" i="6"/>
  <c r="M340" i="6"/>
  <c r="G340" i="6"/>
  <c r="N340" i="6" s="1"/>
  <c r="F340" i="6"/>
  <c r="N339" i="6"/>
  <c r="M339" i="6"/>
  <c r="G339" i="6"/>
  <c r="F339" i="6"/>
  <c r="M338" i="6"/>
  <c r="N338" i="6" s="1"/>
  <c r="F338" i="6"/>
  <c r="G338" i="6" s="1"/>
  <c r="N337" i="6"/>
  <c r="M337" i="6"/>
  <c r="G337" i="6"/>
  <c r="F337" i="6"/>
  <c r="M336" i="6"/>
  <c r="F336" i="6"/>
  <c r="G336" i="6" s="1"/>
  <c r="M335" i="6"/>
  <c r="N335" i="6" s="1"/>
  <c r="G335" i="6"/>
  <c r="F335" i="6"/>
  <c r="M334" i="6"/>
  <c r="G334" i="6"/>
  <c r="N334" i="6" s="1"/>
  <c r="F334" i="6"/>
  <c r="N333" i="6"/>
  <c r="M333" i="6"/>
  <c r="F333" i="6"/>
  <c r="G333" i="6" s="1"/>
  <c r="M332" i="6"/>
  <c r="F332" i="6"/>
  <c r="G332" i="6" s="1"/>
  <c r="M331" i="6"/>
  <c r="N331" i="6" s="1"/>
  <c r="F331" i="6"/>
  <c r="G331" i="6" s="1"/>
  <c r="N330" i="6"/>
  <c r="M330" i="6"/>
  <c r="G330" i="6"/>
  <c r="F330" i="6"/>
  <c r="M329" i="6"/>
  <c r="F329" i="6"/>
  <c r="M328" i="6"/>
  <c r="G328" i="6"/>
  <c r="F328" i="6"/>
  <c r="M327" i="6"/>
  <c r="F327" i="6"/>
  <c r="M326" i="6"/>
  <c r="F326" i="6"/>
  <c r="G326" i="6" s="1"/>
  <c r="M325" i="6"/>
  <c r="G325" i="6"/>
  <c r="F325" i="6"/>
  <c r="M324" i="6"/>
  <c r="N324" i="6" s="1"/>
  <c r="G324" i="6"/>
  <c r="F324" i="6"/>
  <c r="M323" i="6"/>
  <c r="G323" i="6"/>
  <c r="N323" i="6" s="1"/>
  <c r="F323" i="6"/>
  <c r="N322" i="6"/>
  <c r="M322" i="6"/>
  <c r="G322" i="6"/>
  <c r="F322" i="6"/>
  <c r="M321" i="6"/>
  <c r="G321" i="6"/>
  <c r="F321" i="6"/>
  <c r="M320" i="6"/>
  <c r="G320" i="6"/>
  <c r="F320" i="6"/>
  <c r="M319" i="6"/>
  <c r="F319" i="6"/>
  <c r="M318" i="6"/>
  <c r="F318" i="6"/>
  <c r="G318" i="6" s="1"/>
  <c r="M317" i="6"/>
  <c r="G317" i="6"/>
  <c r="N317" i="6" s="1"/>
  <c r="F317" i="6"/>
  <c r="M316" i="6"/>
  <c r="N316" i="6" s="1"/>
  <c r="F316" i="6"/>
  <c r="G316" i="6" s="1"/>
  <c r="M315" i="6"/>
  <c r="G315" i="6"/>
  <c r="F315" i="6"/>
  <c r="M314" i="6"/>
  <c r="F314" i="6"/>
  <c r="G314" i="6" s="1"/>
  <c r="M313" i="6"/>
  <c r="G313" i="6"/>
  <c r="N313" i="6" s="1"/>
  <c r="F313" i="6"/>
  <c r="M312" i="6"/>
  <c r="F312" i="6"/>
  <c r="M311" i="6"/>
  <c r="F311" i="6"/>
  <c r="G311" i="6" s="1"/>
  <c r="M310" i="6"/>
  <c r="N310" i="6" s="1"/>
  <c r="G310" i="6"/>
  <c r="F310" i="6"/>
  <c r="M309" i="6"/>
  <c r="N309" i="6" s="1"/>
  <c r="F309" i="6"/>
  <c r="G309" i="6" s="1"/>
  <c r="M308" i="6"/>
  <c r="N308" i="6" s="1"/>
  <c r="F308" i="6"/>
  <c r="G308" i="6" s="1"/>
  <c r="M307" i="6"/>
  <c r="G307" i="6"/>
  <c r="F307" i="6"/>
  <c r="N306" i="6"/>
  <c r="M306" i="6"/>
  <c r="G306" i="6"/>
  <c r="F306" i="6"/>
  <c r="M305" i="6"/>
  <c r="N305" i="6" s="1"/>
  <c r="F305" i="6"/>
  <c r="G305" i="6" s="1"/>
  <c r="N304" i="6"/>
  <c r="M304" i="6"/>
  <c r="F304" i="6"/>
  <c r="G304" i="6" s="1"/>
  <c r="M303" i="6"/>
  <c r="F303" i="6"/>
  <c r="G303" i="6" s="1"/>
  <c r="M302" i="6"/>
  <c r="F302" i="6"/>
  <c r="G302" i="6" s="1"/>
  <c r="M301" i="6"/>
  <c r="G301" i="6"/>
  <c r="F301" i="6"/>
  <c r="M300" i="6"/>
  <c r="F300" i="6"/>
  <c r="G300" i="6" s="1"/>
  <c r="M299" i="6"/>
  <c r="N299" i="6" s="1"/>
  <c r="G299" i="6"/>
  <c r="F299" i="6"/>
  <c r="M298" i="6"/>
  <c r="F298" i="6"/>
  <c r="M297" i="6"/>
  <c r="F297" i="6"/>
  <c r="G297" i="6" s="1"/>
  <c r="N297" i="6" s="1"/>
  <c r="M296" i="6"/>
  <c r="F296" i="6"/>
  <c r="G296" i="6" s="1"/>
  <c r="M295" i="6"/>
  <c r="F295" i="6"/>
  <c r="G295" i="6" s="1"/>
  <c r="M294" i="6"/>
  <c r="N294" i="6" s="1"/>
  <c r="F294" i="6"/>
  <c r="G294" i="6" s="1"/>
  <c r="N293" i="6"/>
  <c r="M293" i="6"/>
  <c r="G293" i="6"/>
  <c r="F293" i="6"/>
  <c r="M292" i="6"/>
  <c r="G292" i="6"/>
  <c r="F292" i="6"/>
  <c r="N291" i="6"/>
  <c r="M291" i="6"/>
  <c r="F291" i="6"/>
  <c r="G291" i="6" s="1"/>
  <c r="M290" i="6"/>
  <c r="N290" i="6" s="1"/>
  <c r="F290" i="6"/>
  <c r="G290" i="6" s="1"/>
  <c r="M289" i="6"/>
  <c r="G289" i="6"/>
  <c r="F289" i="6"/>
  <c r="M288" i="6"/>
  <c r="F288" i="6"/>
  <c r="G288" i="6" s="1"/>
  <c r="M287" i="6"/>
  <c r="N287" i="6" s="1"/>
  <c r="G287" i="6"/>
  <c r="F287" i="6"/>
  <c r="N286" i="6"/>
  <c r="M286" i="6"/>
  <c r="G286" i="6"/>
  <c r="F286" i="6"/>
  <c r="M285" i="6"/>
  <c r="F285" i="6"/>
  <c r="G285" i="6" s="1"/>
  <c r="N285" i="6" s="1"/>
  <c r="M284" i="6"/>
  <c r="N284" i="6" s="1"/>
  <c r="F284" i="6"/>
  <c r="G284" i="6" s="1"/>
  <c r="M283" i="6"/>
  <c r="N283" i="6" s="1"/>
  <c r="G283" i="6"/>
  <c r="F283" i="6"/>
  <c r="M282" i="6"/>
  <c r="G282" i="6"/>
  <c r="F282" i="6"/>
  <c r="M281" i="6"/>
  <c r="F281" i="6"/>
  <c r="M280" i="6"/>
  <c r="F280" i="6"/>
  <c r="G280" i="6" s="1"/>
  <c r="M279" i="6"/>
  <c r="N279" i="6" s="1"/>
  <c r="F279" i="6"/>
  <c r="G279" i="6" s="1"/>
  <c r="M278" i="6"/>
  <c r="F278" i="6"/>
  <c r="G278" i="6" s="1"/>
  <c r="N278" i="6" s="1"/>
  <c r="M277" i="6"/>
  <c r="F277" i="6"/>
  <c r="G277" i="6" s="1"/>
  <c r="N276" i="6"/>
  <c r="M276" i="6"/>
  <c r="G276" i="6"/>
  <c r="F276" i="6"/>
  <c r="M275" i="6"/>
  <c r="N275" i="6" s="1"/>
  <c r="F275" i="6"/>
  <c r="G275" i="6" s="1"/>
  <c r="M274" i="6"/>
  <c r="F274" i="6"/>
  <c r="G274" i="6" s="1"/>
  <c r="M273" i="6"/>
  <c r="G273" i="6"/>
  <c r="F273" i="6"/>
  <c r="M272" i="6"/>
  <c r="F272" i="6"/>
  <c r="G272" i="6" s="1"/>
  <c r="M271" i="6"/>
  <c r="N271" i="6" s="1"/>
  <c r="F271" i="6"/>
  <c r="G271" i="6" s="1"/>
  <c r="M270" i="6"/>
  <c r="F270" i="6"/>
  <c r="M269" i="6"/>
  <c r="N269" i="6" s="1"/>
  <c r="G269" i="6"/>
  <c r="F269" i="6"/>
  <c r="N268" i="6"/>
  <c r="M268" i="6"/>
  <c r="F268" i="6"/>
  <c r="G268" i="6" s="1"/>
  <c r="M267" i="6"/>
  <c r="F267" i="6"/>
  <c r="G267" i="6" s="1"/>
  <c r="M266" i="6"/>
  <c r="F266" i="6"/>
  <c r="G266" i="6" s="1"/>
  <c r="N265" i="6"/>
  <c r="M265" i="6"/>
  <c r="G265" i="6"/>
  <c r="F265" i="6"/>
  <c r="N264" i="6"/>
  <c r="M264" i="6"/>
  <c r="F264" i="6"/>
  <c r="G264" i="6" s="1"/>
  <c r="M263" i="6"/>
  <c r="G263" i="6"/>
  <c r="N263" i="6" s="1"/>
  <c r="F263" i="6"/>
  <c r="M262" i="6"/>
  <c r="F262" i="6"/>
  <c r="G262" i="6" s="1"/>
  <c r="M261" i="6"/>
  <c r="G261" i="6"/>
  <c r="F261" i="6"/>
  <c r="M260" i="6"/>
  <c r="G260" i="6"/>
  <c r="F260" i="6"/>
  <c r="M259" i="6"/>
  <c r="G259" i="6"/>
  <c r="F259" i="6"/>
  <c r="M258" i="6"/>
  <c r="F258" i="6"/>
  <c r="G258" i="6" s="1"/>
  <c r="M257" i="6"/>
  <c r="N257" i="6" s="1"/>
  <c r="F257" i="6"/>
  <c r="G257" i="6" s="1"/>
  <c r="M256" i="6"/>
  <c r="G256" i="6"/>
  <c r="F256" i="6"/>
  <c r="M255" i="6"/>
  <c r="N255" i="6" s="1"/>
  <c r="F255" i="6"/>
  <c r="G255" i="6" s="1"/>
  <c r="M254" i="6"/>
  <c r="N254" i="6" s="1"/>
  <c r="G254" i="6"/>
  <c r="F254" i="6"/>
  <c r="M253" i="6"/>
  <c r="G253" i="6"/>
  <c r="N253" i="6" s="1"/>
  <c r="F253" i="6"/>
  <c r="M252" i="6"/>
  <c r="F252" i="6"/>
  <c r="M251" i="6"/>
  <c r="F251" i="6"/>
  <c r="G251" i="6" s="1"/>
  <c r="M250" i="6"/>
  <c r="N250" i="6" s="1"/>
  <c r="F250" i="6"/>
  <c r="G250" i="6" s="1"/>
  <c r="M249" i="6"/>
  <c r="F249" i="6"/>
  <c r="G249" i="6" s="1"/>
  <c r="N249" i="6" s="1"/>
  <c r="M248" i="6"/>
  <c r="G248" i="6"/>
  <c r="F248" i="6"/>
  <c r="N247" i="6"/>
  <c r="M247" i="6"/>
  <c r="F247" i="6"/>
  <c r="G247" i="6" s="1"/>
  <c r="M246" i="6"/>
  <c r="N246" i="6" s="1"/>
  <c r="G246" i="6"/>
  <c r="F246" i="6"/>
  <c r="M245" i="6"/>
  <c r="G245" i="6"/>
  <c r="F245" i="6"/>
  <c r="M244" i="6"/>
  <c r="N244" i="6" s="1"/>
  <c r="F244" i="6"/>
  <c r="G244" i="6" s="1"/>
  <c r="M243" i="6"/>
  <c r="N243" i="6" s="1"/>
  <c r="G243" i="6"/>
  <c r="F243" i="6"/>
  <c r="M242" i="6"/>
  <c r="N242" i="6" s="1"/>
  <c r="G242" i="6"/>
  <c r="F242" i="6"/>
  <c r="M241" i="6"/>
  <c r="G241" i="6"/>
  <c r="N241" i="6" s="1"/>
  <c r="F241" i="6"/>
  <c r="N240" i="6"/>
  <c r="M240" i="6"/>
  <c r="F240" i="6"/>
  <c r="G240" i="6" s="1"/>
  <c r="M239" i="6"/>
  <c r="F239" i="6"/>
  <c r="G239" i="6" s="1"/>
  <c r="M238" i="6"/>
  <c r="N238" i="6" s="1"/>
  <c r="F238" i="6"/>
  <c r="G238" i="6" s="1"/>
  <c r="M237" i="6"/>
  <c r="F237" i="6"/>
  <c r="M236" i="6"/>
  <c r="G236" i="6"/>
  <c r="F236" i="6"/>
  <c r="M235" i="6"/>
  <c r="G235" i="6"/>
  <c r="N235" i="6" s="1"/>
  <c r="F235" i="6"/>
  <c r="M234" i="6"/>
  <c r="N234" i="6" s="1"/>
  <c r="F234" i="6"/>
  <c r="G234" i="6" s="1"/>
  <c r="M233" i="6"/>
  <c r="G233" i="6"/>
  <c r="F233" i="6"/>
  <c r="M232" i="6"/>
  <c r="N232" i="6" s="1"/>
  <c r="G232" i="6"/>
  <c r="F232" i="6"/>
  <c r="M231" i="6"/>
  <c r="G231" i="6"/>
  <c r="N231" i="6" s="1"/>
  <c r="F231" i="6"/>
  <c r="M230" i="6"/>
  <c r="G230" i="6"/>
  <c r="F230" i="6"/>
  <c r="N229" i="6"/>
  <c r="M229" i="6"/>
  <c r="F229" i="6"/>
  <c r="G229" i="6" s="1"/>
  <c r="M228" i="6"/>
  <c r="G228" i="6"/>
  <c r="F228" i="6"/>
  <c r="M227" i="6"/>
  <c r="F227" i="6"/>
  <c r="G227" i="6" s="1"/>
  <c r="M226" i="6"/>
  <c r="G226" i="6"/>
  <c r="F226" i="6"/>
  <c r="M225" i="6"/>
  <c r="F225" i="6"/>
  <c r="G225" i="6" s="1"/>
  <c r="M224" i="6"/>
  <c r="F224" i="6"/>
  <c r="N223" i="6"/>
  <c r="M223" i="6"/>
  <c r="F223" i="6"/>
  <c r="G223" i="6" s="1"/>
  <c r="N222" i="6"/>
  <c r="M222" i="6"/>
  <c r="G222" i="6"/>
  <c r="F222" i="6"/>
  <c r="M221" i="6"/>
  <c r="N221" i="6" s="1"/>
  <c r="G221" i="6"/>
  <c r="F221" i="6"/>
  <c r="M220" i="6"/>
  <c r="G220" i="6"/>
  <c r="F220" i="6"/>
  <c r="M219" i="6"/>
  <c r="F219" i="6"/>
  <c r="G219" i="6" s="1"/>
  <c r="N219" i="6" s="1"/>
  <c r="M218" i="6"/>
  <c r="G218" i="6"/>
  <c r="F218" i="6"/>
  <c r="M217" i="6"/>
  <c r="F217" i="6"/>
  <c r="G217" i="6" s="1"/>
  <c r="M216" i="6"/>
  <c r="F216" i="6"/>
  <c r="G216" i="6" s="1"/>
  <c r="M215" i="6"/>
  <c r="F215" i="6"/>
  <c r="M214" i="6"/>
  <c r="N214" i="6" s="1"/>
  <c r="G214" i="6"/>
  <c r="F214" i="6"/>
  <c r="M213" i="6"/>
  <c r="G213" i="6"/>
  <c r="F213" i="6"/>
  <c r="N212" i="6"/>
  <c r="M212" i="6"/>
  <c r="F212" i="6"/>
  <c r="G212" i="6" s="1"/>
  <c r="M211" i="6"/>
  <c r="F211" i="6"/>
  <c r="G211" i="6" s="1"/>
  <c r="M210" i="6"/>
  <c r="N210" i="6" s="1"/>
  <c r="G210" i="6"/>
  <c r="F210" i="6"/>
  <c r="M209" i="6"/>
  <c r="G209" i="6"/>
  <c r="N209" i="6" s="1"/>
  <c r="F209" i="6"/>
  <c r="M208" i="6"/>
  <c r="F208" i="6"/>
  <c r="G208" i="6" s="1"/>
  <c r="M207" i="6"/>
  <c r="N207" i="6" s="1"/>
  <c r="G207" i="6"/>
  <c r="F207" i="6"/>
  <c r="M206" i="6"/>
  <c r="N206" i="6" s="1"/>
  <c r="F206" i="6"/>
  <c r="G206" i="6" s="1"/>
  <c r="N205" i="6"/>
  <c r="M205" i="6"/>
  <c r="G205" i="6"/>
  <c r="F205" i="6"/>
  <c r="M204" i="6"/>
  <c r="G204" i="6"/>
  <c r="F204" i="6"/>
  <c r="M203" i="6"/>
  <c r="N203" i="6" s="1"/>
  <c r="G203" i="6"/>
  <c r="F203" i="6"/>
  <c r="M202" i="6"/>
  <c r="F202" i="6"/>
  <c r="M201" i="6"/>
  <c r="N201" i="6" s="1"/>
  <c r="G201" i="6"/>
  <c r="F201" i="6"/>
  <c r="M200" i="6"/>
  <c r="N200" i="6" s="1"/>
  <c r="G200" i="6"/>
  <c r="F200" i="6"/>
  <c r="M199" i="6"/>
  <c r="N199" i="6" s="1"/>
  <c r="G199" i="6"/>
  <c r="F199" i="6"/>
  <c r="N198" i="6"/>
  <c r="M198" i="6"/>
  <c r="G198" i="6"/>
  <c r="F198" i="6"/>
  <c r="M197" i="6"/>
  <c r="N197" i="6" s="1"/>
  <c r="F197" i="6"/>
  <c r="G197" i="6" s="1"/>
  <c r="M196" i="6"/>
  <c r="N196" i="6" s="1"/>
  <c r="F196" i="6"/>
  <c r="G196" i="6" s="1"/>
  <c r="M195" i="6"/>
  <c r="F195" i="6"/>
  <c r="G195" i="6" s="1"/>
  <c r="N195" i="6" s="1"/>
  <c r="M194" i="6"/>
  <c r="N194" i="6" s="1"/>
  <c r="G194" i="6"/>
  <c r="F194" i="6"/>
  <c r="M193" i="6"/>
  <c r="F193" i="6"/>
  <c r="N192" i="6"/>
  <c r="M192" i="6"/>
  <c r="G192" i="6"/>
  <c r="F192" i="6"/>
  <c r="M191" i="6"/>
  <c r="F191" i="6"/>
  <c r="G191" i="6" s="1"/>
  <c r="M190" i="6"/>
  <c r="G190" i="6"/>
  <c r="F190" i="6"/>
  <c r="M189" i="6"/>
  <c r="F189" i="6"/>
  <c r="G189" i="6" s="1"/>
  <c r="M188" i="6"/>
  <c r="N188" i="6" s="1"/>
  <c r="G188" i="6"/>
  <c r="F188" i="6"/>
  <c r="M187" i="6"/>
  <c r="G187" i="6"/>
  <c r="F187" i="6"/>
  <c r="M186" i="6"/>
  <c r="G186" i="6"/>
  <c r="N186" i="6" s="1"/>
  <c r="F186" i="6"/>
  <c r="M185" i="6"/>
  <c r="N185" i="6" s="1"/>
  <c r="F185" i="6"/>
  <c r="G185" i="6" s="1"/>
  <c r="N184" i="6"/>
  <c r="M184" i="6"/>
  <c r="F184" i="6"/>
  <c r="G184" i="6" s="1"/>
  <c r="M183" i="6"/>
  <c r="G183" i="6"/>
  <c r="F183" i="6"/>
  <c r="M182" i="6"/>
  <c r="F182" i="6"/>
  <c r="M181" i="6"/>
  <c r="F181" i="6"/>
  <c r="M180" i="6"/>
  <c r="F180" i="6"/>
  <c r="G180" i="6" s="1"/>
  <c r="M179" i="6"/>
  <c r="F179" i="6"/>
  <c r="G179" i="6" s="1"/>
  <c r="M178" i="6"/>
  <c r="F178" i="6"/>
  <c r="G178" i="6" s="1"/>
  <c r="N178" i="6" s="1"/>
  <c r="M177" i="6"/>
  <c r="N177" i="6" s="1"/>
  <c r="G177" i="6"/>
  <c r="F177" i="6"/>
  <c r="M176" i="6"/>
  <c r="N176" i="6" s="1"/>
  <c r="F176" i="6"/>
  <c r="G176" i="6" s="1"/>
  <c r="M175" i="6"/>
  <c r="G175" i="6"/>
  <c r="F175" i="6"/>
  <c r="M174" i="6"/>
  <c r="N174" i="6" s="1"/>
  <c r="G174" i="6"/>
  <c r="F174" i="6"/>
  <c r="M173" i="6"/>
  <c r="G173" i="6"/>
  <c r="F173" i="6"/>
  <c r="M172" i="6"/>
  <c r="N172" i="6" s="1"/>
  <c r="F172" i="6"/>
  <c r="G172" i="6" s="1"/>
  <c r="M171" i="6"/>
  <c r="F171" i="6"/>
  <c r="M170" i="6"/>
  <c r="G170" i="6"/>
  <c r="F170" i="6"/>
  <c r="M169" i="6"/>
  <c r="F169" i="6"/>
  <c r="M168" i="6"/>
  <c r="N168" i="6" s="1"/>
  <c r="G168" i="6"/>
  <c r="F168" i="6"/>
  <c r="M167" i="6"/>
  <c r="F167" i="6"/>
  <c r="G167" i="6" s="1"/>
  <c r="M166" i="6"/>
  <c r="N166" i="6" s="1"/>
  <c r="G166" i="6"/>
  <c r="F166" i="6"/>
  <c r="M165" i="6"/>
  <c r="N165" i="6" s="1"/>
  <c r="F165" i="6"/>
  <c r="G165" i="6" s="1"/>
  <c r="M164" i="6"/>
  <c r="F164" i="6"/>
  <c r="M163" i="6"/>
  <c r="G163" i="6"/>
  <c r="F163" i="6"/>
  <c r="M162" i="6"/>
  <c r="N162" i="6" s="1"/>
  <c r="G162" i="6"/>
  <c r="F162" i="6"/>
  <c r="M161" i="6"/>
  <c r="F161" i="6"/>
  <c r="G161" i="6" s="1"/>
  <c r="M160" i="6"/>
  <c r="F160" i="6"/>
  <c r="N159" i="6"/>
  <c r="M159" i="6"/>
  <c r="F159" i="6"/>
  <c r="G159" i="6" s="1"/>
  <c r="M158" i="6"/>
  <c r="N158" i="6" s="1"/>
  <c r="G158" i="6"/>
  <c r="F158" i="6"/>
  <c r="N157" i="6"/>
  <c r="M157" i="6"/>
  <c r="F157" i="6"/>
  <c r="G157" i="6" s="1"/>
  <c r="M156" i="6"/>
  <c r="N156" i="6" s="1"/>
  <c r="G156" i="6"/>
  <c r="F156" i="6"/>
  <c r="M155" i="6"/>
  <c r="N155" i="6" s="1"/>
  <c r="G155" i="6"/>
  <c r="F155" i="6"/>
  <c r="M154" i="6"/>
  <c r="F154" i="6"/>
  <c r="N153" i="6"/>
  <c r="M153" i="6"/>
  <c r="F153" i="6"/>
  <c r="G153" i="6" s="1"/>
  <c r="M152" i="6"/>
  <c r="G152" i="6"/>
  <c r="F152" i="6"/>
  <c r="N151" i="6"/>
  <c r="M151" i="6"/>
  <c r="F151" i="6"/>
  <c r="G151" i="6" s="1"/>
  <c r="N150" i="6"/>
  <c r="M150" i="6"/>
  <c r="F150" i="6"/>
  <c r="G150" i="6" s="1"/>
  <c r="M149" i="6"/>
  <c r="F149" i="6"/>
  <c r="N148" i="6"/>
  <c r="M148" i="6"/>
  <c r="F148" i="6"/>
  <c r="G148" i="6" s="1"/>
  <c r="M147" i="6"/>
  <c r="N147" i="6" s="1"/>
  <c r="G147" i="6"/>
  <c r="F147" i="6"/>
  <c r="N146" i="6"/>
  <c r="M146" i="6"/>
  <c r="G146" i="6"/>
  <c r="F146" i="6"/>
  <c r="K145" i="6"/>
  <c r="M145" i="6" s="1"/>
  <c r="F145" i="6"/>
  <c r="M144" i="6"/>
  <c r="N144" i="6" s="1"/>
  <c r="K144" i="6"/>
  <c r="F144" i="6"/>
  <c r="M143" i="6"/>
  <c r="K143" i="6"/>
  <c r="F143" i="6"/>
  <c r="N142" i="6"/>
  <c r="M142" i="6"/>
  <c r="F142" i="6"/>
  <c r="M141" i="6"/>
  <c r="N141" i="6" s="1"/>
  <c r="K141" i="6"/>
  <c r="F141" i="6"/>
  <c r="K140" i="6"/>
  <c r="M140" i="6" s="1"/>
  <c r="N140" i="6" s="1"/>
  <c r="F140" i="6"/>
  <c r="M139" i="6"/>
  <c r="N139" i="6" s="1"/>
  <c r="K139" i="6"/>
  <c r="F139" i="6"/>
  <c r="M138" i="6"/>
  <c r="K138" i="6"/>
  <c r="F138" i="6"/>
  <c r="N138" i="6" s="1"/>
  <c r="K137" i="6"/>
  <c r="M137" i="6" s="1"/>
  <c r="N137" i="6" s="1"/>
  <c r="F137" i="6"/>
  <c r="N136" i="6"/>
  <c r="M136" i="6"/>
  <c r="K136" i="6"/>
  <c r="F136" i="6"/>
  <c r="K135" i="6"/>
  <c r="M135" i="6" s="1"/>
  <c r="N135" i="6" s="1"/>
  <c r="F135" i="6"/>
  <c r="N134" i="6"/>
  <c r="M134" i="6"/>
  <c r="K134" i="6"/>
  <c r="F134" i="6"/>
  <c r="K133" i="6"/>
  <c r="M133" i="6" s="1"/>
  <c r="N133" i="6" s="1"/>
  <c r="F133" i="6"/>
  <c r="K132" i="6"/>
  <c r="M132" i="6" s="1"/>
  <c r="F132" i="6"/>
  <c r="M131" i="6"/>
  <c r="K131" i="6"/>
  <c r="F131" i="6"/>
  <c r="M130" i="6"/>
  <c r="N130" i="6" s="1"/>
  <c r="K130" i="6"/>
  <c r="F130" i="6"/>
  <c r="M129" i="6"/>
  <c r="N129" i="6" s="1"/>
  <c r="K129" i="6"/>
  <c r="F129" i="6"/>
  <c r="M128" i="6"/>
  <c r="N128" i="6" s="1"/>
  <c r="K128" i="6"/>
  <c r="F128" i="6"/>
  <c r="M127" i="6"/>
  <c r="K127" i="6"/>
  <c r="F127" i="6"/>
  <c r="N127" i="6" s="1"/>
  <c r="K126" i="6"/>
  <c r="M126" i="6" s="1"/>
  <c r="N126" i="6" s="1"/>
  <c r="F126" i="6"/>
  <c r="K125" i="6"/>
  <c r="M125" i="6" s="1"/>
  <c r="N125" i="6" s="1"/>
  <c r="F125" i="6"/>
  <c r="M124" i="6"/>
  <c r="N124" i="6" s="1"/>
  <c r="F124" i="6"/>
  <c r="G124" i="6" s="1"/>
  <c r="M123" i="6"/>
  <c r="N123" i="6" s="1"/>
  <c r="G123" i="6"/>
  <c r="F123" i="6"/>
  <c r="N122" i="6"/>
  <c r="M122" i="6"/>
  <c r="G122" i="6"/>
  <c r="F122" i="6"/>
  <c r="M121" i="6"/>
  <c r="G121" i="6"/>
  <c r="F121" i="6"/>
  <c r="M120" i="6"/>
  <c r="F120" i="6"/>
  <c r="G120" i="6" s="1"/>
  <c r="M119" i="6"/>
  <c r="G119" i="6"/>
  <c r="N119" i="6" s="1"/>
  <c r="F119" i="6"/>
  <c r="M118" i="6"/>
  <c r="F118" i="6"/>
  <c r="G118" i="6" s="1"/>
  <c r="M117" i="6"/>
  <c r="F117" i="6"/>
  <c r="G117" i="6" s="1"/>
  <c r="N116" i="6"/>
  <c r="M116" i="6"/>
  <c r="F116" i="6"/>
  <c r="G116" i="6" s="1"/>
  <c r="M115" i="6"/>
  <c r="F115" i="6"/>
  <c r="G115" i="6" s="1"/>
  <c r="M114" i="6"/>
  <c r="N114" i="6" s="1"/>
  <c r="F114" i="6"/>
  <c r="G114" i="6" s="1"/>
  <c r="N113" i="6"/>
  <c r="M113" i="6"/>
  <c r="F113" i="6"/>
  <c r="G113" i="6" s="1"/>
  <c r="M112" i="6"/>
  <c r="N112" i="6" s="1"/>
  <c r="G112" i="6"/>
  <c r="F112" i="6"/>
  <c r="M111" i="6"/>
  <c r="G111" i="6"/>
  <c r="N111" i="6" s="1"/>
  <c r="F111" i="6"/>
  <c r="M110" i="6"/>
  <c r="F110" i="6"/>
  <c r="G110" i="6" s="1"/>
  <c r="M109" i="6"/>
  <c r="F109" i="6"/>
  <c r="G109" i="6" s="1"/>
  <c r="M108" i="6"/>
  <c r="F108" i="6"/>
  <c r="M107" i="6"/>
  <c r="N107" i="6" s="1"/>
  <c r="G107" i="6"/>
  <c r="F107" i="6"/>
  <c r="M106" i="6"/>
  <c r="G106" i="6"/>
  <c r="F106" i="6"/>
  <c r="N106" i="6" s="1"/>
  <c r="M105" i="6"/>
  <c r="F105" i="6"/>
  <c r="M104" i="6"/>
  <c r="F104" i="6"/>
  <c r="G104" i="6" s="1"/>
  <c r="M103" i="6"/>
  <c r="F103" i="6"/>
  <c r="G103" i="6" s="1"/>
  <c r="M102" i="6"/>
  <c r="N102" i="6" s="1"/>
  <c r="G102" i="6"/>
  <c r="F102" i="6"/>
  <c r="M101" i="6"/>
  <c r="F101" i="6"/>
  <c r="G101" i="6" s="1"/>
  <c r="N101" i="6" s="1"/>
  <c r="M100" i="6"/>
  <c r="N100" i="6" s="1"/>
  <c r="G100" i="6"/>
  <c r="F100" i="6"/>
  <c r="M99" i="6"/>
  <c r="N99" i="6" s="1"/>
  <c r="G99" i="6"/>
  <c r="F99" i="6"/>
  <c r="M98" i="6"/>
  <c r="G98" i="6"/>
  <c r="F98" i="6"/>
  <c r="M97" i="6"/>
  <c r="F97" i="6"/>
  <c r="G97" i="6" s="1"/>
  <c r="M96" i="6"/>
  <c r="N96" i="6" s="1"/>
  <c r="G96" i="6"/>
  <c r="F96" i="6"/>
  <c r="M95" i="6"/>
  <c r="G95" i="6"/>
  <c r="F95" i="6"/>
  <c r="N94" i="6"/>
  <c r="M94" i="6"/>
  <c r="F94" i="6"/>
  <c r="G94" i="6" s="1"/>
  <c r="M93" i="6"/>
  <c r="N93" i="6" s="1"/>
  <c r="F93" i="6"/>
  <c r="G93" i="6" s="1"/>
  <c r="M92" i="6"/>
  <c r="F92" i="6"/>
  <c r="G92" i="6" s="1"/>
  <c r="M91" i="6"/>
  <c r="F91" i="6"/>
  <c r="G91" i="6" s="1"/>
  <c r="M90" i="6"/>
  <c r="G90" i="6"/>
  <c r="F90" i="6"/>
  <c r="M89" i="6"/>
  <c r="G89" i="6"/>
  <c r="F89" i="6"/>
  <c r="M88" i="6"/>
  <c r="G88" i="6"/>
  <c r="F88" i="6"/>
  <c r="N87" i="6"/>
  <c r="M87" i="6"/>
  <c r="F87" i="6"/>
  <c r="G87" i="6" s="1"/>
  <c r="M86" i="6"/>
  <c r="N86" i="6" s="1"/>
  <c r="F86" i="6"/>
  <c r="G86" i="6" s="1"/>
  <c r="M85" i="6"/>
  <c r="F85" i="6"/>
  <c r="M84" i="6"/>
  <c r="F84" i="6"/>
  <c r="G84" i="6" s="1"/>
  <c r="M83" i="6"/>
  <c r="F83" i="6"/>
  <c r="M82" i="6"/>
  <c r="G82" i="6"/>
  <c r="F82" i="6"/>
  <c r="M81" i="6"/>
  <c r="F81" i="6"/>
  <c r="G81" i="6" s="1"/>
  <c r="M80" i="6"/>
  <c r="N80" i="6" s="1"/>
  <c r="F80" i="6"/>
  <c r="G80" i="6" s="1"/>
  <c r="M79" i="6"/>
  <c r="N79" i="6" s="1"/>
  <c r="G79" i="6"/>
  <c r="F79" i="6"/>
  <c r="M78" i="6"/>
  <c r="N78" i="6" s="1"/>
  <c r="G78" i="6"/>
  <c r="F78" i="6"/>
  <c r="M77" i="6"/>
  <c r="F77" i="6"/>
  <c r="G77" i="6" s="1"/>
  <c r="M76" i="6"/>
  <c r="G76" i="6"/>
  <c r="N76" i="6" s="1"/>
  <c r="F76" i="6"/>
  <c r="M75" i="6"/>
  <c r="G75" i="6"/>
  <c r="F75" i="6"/>
  <c r="N74" i="6"/>
  <c r="M74" i="6"/>
  <c r="G74" i="6"/>
  <c r="F74" i="6"/>
  <c r="M73" i="6"/>
  <c r="F73" i="6"/>
  <c r="N72" i="6"/>
  <c r="M72" i="6"/>
  <c r="F72" i="6"/>
  <c r="G72" i="6" s="1"/>
  <c r="M71" i="6"/>
  <c r="N71" i="6" s="1"/>
  <c r="F71" i="6"/>
  <c r="G71" i="6" s="1"/>
  <c r="M70" i="6"/>
  <c r="N70" i="6" s="1"/>
  <c r="F70" i="6"/>
  <c r="G70" i="6" s="1"/>
  <c r="M69" i="6"/>
  <c r="F69" i="6"/>
  <c r="G69" i="6" s="1"/>
  <c r="N68" i="6"/>
  <c r="M68" i="6"/>
  <c r="G68" i="6"/>
  <c r="F68" i="6"/>
  <c r="M67" i="6"/>
  <c r="G67" i="6"/>
  <c r="N67" i="6" s="1"/>
  <c r="F67" i="6"/>
  <c r="M66" i="6"/>
  <c r="F66" i="6"/>
  <c r="G66" i="6" s="1"/>
  <c r="M65" i="6"/>
  <c r="N65" i="6" s="1"/>
  <c r="G65" i="6"/>
  <c r="F65" i="6"/>
  <c r="M64" i="6"/>
  <c r="F64" i="6"/>
  <c r="G64" i="6" s="1"/>
  <c r="N64" i="6" s="1"/>
  <c r="M63" i="6"/>
  <c r="G63" i="6"/>
  <c r="F63" i="6"/>
  <c r="M62" i="6"/>
  <c r="G62" i="6"/>
  <c r="N62" i="6" s="1"/>
  <c r="F62" i="6"/>
  <c r="N61" i="6"/>
  <c r="M61" i="6"/>
  <c r="F61" i="6"/>
  <c r="G61" i="6" s="1"/>
  <c r="M60" i="6"/>
  <c r="N60" i="6" s="1"/>
  <c r="G60" i="6"/>
  <c r="F60" i="6"/>
  <c r="N59" i="6"/>
  <c r="M59" i="6"/>
  <c r="G59" i="6"/>
  <c r="F59" i="6"/>
  <c r="M58" i="6"/>
  <c r="N58" i="6" s="1"/>
  <c r="F58" i="6"/>
  <c r="G58" i="6" s="1"/>
  <c r="M57" i="6"/>
  <c r="F57" i="6"/>
  <c r="M56" i="6"/>
  <c r="N56" i="6" s="1"/>
  <c r="G56" i="6"/>
  <c r="F56" i="6"/>
  <c r="M55" i="6"/>
  <c r="F55" i="6"/>
  <c r="G55" i="6" s="1"/>
  <c r="M54" i="6"/>
  <c r="F54" i="6"/>
  <c r="G54" i="6" s="1"/>
  <c r="N53" i="6"/>
  <c r="M53" i="6"/>
  <c r="G53" i="6"/>
  <c r="F53" i="6"/>
  <c r="M52" i="6"/>
  <c r="G52" i="6"/>
  <c r="F52" i="6"/>
  <c r="M51" i="6"/>
  <c r="F51" i="6"/>
  <c r="G51" i="6" s="1"/>
  <c r="N51" i="6" s="1"/>
  <c r="N50" i="6"/>
  <c r="M50" i="6"/>
  <c r="F50" i="6"/>
  <c r="G50" i="6" s="1"/>
  <c r="M49" i="6"/>
  <c r="F49" i="6"/>
  <c r="M48" i="6"/>
  <c r="F48" i="6"/>
  <c r="G48" i="6" s="1"/>
  <c r="M47" i="6"/>
  <c r="N47" i="6" s="1"/>
  <c r="F47" i="6"/>
  <c r="G47" i="6" s="1"/>
  <c r="M46" i="6"/>
  <c r="N46" i="6" s="1"/>
  <c r="F46" i="6"/>
  <c r="G46" i="6" s="1"/>
  <c r="M45" i="6"/>
  <c r="N45" i="6" s="1"/>
  <c r="G45" i="6"/>
  <c r="F45" i="6"/>
  <c r="M44" i="6"/>
  <c r="G44" i="6"/>
  <c r="F44" i="6"/>
  <c r="M43" i="6"/>
  <c r="G43" i="6"/>
  <c r="N43" i="6" s="1"/>
  <c r="F43" i="6"/>
  <c r="M42" i="6"/>
  <c r="F42" i="6"/>
  <c r="G42" i="6" s="1"/>
  <c r="M41" i="6"/>
  <c r="F41" i="6"/>
  <c r="G41" i="6" s="1"/>
  <c r="N41" i="6" s="1"/>
  <c r="N40" i="6"/>
  <c r="M40" i="6"/>
  <c r="F40" i="6"/>
  <c r="M39" i="6"/>
  <c r="N39" i="6" s="1"/>
  <c r="F39" i="6"/>
  <c r="M38" i="6"/>
  <c r="N38" i="6" s="1"/>
  <c r="F38" i="6"/>
  <c r="N37" i="6"/>
  <c r="M37" i="6"/>
  <c r="F37" i="6"/>
  <c r="N36" i="6"/>
  <c r="M36" i="6"/>
  <c r="F36" i="6"/>
  <c r="M35" i="6"/>
  <c r="N35" i="6" s="1"/>
  <c r="F35" i="6"/>
  <c r="N34" i="6"/>
  <c r="M34" i="6"/>
  <c r="F34" i="6"/>
  <c r="M33" i="6"/>
  <c r="F33" i="6"/>
  <c r="M32" i="6"/>
  <c r="N32" i="6" s="1"/>
  <c r="F32" i="6"/>
  <c r="M31" i="6"/>
  <c r="F31" i="6"/>
  <c r="N31" i="6" s="1"/>
  <c r="N30" i="6"/>
  <c r="M30" i="6"/>
  <c r="F30" i="6"/>
  <c r="M29" i="6"/>
  <c r="N29" i="6" s="1"/>
  <c r="F29" i="6"/>
  <c r="M28" i="6"/>
  <c r="F28" i="6"/>
  <c r="N28" i="6" s="1"/>
  <c r="M27" i="6"/>
  <c r="F27" i="6"/>
  <c r="N26" i="6"/>
  <c r="M26" i="6"/>
  <c r="F26" i="6"/>
  <c r="M25" i="6"/>
  <c r="F25" i="6"/>
  <c r="N24" i="6"/>
  <c r="M24" i="6"/>
  <c r="F24" i="6"/>
  <c r="M23" i="6"/>
  <c r="F23" i="6"/>
  <c r="M22" i="6"/>
  <c r="F22" i="6"/>
  <c r="N22" i="6" s="1"/>
  <c r="M21" i="6"/>
  <c r="F21" i="6"/>
  <c r="N21" i="6" s="1"/>
  <c r="M20" i="6"/>
  <c r="N20" i="6" s="1"/>
  <c r="F20" i="6"/>
  <c r="M19" i="6"/>
  <c r="N19" i="6" s="1"/>
  <c r="F19" i="6"/>
  <c r="M18" i="6"/>
  <c r="F18" i="6"/>
  <c r="M17" i="6"/>
  <c r="N17" i="6" s="1"/>
  <c r="F17" i="6"/>
  <c r="M16" i="6"/>
  <c r="N16" i="6" s="1"/>
  <c r="F16" i="6"/>
  <c r="M15" i="6"/>
  <c r="F15" i="6"/>
  <c r="N15" i="6" s="1"/>
  <c r="M14" i="6"/>
  <c r="F14" i="6"/>
  <c r="N14" i="6" s="1"/>
  <c r="M13" i="6"/>
  <c r="N13" i="6" s="1"/>
  <c r="F13" i="6"/>
  <c r="M12" i="6"/>
  <c r="N12" i="6" s="1"/>
  <c r="F12" i="6"/>
  <c r="N11" i="6"/>
  <c r="M11" i="6"/>
  <c r="F11" i="6"/>
  <c r="M10" i="6"/>
  <c r="N10" i="6" s="1"/>
  <c r="F10" i="6"/>
  <c r="M9" i="6"/>
  <c r="F9" i="6"/>
  <c r="N9" i="6" s="1"/>
  <c r="M8" i="6"/>
  <c r="N8" i="6" s="1"/>
  <c r="F8" i="6"/>
  <c r="N7" i="6"/>
  <c r="M7" i="6"/>
  <c r="F7" i="6"/>
  <c r="M6" i="6"/>
  <c r="F6" i="6"/>
  <c r="N6" i="6" s="1"/>
  <c r="M5" i="6"/>
  <c r="N5" i="6" s="1"/>
  <c r="F5" i="6"/>
  <c r="M4" i="6"/>
  <c r="N4" i="6" s="1"/>
  <c r="F4" i="6"/>
  <c r="M3" i="6"/>
  <c r="N3" i="6" s="1"/>
  <c r="F3" i="6"/>
  <c r="N870" i="6" l="1"/>
  <c r="N117" i="6"/>
  <c r="N208" i="6"/>
  <c r="N109" i="6"/>
  <c r="N462" i="6"/>
  <c r="N864" i="6"/>
  <c r="N456" i="6"/>
  <c r="N1084" i="6"/>
  <c r="N1078" i="6"/>
  <c r="N103" i="6"/>
  <c r="N509" i="6"/>
  <c r="N280" i="6"/>
  <c r="N566" i="6"/>
  <c r="G576" i="6"/>
  <c r="N576" i="6" s="1"/>
  <c r="G647" i="6"/>
  <c r="N647" i="6" s="1"/>
  <c r="N82" i="6"/>
  <c r="N90" i="6"/>
  <c r="N220" i="6"/>
  <c r="N251" i="6"/>
  <c r="N267" i="6"/>
  <c r="N369" i="6"/>
  <c r="N639" i="6"/>
  <c r="N697" i="6"/>
  <c r="N773" i="6"/>
  <c r="N833" i="6"/>
  <c r="G1160" i="6"/>
  <c r="N1160" i="6" s="1"/>
  <c r="G1518" i="6"/>
  <c r="N1518" i="6"/>
  <c r="G252" i="6"/>
  <c r="N252" i="6"/>
  <c r="N152" i="6"/>
  <c r="G160" i="6"/>
  <c r="N160" i="6" s="1"/>
  <c r="N260" i="6"/>
  <c r="N673" i="6"/>
  <c r="N816" i="6"/>
  <c r="N904" i="6"/>
  <c r="N980" i="6"/>
  <c r="N75" i="6"/>
  <c r="N145" i="6"/>
  <c r="N387" i="6"/>
  <c r="N427" i="6"/>
  <c r="N443" i="6"/>
  <c r="N765" i="6"/>
  <c r="N972" i="6"/>
  <c r="G1441" i="6"/>
  <c r="N1441" i="6" s="1"/>
  <c r="N213" i="6"/>
  <c r="G237" i="6"/>
  <c r="N237" i="6" s="1"/>
  <c r="N522" i="6"/>
  <c r="G757" i="6"/>
  <c r="N757" i="6"/>
  <c r="N800" i="6"/>
  <c r="G972" i="6"/>
  <c r="N1108" i="6"/>
  <c r="N1179" i="6"/>
  <c r="N1558" i="6"/>
  <c r="N1581" i="6"/>
  <c r="G1581" i="6"/>
  <c r="N84" i="6"/>
  <c r="G193" i="6"/>
  <c r="N193" i="6" s="1"/>
  <c r="G732" i="6"/>
  <c r="N732" i="6"/>
  <c r="N809" i="6"/>
  <c r="G1180" i="6"/>
  <c r="N1180" i="6"/>
  <c r="G49" i="6"/>
  <c r="N49" i="6"/>
  <c r="N85" i="6"/>
  <c r="G154" i="6"/>
  <c r="N154" i="6"/>
  <c r="N468" i="6"/>
  <c r="G784" i="6"/>
  <c r="N784" i="6" s="1"/>
  <c r="G1761" i="6"/>
  <c r="N1761" i="6"/>
  <c r="N230" i="6"/>
  <c r="N301" i="6"/>
  <c r="G468" i="6"/>
  <c r="G580" i="6"/>
  <c r="N580" i="6"/>
  <c r="N767" i="6"/>
  <c r="N801" i="6"/>
  <c r="N1000" i="6"/>
  <c r="N1827" i="6"/>
  <c r="N171" i="6"/>
  <c r="G454" i="6"/>
  <c r="N454" i="6"/>
  <c r="N626" i="6"/>
  <c r="G923" i="6"/>
  <c r="N923" i="6" s="1"/>
  <c r="N992" i="6"/>
  <c r="N1290" i="6"/>
  <c r="N1434" i="6"/>
  <c r="N1885" i="6"/>
  <c r="N54" i="6"/>
  <c r="N69" i="6"/>
  <c r="G171" i="6"/>
  <c r="N215" i="6"/>
  <c r="G215" i="6"/>
  <c r="N429" i="6"/>
  <c r="G509" i="6"/>
  <c r="N516" i="6"/>
  <c r="N876" i="6"/>
  <c r="N899" i="6"/>
  <c r="N1043" i="6"/>
  <c r="N1101" i="6"/>
  <c r="G1290" i="6"/>
  <c r="N1353" i="6"/>
  <c r="G1727" i="6"/>
  <c r="N1727" i="6"/>
  <c r="G1780" i="6"/>
  <c r="N1780" i="6"/>
  <c r="G1867" i="6"/>
  <c r="N1867" i="6"/>
  <c r="G319" i="6"/>
  <c r="N319" i="6" s="1"/>
  <c r="N493" i="6"/>
  <c r="N1797" i="6"/>
  <c r="N1875" i="6"/>
  <c r="N187" i="6"/>
  <c r="G224" i="6"/>
  <c r="N224" i="6"/>
  <c r="N357" i="6"/>
  <c r="N382" i="6"/>
  <c r="N854" i="6"/>
  <c r="N984" i="6"/>
  <c r="N1085" i="6"/>
  <c r="N1325" i="6"/>
  <c r="N1789" i="6"/>
  <c r="N95" i="6"/>
  <c r="N180" i="6"/>
  <c r="G202" i="6"/>
  <c r="N202" i="6" s="1"/>
  <c r="N303" i="6"/>
  <c r="N311" i="6"/>
  <c r="G350" i="6"/>
  <c r="N350" i="6" s="1"/>
  <c r="G510" i="6"/>
  <c r="N510" i="6"/>
  <c r="N533" i="6"/>
  <c r="N556" i="6"/>
  <c r="N596" i="6"/>
  <c r="N669" i="6"/>
  <c r="G718" i="6"/>
  <c r="N718" i="6"/>
  <c r="N900" i="6"/>
  <c r="N1010" i="6"/>
  <c r="N1044" i="6"/>
  <c r="G1062" i="6"/>
  <c r="N1062" i="6" s="1"/>
  <c r="G1436" i="6"/>
  <c r="N1436" i="6" s="1"/>
  <c r="N118" i="6"/>
  <c r="G164" i="6"/>
  <c r="N164" i="6" s="1"/>
  <c r="G312" i="6"/>
  <c r="N312" i="6"/>
  <c r="N612" i="6"/>
  <c r="N734" i="6"/>
  <c r="N787" i="6"/>
  <c r="N863" i="6"/>
  <c r="G976" i="6"/>
  <c r="N976" i="6" s="1"/>
  <c r="N1071" i="6"/>
  <c r="G1729" i="6"/>
  <c r="N1729" i="6" s="1"/>
  <c r="G1745" i="6"/>
  <c r="N1745" i="6"/>
  <c r="G1773" i="6"/>
  <c r="N1773" i="6"/>
  <c r="N23" i="6"/>
  <c r="N48" i="6"/>
  <c r="G181" i="6"/>
  <c r="N181" i="6" s="1"/>
  <c r="N217" i="6"/>
  <c r="N225" i="6"/>
  <c r="N272" i="6"/>
  <c r="N295" i="6"/>
  <c r="N383" i="6"/>
  <c r="G448" i="6"/>
  <c r="N448" i="6"/>
  <c r="G479" i="6"/>
  <c r="N479" i="6" s="1"/>
  <c r="N620" i="6"/>
  <c r="N805" i="6"/>
  <c r="N878" i="6"/>
  <c r="N1027" i="6"/>
  <c r="G1215" i="6"/>
  <c r="N1215" i="6" s="1"/>
  <c r="G1283" i="6"/>
  <c r="N1283" i="6"/>
  <c r="N1326" i="6"/>
  <c r="N1413" i="6"/>
  <c r="N1618" i="6"/>
  <c r="N1782" i="6"/>
  <c r="N173" i="6"/>
  <c r="N391" i="6"/>
  <c r="N590" i="6"/>
  <c r="N710" i="6"/>
  <c r="G727" i="6"/>
  <c r="N727" i="6" s="1"/>
  <c r="N735" i="6"/>
  <c r="G878" i="6"/>
  <c r="N967" i="6"/>
  <c r="G281" i="6"/>
  <c r="N281" i="6" s="1"/>
  <c r="G367" i="6"/>
  <c r="N367" i="6" s="1"/>
  <c r="N487" i="6"/>
  <c r="N495" i="6"/>
  <c r="G590" i="6"/>
  <c r="N662" i="6"/>
  <c r="N1167" i="6"/>
  <c r="N33" i="6"/>
  <c r="G73" i="6"/>
  <c r="N73" i="6" s="1"/>
  <c r="N182" i="6"/>
  <c r="N189" i="6"/>
  <c r="N273" i="6"/>
  <c r="N329" i="6"/>
  <c r="N336" i="6"/>
  <c r="G433" i="6"/>
  <c r="N433" i="6" s="1"/>
  <c r="G566" i="6"/>
  <c r="N614" i="6"/>
  <c r="N789" i="6"/>
  <c r="G848" i="6"/>
  <c r="N848" i="6" s="1"/>
  <c r="G1020" i="6"/>
  <c r="N1020" i="6" s="1"/>
  <c r="N1037" i="6"/>
  <c r="G1310" i="6"/>
  <c r="N1310" i="6" s="1"/>
  <c r="N1508" i="6"/>
  <c r="G1516" i="6"/>
  <c r="N1516" i="6"/>
  <c r="G182" i="6"/>
  <c r="N258" i="6"/>
  <c r="G329" i="6"/>
  <c r="G614" i="6"/>
  <c r="N654" i="6"/>
  <c r="G1217" i="6"/>
  <c r="N1217" i="6"/>
  <c r="N1695" i="6"/>
  <c r="N97" i="6"/>
  <c r="N274" i="6"/>
  <c r="N401" i="6"/>
  <c r="N528" i="6"/>
  <c r="N544" i="6"/>
  <c r="N551" i="6"/>
  <c r="N591" i="6"/>
  <c r="N696" i="6"/>
  <c r="N703" i="6"/>
  <c r="N720" i="6"/>
  <c r="N823" i="6"/>
  <c r="N1226" i="6"/>
  <c r="N88" i="6"/>
  <c r="N175" i="6"/>
  <c r="N266" i="6"/>
  <c r="G402" i="6"/>
  <c r="N402" i="6"/>
  <c r="G672" i="6"/>
  <c r="N672" i="6"/>
  <c r="G1218" i="6"/>
  <c r="N1218" i="6"/>
  <c r="N1235" i="6"/>
  <c r="N92" i="6"/>
  <c r="N653" i="6"/>
  <c r="G772" i="6"/>
  <c r="N772" i="6"/>
  <c r="N1515" i="6"/>
  <c r="N1777" i="6"/>
  <c r="N44" i="6"/>
  <c r="G149" i="6"/>
  <c r="N149" i="6" s="1"/>
  <c r="N170" i="6"/>
  <c r="N233" i="6"/>
  <c r="N248" i="6"/>
  <c r="N364" i="6"/>
  <c r="N430" i="6"/>
  <c r="N498" i="6"/>
  <c r="N579" i="6"/>
  <c r="N911" i="6"/>
  <c r="G975" i="6"/>
  <c r="N975" i="6" s="1"/>
  <c r="N1040" i="6"/>
  <c r="N1305" i="6"/>
  <c r="G1515" i="6"/>
  <c r="N1760" i="6"/>
  <c r="G1777" i="6"/>
  <c r="N227" i="6"/>
  <c r="N256" i="6"/>
  <c r="N292" i="6"/>
  <c r="N307" i="6"/>
  <c r="N365" i="6"/>
  <c r="N534" i="6"/>
  <c r="N564" i="6"/>
  <c r="N708" i="6"/>
  <c r="N749" i="6"/>
  <c r="N897" i="6"/>
  <c r="N929" i="6"/>
  <c r="G985" i="6"/>
  <c r="N985" i="6" s="1"/>
  <c r="N1008" i="6"/>
  <c r="G1025" i="6"/>
  <c r="N1025" i="6" s="1"/>
  <c r="G1129" i="6"/>
  <c r="N1129" i="6"/>
  <c r="N1248" i="6"/>
  <c r="N1297" i="6"/>
  <c r="N1457" i="6"/>
  <c r="N1478" i="6"/>
  <c r="N66" i="6"/>
  <c r="G108" i="6"/>
  <c r="N108" i="6"/>
  <c r="N115" i="6"/>
  <c r="N300" i="6"/>
  <c r="N315" i="6"/>
  <c r="N424" i="6"/>
  <c r="N455" i="6"/>
  <c r="N557" i="6"/>
  <c r="N701" i="6"/>
  <c r="N782" i="6"/>
  <c r="G782" i="6"/>
  <c r="N905" i="6"/>
  <c r="G953" i="6"/>
  <c r="N953" i="6" s="1"/>
  <c r="G1009" i="6"/>
  <c r="N1009" i="6" s="1"/>
  <c r="N1184" i="6"/>
  <c r="G1457" i="6"/>
  <c r="N1486" i="6"/>
  <c r="G1548" i="6"/>
  <c r="N1548" i="6" s="1"/>
  <c r="N143" i="6"/>
  <c r="G425" i="6"/>
  <c r="N425" i="6"/>
  <c r="N447" i="6"/>
  <c r="G477" i="6"/>
  <c r="N477" i="6" s="1"/>
  <c r="N500" i="6"/>
  <c r="N542" i="6"/>
  <c r="G725" i="6"/>
  <c r="N725" i="6"/>
  <c r="G766" i="6"/>
  <c r="N766" i="6" s="1"/>
  <c r="N861" i="6"/>
  <c r="G930" i="6"/>
  <c r="N930" i="6" s="1"/>
  <c r="N1001" i="6"/>
  <c r="N1068" i="6"/>
  <c r="N1100" i="6"/>
  <c r="G1185" i="6"/>
  <c r="N1185" i="6" s="1"/>
  <c r="N1450" i="6"/>
  <c r="G1611" i="6"/>
  <c r="N1611" i="6"/>
  <c r="G1753" i="6"/>
  <c r="N1753" i="6" s="1"/>
  <c r="G444" i="6"/>
  <c r="N444" i="6"/>
  <c r="N525" i="6"/>
  <c r="G569" i="6"/>
  <c r="N569" i="6" s="1"/>
  <c r="N585" i="6"/>
  <c r="N917" i="6"/>
  <c r="N1038" i="6"/>
  <c r="N1072" i="6"/>
  <c r="N1197" i="6"/>
  <c r="N1271" i="6"/>
  <c r="G1311" i="6"/>
  <c r="N1311" i="6" s="1"/>
  <c r="G1537" i="6"/>
  <c r="N1537" i="6" s="1"/>
  <c r="N561" i="6"/>
  <c r="G57" i="6"/>
  <c r="N57" i="6" s="1"/>
  <c r="G327" i="6"/>
  <c r="N327" i="6"/>
  <c r="N934" i="6"/>
  <c r="N1022" i="6"/>
  <c r="N1064" i="6"/>
  <c r="N1141" i="6"/>
  <c r="N728" i="6"/>
  <c r="G169" i="6"/>
  <c r="N169" i="6" s="1"/>
  <c r="N289" i="6"/>
  <c r="N239" i="6"/>
  <c r="N675" i="6"/>
  <c r="N683" i="6"/>
  <c r="N706" i="6"/>
  <c r="N965" i="6"/>
  <c r="N1134" i="6"/>
  <c r="N1304" i="6"/>
  <c r="N1335" i="6"/>
  <c r="G1462" i="6"/>
  <c r="N1462" i="6"/>
  <c r="N1469" i="6"/>
  <c r="N1583" i="6"/>
  <c r="G1793" i="6"/>
  <c r="N1793" i="6"/>
  <c r="N1363" i="6"/>
  <c r="N1421" i="6"/>
  <c r="N1544" i="6"/>
  <c r="N1853" i="6"/>
  <c r="N1898" i="6"/>
  <c r="N25" i="6"/>
  <c r="N42" i="6"/>
  <c r="N132" i="6"/>
  <c r="N325" i="6"/>
  <c r="N412" i="6"/>
  <c r="N981" i="6"/>
  <c r="G981" i="6"/>
  <c r="N1054" i="6"/>
  <c r="N1203" i="6"/>
  <c r="N1211" i="6"/>
  <c r="N377" i="6"/>
  <c r="N465" i="6"/>
  <c r="N532" i="6"/>
  <c r="N538" i="6"/>
  <c r="N721" i="6"/>
  <c r="N849" i="6"/>
  <c r="N857" i="6"/>
  <c r="N1005" i="6"/>
  <c r="N1126" i="6"/>
  <c r="G1204" i="6"/>
  <c r="N1204" i="6"/>
  <c r="G1212" i="6"/>
  <c r="N1212" i="6" s="1"/>
  <c r="N1327" i="6"/>
  <c r="G1446" i="6"/>
  <c r="N1446" i="6"/>
  <c r="N1468" i="6"/>
  <c r="N1646" i="6"/>
  <c r="N1766" i="6"/>
  <c r="N63" i="6"/>
  <c r="G105" i="6"/>
  <c r="N105" i="6"/>
  <c r="N190" i="6"/>
  <c r="N370" i="6"/>
  <c r="N421" i="6"/>
  <c r="N436" i="6"/>
  <c r="N77" i="6"/>
  <c r="G85" i="6"/>
  <c r="N91" i="6"/>
  <c r="N98" i="6"/>
  <c r="N183" i="6"/>
  <c r="N261" i="6"/>
  <c r="N282" i="6"/>
  <c r="N298" i="6"/>
  <c r="N399" i="6"/>
  <c r="N652" i="6"/>
  <c r="N691" i="6"/>
  <c r="G730" i="6"/>
  <c r="N730" i="6" s="1"/>
  <c r="G738" i="6"/>
  <c r="N738" i="6" s="1"/>
  <c r="N191" i="6"/>
  <c r="N211" i="6"/>
  <c r="G298" i="6"/>
  <c r="N363" i="6"/>
  <c r="G400" i="6"/>
  <c r="N400" i="6"/>
  <c r="N497" i="6"/>
  <c r="N526" i="6"/>
  <c r="N27" i="6"/>
  <c r="N120" i="6"/>
  <c r="N163" i="6"/>
  <c r="N320" i="6"/>
  <c r="N348" i="6"/>
  <c r="G356" i="6"/>
  <c r="N356" i="6"/>
  <c r="N578" i="6"/>
  <c r="N586" i="6"/>
  <c r="N593" i="6"/>
  <c r="N661" i="6"/>
  <c r="G661" i="6"/>
  <c r="N763" i="6"/>
  <c r="N795" i="6"/>
  <c r="N843" i="6"/>
  <c r="N888" i="6"/>
  <c r="N959" i="6"/>
  <c r="G1135" i="6"/>
  <c r="N1135" i="6" s="1"/>
  <c r="G1174" i="6"/>
  <c r="N1174" i="6" s="1"/>
  <c r="N1190" i="6"/>
  <c r="N1617" i="6"/>
  <c r="N1624" i="6"/>
  <c r="N1759" i="6"/>
  <c r="N18" i="6"/>
  <c r="N218" i="6"/>
  <c r="N277" i="6"/>
  <c r="N326" i="6"/>
  <c r="N440" i="6"/>
  <c r="N524" i="6"/>
  <c r="N762" i="6"/>
  <c r="N808" i="6"/>
  <c r="N839" i="6"/>
  <c r="N933" i="6"/>
  <c r="N941" i="6"/>
  <c r="N956" i="6"/>
  <c r="N971" i="6"/>
  <c r="N996" i="6"/>
  <c r="N1133" i="6"/>
  <c r="N1148" i="6"/>
  <c r="N1186" i="6"/>
  <c r="G1240" i="6"/>
  <c r="N1240" i="6"/>
  <c r="N1596" i="6"/>
  <c r="G1626" i="6"/>
  <c r="N1626" i="6" s="1"/>
  <c r="N1788" i="6"/>
  <c r="G1857" i="6"/>
  <c r="N1857" i="6"/>
  <c r="N1589" i="6"/>
  <c r="G1683" i="6"/>
  <c r="N1683" i="6" s="1"/>
  <c r="N1734" i="6"/>
  <c r="G1859" i="6"/>
  <c r="N1859" i="6" s="1"/>
  <c r="N167" i="6"/>
  <c r="N226" i="6"/>
  <c r="N245" i="6"/>
  <c r="N328" i="6"/>
  <c r="N491" i="6"/>
  <c r="G499" i="6"/>
  <c r="N499" i="6" s="1"/>
  <c r="N519" i="6"/>
  <c r="N667" i="6"/>
  <c r="N681" i="6"/>
  <c r="N802" i="6"/>
  <c r="N1052" i="6"/>
  <c r="N1060" i="6"/>
  <c r="G1590" i="6"/>
  <c r="N1590" i="6"/>
  <c r="N1709" i="6"/>
  <c r="N1726" i="6"/>
  <c r="N1828" i="6"/>
  <c r="N1851" i="6"/>
  <c r="N1086" i="6"/>
  <c r="N1094" i="6"/>
  <c r="N1102" i="6"/>
  <c r="N1291" i="6"/>
  <c r="N1420" i="6"/>
  <c r="N1494" i="6"/>
  <c r="G1854" i="6"/>
  <c r="N1854" i="6"/>
  <c r="N104" i="6"/>
  <c r="N131" i="6"/>
  <c r="N366" i="6"/>
  <c r="N508" i="6"/>
  <c r="N570" i="6"/>
  <c r="N592" i="6"/>
  <c r="N707" i="6"/>
  <c r="N751" i="6"/>
  <c r="G759" i="6"/>
  <c r="N759" i="6"/>
  <c r="N850" i="6"/>
  <c r="N1047" i="6"/>
  <c r="G1094" i="6"/>
  <c r="N1205" i="6"/>
  <c r="N1252" i="6"/>
  <c r="G1269" i="6"/>
  <c r="N1269" i="6" s="1"/>
  <c r="N1343" i="6"/>
  <c r="G1413" i="6"/>
  <c r="N1577" i="6"/>
  <c r="G1617" i="6"/>
  <c r="N1623" i="6"/>
  <c r="N1653" i="6"/>
  <c r="G1832" i="6"/>
  <c r="N1832" i="6" s="1"/>
  <c r="N1198" i="6"/>
  <c r="N1391" i="6"/>
  <c r="N1428" i="6"/>
  <c r="G1847" i="6"/>
  <c r="N1847" i="6"/>
  <c r="N1899" i="6"/>
  <c r="N216" i="6"/>
  <c r="N236" i="6"/>
  <c r="N262" i="6"/>
  <c r="N318" i="6"/>
  <c r="N396" i="6"/>
  <c r="N488" i="6"/>
  <c r="N722" i="6"/>
  <c r="N752" i="6"/>
  <c r="N799" i="6"/>
  <c r="N947" i="6"/>
  <c r="N954" i="6"/>
  <c r="N1048" i="6"/>
  <c r="N1177" i="6"/>
  <c r="N1213" i="6"/>
  <c r="N1253" i="6"/>
  <c r="N1376" i="6"/>
  <c r="G1391" i="6"/>
  <c r="N1496" i="6"/>
  <c r="N1502" i="6"/>
  <c r="G1747" i="6"/>
  <c r="N1747" i="6"/>
  <c r="G1870" i="6"/>
  <c r="N1870" i="6" s="1"/>
  <c r="N761" i="6"/>
  <c r="N769" i="6"/>
  <c r="G987" i="6"/>
  <c r="N987" i="6" s="1"/>
  <c r="N1238" i="6"/>
  <c r="N1262" i="6"/>
  <c r="N1406" i="6"/>
  <c r="N1640" i="6"/>
  <c r="G1640" i="6"/>
  <c r="N432" i="6"/>
  <c r="N446" i="6"/>
  <c r="N496" i="6"/>
  <c r="N572" i="6"/>
  <c r="N635" i="6"/>
  <c r="N650" i="6"/>
  <c r="G815" i="6"/>
  <c r="N815" i="6"/>
  <c r="N852" i="6"/>
  <c r="N1139" i="6"/>
  <c r="N1154" i="6"/>
  <c r="N1178" i="6"/>
  <c r="G1239" i="6"/>
  <c r="N1239" i="6"/>
  <c r="G1263" i="6"/>
  <c r="N1263" i="6" s="1"/>
  <c r="G1278" i="6"/>
  <c r="N1278" i="6" s="1"/>
  <c r="N1324" i="6"/>
  <c r="N1366" i="6"/>
  <c r="N1392" i="6"/>
  <c r="N1482" i="6"/>
  <c r="N1535" i="6"/>
  <c r="N1556" i="6"/>
  <c r="N1825" i="6"/>
  <c r="G1841" i="6"/>
  <c r="N1841" i="6" s="1"/>
  <c r="N1864" i="6"/>
  <c r="N1480" i="6"/>
  <c r="N81" i="6"/>
  <c r="N478" i="6"/>
  <c r="N543" i="6"/>
  <c r="N582" i="6"/>
  <c r="N609" i="6"/>
  <c r="N636" i="6"/>
  <c r="N657" i="6"/>
  <c r="N692" i="6"/>
  <c r="N776" i="6"/>
  <c r="N804" i="6"/>
  <c r="N873" i="6"/>
  <c r="N1021" i="6"/>
  <c r="N1029" i="6"/>
  <c r="N1255" i="6"/>
  <c r="N1467" i="6"/>
  <c r="N1481" i="6"/>
  <c r="N1540" i="6"/>
  <c r="G1591" i="6"/>
  <c r="N1591" i="6"/>
  <c r="N1740" i="6"/>
  <c r="G1748" i="6"/>
  <c r="N1748" i="6" s="1"/>
  <c r="N1858" i="6"/>
  <c r="G83" i="6"/>
  <c r="N83" i="6"/>
  <c r="N89" i="6"/>
  <c r="N343" i="6"/>
  <c r="N453" i="6"/>
  <c r="N486" i="6"/>
  <c r="N610" i="6"/>
  <c r="N624" i="6"/>
  <c r="N651" i="6"/>
  <c r="N679" i="6"/>
  <c r="N741" i="6"/>
  <c r="N778" i="6"/>
  <c r="N855" i="6"/>
  <c r="N1016" i="6"/>
  <c r="N1031" i="6"/>
  <c r="G1257" i="6"/>
  <c r="N1257" i="6"/>
  <c r="G1287" i="6"/>
  <c r="N1287" i="6"/>
  <c r="N1403" i="6"/>
  <c r="G1534" i="6"/>
  <c r="N1534" i="6" s="1"/>
  <c r="G1644" i="6"/>
  <c r="N1644" i="6"/>
  <c r="N1710" i="6"/>
  <c r="G1781" i="6"/>
  <c r="N1781" i="6"/>
  <c r="N1844" i="6"/>
  <c r="G270" i="6"/>
  <c r="N270" i="6" s="1"/>
  <c r="N302" i="6"/>
  <c r="N594" i="6"/>
  <c r="N607" i="6"/>
  <c r="N684" i="6"/>
  <c r="N731" i="6"/>
  <c r="N999" i="6"/>
  <c r="G999" i="6"/>
  <c r="N1035" i="6"/>
  <c r="N1109" i="6"/>
  <c r="N1359" i="6"/>
  <c r="N1500" i="6"/>
  <c r="N1633" i="6"/>
  <c r="N1706" i="6"/>
  <c r="G1770" i="6"/>
  <c r="N1770" i="6"/>
  <c r="N1856" i="6"/>
  <c r="N457" i="6"/>
  <c r="N530" i="6"/>
  <c r="N574" i="6"/>
  <c r="N588" i="6"/>
  <c r="N648" i="6"/>
  <c r="N656" i="6"/>
  <c r="N775" i="6"/>
  <c r="N817" i="6"/>
  <c r="N824" i="6"/>
  <c r="N1073" i="6"/>
  <c r="N1306" i="6"/>
  <c r="N1378" i="6"/>
  <c r="G1568" i="6"/>
  <c r="N1568" i="6"/>
  <c r="N1849" i="6"/>
  <c r="N55" i="6"/>
  <c r="N161" i="6"/>
  <c r="N179" i="6"/>
  <c r="N204" i="6"/>
  <c r="N228" i="6"/>
  <c r="N259" i="6"/>
  <c r="N296" i="6"/>
  <c r="N354" i="6"/>
  <c r="N419" i="6"/>
  <c r="N451" i="6"/>
  <c r="G471" i="6"/>
  <c r="N471" i="6" s="1"/>
  <c r="N484" i="6"/>
  <c r="N615" i="6"/>
  <c r="N663" i="6"/>
  <c r="N705" i="6"/>
  <c r="N796" i="6"/>
  <c r="N886" i="6"/>
  <c r="N921" i="6"/>
  <c r="N1028" i="6"/>
  <c r="N1059" i="6"/>
  <c r="N1095" i="6"/>
  <c r="N1360" i="6"/>
  <c r="G1409" i="6"/>
  <c r="N1409" i="6" s="1"/>
  <c r="N1453" i="6"/>
  <c r="G1613" i="6"/>
  <c r="N1613" i="6"/>
  <c r="N1404" i="6"/>
  <c r="N1440" i="6"/>
  <c r="N1574" i="6"/>
  <c r="N1610" i="6"/>
  <c r="N1652" i="6"/>
  <c r="N1660" i="6"/>
  <c r="N1685" i="6"/>
  <c r="N1755" i="6"/>
  <c r="N420" i="6"/>
  <c r="N445" i="6"/>
  <c r="N464" i="6"/>
  <c r="N540" i="6"/>
  <c r="N642" i="6"/>
  <c r="N676" i="6"/>
  <c r="N709" i="6"/>
  <c r="N729" i="6"/>
  <c r="N790" i="6"/>
  <c r="N872" i="6"/>
  <c r="N885" i="6"/>
  <c r="N906" i="6"/>
  <c r="N920" i="6"/>
  <c r="N940" i="6"/>
  <c r="N966" i="6"/>
  <c r="N1002" i="6"/>
  <c r="N1067" i="6"/>
  <c r="N1220" i="6"/>
  <c r="N1265" i="6"/>
  <c r="G1294" i="6"/>
  <c r="N1294" i="6"/>
  <c r="N1606" i="6"/>
  <c r="G1752" i="6"/>
  <c r="N1752" i="6"/>
  <c r="N1843" i="6"/>
  <c r="N1880" i="6"/>
  <c r="N1089" i="6"/>
  <c r="N1323" i="6"/>
  <c r="N1599" i="6"/>
  <c r="N1816" i="6"/>
  <c r="N52" i="6"/>
  <c r="N288" i="6"/>
  <c r="N314" i="6"/>
  <c r="N819" i="6"/>
  <c r="N826" i="6"/>
  <c r="N1039" i="6"/>
  <c r="N1046" i="6"/>
  <c r="N1069" i="6"/>
  <c r="G1076" i="6"/>
  <c r="N1076" i="6"/>
  <c r="N1207" i="6"/>
  <c r="N1281" i="6"/>
  <c r="N1499" i="6"/>
  <c r="N1557" i="6"/>
  <c r="N1571" i="6"/>
  <c r="N1682" i="6"/>
  <c r="N1796" i="6"/>
  <c r="N1817" i="6"/>
  <c r="G1817" i="6"/>
  <c r="N1831" i="6"/>
  <c r="N830" i="6"/>
  <c r="N943" i="6"/>
  <c r="N950" i="6"/>
  <c r="N989" i="6"/>
  <c r="N1041" i="6"/>
  <c r="N1222" i="6"/>
  <c r="N1292" i="6"/>
  <c r="N1298" i="6"/>
  <c r="G1464" i="6"/>
  <c r="N1464" i="6"/>
  <c r="N1490" i="6"/>
  <c r="N1565" i="6"/>
  <c r="N1655" i="6"/>
  <c r="G1763" i="6"/>
  <c r="N1763" i="6"/>
  <c r="N630" i="6"/>
  <c r="N121" i="6"/>
  <c r="N517" i="6"/>
  <c r="N655" i="6"/>
  <c r="G805" i="6"/>
  <c r="N924" i="6"/>
  <c r="G944" i="6"/>
  <c r="N944" i="6" s="1"/>
  <c r="G1022" i="6"/>
  <c r="N1168" i="6"/>
  <c r="N1229" i="6"/>
  <c r="N1351" i="6"/>
  <c r="N1552" i="6"/>
  <c r="G1614" i="6"/>
  <c r="N1614" i="6"/>
  <c r="N1819" i="6"/>
  <c r="N332" i="6"/>
  <c r="N344" i="6"/>
  <c r="N475" i="6"/>
  <c r="G517" i="6"/>
  <c r="N698" i="6"/>
  <c r="N747" i="6"/>
  <c r="G754" i="6"/>
  <c r="N754" i="6" s="1"/>
  <c r="N880" i="6"/>
  <c r="N1042" i="6"/>
  <c r="N1123" i="6"/>
  <c r="N1258" i="6"/>
  <c r="N1388" i="6"/>
  <c r="N1416" i="6"/>
  <c r="N1538" i="6"/>
  <c r="N1607" i="6"/>
  <c r="N1742" i="6"/>
  <c r="N1771" i="6"/>
  <c r="N1812" i="6"/>
  <c r="N110" i="6"/>
  <c r="N398" i="6"/>
  <c r="N511" i="6"/>
  <c r="N523" i="6"/>
  <c r="N541" i="6"/>
  <c r="N643" i="6"/>
  <c r="G748" i="6"/>
  <c r="N748" i="6"/>
  <c r="N760" i="6"/>
  <c r="N868" i="6"/>
  <c r="N918" i="6"/>
  <c r="N931" i="6"/>
  <c r="N951" i="6"/>
  <c r="N970" i="6"/>
  <c r="N1056" i="6"/>
  <c r="G1063" i="6"/>
  <c r="N1063" i="6"/>
  <c r="G1162" i="6"/>
  <c r="N1162" i="6"/>
  <c r="N1237" i="6"/>
  <c r="N1273" i="6"/>
  <c r="G1279" i="6"/>
  <c r="N1279" i="6" s="1"/>
  <c r="N1382" i="6"/>
  <c r="N1525" i="6"/>
  <c r="N1566" i="6"/>
  <c r="N1656" i="6"/>
  <c r="G1680" i="6"/>
  <c r="N1680" i="6" s="1"/>
  <c r="N1735" i="6"/>
  <c r="N1873" i="6"/>
  <c r="N1079" i="6"/>
  <c r="N1137" i="6"/>
  <c r="N1233" i="6"/>
  <c r="N1411" i="6"/>
  <c r="N1522" i="6"/>
  <c r="N1561" i="6"/>
  <c r="N1620" i="6"/>
  <c r="N1784" i="6"/>
  <c r="N882" i="6"/>
  <c r="N907" i="6"/>
  <c r="N962" i="6"/>
  <c r="G1067" i="6"/>
  <c r="G1086" i="6"/>
  <c r="N1092" i="6"/>
  <c r="N1529" i="6"/>
  <c r="N1736" i="6"/>
  <c r="N321" i="6"/>
  <c r="N442" i="6"/>
  <c r="N563" i="6"/>
  <c r="N846" i="6"/>
  <c r="N993" i="6"/>
  <c r="N1125" i="6"/>
  <c r="N1188" i="6"/>
  <c r="N1254" i="6"/>
  <c r="N1321" i="6"/>
  <c r="N1355" i="6"/>
  <c r="N1379" i="6"/>
  <c r="N1418" i="6"/>
  <c r="N1477" i="6"/>
  <c r="N1555" i="6"/>
  <c r="N1627" i="6"/>
  <c r="N1699" i="6"/>
  <c r="N828" i="6"/>
  <c r="N895" i="6"/>
  <c r="N1018" i="6"/>
  <c r="N1234" i="6"/>
  <c r="N1261" i="6"/>
  <c r="N1328" i="6"/>
  <c r="N1503" i="6"/>
  <c r="N1744" i="6"/>
  <c r="G1792" i="6"/>
  <c r="N1792" i="6" s="1"/>
  <c r="N1874" i="6"/>
  <c r="N1509" i="6"/>
  <c r="N1584" i="6"/>
  <c r="N1621" i="6"/>
  <c r="N1674" i="6"/>
  <c r="N1845" i="6"/>
  <c r="N1878" i="6"/>
  <c r="N786" i="6"/>
  <c r="N822" i="6"/>
  <c r="N1045" i="6"/>
  <c r="N1131" i="6"/>
  <c r="N1333" i="6"/>
  <c r="N1401" i="6"/>
  <c r="N1730" i="6"/>
  <c r="N1801" i="6"/>
  <c r="N1088" i="6"/>
  <c r="N1156" i="6"/>
  <c r="N1244" i="6"/>
  <c r="N1383" i="6"/>
  <c r="N1445" i="6"/>
  <c r="N1476" i="6"/>
  <c r="N1532" i="6"/>
  <c r="N1588" i="6"/>
  <c r="N1671" i="6"/>
  <c r="N1693" i="6"/>
  <c r="N1802" i="6"/>
  <c r="N1821" i="6"/>
  <c r="N1826" i="6"/>
  <c r="N1884" i="6"/>
  <c r="N1690" i="6"/>
  <c r="N632" i="6"/>
  <c r="N753" i="6"/>
  <c r="N874" i="6"/>
  <c r="N995" i="6"/>
  <c r="N1200" i="6"/>
  <c r="N1206" i="6"/>
  <c r="N1370" i="6"/>
  <c r="N1678" i="6"/>
  <c r="N1769" i="6"/>
  <c r="N1823" i="6"/>
  <c r="N1872" i="6"/>
  <c r="N1275" i="6"/>
  <c r="N1790" i="6"/>
  <c r="N1057" i="6"/>
  <c r="N1412" i="6"/>
  <c r="N1533" i="6"/>
  <c r="N1712" i="6"/>
  <c r="N1779" i="6"/>
  <c r="N1815" i="6"/>
  <c r="N1893" i="6"/>
  <c r="N1277" i="6"/>
  <c r="N1746" i="6"/>
  <c r="N1901" i="6"/>
</calcChain>
</file>

<file path=xl/sharedStrings.xml><?xml version="1.0" encoding="utf-8"?>
<sst xmlns="http://schemas.openxmlformats.org/spreadsheetml/2006/main" count="24971" uniqueCount="4137">
  <si>
    <t>Data Element</t>
  </si>
  <si>
    <t>Source</t>
  </si>
  <si>
    <t>Pharmaceutical Name</t>
  </si>
  <si>
    <t>MEPS</t>
  </si>
  <si>
    <t>Average Daily Dosage (μg/day)</t>
  </si>
  <si>
    <t>Average Duration of Prescription (days)</t>
  </si>
  <si>
    <t>Number of Prescriptions</t>
  </si>
  <si>
    <t>InChIKey</t>
  </si>
  <si>
    <t>Molar Mass (g/mol)</t>
  </si>
  <si>
    <t>Molecular Formula</t>
  </si>
  <si>
    <r>
      <t>Boiling Point (</t>
    </r>
    <r>
      <rPr>
        <i/>
        <vertAlign val="superscript"/>
        <sz val="12"/>
        <color theme="1"/>
        <rFont val="Times New Roman"/>
        <family val="1"/>
      </rPr>
      <t>◦</t>
    </r>
    <r>
      <rPr>
        <sz val="12"/>
        <color theme="1"/>
        <rFont val="Times New Roman"/>
        <family val="1"/>
      </rPr>
      <t>C)</t>
    </r>
  </si>
  <si>
    <r>
      <t>Density (g/cm</t>
    </r>
    <r>
      <rPr>
        <vertAlign val="superscript"/>
        <sz val="12"/>
        <color theme="1"/>
        <rFont val="Times New Roman"/>
        <family val="1"/>
      </rPr>
      <t>3</t>
    </r>
    <r>
      <rPr>
        <sz val="12"/>
        <color theme="1"/>
        <rFont val="Times New Roman"/>
        <family val="1"/>
      </rPr>
      <t>)</t>
    </r>
  </si>
  <si>
    <r>
      <t>Flash Point (</t>
    </r>
    <r>
      <rPr>
        <i/>
        <vertAlign val="superscript"/>
        <sz val="12"/>
        <color theme="1"/>
        <rFont val="Times New Roman"/>
        <family val="1"/>
      </rPr>
      <t>◦</t>
    </r>
    <r>
      <rPr>
        <sz val="12"/>
        <color theme="1"/>
        <rFont val="Times New Roman"/>
        <family val="1"/>
      </rPr>
      <t>C)</t>
    </r>
  </si>
  <si>
    <r>
      <t>Henry’s Law Constant (atmꞏm</t>
    </r>
    <r>
      <rPr>
        <vertAlign val="superscript"/>
        <sz val="12"/>
        <color theme="1"/>
        <rFont val="Times New Roman"/>
        <family val="1"/>
      </rPr>
      <t>3</t>
    </r>
    <r>
      <rPr>
        <sz val="12"/>
        <color theme="1"/>
        <rFont val="Times New Roman"/>
        <family val="1"/>
      </rPr>
      <t xml:space="preserve"> / mol)</t>
    </r>
  </si>
  <si>
    <t>Liquid Chromatography Retention Time (min)</t>
  </si>
  <si>
    <r>
      <t>Melting Point (</t>
    </r>
    <r>
      <rPr>
        <i/>
        <vertAlign val="superscript"/>
        <sz val="12"/>
        <color theme="1"/>
        <rFont val="Times New Roman"/>
        <family val="1"/>
      </rPr>
      <t>◦</t>
    </r>
    <r>
      <rPr>
        <sz val="12"/>
        <color theme="1"/>
        <rFont val="Times New Roman"/>
        <family val="1"/>
      </rPr>
      <t>C)</t>
    </r>
  </si>
  <si>
    <r>
      <t>Molar Refractivity (cm</t>
    </r>
    <r>
      <rPr>
        <vertAlign val="superscript"/>
        <sz val="12"/>
        <color theme="1"/>
        <rFont val="Times New Roman"/>
        <family val="1"/>
      </rPr>
      <t>3</t>
    </r>
    <r>
      <rPr>
        <sz val="12"/>
        <color theme="1"/>
        <rFont val="Times New Roman"/>
        <family val="1"/>
      </rPr>
      <t>)</t>
    </r>
  </si>
  <si>
    <r>
      <t>Molar Volume (cm</t>
    </r>
    <r>
      <rPr>
        <vertAlign val="superscript"/>
        <sz val="12"/>
        <color theme="1"/>
        <rFont val="Times New Roman"/>
        <family val="1"/>
      </rPr>
      <t>3</t>
    </r>
    <r>
      <rPr>
        <sz val="12"/>
        <color theme="1"/>
        <rFont val="Times New Roman"/>
        <family val="1"/>
      </rPr>
      <t>)</t>
    </r>
  </si>
  <si>
    <r>
      <t>Polarizability (Å</t>
    </r>
    <r>
      <rPr>
        <vertAlign val="superscript"/>
        <sz val="12"/>
        <color theme="1"/>
        <rFont val="Aptos Narrow"/>
        <family val="2"/>
      </rPr>
      <t>3</t>
    </r>
    <r>
      <rPr>
        <sz val="12"/>
        <color theme="1"/>
        <rFont val="Times New Roman"/>
        <family val="1"/>
      </rPr>
      <t>)</t>
    </r>
  </si>
  <si>
    <t>Surface Tension (dyn/cm)</t>
  </si>
  <si>
    <t>Thermal Conductivity (mW/mꞏK)</t>
  </si>
  <si>
    <t>Vapor Pressure (mmHg)</t>
  </si>
  <si>
    <t>Viscosity (cP)</t>
  </si>
  <si>
    <t>Water Solubility (mol/L)</t>
  </si>
  <si>
    <t>Plants/Algae Median LC50 (μg/L)</t>
  </si>
  <si>
    <t>Vertebrate Median LC50 (μg/L)</t>
  </si>
  <si>
    <t>Human LC50 (μg/L, extrapolated)</t>
  </si>
  <si>
    <t>Plants/Algae Median NOEC (μg/L)</t>
  </si>
  <si>
    <t>Vertebrate Median NOEC (μg/L)</t>
  </si>
  <si>
    <t>Human NOEC (μg/L, extrapolated)</t>
  </si>
  <si>
    <t>Pharmaceutical</t>
  </si>
  <si>
    <t>lactulose</t>
  </si>
  <si>
    <t>DTXSID5045833</t>
  </si>
  <si>
    <t>OC[C@H]1O[C@](O)(CO)[C@@H](O)[C@@H]1O[C@@H]1O[C@H](CO)[C@H](O)[C@H](O)[C@H]1O</t>
  </si>
  <si>
    <t>JCQLYHFGKNRPGE-FCVZTGTOSA-N</t>
  </si>
  <si>
    <t xml:space="preserve">InChI=1S/C12H22O11/c13-1-4-6(16)7(17)8(18)11(21-4)22-9-5(2-14)23-12(20,3-15)10(9)19/h4-11,13-20H,1-3H2/t4-,5-,6+,7+,8-,9-,10+,11+,12-/m1/s1_x000D__x000D_
</t>
  </si>
  <si>
    <t>C12H22O11</t>
  </si>
  <si>
    <t>NA</t>
  </si>
  <si>
    <t>mesalamine</t>
  </si>
  <si>
    <t>DTXSID5024506</t>
  </si>
  <si>
    <t>NC1=CC=C(O)C(=C1)C(O)=O</t>
  </si>
  <si>
    <t>KBOPZPXVLCULAV-UHFFFAOYSA-N</t>
  </si>
  <si>
    <t xml:space="preserve">InChI=1S/C7H7NO3/c8-4-1-2-6(9)5(3-4)7(10)11/h1-3,9H,8H2,(H,10,11)_x000D__x000D_
</t>
  </si>
  <si>
    <t>C7H7NO3</t>
  </si>
  <si>
    <t>ciprofloxacin</t>
  </si>
  <si>
    <t>DTXSID8022824</t>
  </si>
  <si>
    <t>OC(=O)C1=CN(C2CC2)C2=CC(N3CCNCC3)=C(F)C=C2C1=O</t>
  </si>
  <si>
    <t>MYSWGUAQZAJSOK-UHFFFAOYSA-N</t>
  </si>
  <si>
    <t xml:space="preserve">InChI=1S/C17H18FN3O3/c18-13-7-11-14(8-15(13)20-5-3-19-4-6-20)21(10-1-2-10)9-12(16(11)22)17(23)24/h7-10,19H,1-6H2,(H,23,24)_x000D__x000D_
</t>
  </si>
  <si>
    <t>C17H18FN3O3</t>
  </si>
  <si>
    <t>metaxalone</t>
  </si>
  <si>
    <t>DTXSID3023269</t>
  </si>
  <si>
    <t>CC1=CC(OCC2CNC(=O)O2)=CC(C)=C1</t>
  </si>
  <si>
    <t>IMWZZHHPURKASS-UHFFFAOYSA-N</t>
  </si>
  <si>
    <t xml:space="preserve">InChI=1/C12H15NO3/c1-8-3-9(2)5-10(4-8)15-7-11-6-13-12(14)16-11/h3-5,11H,6-7H2,1-2H3,(H,13,14)_x000D__x000D_
</t>
  </si>
  <si>
    <t>C12H15NO3</t>
  </si>
  <si>
    <t>amoxicillin</t>
  </si>
  <si>
    <t>DTXSID3037044</t>
  </si>
  <si>
    <t>[H][C@]12SC(C)(C)[C@@H](N1C(=O)[C@H]2NC(=O)[C@H](N)C1=CC=C(O)C=C1)C(O)=O</t>
  </si>
  <si>
    <t>LSQZJLSUYDQPKJ-NJBDSQKTSA-N</t>
  </si>
  <si>
    <t xml:space="preserve">InChI=1S/C16H19N3O5S/c1-16(2)11(15(23)24)19-13(22)10(14(19)25-16)18-12(21)9(17)7-3-5-8(20)6-4-7/h3-6,9-11,14,20H,17H2,1-2H3,(H,18,21)(H,23,24)/t9-,10-,11+,14-/m1/s1_x000D__x000D_
</t>
  </si>
  <si>
    <t>C16H19N3O5S</t>
  </si>
  <si>
    <t>ibuprofen</t>
  </si>
  <si>
    <t>DTXSID5020732</t>
  </si>
  <si>
    <t>CC(C)CC1=CC=C(C=C1)C(C)C(O)=O</t>
  </si>
  <si>
    <t>HEFNNWSXXWATRW-UHFFFAOYSA-N</t>
  </si>
  <si>
    <t xml:space="preserve">InChI=1/C13H18O2/c1-9(2)8-11-4-6-12(7-5-11)10(3)13(14)15/h4-7,9-10H,8H2,1-3H3,(H,14,15)_x000D__x000D_
</t>
  </si>
  <si>
    <t>C13H18O2</t>
  </si>
  <si>
    <t>bismuth subsalicylate</t>
  </si>
  <si>
    <t>DTXSID6024622</t>
  </si>
  <si>
    <t>O[Bi]1OC(=O)C2=CC=CC=C2O1</t>
  </si>
  <si>
    <t>ZREIPSZUJIFJNP-UHFFFAOYSA-K</t>
  </si>
  <si>
    <t xml:space="preserve">InChI=1S/C7H6O3.Bi.H2O/c8-6-4-2-1-3-5(6)7(9)10;;/h1-4,8H,(H,9,10);;1H2/q;+3;/p-3_x000D__x000D_
</t>
  </si>
  <si>
    <t>C7H5BiO4</t>
  </si>
  <si>
    <t>methocarbamol</t>
  </si>
  <si>
    <t>DTXSID6023286</t>
  </si>
  <si>
    <t>COC1=CC=CC=C1OCC(O)COC(N)=O</t>
  </si>
  <si>
    <t>GNXFOGHNGIVQEH-UHFFFAOYSA-N</t>
  </si>
  <si>
    <t xml:space="preserve">InChI=1/C11H15NO5/c1-15-9-4-2-3-5-10(9)16-6-8(13)7-17-11(12)14/h2-5,8,13H,6-7H2,1H3,(H2,12,14)_x000D__x000D_
</t>
  </si>
  <si>
    <t>C11H15NO5</t>
  </si>
  <si>
    <t>sulfasalazine</t>
  </si>
  <si>
    <t>DTXSID0021256</t>
  </si>
  <si>
    <t>OC(=O)C1=CC(=CC=C1O)N=NC1=CC=C(C=C1)S(=O)(=O)NC1=NC=CC=C1</t>
  </si>
  <si>
    <t>NCEXYHBECQHGNR-UHFFFAOYSA-N</t>
  </si>
  <si>
    <t xml:space="preserve">InChI=1S/C18H14N4O5S/c23-16-9-6-13(11-15(16)18(24)25)21-20-12-4-7-14(8-5-12)28(26,27)22-17-3-1-2-10-19-17/h1-11,23H,(H,19,22)(H,24,25)_x000D__x000D_
</t>
  </si>
  <si>
    <t>C18H14N4O5S</t>
  </si>
  <si>
    <t>cromolyn</t>
  </si>
  <si>
    <t>DTXSID4022860</t>
  </si>
  <si>
    <t>OC(COC1=CC=CC2=C1C(=O)C=C(O2)C(O)=O)COC1=CC=CC2=C1C(=O)C=C(O2)C(O)=O</t>
  </si>
  <si>
    <t>IMZMKUWMOSJXDT-UHFFFAOYSA-N</t>
  </si>
  <si>
    <t xml:space="preserve">InChI=1S/C23H16O11/c24-11(9-31-14-3-1-5-16-20(14)12(25)7-18(33-16)22(27)28)10-32-15-4-2-6-17-21(15)13(26)8-19(34-17)23(29)30/h1-8,11,24H,9-10H2,(H,27,28)(H,29,30)_x000D__x000D_
</t>
  </si>
  <si>
    <t>C23H16O11</t>
  </si>
  <si>
    <t>cephalexin</t>
  </si>
  <si>
    <t>DTXSID9022780</t>
  </si>
  <si>
    <t>CC1=C(N2[C@H](SC1)[C@H](NC(=O)[C@H](N)C1=CC=CC=C1)C2=O)C(O)=O</t>
  </si>
  <si>
    <t>ZAIPMKNFIOOWCQ-UEKVPHQBSA-N</t>
  </si>
  <si>
    <t xml:space="preserve">InChI=1S/C16H17N3O4S/c1-8-7-24-15-11(14(21)19(15)12(8)16(22)23)18-13(20)10(17)9-5-3-2-4-6-9/h2-6,10-11,15H,7,17H2,1H3,(H,18,20)(H,22,23)/t10-,11-,15-/m1/s1_x000D__x000D_
</t>
  </si>
  <si>
    <t>C16H17N3O4S</t>
  </si>
  <si>
    <t>ampicillin</t>
  </si>
  <si>
    <t>DTXSID4022602</t>
  </si>
  <si>
    <t>[H][C@]12SC(C)(C)[C@@H](N1C(=O)[C@H]2NC(=O)[C@H](N)C1=CC=CC=C1)C(O)=O</t>
  </si>
  <si>
    <t>AVKUERGKIZMTKX-NJBDSQKTSA-N</t>
  </si>
  <si>
    <t xml:space="preserve">InChI=1S/C16H19N3O4S/c1-16(2)11(15(22)23)19-13(21)10(14(19)24-16)18-12(20)9(17)8-6-4-3-5-7-8/h3-7,9-11,14H,17H2,1-2H3,(H,18,20)(H,22,23)/t9-,10-,11+,14-/m1/s1_x000D__x000D_
</t>
  </si>
  <si>
    <t>C16H19N3O4S</t>
  </si>
  <si>
    <t>sulfamethoxazole</t>
  </si>
  <si>
    <t>DTXSID8026064</t>
  </si>
  <si>
    <t>CC1=CC(NS(=O)(=O)C2=CC=C(N)C=C2)=NO1</t>
  </si>
  <si>
    <t>JLKIGFTWXXRPMT-UHFFFAOYSA-N</t>
  </si>
  <si>
    <t xml:space="preserve">InChI=1S/C10H11N3O3S/c1-7-6-10(12-16-7)13-17(14,15)9-4-2-8(11)3-5-9/h2-6H,11H2,1H3,(H,12,13)_x000D__x000D_
</t>
  </si>
  <si>
    <t>C10H11N3O3S</t>
  </si>
  <si>
    <t>acetaminophen</t>
  </si>
  <si>
    <t>DTXSID2020006</t>
  </si>
  <si>
    <t>CC(=O)NC1=CC=C(O)C=C1</t>
  </si>
  <si>
    <t>RZVAJINKPMORJF-UHFFFAOYSA-N</t>
  </si>
  <si>
    <t xml:space="preserve">InChI=1S/C8H9NO2/c1-6(10)9-7-2-4-8(11)5-3-7/h2-5,11H,1H3,(H,9,10)_x000D__x000D_
</t>
  </si>
  <si>
    <t>C8H9NO2</t>
  </si>
  <si>
    <t>levetiracetam</t>
  </si>
  <si>
    <t>DTXSID9023207</t>
  </si>
  <si>
    <t>CC[C@H](N1CCCC1=O)C(N)=O</t>
  </si>
  <si>
    <t>HPHUVLMMVZITSG-LURJTMIESA-N</t>
  </si>
  <si>
    <t xml:space="preserve">InChI=1S/C8H14N2O2/c1-2-6(8(9)12)10-5-3-4-7(10)11/h6H,2-5H2,1H3,(H2,9,12)/t6-/m0/s1_x000D__x000D_
</t>
  </si>
  <si>
    <t>C8H14N2O2</t>
  </si>
  <si>
    <t>erythromycin</t>
  </si>
  <si>
    <t>DTXSID4022991</t>
  </si>
  <si>
    <t>CC[C@H]1OC(=O)[C@H](C)[C@@H](O[C@H]2C[C@@](C)(OC)[C@@H](O)[C@H](C)O2)[C@H](C)[C@@H](O[C@@H]2O[C@H](C)C[C@@H]([C@H]2O)N(C)C)[C@](C)(O)C[C@@H](C)C(=O)[C@H](C)[C@@H](O)[C@]1(C)O</t>
  </si>
  <si>
    <t>ULGZDMOVFRHVEP-RWJQBGPGSA-N</t>
  </si>
  <si>
    <t xml:space="preserve">InChI=1S/C37H67NO13/c1-14-25-37(10,45)30(41)20(4)27(39)18(2)16-35(8,44)32(51-34-28(40)24(38(11)12)15-19(3)47-34)21(5)29(22(6)33(43)49-25)50-26-17-36(9,46-13)31(42)23(7)48-26/h18-26,28-32,34,40-42,44-45H,14-17H2,1-13H3/t18-,19-,20+,21+,22-,23+,24+,25-,26+,28-,29+,30-,31+,32-,34+,35-,36-,37-/m1/s1_x000D__x000D_
</t>
  </si>
  <si>
    <t>C37H67NO13</t>
  </si>
  <si>
    <t>mycophenolate mofetil</t>
  </si>
  <si>
    <t>DTXSID3023340</t>
  </si>
  <si>
    <t>COC1=C(C)C2=C(C(=O)OC2)C(O)=C1C\C=C(/C)CCC(=O)OCCN1CCOCC1</t>
  </si>
  <si>
    <t>RTGDFNSFWBGLEC-SYZQJQIISA-N</t>
  </si>
  <si>
    <t xml:space="preserve">InChI=1S/C23H31NO7/c1-15(5-7-19(25)30-13-10-24-8-11-29-12-9-24)4-6-17-21(26)20-18(14-31-23(20)27)16(2)22(17)28-3/h4,26H,5-14H2,1-3H3/b15-4+_x000D__x000D_
</t>
  </si>
  <si>
    <t>C23H31NO7</t>
  </si>
  <si>
    <t>metformin</t>
  </si>
  <si>
    <t>DTXSID2023270</t>
  </si>
  <si>
    <t>CN(C)C(=N)NC(N)=N</t>
  </si>
  <si>
    <t>XZWYZXLIPXDOLR-UHFFFAOYSA-N</t>
  </si>
  <si>
    <t xml:space="preserve">InChI=1S/C4H11N5/c1-9(2)4(7)8-3(5)6/h1-2H3,(H5,5,6,7,8)_x000D__x000D_
</t>
  </si>
  <si>
    <t>C4H11N5</t>
  </si>
  <si>
    <t>oxcarbazepine</t>
  </si>
  <si>
    <t>DTXSID0045703</t>
  </si>
  <si>
    <t>NC(=O)N1C2=CC=CC=C2CC(=O)C2=CC=CC=C12</t>
  </si>
  <si>
    <t>CTRLABGOLIVAIY-UHFFFAOYSA-N</t>
  </si>
  <si>
    <t xml:space="preserve">InChI=1S/C15H12N2O2/c16-15(19)17-12-7-3-1-5-10(12)9-14(18)11-6-2-4-8-13(11)17/h1-8H,9H2,(H2,16,19)_x000D__x000D_
</t>
  </si>
  <si>
    <t>C15H12N2O2</t>
  </si>
  <si>
    <t>valacyclovir</t>
  </si>
  <si>
    <t>DTXSID1023732</t>
  </si>
  <si>
    <t>CC(C)[C@H](N)C(=O)OCCOCN1C=NC2=C1NC(N)=NC2=O</t>
  </si>
  <si>
    <t>HDOVUKNUBWVHOX-QMMMGPOBSA-N</t>
  </si>
  <si>
    <t xml:space="preserve">InChI=1S/C13H20N6O4/c1-7(2)8(14)12(21)23-4-3-22-6-19-5-16-9-10(19)17-13(15)18-11(9)20/h5,7-8H,3-4,6,14H2,1-2H3,(H3,15,17,18,20)/t8-/m0/s1_x000D__x000D_
</t>
  </si>
  <si>
    <t>C13H20N6O4</t>
  </si>
  <si>
    <t>ranolazine</t>
  </si>
  <si>
    <t>DTXSID3045196</t>
  </si>
  <si>
    <t>COC1=C(OCC(O)CN2CCN(CC(=O)NC3=C(C)C=CC=C3C)CC2)C=CC=C1</t>
  </si>
  <si>
    <t>XKLMZUWKNUAPSZ-UHFFFAOYSA-N</t>
  </si>
  <si>
    <t xml:space="preserve">InChI=1/C24H33N3O4/c1-18-7-6-8-19(2)24(18)25-23(29)16-27-13-11-26(12-14-27)15-20(28)17-31-22-10-5-4-9-21(22)30-3/h4-10,20,28H,11-17H2,1-3H3,(H,25,29)_x000D__x000D_
</t>
  </si>
  <si>
    <t>C24H33N3O4</t>
  </si>
  <si>
    <t>penicillin v potassium</t>
  </si>
  <si>
    <t>DTXSID7021102</t>
  </si>
  <si>
    <t>[K+].CC1(C)S[C@@H]2[C@H](NC(=O)COC3=CC=CC=C3)C(=O)N2[C@H]1C([O-])=O</t>
  </si>
  <si>
    <t>HCTVWSOKIJULET-LQDWTQKMSA-M</t>
  </si>
  <si>
    <t xml:space="preserve">InChI=1S/C16H18N2O5S.K/c1-16(2)12(15(21)22)18-13(20)11(14(18)24-16)17-10(19)8-23-9-6-4-3-5-7-9;/h3-7,11-12,14H,8H2,1-2H3,(H,17,19)(H,21,22);/q;+1/p-1/t11-,12+,14-;/m1./s1_x000D__x000D_
</t>
  </si>
  <si>
    <t>C16H17KN2O5S</t>
  </si>
  <si>
    <t>nabumetone</t>
  </si>
  <si>
    <t>DTXSID4045472</t>
  </si>
  <si>
    <t>COC1=CC2=CC=C(CCC(C)=O)C=C2C=C1</t>
  </si>
  <si>
    <t>BLXXJMDCKKHMKV-UHFFFAOYSA-N</t>
  </si>
  <si>
    <t xml:space="preserve">InChI=1S/C15H16O2/c1-11(16)3-4-12-5-6-14-10-15(17-2)8-7-13(14)9-12/h5-10H,3-4H2,1-2H3_x000D__x000D_
</t>
  </si>
  <si>
    <t>C15H16O2</t>
  </si>
  <si>
    <t>guaifenesin</t>
  </si>
  <si>
    <t>DTXSID5023114</t>
  </si>
  <si>
    <t>COC1=CC=CC=C1OCC(O)CO</t>
  </si>
  <si>
    <t>HSRJKNPTNIJEKV-UHFFFAOYSA-N</t>
  </si>
  <si>
    <t xml:space="preserve">InChI=1/C10H14O4/c1-13-9-4-2-3-5-10(9)14-7-8(12)6-11/h2-5,8,11-12H,6-7H2,1H3_x000D__x000D_
</t>
  </si>
  <si>
    <t>C10H14O4</t>
  </si>
  <si>
    <t>gemfibrozil</t>
  </si>
  <si>
    <t>DTXSID0020652</t>
  </si>
  <si>
    <t>CC1=CC(OCCCC(C)(C)C(O)=O)=C(C)C=C1</t>
  </si>
  <si>
    <t>HEMJJKBWTPKOJG-UHFFFAOYSA-N</t>
  </si>
  <si>
    <t xml:space="preserve">InChI=1S/C15H22O3/c1-11-6-7-12(2)13(10-11)18-9-5-8-15(3,4)14(16)17/h6-7,10H,5,8-9H2,1-4H3,(H,16,17)_x000D__x000D_
</t>
  </si>
  <si>
    <t>C15H22O3</t>
  </si>
  <si>
    <t>metronidazole</t>
  </si>
  <si>
    <t>DTXSID2020892</t>
  </si>
  <si>
    <t>CC1=NC=C(N1CCO)[N+]([O-])=O</t>
  </si>
  <si>
    <t>VAOCPAMSLUNLGC-UHFFFAOYSA-N</t>
  </si>
  <si>
    <t xml:space="preserve">InChI=1S/C6H9N3O3/c1-5-7-4-6(9(11)12)8(5)2-3-10/h4,10H,2-3H2,1H3_x000D__x000D_
</t>
  </si>
  <si>
    <t>C6H9N3O3</t>
  </si>
  <si>
    <t>gabapentin</t>
  </si>
  <si>
    <t>DTXSID0020074</t>
  </si>
  <si>
    <t>NCC1(CC(O)=O)CCCCC1</t>
  </si>
  <si>
    <t>UGJMXCAKCUNAIE-UHFFFAOYSA-N</t>
  </si>
  <si>
    <t xml:space="preserve">InChI=1S/C9H17NO2/c10-7-9(6-8(11)12)4-2-1-3-5-9/h1-7,10H2,(H,11,12)_x000D__x000D_
</t>
  </si>
  <si>
    <t>C9H17NO2</t>
  </si>
  <si>
    <t>divalproex sodium</t>
  </si>
  <si>
    <t>DTXSID70227388</t>
  </si>
  <si>
    <t>[Na+].CCCC(CCC)C(O)=O.CCCC(CCC)C([O-])=O</t>
  </si>
  <si>
    <t>MSRILKIQRXUYCT-UHFFFAOYSA-M</t>
  </si>
  <si>
    <t xml:space="preserve">InChI=1S/2C8H16O2.Na/c2*1-3-5-7(6-4-2)8(9)10;/h2*7H,3-6H2,1-2H3,(H,9,10);/q;;+1/p-1_x000D__x000D_
</t>
  </si>
  <si>
    <t>C16H31NaO4</t>
  </si>
  <si>
    <t>clarithromycin</t>
  </si>
  <si>
    <t>DTXSID3022829</t>
  </si>
  <si>
    <t>CC[C@H]1OC(=O)[C@H](C)[C@@H](O[C@H]2C[C@@](C)(OC)[C@@H](O)[C@H](C)O2)[C@H](C)[C@@H](O[C@@H]2O[C@H](C)C[C@@H]([C@H]2O)N(C)C)[C@@](C)(C[C@@H](C)C(=O)[C@H](C)[C@@H](O)[C@]1(C)O)OC</t>
  </si>
  <si>
    <t>AGOYDEPGAOXOCK-KCBOHYOISA-N</t>
  </si>
  <si>
    <t xml:space="preserve">InChI=1S/C38H69NO13/c1-15-26-38(10,45)31(42)21(4)28(40)19(2)17-37(9,47-14)33(52-35-29(41)25(39(11)12)16-20(3)48-35)22(5)30(23(6)34(44)50-26)51-27-18-36(8,46-13)32(43)24(7)49-27/h19-27,29-33,35,41-43,45H,15-18H2,1-14H3/t19-,20-,21+,22+,23-,24+,25+,26-,27+,29-,30+,31-,32+,33-,35+,36-,37-,38-/m1/s1_x000D__x000D_
</t>
  </si>
  <si>
    <t>C38H69NO13</t>
  </si>
  <si>
    <t>naproxen</t>
  </si>
  <si>
    <t>DTXSID4040686</t>
  </si>
  <si>
    <t>COC1=CC2=CC=C(C=C2C=C1)[C@H](C)C(O)=O</t>
  </si>
  <si>
    <t>CMWTZPSULFXXJA-VIFPVBQESA-N</t>
  </si>
  <si>
    <t xml:space="preserve">InChI=1S/C14H14O3/c1-9(14(15)16)10-3-4-12-8-13(17-2)6-5-11(12)7-10/h3-9H,1-2H3,(H,15,16)/t9-/m0/s1_x000D__x000D_
</t>
  </si>
  <si>
    <t>C14H14O3</t>
  </si>
  <si>
    <t>acyclovir</t>
  </si>
  <si>
    <t>DTXSID1022556</t>
  </si>
  <si>
    <t>NC1=NC(=O)C2=C(N1)N(COCCO)C=N2</t>
  </si>
  <si>
    <t>MKUXAQIIEYXACX-UHFFFAOYSA-N</t>
  </si>
  <si>
    <t xml:space="preserve">InChI=1S/C8H11N5O3/c9-8-11-6-5(7(15)12-8)10-3-13(6)4-16-2-1-14/h3,14H,1-2,4H2,(H3,9,11,12,15)_x000D__x000D_
</t>
  </si>
  <si>
    <t>C8H11N5O3</t>
  </si>
  <si>
    <t>cefdinir</t>
  </si>
  <si>
    <t>DTXSID8046084</t>
  </si>
  <si>
    <t>NC1=NC(=CS1)C(=N\O)\C(=O)N[C@H]1[C@H]2SCC(C=C)=C(N2C1=O)C(O)=O</t>
  </si>
  <si>
    <t>RTXOFQZKPXMALH-GHXIOONMSA-N</t>
  </si>
  <si>
    <t xml:space="preserve">InChI=1S/C14H13N5O5S2/c1-2-5-3-25-12-8(11(21)19(12)9(5)13(22)23)17-10(20)7(18-24)6-4-26-14(15)16-6/h2,4,8,12,24H,1,3H2,(H2,15,16)(H,17,20)(H,22,23)/b18-7-/t8-,12-/m1/s1_x000D__x000D_
</t>
  </si>
  <si>
    <t>C14H13N5O5S2</t>
  </si>
  <si>
    <t>clindamycin</t>
  </si>
  <si>
    <t>DTXSID2022836</t>
  </si>
  <si>
    <t>CCC[C@@H]1C[C@H](N(C)C1)C(=O)N[C@H]([C@H](C)Cl)[C@H]1O[C@H](SC)[C@H](O)[C@@H](O)[C@H]1O</t>
  </si>
  <si>
    <t>KDLRVYVGXIQJDK-AWPVFWJPSA-N</t>
  </si>
  <si>
    <t xml:space="preserve">InChI=1S/C18H33ClN2O5S/c1-5-6-10-7-11(21(3)8-10)17(25)20-12(9(2)19)16-14(23)13(22)15(24)18(26-16)27-4/h9-16,18,22-24H,5-8H2,1-4H3,(H,20,25)/t9-,10+,11-,12+,13-,14+,15+,16+,18+/m0/s1_x000D__x000D_
</t>
  </si>
  <si>
    <t>C18H33ClN2O5S</t>
  </si>
  <si>
    <t>cefuroxime</t>
  </si>
  <si>
    <t>DTXSID5022774</t>
  </si>
  <si>
    <t>CO\N=C(/C(=O)N[C@H]1[C@H]2SCC(COC(N)=O)=C(N2C1=O)C(O)=O)C1=CC=CO1</t>
  </si>
  <si>
    <t>JFPVXVDWJQMJEE-IZRZKJBUSA-N</t>
  </si>
  <si>
    <t xml:space="preserve">InChI=1S/C16H16N4O8S/c1-26-19-9(8-3-2-4-27-8)12(21)18-10-13(22)20-11(15(23)24)7(5-28-16(17)25)6-29-14(10)20/h2-4,10,14H,5-6H2,1H3,(H2,17,25)(H,18,21)(H,23,24)/b19-9-/t10-,14-/m1/s1_x000D__x000D_
</t>
  </si>
  <si>
    <t>C16H16N4O8S</t>
  </si>
  <si>
    <t>etodolac</t>
  </si>
  <si>
    <t>DTXSID9020615</t>
  </si>
  <si>
    <t>CCC1=CC=CC2=C1NC1=C2CCOC1(CC)CC(O)=O</t>
  </si>
  <si>
    <t>NNYBQONXHNTVIJ-UHFFFAOYSA-N</t>
  </si>
  <si>
    <t xml:space="preserve">InChI=1/C17H21NO3/c1-3-11-6-5-7-12-13-8-9-21-17(4-2,10-14(19)20)16(13)18-15(11)12/h5-7,18H,3-4,8-10H2,1-2H3,(H,19,20)_x000D__x000D_
</t>
  </si>
  <si>
    <t>C17H21NO3</t>
  </si>
  <si>
    <t>diphenhydramine</t>
  </si>
  <si>
    <t>DTXSID4022949</t>
  </si>
  <si>
    <t>CN(C)CCOC(C1=CC=CC=C1)C1=CC=CC=C1</t>
  </si>
  <si>
    <t>ZZVUWRFHKOJYTH-UHFFFAOYSA-N</t>
  </si>
  <si>
    <t xml:space="preserve">InChI=1S/C17H21NO/c1-18(2)13-14-19-17(15-9-5-3-6-10-15)16-11-7-4-8-12-16/h3-12,17H,13-14H2,1-2H3_x000D__x000D_
</t>
  </si>
  <si>
    <t>C17H21NO</t>
  </si>
  <si>
    <t>carbamazepine</t>
  </si>
  <si>
    <t>DTXSID4022731</t>
  </si>
  <si>
    <t>NC(=O)N1C2=CC=CC=C2C=CC2=C1C=CC=C2</t>
  </si>
  <si>
    <t>FFGPTBGBLSHEPO-UHFFFAOYSA-N</t>
  </si>
  <si>
    <t xml:space="preserve">InChI=1S/C15H12N2O/c16-15(18)17-13-7-3-1-5-11(13)9-10-12-6-2-4-8-14(12)17/h1-10H,(H2,16,18)_x000D__x000D_
</t>
  </si>
  <si>
    <t>C15H12N2O</t>
  </si>
  <si>
    <t>hydrocodone</t>
  </si>
  <si>
    <t>DTXSID8023131</t>
  </si>
  <si>
    <t>[H][C@@]12OC3=C4C(C[C@H]5N(C)CC[C@@]14[C@@]5([H])CCC2=O)=CC=C3OC</t>
  </si>
  <si>
    <t>LLPOLZWFYMWNKH-CMKMFDCUSA-N</t>
  </si>
  <si>
    <t xml:space="preserve">InChI=1S/C18H21NO3/c1-19-8-7-18-11-4-5-13(20)17(18)22-16-14(21-2)6-3-10(15(16)18)9-12(11)19/h3,6,11-12,17H,4-5,7-9H2,1-2H3/t11-,12+,17-,18-/m0/s1_x000D__x000D_
</t>
  </si>
  <si>
    <t>C18H21NO3</t>
  </si>
  <si>
    <t>dorzolamide</t>
  </si>
  <si>
    <t>DTXSID7022960</t>
  </si>
  <si>
    <t>CCN[C@H]1C[C@H](C)S(=O)(=O)C2=C1C=C(S2)S(N)(=O)=O</t>
  </si>
  <si>
    <t>IAVUPMFITXYVAF-XPUUQOCRSA-N</t>
  </si>
  <si>
    <t xml:space="preserve">InChI=1S/C10H16N2O4S3/c1-3-12-8-4-6(2)18(13,14)10-7(8)5-9(17-10)19(11,15)16/h5-6,8,12H,3-4H2,1-2H3,(H2,11,15,16)/t6-,8-/m0/s1_x000D__x000D_
</t>
  </si>
  <si>
    <t>C10H16N2O4S3</t>
  </si>
  <si>
    <t>levofloxacin</t>
  </si>
  <si>
    <t>DTXSID0041060</t>
  </si>
  <si>
    <t>C[C@H]1COC2=C(N3CCN(C)CC3)C(F)=CC3=C2N1C=C(C(O)=O)C3=O</t>
  </si>
  <si>
    <t>GSDSWSVVBLHKDQ-JTQLQIEISA-N</t>
  </si>
  <si>
    <t xml:space="preserve">InChI=1S/C18H20FN3O4/c1-10-9-26-17-14-11(16(23)12(18(24)25)8-22(10)14)7-13(19)15(17)21-5-3-20(2)4-6-21/h7-8,10H,3-6,9H2,1-2H3,(H,24,25)/t10-/m0/s1_x000D__x000D_
</t>
  </si>
  <si>
    <t>C18H20FN3O4</t>
  </si>
  <si>
    <t>oxymetazoline</t>
  </si>
  <si>
    <t>DTXSID3040691</t>
  </si>
  <si>
    <t>CC1=CC(=C(O)C(C)=C1CC1=NCCN1)C(C)(C)C</t>
  </si>
  <si>
    <t>WYWIFABBXFUGLM-UHFFFAOYSA-N</t>
  </si>
  <si>
    <t xml:space="preserve">InChI=1S/C16H24N2O/c1-10-8-13(16(3,4)5)15(19)11(2)12(10)9-14-17-6-7-18-14/h8,19H,6-7,9H2,1-5H3,(H,17,18)_x000D__x000D_
</t>
  </si>
  <si>
    <t>C16H24N2O</t>
  </si>
  <si>
    <t>phenazopyridine</t>
  </si>
  <si>
    <t>DTXSID1023445</t>
  </si>
  <si>
    <t>NC1=CC=C(N=NC2=CC=CC=C2)C(N)=N1</t>
  </si>
  <si>
    <t>QPFYXYFORQJZEC-UHFFFAOYSA-N</t>
  </si>
  <si>
    <t xml:space="preserve">InChI=1S/C11H11N5/c12-10-7-6-9(11(13)14-10)16-15-8-4-2-1-3-5-8/h1-7H,(H4,12,13,14)_x000D__x000D_
</t>
  </si>
  <si>
    <t>C11H11N5</t>
  </si>
  <si>
    <t>labetalol</t>
  </si>
  <si>
    <t>DTXSID2023191</t>
  </si>
  <si>
    <t>CC(CCC1=CC=CC=C1)NCC(O)C1=CC=C(O)C(=C1)C(N)=O</t>
  </si>
  <si>
    <t>SGUAFYQXFOLMHL-UHFFFAOYSA-N</t>
  </si>
  <si>
    <t xml:space="preserve">InChI=1/C19H24N2O3/c1-13(7-8-14-5-3-2-4-6-14)21-12-18(23)15-9-10-17(22)16(11-15)19(20)24/h2-6,9-11,13,18,21-23H,7-8,12H2,1H3,(H2,20,24)_x000D__x000D_
</t>
  </si>
  <si>
    <t>C19H24N2O3</t>
  </si>
  <si>
    <t>benzonatate</t>
  </si>
  <si>
    <t>DTXSID9022655</t>
  </si>
  <si>
    <t>CCCCNC1=CC=C(C=C1)C(=O)OCCOCCOCCOCCOCCOCCOCCOCCOCCOC</t>
  </si>
  <si>
    <t>MAFMQEKGGFWBAB-UHFFFAOYSA-N</t>
  </si>
  <si>
    <t xml:space="preserve">InChI=1S/C30H53NO11/c1-3-4-9-31-29-7-5-28(6-8-29)30(32)42-27-26-41-25-24-40-23-22-39-21-20-38-19-18-37-17-16-36-15-14-35-13-12-34-11-10-33-2/h5-8,31H,3-4,9-27H2,1-2H3_x000D__x000D_
</t>
  </si>
  <si>
    <t>C30H53NO11</t>
  </si>
  <si>
    <t>codeine</t>
  </si>
  <si>
    <t>DTXSID2020341</t>
  </si>
  <si>
    <t>[H][C@@]12OC3=C(OC)C=CC4=C3[C@@]11CCN(C)[C@H](C4)[C@]1([H])C=C[C@@H]2O</t>
  </si>
  <si>
    <t>OROGSEYTTFOCAN-DNJOTXNNSA-N</t>
  </si>
  <si>
    <t xml:space="preserve">InChI=1S/C18H21NO3/c1-19-8-7-18-11-4-5-13(20)17(18)22-16-14(21-2)6-3-10(15(16)18)9-12(11)19/h3-6,11-13,17,20H,7-9H2,1-2H3/t11-,12+,13-,17-,18-/m0/s1_x000D__x000D_
</t>
  </si>
  <si>
    <t>hydroxychloroquine</t>
  </si>
  <si>
    <t>DTXSID8023135</t>
  </si>
  <si>
    <t>CCN(CCO)CCCC(C)NC1=CC=NC2=CC(Cl)=CC=C12</t>
  </si>
  <si>
    <t>XXSMGPRMXLTPCZ-UHFFFAOYSA-N</t>
  </si>
  <si>
    <t xml:space="preserve">InChI=1/C18H26ClN3O/c1-3-22(11-12-23)10-4-5-14(2)21-17-8-9-20-18-13-15(19)6-7-16(17)18/h6-9,13-14,23H,3-5,10-12H2,1-2H3,(H,20,21)_x000D__x000D_
</t>
  </si>
  <si>
    <t>C18H26ClN3O</t>
  </si>
  <si>
    <t>aspirin</t>
  </si>
  <si>
    <t>DTXSID5020108</t>
  </si>
  <si>
    <t>CC(=O)OC1=C(C=CC=C1)C(O)=O</t>
  </si>
  <si>
    <t>BSYNRYMUTXBXSQ-UHFFFAOYSA-N</t>
  </si>
  <si>
    <t xml:space="preserve">InChI=1S/C9H8O4/c1-6(10)13-8-5-3-2-4-7(8)9(11)12/h2-5H,1H3,(H,11,12)_x000D__x000D_
</t>
  </si>
  <si>
    <t>C9H8O4</t>
  </si>
  <si>
    <t>azithromycin</t>
  </si>
  <si>
    <t>DTXSID8030760</t>
  </si>
  <si>
    <t>CC[C@H]1OC(=O)[C@H](C)[C@@H](O[C@H]2C[C@@](C)(OC)[C@@H](O)[C@H](C)O2)[C@H](C)[C@@H](O[C@@H]2O[C@H](C)C[C@@H]([C@H]2O)N(C)C)[C@](C)(O)C[C@@H](C)CN(C)[C@H](C)[C@@H](O)[C@]1(C)O</t>
  </si>
  <si>
    <t>MQTOSJVFKKJCRP-BICOPXKESA-N</t>
  </si>
  <si>
    <t xml:space="preserve">InChI=1S/C38H72N2O12/c1-15-27-38(10,46)31(42)24(6)40(13)19-20(2)17-36(8,45)33(52-35-29(41)26(39(11)12)16-21(3)48-35)22(4)30(23(5)34(44)50-27)51-28-18-37(9,47-14)32(43)25(7)49-28/h20-33,35,41-43,45-46H,15-19H2,1-14H3/t20-,21-,22+,23-,24-,25+,26+,27-,28+,29-,30+,31-,32+,33-,35+,36-,37-,38-/m1/s1_x000D__x000D_
</t>
  </si>
  <si>
    <t>C38H72N2O12</t>
  </si>
  <si>
    <t>trimethoprim</t>
  </si>
  <si>
    <t>DTXSID3023712</t>
  </si>
  <si>
    <t>COC1=CC(CC2=CN=C(N)N=C2N)=CC(OC)=C1OC</t>
  </si>
  <si>
    <t>IEDVJHCEMCRBQM-UHFFFAOYSA-N</t>
  </si>
  <si>
    <t xml:space="preserve">InChI=1S/C14H18N4O3/c1-19-10-5-8(6-11(20-2)12(10)21-3)4-9-7-17-14(16)18-13(9)15/h5-7H,4H2,1-3H3,(H4,15,16,17,18)_x000D__x000D_
</t>
  </si>
  <si>
    <t>C14H18N4O3</t>
  </si>
  <si>
    <t>sulindac</t>
  </si>
  <si>
    <t>DTXSID4023624</t>
  </si>
  <si>
    <t>CC1=C(CC(O)=O)C2=C(C=CC(F)=C2)\C1=C/C1=CC=C(C=C1)S(C)=O</t>
  </si>
  <si>
    <t>MLKXDPUZXIRXEP-MFOYZWKCSA-N</t>
  </si>
  <si>
    <t xml:space="preserve">InChI=1/C20H17FO3S/c1-12-17(9-13-3-6-15(7-4-13)25(2)24)16-8-5-14(21)10-19(16)18(12)11-20(22)23/h3-10H,11H2,1-2H3,(H,22,23)/b17-9-_x000D__x000D_
</t>
  </si>
  <si>
    <t>C20H17FO3S</t>
  </si>
  <si>
    <t>bepotastine</t>
  </si>
  <si>
    <t>DTXSID90904947</t>
  </si>
  <si>
    <t>OC(=O)CCCN1CCC(CC1)O[C@@H](C1=CC=C(Cl)C=C1)C1=NC=CC=C1</t>
  </si>
  <si>
    <t>YWGDOWXRIALTES-NRFANRHFSA-N</t>
  </si>
  <si>
    <t xml:space="preserve">InChI=1S/C21H25ClN2O3/c22-17-8-6-16(7-9-17)21(19-4-1-2-12-23-19)27-18-10-14-24(15-11-18)13-3-5-20(25)26/h1-2,4,6-9,12,18,21H,3,5,10-11,13-15H2,(H,25,26)/t21-/m0/s1_x000D__x000D_
</t>
  </si>
  <si>
    <t>C21H25ClN2O3</t>
  </si>
  <si>
    <t>pregabalin</t>
  </si>
  <si>
    <t>DTXSID1045950</t>
  </si>
  <si>
    <t>CC(C)C[C@H](CN)CC(O)=O, CC(C)CC(CN)CC(O)=O</t>
  </si>
  <si>
    <t>AYXYPKUFHZROOJ-ZETCQYMHSA-N, AYXYPKUFHZROOJ-UHFFFAOYSA-N</t>
  </si>
  <si>
    <t>InChI=1S/C8H17NO2/c1-6(2)3-7(5-9)4-8(10)11/h6-7H,3-5,9H2,1-2H3,(H,10,11)/t7-/m0/s1_x000D__x000D_
, InChI=1/C8H17NO2/c1-6(2)3-7(5-9)4-8(10)11/h6-7H,3-5,9H2,1-2H3,(H,10,11)</t>
  </si>
  <si>
    <t>C8H17NO2</t>
  </si>
  <si>
    <t>phenytoin</t>
  </si>
  <si>
    <t>DTXSID8020541</t>
  </si>
  <si>
    <t>O=C1NC(=O)C(N1)(C1=CC=CC=C1)C1=CC=CC=C1</t>
  </si>
  <si>
    <t>CXOFVDLJLONNDW-UHFFFAOYSA-N</t>
  </si>
  <si>
    <t xml:space="preserve">InChI=1S/C15H12N2O2/c18-13-15(17-14(19)16-13,11-7-3-1-4-8-11)12-9-5-2-6-10-12/h1-10H,(H2,16,17,18,19)_x000D__x000D_
</t>
  </si>
  <si>
    <t>zonisamide</t>
  </si>
  <si>
    <t>DTXSID9046023</t>
  </si>
  <si>
    <t>NS(=O)(=O)CC1=NOC2=C1C=CC=C2</t>
  </si>
  <si>
    <t>UBQNRHZMVUUOMG-UHFFFAOYSA-N</t>
  </si>
  <si>
    <t xml:space="preserve">InChI=1S/C8H8N2O3S/c9-14(11,12)5-7-6-3-1-2-4-8(6)13-10-7/h1-4H,5H2,(H2,9,11,12)_x000D__x000D_
</t>
  </si>
  <si>
    <t>C8H8N2O3S</t>
  </si>
  <si>
    <t>ranitidine</t>
  </si>
  <si>
    <t>DTXSID8045191</t>
  </si>
  <si>
    <t>CNC(NCCSCC1=CC=C(CN(C)C)O1)=C[N+]([O-])=O</t>
  </si>
  <si>
    <t>VMXUWOKSQNHOCA-UHFFFAOYSA-N</t>
  </si>
  <si>
    <t xml:space="preserve">InChI=1S/C13H22N4O3S/c1-14-13(9-17(18)19)15-6-7-21-10-12-5-4-11(20-12)8-16(2)3/h4-5,9,14-15H,6-8,10H2,1-3H3_x000D__x000D_
</t>
  </si>
  <si>
    <t>C13H22N4O3S</t>
  </si>
  <si>
    <t>prednisolone</t>
  </si>
  <si>
    <t>DTXSID9021184</t>
  </si>
  <si>
    <t>[H][C@]12[C@@H](O)C[C@@]3(C)[C@@H](CC[C@]3(O)C(=O)CO)[C@@H]1CCC1=CC(=O)C=C[C@]21C</t>
  </si>
  <si>
    <t>OIGNJSKKLXVSLS-VWUMJDOOSA-N</t>
  </si>
  <si>
    <t xml:space="preserve">InChI=1S/C21H28O5/c1-19-7-5-13(23)9-12(19)3-4-14-15-6-8-21(26,17(25)11-22)20(15,2)10-16(24)18(14)19/h5,7,9,14-16,18,22,24,26H,3-4,6,8,10-11H2,1-2H3/t14-,15-,16-,18+,19-,20-,21-/m0/s1_x000D__x000D_
</t>
  </si>
  <si>
    <t>C21H28O5</t>
  </si>
  <si>
    <t>dabigatran</t>
  </si>
  <si>
    <t>DTXSID50175419</t>
  </si>
  <si>
    <t>CN1C(CNC2=CC=C(C=C2)C(N)=N)=NC2=C1C=CC(=C2)C(=O)N(CCC(O)=O)C1=CC=CC=N1</t>
  </si>
  <si>
    <t>YBSJFWOBGCMAKL-UHFFFAOYSA-N</t>
  </si>
  <si>
    <t xml:space="preserve">InChI=1S/C25H25N7O3/c1-31-20-10-7-17(25(35)32(13-11-23(33)34)21-4-2-3-12-28-21)14-19(20)30-22(31)15-29-18-8-5-16(6-9-18)24(26)27/h2-10,12,14,29H,11,13,15H2,1H3,(H3,26,27)(H,33,34)_x000D__x000D_
</t>
  </si>
  <si>
    <t>C25H25N7O3</t>
  </si>
  <si>
    <t>bupropion</t>
  </si>
  <si>
    <t>DTXSID7022706</t>
  </si>
  <si>
    <t>CC(NC(C)(C)C)C(=O)C1=CC=CC(Cl)=C1</t>
  </si>
  <si>
    <t>SNPPWIUOZRMYNY-UHFFFAOYSA-N</t>
  </si>
  <si>
    <t xml:space="preserve">InChI=1/C13H18ClNO/c1-9(15-13(2,3)4)12(16)10-6-5-7-11(14)8-10/h5-9,15H,1-4H3_x000D__x000D_
</t>
  </si>
  <si>
    <t>C13H18ClNO</t>
  </si>
  <si>
    <t>celecoxib</t>
  </si>
  <si>
    <t>DTXSID0022777</t>
  </si>
  <si>
    <t>CC1=CC=C(C=C1)C1=CC(=NN1C1=CC=C(C=C1)S(N)(=O)=O)C(F)(F)F</t>
  </si>
  <si>
    <t>RZEKVGVHFLEQIL-UHFFFAOYSA-N</t>
  </si>
  <si>
    <t xml:space="preserve">InChI=1S/C17H14F3N3O2S/c1-11-2-4-12(5-3-11)15-10-16(17(18,19)20)22-23(15)13-6-8-14(9-7-13)26(21,24)25/h2-10H,1H3,(H2,21,24,25)_x000D__x000D_
</t>
  </si>
  <si>
    <t>C17H14F3N3O2S</t>
  </si>
  <si>
    <t>quetiapine</t>
  </si>
  <si>
    <t>DTXSID9023546</t>
  </si>
  <si>
    <t>OCCOCCN1CCN(CC1)C1=NC2=C(SC3=C1C=CC=C3)C=CC=C2</t>
  </si>
  <si>
    <t>URKOMYMAXPYINW-UHFFFAOYSA-N</t>
  </si>
  <si>
    <t xml:space="preserve">InChI=1S/C21H25N3O2S/c25-14-16-26-15-13-23-9-11-24(12-10-23)21-17-5-1-3-7-19(17)27-20-8-4-2-6-18(20)22-21/h1-8,25H,9-16H2_x000D__x000D_
</t>
  </si>
  <si>
    <t>C21H25N3O2S</t>
  </si>
  <si>
    <t>clavulanate</t>
  </si>
  <si>
    <t>DTXSID2022830</t>
  </si>
  <si>
    <t>[H][C@@]12CC(=O)N1[C@@H](C(O)=O)\C(O2)=C\CO</t>
  </si>
  <si>
    <t>HZZVJAQRINQKSD-PBFISZAISA-N</t>
  </si>
  <si>
    <t xml:space="preserve">InChI=1S/C8H9NO5/c10-2-1-4-7(8(12)13)9-5(11)3-6(9)14-4/h1,6-7,10H,2-3H2,(H,12,13)/b4-1-/t6-,7-/m1/s1_x000D__x000D_
</t>
  </si>
  <si>
    <t>C8H9NO5</t>
  </si>
  <si>
    <t>terbinafine</t>
  </si>
  <si>
    <t>DTXSID2023640</t>
  </si>
  <si>
    <t>CN(C\C=C\C#CC(C)(C)C)CC1=CC=CC2=C1C=CC=C2</t>
  </si>
  <si>
    <t>DOMXUEMWDBAQBQ-WEVVVXLNSA-N</t>
  </si>
  <si>
    <t xml:space="preserve">InChI=1S/C21H25N/c1-21(2,3)15-8-5-9-16-22(4)17-19-13-10-12-18-11-6-7-14-20(18)19/h5-7,9-14H,16-17H2,1-4H3/b9-5+_x000D__x000D_
</t>
  </si>
  <si>
    <t>C21H25N</t>
  </si>
  <si>
    <t>amiodarone</t>
  </si>
  <si>
    <t>DTXSID7022592</t>
  </si>
  <si>
    <t>CCCCC1=C(C(=O)C2=CC(I)=C(OCCN(CC)CC)C(I)=C2)C2=CC=CC=C2O1</t>
  </si>
  <si>
    <t>IYIKLHRQXLHMJQ-UHFFFAOYSA-N</t>
  </si>
  <si>
    <t xml:space="preserve">InChI=1S/C25H29I2NO3/c1-4-7-11-22-23(18-10-8-9-12-21(18)31-22)24(29)17-15-19(26)25(20(27)16-17)30-14-13-28(5-2)6-3/h8-10,12,15-16H,4-7,11,13-14H2,1-3H3_x000D__x000D_
</t>
  </si>
  <si>
    <t>C25H29I2NO3</t>
  </si>
  <si>
    <t>allopurinol</t>
  </si>
  <si>
    <t>DTXSID4022573</t>
  </si>
  <si>
    <t>O=C1N=CNC2=C1C=NN2</t>
  </si>
  <si>
    <t>OFCNXPDARWKPPY-UHFFFAOYSA-N</t>
  </si>
  <si>
    <t xml:space="preserve">InChI=1S/C5H4N4O/c10-5-3-1-8-9-4(3)6-2-7-5/h1-2H,(H2,6,7,8,9,10)_x000D__x000D_
</t>
  </si>
  <si>
    <t>C5H4N4O</t>
  </si>
  <si>
    <t>lamotrigine</t>
  </si>
  <si>
    <t>DTXSID2023195</t>
  </si>
  <si>
    <t>NC1=NC(N)=C(N=N1)C1=CC=CC(Cl)=C1Cl</t>
  </si>
  <si>
    <t>PYZRQGJRPPTADH-UHFFFAOYSA-N</t>
  </si>
  <si>
    <t xml:space="preserve">InChI=1S/C9H7Cl2N5/c10-5-3-1-2-4(6(5)11)7-8(12)14-9(13)16-15-7/h1-3H,(H4,12,13,14,16)_x000D__x000D_
</t>
  </si>
  <si>
    <t>C9H7Cl2N5</t>
  </si>
  <si>
    <t>diltiazem</t>
  </si>
  <si>
    <t>DTXSID50881104</t>
  </si>
  <si>
    <t>COC1=CC=C(C=C1)C1SC2=CC=CC=C2N(CCN(C)C)C(=O)C1OC(C)=O, COC1=CC=C(C=C1)[C@@H]1SC2=CC=CC=C2N(CCN(C)C)C(=O)[C@@H]1OC(C)=O</t>
  </si>
  <si>
    <t>HSUGRBWQSSZJOP-UHFFFAOYSA-N, HSUGRBWQSSZJOP-RTWAWAEBSA-N</t>
  </si>
  <si>
    <t>InChI=1/C22H26N2O4S/c1-15(25)28-20-21(16-9-11-17(27-4)12-10-16)29-19-8-6-5-7-18(19)24(22(20)26)14-13-23(2)3/h5-12,20-21H,13-14H2,1-4H3_x000D__x000D_
, InChI=1S/C22H26N2O4S/c1-15(25)28-20-21(16-9-11-17(27-4)12-10-16)29-19-8-6-5-7-18(19)24(22(20)26)14-13-23(2)3/h5-12,20-21H,13-14H2,1-4H3/t20-,21+/m1/s1</t>
  </si>
  <si>
    <t>C22H26N2O4S</t>
  </si>
  <si>
    <t>pseudoephedrine</t>
  </si>
  <si>
    <t>DTXSID0023537</t>
  </si>
  <si>
    <t>CN[C@@H](C)[C@@H](O)C1=CC=CC=C1</t>
  </si>
  <si>
    <t>KWGRBVOPPLSCSI-WCBMZHEXSA-N</t>
  </si>
  <si>
    <t xml:space="preserve">InChI=1S/C10H15NO/c1-8(11-2)10(12)9-6-4-3-5-7-9/h3-8,10-12H,1-2H3/t8-,10+/m0/s1_x000D__x000D_
</t>
  </si>
  <si>
    <t>C10H15NO</t>
  </si>
  <si>
    <t>modafinil</t>
  </si>
  <si>
    <t>DTXSID0023329</t>
  </si>
  <si>
    <t>NC(=O)CS(=O)C(C1=CC=CC=C1)C1=CC=CC=C1</t>
  </si>
  <si>
    <t>YFGHCGITMMYXAQ-UHFFFAOYSA-N</t>
  </si>
  <si>
    <t xml:space="preserve">InChI=1/C15H15NO2S/c16-14(17)11-19(18)15(12-7-3-1-4-8-12)13-9-5-2-6-10-13/h1-10,15H,11H2,(H2,16,17)_x000D__x000D_
</t>
  </si>
  <si>
    <t>C15H15NO2S</t>
  </si>
  <si>
    <t>canagliflozin</t>
  </si>
  <si>
    <t>DTXSID601004469</t>
  </si>
  <si>
    <t>CC1=C(CC2=CC=C(S2)C2=CC=C(F)C=C2)C=C(C=C1)[C@@H]1O[C@H](CO)[C@@H](O)[C@H](O)[C@H]1O</t>
  </si>
  <si>
    <t>XTNGUQKDFGDXSJ-ZXGKGEBGSA-N</t>
  </si>
  <si>
    <t xml:space="preserve">InChI=1S/C24H25FO5S/c1-13-2-3-15(24-23(29)22(28)21(27)19(12-26)30-24)10-16(13)11-18-8-9-20(31-18)14-4-6-17(25)7-5-14/h2-10,19,21-24,26-29H,11-12H2,1H3/t19-,21-,22+,23-,24+/m1/s1_x000D__x000D_
</t>
  </si>
  <si>
    <t>C24H25FO5S</t>
  </si>
  <si>
    <t>verapamil</t>
  </si>
  <si>
    <t>DTXSID9041152</t>
  </si>
  <si>
    <t>COC1=CC=C(CCN(C)CCCC(C#N)(C(C)C)C2=CC=C(OC)C(OC)=C2)C=C1OC</t>
  </si>
  <si>
    <t>SGTNSNPWRIOYBX-UHFFFAOYSA-N</t>
  </si>
  <si>
    <t xml:space="preserve">InChI=1/C27H38N2O4/c1-20(2)27(19-28,22-10-12-24(31-5)26(18-22)33-7)14-8-15-29(3)16-13-21-9-11-23(30-4)25(17-21)32-6/h9-12,17-18,20H,8,13-16H2,1-7H3_x000D__x000D_
</t>
  </si>
  <si>
    <t>C27H38N2O4</t>
  </si>
  <si>
    <t>irbesartan</t>
  </si>
  <si>
    <t>DTXSID0023169</t>
  </si>
  <si>
    <t>CCCCC1=NC2(CCCC2)C(=O)N1CC1=CC=C(C=C1)C1=CC=CC=C1C1=NN=NN1</t>
  </si>
  <si>
    <t>YOSHYTLCDANDAN-UHFFFAOYSA-N</t>
  </si>
  <si>
    <t xml:space="preserve">InChI=1S/C25H28N6O/c1-2-3-10-22-26-25(15-6-7-16-25)24(32)31(22)17-18-11-13-19(14-12-18)20-8-4-5-9-21(20)23-27-29-30-28-23/h4-5,8-9,11-14H,2-3,6-7,10,15-17H2,1H3,(H,27,28,29,30)_x000D__x000D_
</t>
  </si>
  <si>
    <t>C25H28N6O</t>
  </si>
  <si>
    <t>fexofenadine</t>
  </si>
  <si>
    <t>DTXSID00861411</t>
  </si>
  <si>
    <t>CC(C)(C(O)=O)C1=CC=C(C=C1)C(O)CCCN1CCC(CC1)C(O)(C1=CC=CC=C1)C1=CC=CC=C1</t>
  </si>
  <si>
    <t>RWTNPBWLLIMQHL-UHFFFAOYSA-N</t>
  </si>
  <si>
    <t xml:space="preserve">InChI=1/C32H39NO4/c1-31(2,30(35)36)25-17-15-24(16-18-25)29(34)14-9-21-33-22-19-28(20-23-33)32(37,26-10-5-3-6-11-26)27-12-7-4-8-13-27/h3-8,10-13,15-18,28-29,34,37H,9,14,19-23H2,1-2H3,(H,35,36)_x000D__x000D_
</t>
  </si>
  <si>
    <t>C32H39NO4</t>
  </si>
  <si>
    <t>flurbiprofen</t>
  </si>
  <si>
    <t>DTXSID0037231</t>
  </si>
  <si>
    <t>CC(C(O)=O)C1=CC=C(C(F)=C1)C1=CC=CC=C1</t>
  </si>
  <si>
    <t>SYTBZMRGLBWNTM-UHFFFAOYSA-N</t>
  </si>
  <si>
    <t xml:space="preserve">InChI=1/C15H13FO2/c1-10(15(17)18)12-7-8-13(14(16)9-12)11-5-3-2-4-6-11/h2-10H,1H3,(H,17,18)_x000D__x000D_
</t>
  </si>
  <si>
    <t>C15H13FO2</t>
  </si>
  <si>
    <t>sotalol</t>
  </si>
  <si>
    <t>DTXSID0023589</t>
  </si>
  <si>
    <t>CC(C)NCC(O)C1=CC=C(NS(C)(=O)=O)C=C1</t>
  </si>
  <si>
    <t>ZBMZVLHSJCTVON-UHFFFAOYSA-N</t>
  </si>
  <si>
    <t xml:space="preserve">InChI=1/C12H20N2O3S/c1-9(2)13-8-12(15)10-4-6-11(7-5-10)14-18(3,16)17/h4-7,9,12-15H,8H2,1-3H3_x000D__x000D_
</t>
  </si>
  <si>
    <t>C12H20N2O3S</t>
  </si>
  <si>
    <t>docusate</t>
  </si>
  <si>
    <t>DTXSID1044279</t>
  </si>
  <si>
    <t>CCCCC(CC)COC(=O)CC(C(=O)OCC(CC)CCCC)S(O)(=O)=O</t>
  </si>
  <si>
    <t>HNSDLXPSAYFUHK-UHFFFAOYSA-N</t>
  </si>
  <si>
    <t xml:space="preserve">InChI=1/C20H38O7S/c1-5-9-11-16(7-3)14-26-19(21)13-18(28(23,24)25)20(22)27-15-17(8-4)12-10-6-2/h16-18H,5-15H2,1-4H3,(H,23,24,25)_x000D__x000D_
</t>
  </si>
  <si>
    <t>C20H38O7S</t>
  </si>
  <si>
    <t>valsartan</t>
  </si>
  <si>
    <t>DTXSID6023735</t>
  </si>
  <si>
    <t>CCCCC(=O)N(CC1=CC=C(C=C1)C1=CC=CC=C1C1=NN=NN1)[C@@H](C(C)C)C(O)=O</t>
  </si>
  <si>
    <t>ACWBQPMHZXGDFX-QFIPXVFZSA-N</t>
  </si>
  <si>
    <t xml:space="preserve">InChI=1S/C24H29N5O3/c1-4-5-10-21(30)29(22(16(2)3)24(31)32)15-17-11-13-18(14-12-17)19-8-6-7-9-20(19)23-25-27-28-26-23/h6-9,11-14,16,22H,4-5,10,15H2,1-3H3,(H,31,32)(H,25,26,27,28)/t22-/m0/s1_x000D__x000D_
</t>
  </si>
  <si>
    <t>C24H29N5O3</t>
  </si>
  <si>
    <t>tramadol</t>
  </si>
  <si>
    <t>DTXSID90858931</t>
  </si>
  <si>
    <t>COC1=CC=CC(=C1)[C@@]1(O)CCCC[C@@H]1CN(C)C</t>
  </si>
  <si>
    <t>TVYLLZQTGLZFBW-ZBFHGGJFSA-N</t>
  </si>
  <si>
    <t xml:space="preserve">InChI=1/C16H25NO2/c1-17(2)12-14-7-4-5-10-16(14,18)13-8-6-9-15(11-13)19-3/h6,8-9,11,14,18H,4-5,7,10,12H2,1-3H3/t14-,16+/s2_x000D__x000D_
</t>
  </si>
  <si>
    <t>C16H25NO2</t>
  </si>
  <si>
    <t>ticagrelor</t>
  </si>
  <si>
    <t>DTXSID901009337</t>
  </si>
  <si>
    <t>CCCSC1=NC2=C(N=NN2[C@@H]2C[C@H](OCCO)[C@@H](O)[C@H]2O)C(N[C@@H]2C[C@H]2C2=CC=C(F)C(F)=C2)=N1</t>
  </si>
  <si>
    <t>OEKWJQXRCDYSHL-FNOIDJSQSA-N</t>
  </si>
  <si>
    <t xml:space="preserve">InChI=1S/C23H28F2N6O4S/c1-2-7-36-23-27-21(26-15-9-12(15)11-3-4-13(24)14(25)8-11)18-22(28-23)31(30-29-18)16-10-17(35-6-5-32)20(34)19(16)33/h3-4,8,12,15-17,19-20,32-34H,2,5-7,9-10H2,1H3,(H,26,27,28)/t12-,15+,16+,17-,19-,20+/m0/s1_x000D__x000D_
</t>
  </si>
  <si>
    <t>C23H28F2N6O4S</t>
  </si>
  <si>
    <t>flecainide</t>
  </si>
  <si>
    <t>DTXSID8023054</t>
  </si>
  <si>
    <t>FC(F)(F)COC1=CC(C(=O)NCC2CCCCN2)=C(OCC(F)(F)F)C=C1</t>
  </si>
  <si>
    <t>DJBNUMBKLMJRSA-UHFFFAOYSA-N</t>
  </si>
  <si>
    <t xml:space="preserve">InChI=1/C17H20F6N2O3/c18-16(19,20)9-27-12-4-5-14(28-10-17(21,22)23)13(7-12)15(26)25-8-11-3-1-2-6-24-11/h4-5,7,11,24H,1-3,6,8-10H2,(H,25,26)_x000D__x000D_
</t>
  </si>
  <si>
    <t>C17H20F6N2O3</t>
  </si>
  <si>
    <t>minocycline</t>
  </si>
  <si>
    <t>DTXSID1045033</t>
  </si>
  <si>
    <t>CN(C)[C@H]1[C@@H]2C[C@@H]3CC4=C(C(O)=CC=C4N(C)C)C(=O)C3=C(O)[C@]2(O)C(=O)C(C(N)=O)=C1O</t>
  </si>
  <si>
    <t>DYKFCLLONBREIL-KVUCHLLUSA-N</t>
  </si>
  <si>
    <t xml:space="preserve">InChI=1S/C23H27N3O7/c1-25(2)12-5-6-13(27)15-10(12)7-9-8-11-17(26(3)4)19(29)16(22(24)32)21(31)23(11,33)20(30)14(9)18(15)28/h5-6,9,11,17,27,29-30,33H,7-8H2,1-4H3,(H2,24,32)/t9-,11-,17-,23-/m0/s1_x000D__x000D_
</t>
  </si>
  <si>
    <t>C23H27N3O7</t>
  </si>
  <si>
    <t>venlafaxine</t>
  </si>
  <si>
    <t>DTXSID6023737</t>
  </si>
  <si>
    <t>COC1=CC=C(C=C1)C(CN(C)C)C1(O)CCCCC1</t>
  </si>
  <si>
    <t>PNVNVHUZROJLTJ-UHFFFAOYSA-N</t>
  </si>
  <si>
    <t xml:space="preserve">InChI=1/C17H27NO2/c1-18(2)13-16(17(19)11-5-4-6-12-17)14-7-9-15(20-3)10-8-14/h7-10,16,19H,4-6,11-13H2,1-3H3_x000D__x000D_
</t>
  </si>
  <si>
    <t>C17H27NO2</t>
  </si>
  <si>
    <t>fenofibrate</t>
  </si>
  <si>
    <t>DTXSID2029874</t>
  </si>
  <si>
    <t>CC(C)OC(=O)C(C)(C)OC1=CC=C(C=C1)C(=O)C1=CC=C(Cl)C=C1</t>
  </si>
  <si>
    <t>YMTINGFKWWXKFG-UHFFFAOYSA-N</t>
  </si>
  <si>
    <t xml:space="preserve">InChI=1S/C20H21ClO4/c1-13(2)24-19(23)20(3,4)25-17-11-7-15(8-12-17)18(22)14-5-9-16(21)10-6-14/h5-13H,1-4H3_x000D__x000D_
</t>
  </si>
  <si>
    <t>C20H21ClO4</t>
  </si>
  <si>
    <t>olopatadine</t>
  </si>
  <si>
    <t>DTXSID3023390</t>
  </si>
  <si>
    <t>CN(C)CC\C=C1\C2=C(COC3=C1C=C(CC(O)=O)C=C3)C=CC=C2</t>
  </si>
  <si>
    <t>JBIMVDZLSHOPLA-LSCVHKIXSA-N</t>
  </si>
  <si>
    <t xml:space="preserve">InChI=1S/C21H23NO3/c1-22(2)11-5-8-18-17-7-4-3-6-16(17)14-25-20-10-9-15(12-19(18)20)13-21(23)24/h3-4,6-10,12H,5,11,13-14H2,1-2H3,(H,23,24)/b18-8-_x000D__x000D_
</t>
  </si>
  <si>
    <t>C21H23NO3</t>
  </si>
  <si>
    <t>doxycycline</t>
  </si>
  <si>
    <t>DTXSID0037653</t>
  </si>
  <si>
    <t>[H][C@@]12[C@@H](C)C3=C(C(O)=CC=C3)C(=O)C1=C(O)[C@]1(O)C(=O)C(C(N)=O)=C(O)[C@@H](N(C)C)[C@]1([H])[C@H]2O</t>
  </si>
  <si>
    <t>JBIWCJUYHHGXTC-AKNGSSGZSA-N</t>
  </si>
  <si>
    <t xml:space="preserve">InChI=1S/C22H24N2O8/c1-7-8-5-4-6-9(25)11(8)16(26)12-10(7)17(27)14-15(24(2)3)18(28)13(21(23)31)20(30)22(14,32)19(12)29/h4-7,10,14-15,17,25,27-29,32H,1-3H3,(H2,23,31)/t7-,10+,14+,15-,17-,22-/m0/s1_x000D__x000D_
</t>
  </si>
  <si>
    <t>C22H24N2O8</t>
  </si>
  <si>
    <t>oseltamivir</t>
  </si>
  <si>
    <t>DTXSID9044291</t>
  </si>
  <si>
    <t>CCOC(=O)C1=C[C@@H](OC(CC)CC)[C@H](NC(C)=O)[C@@H](N)C1</t>
  </si>
  <si>
    <t>VSZGPKBBMSAYNT-RRFJBIMHSA-N</t>
  </si>
  <si>
    <t xml:space="preserve">InChI=1S/C16H28N2O4/c1-5-12(6-2)22-14-9-11(16(20)21-7-3)8-13(17)15(14)18-10(4)19/h9,12-15H,5-8,17H2,1-4H3,(H,18,19)/t13-,14+,15+/m0/s1_x000D__x000D_
</t>
  </si>
  <si>
    <t>C16H28N2O4</t>
  </si>
  <si>
    <t>nitrofurantoin</t>
  </si>
  <si>
    <t>DTXSID7020972</t>
  </si>
  <si>
    <t>[O-][N+](=O)C1=CC=C(O1)C=NN1CC(=O)NC1=O</t>
  </si>
  <si>
    <t>NXFQHRVNIOXGAQ-UHFFFAOYSA-N</t>
  </si>
  <si>
    <t xml:space="preserve">InChI=1S/C8H6N4O5/c13-6-4-11(8(14)10-6)9-3-5-1-2-7(17-5)12(15)16/h1-3H,4H2,(H,10,13,14)_x000D__x000D_
</t>
  </si>
  <si>
    <t>C8H6N4O5</t>
  </si>
  <si>
    <t>moxifloxacin</t>
  </si>
  <si>
    <t>DTXSID3048491</t>
  </si>
  <si>
    <t>[H][C@]12CN(C[C@@]1([H])NCCC2)C1=C(F)C=C2C(=O)C(=CN(C3CC3)C2=C1OC)C(O)=O</t>
  </si>
  <si>
    <t>FABPRXSRWADJSP-MEDUHNTESA-N</t>
  </si>
  <si>
    <t xml:space="preserve">InChI=1S/C21H24FN3O4/c1-29-20-17-13(19(26)14(21(27)28)9-25(17)12-4-5-12)7-15(22)18(20)24-8-11-3-2-6-23-16(11)10-24/h7,9,11-12,16,23H,2-6,8,10H2,1H3,(H,27,28)/t11-,16+/m0/s1_x000D__x000D_
</t>
  </si>
  <si>
    <t>C21H24FN3O4</t>
  </si>
  <si>
    <t>hydralazine</t>
  </si>
  <si>
    <t>DTXSID4023129</t>
  </si>
  <si>
    <t>NNC1=NN=CC2=CC=CC=C12</t>
  </si>
  <si>
    <t>RPTUSVTUFVMDQK-UHFFFAOYSA-N</t>
  </si>
  <si>
    <t xml:space="preserve">InChI=1S/C8H8N4/c9-11-8-7-4-2-1-3-6(7)5-10-12-8/h1-5H,9H2,(H,11,12)_x000D__x000D_
</t>
  </si>
  <si>
    <t>C8H8N4</t>
  </si>
  <si>
    <t>ofloxacin</t>
  </si>
  <si>
    <t>DTXSID3041085</t>
  </si>
  <si>
    <t>CC1COC2=C(N3CCN(C)CC3)C(F)=CC3=C2N1C=C(C(O)=O)C3=O</t>
  </si>
  <si>
    <t>GSDSWSVVBLHKDQ-UHFFFAOYSA-N</t>
  </si>
  <si>
    <t xml:space="preserve">InChI=1/C18H20FN3O4/c1-10-9-26-17-14-11(16(23)12(18(24)25)8-22(10)14)7-13(19)15(17)21-5-3-20(2)4-6-21/h7-8,10H,3-6,9H2,1-2H3,(H,24,25)_x000D__x000D_
</t>
  </si>
  <si>
    <t>dextromethorphan</t>
  </si>
  <si>
    <t>DTXSID3022908</t>
  </si>
  <si>
    <t>[H][C@]12CCCC[C@]11CCN(C)[C@H]2CC2=C1C=C(OC)C=C2</t>
  </si>
  <si>
    <t>MKXZASYAUGDDCJ-NJAFHUGGSA-N</t>
  </si>
  <si>
    <t xml:space="preserve">InChI=1S/C18H25NO/c1-19-10-9-18-8-4-3-5-15(18)17(19)11-13-6-7-14(20-2)12-16(13)18/h6-7,12,15,17H,3-5,8-11H2,1-2H3/t15-,17+,18+/m1/s1_x000D__x000D_
</t>
  </si>
  <si>
    <t>C18H25NO</t>
  </si>
  <si>
    <t>diclofenac</t>
  </si>
  <si>
    <t>DTXSID6022923</t>
  </si>
  <si>
    <t>OC(=O)CC1=C(NC2=C(Cl)C=CC=C2Cl)C=CC=C1</t>
  </si>
  <si>
    <t>DCOPUUMXTXDBNB-UHFFFAOYSA-N</t>
  </si>
  <si>
    <t xml:space="preserve">InChI=1S/C14H11Cl2NO2/c15-10-5-3-6-11(16)14(10)17-12-7-2-1-4-9(12)8-13(18)19/h1-7,17H,8H2,(H,18,19)_x000D__x000D_
</t>
  </si>
  <si>
    <t>C14H11Cl2NO2</t>
  </si>
  <si>
    <t>topiramate</t>
  </si>
  <si>
    <t>DTXSID8023688</t>
  </si>
  <si>
    <t>CC1(C)O[C@@H]2CO[C@@]3(COS(N)(=O)=O)OC(C)(C)O[C@H]3[C@@H]2O1</t>
  </si>
  <si>
    <t>KJADKKWYZYXHBB-XBWDGYHZSA-N</t>
  </si>
  <si>
    <t xml:space="preserve">InChI=1S/C12H21NO8S/c1-10(2)18-7-5-16-12(6-17-22(13,14)15)9(8(7)19-10)20-11(3,4)21-12/h7-9H,5-6H2,1-4H3,(H2,13,14,15)/t7-,8-,9+,12+/m1/s1_x000D__x000D_
</t>
  </si>
  <si>
    <t>C12H21NO8S</t>
  </si>
  <si>
    <t>loteprednol</t>
  </si>
  <si>
    <t>DTXSID10156128</t>
  </si>
  <si>
    <t>[H][C@]12[C@@H](O)C[C@@]3(C)[C@@H](CC[C@]3(O)C(=O)OCCl)[C@@H]1CCC1=CC(=O)C=C[C@]21C</t>
  </si>
  <si>
    <t>YPZVAYHNBBHPTO-MXRBDKCISA-N</t>
  </si>
  <si>
    <t xml:space="preserve">InChI=1S/C21H27ClO5/c1-19-7-5-13(23)9-12(19)3-4-14-15-6-8-21(26,18(25)27-11-22)20(15,2)10-16(24)17(14)19/h5,7,9,14-17,24,26H,3-4,6,8,10-11H2,1-2H3/t14-,15-,16-,17+,19-,20-,21-/m0/s1_x000D__x000D_
</t>
  </si>
  <si>
    <t>C21H27ClO5</t>
  </si>
  <si>
    <t>indomethacin</t>
  </si>
  <si>
    <t>DTXSID9020740</t>
  </si>
  <si>
    <t>COC1=CC2=C(C=C1)N(C(=O)C1=CC=C(Cl)C=C1)C(C)=C2CC(O)=O</t>
  </si>
  <si>
    <t>CGIGDMFJXJATDK-UHFFFAOYSA-N</t>
  </si>
  <si>
    <t xml:space="preserve">InChI=1S/C19H16ClNO4/c1-11-15(10-18(22)23)16-9-14(25-2)7-8-17(16)21(11)19(24)12-3-5-13(20)6-4-12/h3-9H,10H2,1-2H3,(H,22,23)_x000D__x000D_
</t>
  </si>
  <si>
    <t>C19H16ClNO4</t>
  </si>
  <si>
    <t>sitagliptin</t>
  </si>
  <si>
    <t>DTXSID70197572</t>
  </si>
  <si>
    <t>N[C@@H](CC(=O)N1CCN2C(C1)=NN=C2C(F)(F)F)CC1=CC(F)=C(F)C=C1F</t>
  </si>
  <si>
    <t>MFFMDFFZMYYVKS-SECBINFHSA-N</t>
  </si>
  <si>
    <t xml:space="preserve">InChI=1S/C16H15F6N5O/c17-10-6-12(19)11(18)4-8(10)3-9(23)5-14(28)26-1-2-27-13(7-26)24-25-15(27)16(20,21)22/h4,6,9H,1-3,5,7,23H2/t9-/m1/s1_x000D__x000D_
</t>
  </si>
  <si>
    <t>C16H15F6N5O</t>
  </si>
  <si>
    <t>trazodone</t>
  </si>
  <si>
    <t>DTXSID5045043</t>
  </si>
  <si>
    <t>ClC1=CC=CC(=C1)N1CCN(CCCN2N=C3C=CC=CN3C2=O)CC1</t>
  </si>
  <si>
    <t>PHLBKPHSAVXXEF-UHFFFAOYSA-N</t>
  </si>
  <si>
    <t xml:space="preserve">InChI=1S/C19H22ClN5O/c20-16-5-3-6-17(15-16)23-13-11-22(12-14-23)8-4-10-25-19(26)24-9-2-1-7-18(24)21-25/h1-3,5-7,9,15H,4,8,10-14H2_x000D__x000D_
</t>
  </si>
  <si>
    <t>C19H22ClN5O</t>
  </si>
  <si>
    <t>primidone</t>
  </si>
  <si>
    <t>DTXSID7023510</t>
  </si>
  <si>
    <t>CCC1(C(=O)NCNC1=O)C1=CC=CC=C1</t>
  </si>
  <si>
    <t>DQMZLTXERSFNPB-UHFFFAOYSA-N</t>
  </si>
  <si>
    <t xml:space="preserve">InChI=1S/C12H14N2O2/c1-2-12(9-6-4-3-5-7-9)10(15)13-8-14-11(12)16/h3-7H,2,8H2,1H3,(H,13,15)(H,14,16)_x000D__x000D_
</t>
  </si>
  <si>
    <t>C12H14N2O2</t>
  </si>
  <si>
    <t>fluconazole</t>
  </si>
  <si>
    <t>DTXSID3020627</t>
  </si>
  <si>
    <t>OC(CN1C=NC=N1)(CN1C=NC=N1)C1=C(F)C=C(F)C=C1</t>
  </si>
  <si>
    <t>RFHAOTPXVQNOHP-UHFFFAOYSA-N</t>
  </si>
  <si>
    <t xml:space="preserve">InChI=1S/C13H12F2N6O/c14-10-1-2-11(12(15)3-10)13(22,4-20-8-16-6-18-20)5-21-9-17-7-19-21/h1-3,6-9,22H,4-5H2_x000D__x000D_
</t>
  </si>
  <si>
    <t>C13H12F2N6O</t>
  </si>
  <si>
    <t>cyclosporine</t>
  </si>
  <si>
    <t>DTXSID0020365</t>
  </si>
  <si>
    <t>[H][C@@]1([C@H](O)[C@H](C)C\C=C\C)N(C)C(=O)[C@H](C(C)C)N(C)C(=O)[C@H](CC(C)C)N(C)C(=O)[C@H](CC(C)C)N(C)C(=O)[C@@H](C)NC(=O)[C@H](C)NC(=O)[C@H](CC(C)C)N(C)C(=O)[C@@H](NC(=O)[C@H](CC(C)C)N(C)C(=O)CN(C)C(=O)[C@H](CC)NC1=O)C(C)C</t>
  </si>
  <si>
    <t>PMATZTZNYRCHOR-CGLBZJNRSA-N</t>
  </si>
  <si>
    <t xml:space="preserve">InChI=1S/C62H111N11O12/c1-25-27-28-40(15)52(75)51-56(79)65-43(26-2)58(81)67(18)33-48(74)68(19)44(29-34(3)4)55(78)66-49(38(11)12)61(84)69(20)45(30-35(5)6)54(77)63-41(16)53(76)64-42(17)57(80)70(21)46(31-36(7)8)59(82)71(22)47(32-37(9)10)60(83)72(23)50(39(13)14)62(85)73(51)24/h25,27,34-47,49-52,75H,26,28-33H2,1-24H3,(H,63,77)(H,64,76)(H,65,79)(H,66,78)/b27-25+/t40-,41+,42-,43+,44+,45+,46+,47+,49+,50+,51+,52-/m1/s1_x000D__x000D_
</t>
  </si>
  <si>
    <t>C62H111N11O12</t>
  </si>
  <si>
    <t>sertraline</t>
  </si>
  <si>
    <t>DTXSID6023577</t>
  </si>
  <si>
    <t>CN[C@H]1CC[C@@H](C2=CC(Cl)=C(Cl)C=C2)C2=C1C=CC=C2</t>
  </si>
  <si>
    <t>VGKDLMBJGBXTGI-SJCJKPOMSA-N</t>
  </si>
  <si>
    <t xml:space="preserve">InChI=1S/C17H17Cl2N/c1-20-17-9-7-12(13-4-2-3-5-14(13)17)11-6-8-15(18)16(19)10-11/h2-6,8,10,12,17,20H,7,9H2,1H3/t12-,17-/m0/s1_x000D__x000D_
</t>
  </si>
  <si>
    <t>C17H17Cl2N</t>
  </si>
  <si>
    <t>tobramycin</t>
  </si>
  <si>
    <t>DTXSID8023680</t>
  </si>
  <si>
    <t>NC[C@H]1O[C@H](O[C@@H]2[C@@H](N)C[C@@H](N)[C@H](O[C@H]3O[C@H](CO)[C@@H](O)[C@H](N)[C@H]3O)[C@H]2O)[C@H](N)C[C@@H]1O</t>
  </si>
  <si>
    <t>NLVFBUXFDBBNBW-PBSUHMDJSA-N</t>
  </si>
  <si>
    <t xml:space="preserve">InChI=1S/C18H37N5O9/c19-3-9-8(25)2-7(22)17(29-9)31-15-5(20)1-6(21)16(14(15)28)32-18-13(27)11(23)12(26)10(4-24)30-18/h5-18,24-28H,1-4,19-23H2/t5-,6+,7+,8-,9+,10+,11-,12+,13+,14-,15+,16-,17+,18+/m0/s1_x000D__x000D_
</t>
  </si>
  <si>
    <t>C18H37N5O9</t>
  </si>
  <si>
    <t>ziprasidone</t>
  </si>
  <si>
    <t>DTXSID4023753</t>
  </si>
  <si>
    <t>ClC1=C(CCN2CCN(CC2)C2=NSC3=CC=CC=C23)C=C2CC(=O)NC2=C1</t>
  </si>
  <si>
    <t>MVWVFYHBGMAFLY-UHFFFAOYSA-N</t>
  </si>
  <si>
    <t xml:space="preserve">InChI=1S/C21H21ClN4OS/c22-17-13-18-15(12-20(27)23-18)11-14(17)5-6-25-7-9-26(10-8-25)21-16-3-1-2-4-19(16)28-24-21/h1-4,11,13H,5-10,12H2,(H,23,27)_x000D__x000D_
</t>
  </si>
  <si>
    <t>C21H21ClN4OS</t>
  </si>
  <si>
    <t>albuterol</t>
  </si>
  <si>
    <t>DTXSID5021255</t>
  </si>
  <si>
    <t>CC(C)(C)NCC(O)C1=CC=C(O)C(CO)=C1</t>
  </si>
  <si>
    <t>NDAUXUAQIAJITI-UHFFFAOYSA-N</t>
  </si>
  <si>
    <t>InChI=1/C13H21NO3/c1-13(2,3)14-7-12(17)9-4-5-11(16)10(6-9)8-15/h4-6,12,14-17H,7-8H2,1-3H3</t>
  </si>
  <si>
    <t>C13H21NO3</t>
  </si>
  <si>
    <t>azelastine</t>
  </si>
  <si>
    <t>DTXSID6022638</t>
  </si>
  <si>
    <t>CN1CCCC(CC1)N1N=C(CC2=CC=C(Cl)C=C2)C2=CC=CC=C2C1=O</t>
  </si>
  <si>
    <t>MBUVEWMHONZEQD-UHFFFAOYSA-N</t>
  </si>
  <si>
    <t xml:space="preserve">InChI=1/C22H24ClN3O/c1-25-13-4-5-18(12-14-25)26-22(27)20-7-3-2-6-19(20)21(24-26)15-16-8-10-17(23)11-9-16/h2-3,6-11,18H,4-5,12-15H2,1H3_x000D__x000D_
</t>
  </si>
  <si>
    <t>C22H24ClN3O</t>
  </si>
  <si>
    <t>promethazine</t>
  </si>
  <si>
    <t>DTXSID7023518</t>
  </si>
  <si>
    <t>CC(CN1C2=C(SC3=C1C=CC=C3)C=CC=C2)N(C)C</t>
  </si>
  <si>
    <t>PWWVAXIEGOYWEE-UHFFFAOYSA-N</t>
  </si>
  <si>
    <t xml:space="preserve">InChI=1/C17H20N2S/c1-13(18(2)3)12-19-14-8-4-6-10-16(14)20-17-11-7-5-9-15(17)19/h4-11,13H,12H2,1-3H3_x000D__x000D_
</t>
  </si>
  <si>
    <t>C17H20N2S</t>
  </si>
  <si>
    <t>hydroxyzine</t>
  </si>
  <si>
    <t>DTXSID8023137</t>
  </si>
  <si>
    <t>OCCOCCN1CCN(CC1)C(C1=CC=CC=C1)C1=CC=C(Cl)C=C1</t>
  </si>
  <si>
    <t>ZQDWXGKKHFNSQK-UHFFFAOYSA-N</t>
  </si>
  <si>
    <t xml:space="preserve">InChI=1/C21H27ClN2O2/c22-20-8-6-19(7-9-20)21(18-4-2-1-3-5-18)24-12-10-23(11-13-24)14-16-26-17-15-25/h1-9,21,25H,10-17H2_x000D__x000D_
</t>
  </si>
  <si>
    <t>C21H27ClN2O2</t>
  </si>
  <si>
    <t>ketorolac</t>
  </si>
  <si>
    <t>DTXSID8023189</t>
  </si>
  <si>
    <t>OC(=O)C1CCN2C1=CC=C2C(=O)C1=CC=CC=C1</t>
  </si>
  <si>
    <t>OZWKMVRBQXNZKK-UHFFFAOYSA-N</t>
  </si>
  <si>
    <t xml:space="preserve">InChI=1/C15H13NO3/c17-14(10-4-2-1-3-5-10)13-7-6-12-11(15(18)19)8-9-16(12)13/h1-7,11H,8-9H2,(H,18,19)_x000D__x000D_
</t>
  </si>
  <si>
    <t>C15H13NO3</t>
  </si>
  <si>
    <t>timolol</t>
  </si>
  <si>
    <t>DTXSID4023674</t>
  </si>
  <si>
    <t>CC(C)(C)NC[C@H](O)COC1=NSN=C1N1CCOCC1</t>
  </si>
  <si>
    <t>BLJRIMJGRPQVNF-JTQLQIEISA-N</t>
  </si>
  <si>
    <t xml:space="preserve">InChI=1S/C13H24N4O3S/c1-13(2,3)14-8-10(18)9-20-12-11(15-21-16-12)17-4-6-19-7-5-17/h10,14,18H,4-9H2,1-3H3/t10-/m0/s1_x000D__x000D_
</t>
  </si>
  <si>
    <t>C13H24N4O3S</t>
  </si>
  <si>
    <t>clopidogrel</t>
  </si>
  <si>
    <t>DTXSID6022848</t>
  </si>
  <si>
    <t>COC(=O)[C@@H](N1CCC2=C(C1)C=CS2)C1=CC=CC=C1Cl</t>
  </si>
  <si>
    <t>GKTWGGQPFAXNFI-HNNXBMFYSA-N</t>
  </si>
  <si>
    <t xml:space="preserve">InChI=1S/C16H16ClNO2S/c1-20-16(19)15(12-4-2-3-5-13(12)17)18-8-6-14-11(10-18)7-9-21-14/h2-5,7,9,15H,6,8,10H2,1H3/t15-/m0/s1_x000D__x000D_
</t>
  </si>
  <si>
    <t>C16H16ClNO2S</t>
  </si>
  <si>
    <t>propranolol</t>
  </si>
  <si>
    <t>DTXSID6023525</t>
  </si>
  <si>
    <t>CC(C)NCC(O)COC1=C2C=CC=CC2=CC=C1</t>
  </si>
  <si>
    <t>AQHHHDLHHXJYJD-UHFFFAOYSA-N</t>
  </si>
  <si>
    <t xml:space="preserve">InChI=1/C16H21NO2/c1-12(2)17-10-14(18)11-19-16-9-5-7-13-6-3-4-8-15(13)16/h3-9,12,14,17-18H,10-11H2,1-2H3_x000D__x000D_
</t>
  </si>
  <si>
    <t>C16H21NO2</t>
  </si>
  <si>
    <t>metoprolol</t>
  </si>
  <si>
    <t>DTXSID2023309</t>
  </si>
  <si>
    <t>COCCC1=CC=C(OCC(O)CNC(C)C)C=C1</t>
  </si>
  <si>
    <t>IUBSYMUCCVWXPE-UHFFFAOYSA-N</t>
  </si>
  <si>
    <t xml:space="preserve">InChI=1/C15H25NO3/c1-12(2)16-10-14(17)11-19-15-6-4-13(5-7-15)8-9-18-3/h4-7,12,14,16-17H,8-11H2,1-3H3_x000D__x000D_
</t>
  </si>
  <si>
    <t>C15H25NO3</t>
  </si>
  <si>
    <t>losartan</t>
  </si>
  <si>
    <t>DTXSID7023227</t>
  </si>
  <si>
    <t>CCCCC1=NC(Cl)=C(CO)N1CC1=CC=C(C=C1)C1=CC=CC=C1C1=NN=NN1</t>
  </si>
  <si>
    <t>PSIFNNKUMBGKDQ-UHFFFAOYSA-N</t>
  </si>
  <si>
    <t xml:space="preserve">InChI=1S/C22H23ClN6O/c1-2-3-8-20-24-21(23)19(14-30)29(20)13-15-9-11-16(12-10-15)17-6-4-5-7-18(17)22-25-27-28-26-22/h4-7,9-12,30H,2-3,8,13-14H2,1H3,(H,25,26,27,28)_x000D__x000D_
</t>
  </si>
  <si>
    <t>C22H23ClN6O</t>
  </si>
  <si>
    <t>lurasidone</t>
  </si>
  <si>
    <t>DTXSID40870340</t>
  </si>
  <si>
    <t>[H][C@@]12[C@H]3CC[C@H](C3)[C@]1([H])C(=O)N(C[C@@H]1CCCC[C@H]1CN1CCN(CC1)C1=NSC3=CC=CC=C13)C2=O</t>
  </si>
  <si>
    <t>PQXKDMSYBGKCJA-CVTJIBDQSA-N</t>
  </si>
  <si>
    <t xml:space="preserve">InChI=1S/C28H36N4O2S/c33-27-24-18-9-10-19(15-18)25(24)28(34)32(27)17-21-6-2-1-5-20(21)16-30-11-13-31(14-12-30)26-22-7-3-4-8-23(22)35-29-26/h3-4,7-8,18-21,24-25H,1-2,5-6,9-17H2/t18-,19+,20-,21-,24+,25-/m0/s1_x000D__x000D_
</t>
  </si>
  <si>
    <t>C28H36N4O2S</t>
  </si>
  <si>
    <t>nifedipine</t>
  </si>
  <si>
    <t>DTXSID2025715</t>
  </si>
  <si>
    <t>COC(=O)C1=C(C)NC(C)=C(C1C1=CC=CC=C1[N+]([O-])=O)C(=O)OC</t>
  </si>
  <si>
    <t>HYIMSNHJOBLJNT-UHFFFAOYSA-N</t>
  </si>
  <si>
    <t xml:space="preserve">InChI=1S/C17H18N2O6/c1-9-13(16(20)24-3)15(14(10(2)18-9)17(21)25-4)11-7-5-6-8-12(11)19(22)23/h5-8,15,18H,1-4H3_x000D__x000D_
</t>
  </si>
  <si>
    <t>C17H18N2O6</t>
  </si>
  <si>
    <t>desvenlafaxine</t>
  </si>
  <si>
    <t>DTXSID40869118</t>
  </si>
  <si>
    <t>CN(C)CC(C1=CC=C(O)C=C1)C1(O)CCCCC1</t>
  </si>
  <si>
    <t>KYYIDSXMWOZKMP-UHFFFAOYSA-N</t>
  </si>
  <si>
    <t xml:space="preserve">InChI=1/C16H25NO2/c1-17(2)12-15(13-6-8-14(18)9-7-13)16(19)10-4-3-5-11-16/h6-9,15,18-19H,3-5,10-12H2,1-2H3_x000D__x000D_
</t>
  </si>
  <si>
    <t>dexlansoprazole</t>
  </si>
  <si>
    <t>meclizine</t>
  </si>
  <si>
    <t>DTXSID0023242</t>
  </si>
  <si>
    <t>CC1=CC(CN2CCN(CC2)C(C2=CC=CC=C2)C2=CC=C(Cl)C=C2)=CC=C1</t>
  </si>
  <si>
    <t>OCJYIGYOJCODJL-UHFFFAOYSA-N</t>
  </si>
  <si>
    <t xml:space="preserve">InChI=1/C25H27ClN2/c1-20-6-5-7-21(18-20)19-27-14-16-28(17-15-27)25(22-8-3-2-4-9-22)23-10-12-24(26)13-11-23/h2-13,18,25H,14-17,19H2,1H3_x000D__x000D_
</t>
  </si>
  <si>
    <t>C25H27ClN2</t>
  </si>
  <si>
    <t>telmisartan</t>
  </si>
  <si>
    <t>DTXSID8023636</t>
  </si>
  <si>
    <t>CCCC1=NC2=C(C=C(C=C2C)C2=NC3=CC=CC=C3N2C)N1CC1=CC=C(C=C1)C1=CC=CC=C1C(O)=O</t>
  </si>
  <si>
    <t>RMMXLENWKUUMAY-UHFFFAOYSA-N</t>
  </si>
  <si>
    <t xml:space="preserve">InChI=1S/C33H30N4O2/c1-4-9-30-35-31-21(2)18-24(32-34-27-12-7-8-13-28(27)36(32)3)19-29(31)37(30)20-22-14-16-23(17-15-22)25-10-5-6-11-26(25)33(38)39/h5-8,10-19H,4,9,20H2,1-3H3,(H,38,39)_x000D__x000D_
</t>
  </si>
  <si>
    <t>C33H30N4O2</t>
  </si>
  <si>
    <t>morphine</t>
  </si>
  <si>
    <t>DTXSID9023336</t>
  </si>
  <si>
    <t>CN1CC[C@]23[C@H]4OC5=C(O)C=CC(C[C@@H]1[C@@H]2C=C[C@@H]4O)=C35</t>
  </si>
  <si>
    <t>BQJCRHHNABKAKU-KBQPJGBKSA-N</t>
  </si>
  <si>
    <t xml:space="preserve">InChI=1S/C17H19NO3/c1-18-7-6-17-10-3-5-13(20)16(17)21-15-12(19)4-2-9(14(15)17)8-11(10)18/h2-5,10-11,13,16,19-20H,6-8H2,1H3/t10-,11+,13-,16-,17-/m0/s1_x000D__x000D_
</t>
  </si>
  <si>
    <t>C17H19NO3</t>
  </si>
  <si>
    <t>raloxifene</t>
  </si>
  <si>
    <t>DTXSID3023550</t>
  </si>
  <si>
    <t>OC1=CC=C(C=C1)C1=C(C(=O)C2=CC=C(OCCN3CCCCC3)C=C2)C2=CC=C(O)C=C2S1</t>
  </si>
  <si>
    <t>GZUITABIAKMVPG-UHFFFAOYSA-N</t>
  </si>
  <si>
    <t xml:space="preserve">InChI=1S/C28H27NO4S/c30-21-8-4-20(5-9-21)28-26(24-13-10-22(31)18-25(24)34-28)27(32)19-6-11-23(12-7-19)33-17-16-29-14-2-1-3-15-29/h4-13,18,30-31H,1-3,14-17H2_x000D__x000D_
</t>
  </si>
  <si>
    <t>C28H27NO4S</t>
  </si>
  <si>
    <t>duloxetine</t>
  </si>
  <si>
    <t>DTXSID6048385</t>
  </si>
  <si>
    <t>CNCC[C@H](OC1=C2C=CC=CC2=CC=C1)C1=CC=CS1</t>
  </si>
  <si>
    <t>ZEUITGRIYCTCEM-KRWDZBQOSA-N</t>
  </si>
  <si>
    <t xml:space="preserve">InChI=1S/C18H19NOS/c1-19-12-11-17(18-10-5-13-21-18)20-16-9-4-7-14-6-2-3-8-15(14)16/h2-10,13,17,19H,11-12H2,1H3/t17-/m0/s1_x000D__x000D_
</t>
  </si>
  <si>
    <t>C18H19NOS</t>
  </si>
  <si>
    <t>dicyclomine</t>
  </si>
  <si>
    <t>DTXSID1022926</t>
  </si>
  <si>
    <t>CCN(CC)CCOC(=O)C1(CCCCC1)C1CCCCC1</t>
  </si>
  <si>
    <t>CURUTKGFNZGFSE-UHFFFAOYSA-N</t>
  </si>
  <si>
    <t xml:space="preserve">InChI=1S/C19H35NO2/c1-3-20(4-2)15-16-22-18(21)19(13-9-6-10-14-19)17-11-7-5-8-12-17/h17H,3-16H2,1-2H3_x000D__x000D_
</t>
  </si>
  <si>
    <t>C19H35NO2</t>
  </si>
  <si>
    <t>amitriptyline</t>
  </si>
  <si>
    <t>DTXSID7022594</t>
  </si>
  <si>
    <t>CN(C)CCC=C1C2=CC=CC=C2CCC2=C1C=CC=C2</t>
  </si>
  <si>
    <t>KRMDCWKBEZIMAB-UHFFFAOYSA-N</t>
  </si>
  <si>
    <t xml:space="preserve">InChI=1S/C20H23N/c1-21(2)15-7-12-20-18-10-5-3-8-16(18)13-14-17-9-4-6-11-19(17)20/h3-6,8-12H,7,13-15H2,1-2H3_x000D__x000D_
</t>
  </si>
  <si>
    <t>C20H23N</t>
  </si>
  <si>
    <t>atenolol</t>
  </si>
  <si>
    <t>DTXSID2022628</t>
  </si>
  <si>
    <t>CC(C)NCC(O)COC1=CC=C(CC(N)=O)C=C1</t>
  </si>
  <si>
    <t>METKIMKYRPQLGS-UHFFFAOYSA-N</t>
  </si>
  <si>
    <t xml:space="preserve">InChI=1/C14H22N2O3/c1-10(2)16-8-12(17)9-19-13-5-3-11(4-6-13)7-14(15)18/h3-6,10,12,16-17H,7-9H2,1-2H3,(H2,15,18)_x000D__x000D_
</t>
  </si>
  <si>
    <t>C14H22N2O3</t>
  </si>
  <si>
    <t>oxycodone</t>
  </si>
  <si>
    <t>DTXSID5023407</t>
  </si>
  <si>
    <t>[H][C@@]12OC3=C(OC)C=CC4=C3[C@@]11CCN(C)[C@H](C4)[C@]1(O)CCC2=O</t>
  </si>
  <si>
    <t>BRUQQQPBMZOVGD-XFKAJCMBSA-N</t>
  </si>
  <si>
    <t xml:space="preserve">InChI=1S/C18H21NO4/c1-19-8-7-17-14-10-3-4-12(22-2)15(14)23-16(17)11(20)5-6-18(17,21)13(19)9-10/h3-4,13,16,21H,5-9H2,1-2H3/t13-,16+,17+,18-/m1/s1_x000D__x000D_
</t>
  </si>
  <si>
    <t>C18H21NO4</t>
  </si>
  <si>
    <t>spironolactone</t>
  </si>
  <si>
    <t>DTXSID6034186</t>
  </si>
  <si>
    <t>[H][C@@]12CC[C@@]3(CCC(=O)O3)[C@@]1(C)CC[C@@]1([H])[C@@]2([H])[C@@H](CC2=CC(=O)CC[C@]12C)SC(C)=O</t>
  </si>
  <si>
    <t>LXMSZDCAJNLERA-ZHYRCANASA-N</t>
  </si>
  <si>
    <t xml:space="preserve">InChI=1S/C24H32O4S/c1-14(25)29-19-13-15-12-16(26)4-8-22(15,2)17-5-9-23(3)18(21(17)19)6-10-24(23)11-7-20(27)28-24/h12,17-19,21H,4-11,13H2,1-3H3/t17-,18-,19+,21+,22-,23-,24+/m0/s1_x000D__x000D_
</t>
  </si>
  <si>
    <t>C24H32O4S</t>
  </si>
  <si>
    <t>isosorbide mononitrate</t>
  </si>
  <si>
    <t>DTXSID9023176</t>
  </si>
  <si>
    <t>[H][C@]12OC[C@@H](O[N+]([O-])=O)[C@@]1([H])OC[C@@H]2O</t>
  </si>
  <si>
    <t>YWXYYJSYQOXTPL-SLPGGIOYSA-N</t>
  </si>
  <si>
    <t xml:space="preserve">InChI=1S/C6H9NO6/c8-3-1-11-6-4(13-7(9)10)2-12-5(3)6/h3-6,8H,1-2H2/t3-,4+,5+,6+/m0/s1_x000D__x000D_
</t>
  </si>
  <si>
    <t>C6H9NO6</t>
  </si>
  <si>
    <t>atomoxetine</t>
  </si>
  <si>
    <t>DTXSID9044297</t>
  </si>
  <si>
    <t>CNCC[C@@H](OC1=C(C)C=CC=C1)C1=CC=CC=C1</t>
  </si>
  <si>
    <t>VHGCDTVCOLNTBX-QGZVFWFLSA-N</t>
  </si>
  <si>
    <t xml:space="preserve">InChI=1S/C17H21NO/c1-14-8-6-7-11-16(14)19-17(12-13-18-2)15-9-4-3-5-10-15/h3-11,17-18H,12-13H2,1-2H3/t17-/m1/s1_x000D__x000D_
</t>
  </si>
  <si>
    <t>isosorbide dinitrate</t>
  </si>
  <si>
    <t>DTXSID0045832</t>
  </si>
  <si>
    <t>[H][C@]12OC[C@H](O[N+]([O-])=O)[C@@]1([H])OC[C@H]2O[N+]([O-])=O</t>
  </si>
  <si>
    <t>MOYKHGMNXAOIAT-JGWLITMVSA-N</t>
  </si>
  <si>
    <t xml:space="preserve">InChI=1S/C6H8N2O8/c9-7(10)15-3-1-13-6-4(16-8(11)12)2-14-5(3)6/h3-6H,1-2H2/t3-,4+,5-,6-/m1/s1_x000D__x000D_
</t>
  </si>
  <si>
    <t>C6H8N2O8</t>
  </si>
  <si>
    <t>pantoprazole</t>
  </si>
  <si>
    <t>DTXSID4023416</t>
  </si>
  <si>
    <t>COC1=C(OC)C(CS(=O)C2=NC3=C(N2)C=CC(OC(F)F)=C3)=NC=C1</t>
  </si>
  <si>
    <t>IQPSEEYGBUAQFF-UHFFFAOYSA-N</t>
  </si>
  <si>
    <t xml:space="preserve">InChI=1/C16H15F2N3O4S/c1-23-13-5-6-19-12(14(13)24-2)8-26(22)16-20-10-4-3-9(25-15(17)18)7-11(10)21-16/h3-7,15H,8H2,1-2H3,(H,20,21)_x000D__x000D_
</t>
  </si>
  <si>
    <t>C16H15F2N3O4S</t>
  </si>
  <si>
    <t>nortriptyline</t>
  </si>
  <si>
    <t>DTXSID9023384</t>
  </si>
  <si>
    <t>CNCCC=C1C2=C(CCC3=C1C=CC=C3)C=CC=C2</t>
  </si>
  <si>
    <t>PHVGLTMQBUFIQQ-UHFFFAOYSA-N</t>
  </si>
  <si>
    <t xml:space="preserve">InChI=1S/C19H21N/c1-20-14-6-11-19-17-9-4-2-7-15(17)12-13-16-8-3-5-10-18(16)19/h2-5,7-11,20H,6,12-14H2,1H3_x000D__x000D_
</t>
  </si>
  <si>
    <t>C19H21N</t>
  </si>
  <si>
    <t>isotretinoin</t>
  </si>
  <si>
    <t>DTXSID4023177</t>
  </si>
  <si>
    <t>C\C(\C=C\C1=C(C)CCCC1(C)C)=C/C=C/C(/C)=C\C(O)=O</t>
  </si>
  <si>
    <t>SHGAZHPCJJPHSC-XFYACQKRSA-N</t>
  </si>
  <si>
    <t xml:space="preserve">InChI=1S/C20H28O2/c1-15(8-6-9-16(2)14-19(21)22)11-12-18-17(3)10-7-13-20(18,4)5/h6,8-9,11-12,14H,7,10,13H2,1-5H3,(H,21,22)/b9-6+,12-11+,15-8+,16-14-_x000D__x000D_
</t>
  </si>
  <si>
    <t>C20H28O2</t>
  </si>
  <si>
    <t>naltrexone</t>
  </si>
  <si>
    <t>DTXSID4046313</t>
  </si>
  <si>
    <t>[H][C@@]12OC3=C(O)C=CC4=C3[C@@]11CCN(CC3CC3)[C@]([H])(C4)[C@]1(O)CCC2=O</t>
  </si>
  <si>
    <t>DQCKKXVULJGBQN-XFWGSAIBSA-N</t>
  </si>
  <si>
    <t xml:space="preserve">InChI=1S/C20H23NO4/c22-13-4-3-12-9-15-20(24)6-5-14(23)18-19(20,16(12)17(13)25-18)7-8-21(15)10-11-1-2-11/h3-4,11,15,18,22,24H,1-2,5-10H2/t15-,18+,19+,20-/m1/s1_x000D__x000D_
</t>
  </si>
  <si>
    <t>C20H23NO4</t>
  </si>
  <si>
    <t>lisdexamfetamine</t>
  </si>
  <si>
    <t>DTXSID00209652</t>
  </si>
  <si>
    <t>C[C@@H](CC1=CC=CC=C1)NC(=O)[C@@H](N)CCCCN</t>
  </si>
  <si>
    <t>VOBHXZCDAVEXEY-JSGCOSHPSA-N</t>
  </si>
  <si>
    <t xml:space="preserve">InChI=1S/C15H25N3O/c1-12(11-13-7-3-2-4-8-13)18-15(19)14(17)9-5-6-10-16/h2-4,7-8,12,14H,5-6,9-11,16-17H2,1H3,(H,18,19)/t12-,14-/m0/s1_x000D__x000D_
</t>
  </si>
  <si>
    <t>C15H25N3O</t>
  </si>
  <si>
    <t>famotidine</t>
  </si>
  <si>
    <t>DTXSID5023039</t>
  </si>
  <si>
    <t>NC(N)=NC1=NC(CSCCC(N)=NS(N)(=O)=O)=CS1</t>
  </si>
  <si>
    <t>XUFQPHANEAPEMJ-UHFFFAOYSA-N</t>
  </si>
  <si>
    <t xml:space="preserve">InChI=1S/C8H15N7O2S3/c9-6(15-20(12,16)17)1-2-18-3-5-4-19-8(13-5)14-7(10)11/h4H,1-3H2,(H2,9,15)(H2,12,16,17)(H4,10,11,13,14)_x000D__x000D_
</t>
  </si>
  <si>
    <t>C8H15N7O2S3</t>
  </si>
  <si>
    <t>furosemide</t>
  </si>
  <si>
    <t>DTXSID6020648</t>
  </si>
  <si>
    <t>NS(=O)(=O)C1=C(Cl)C=C(NCC2=CC=CO2)C(=C1)C(O)=O</t>
  </si>
  <si>
    <t>ZZUFCTLCJUWOSV-UHFFFAOYSA-N</t>
  </si>
  <si>
    <t xml:space="preserve">InChI=1S/C12H11ClN2O5S/c13-9-5-10(15-6-7-2-1-3-20-7)8(12(16)17)4-11(9)21(14,18)19/h1-5,15H,6H2,(H,16,17)(H2,14,18,19)_x000D__x000D_
</t>
  </si>
  <si>
    <t>C12H11ClN2O5S</t>
  </si>
  <si>
    <t>esomeprazole</t>
  </si>
  <si>
    <t>DTXSID4044292</t>
  </si>
  <si>
    <t>COC1=CC2=C(C=C1)N=C(N2)[S@@](=O)CC1=NC=C(C)C(OC)=C1C</t>
  </si>
  <si>
    <t>SUBDBMMJDZJVOS-DEOSSOPVSA-N</t>
  </si>
  <si>
    <t xml:space="preserve">InChI=1S/C17H19N3O3S/c1-10-8-18-15(11(2)16(10)23-4)9-24(21)17-19-13-6-5-12(22-3)7-14(13)20-17/h5-8H,9H2,1-4H3,(H,19,20)/t24-/m0/s1_x000D__x000D_
</t>
  </si>
  <si>
    <t>C17H19N3O3S</t>
  </si>
  <si>
    <t>hydrocortisone</t>
  </si>
  <si>
    <t>DTXSID7020714</t>
  </si>
  <si>
    <t>[H][C@@]12CC[C@](O)(C(=O)CO)[C@@]1(C)C[C@H](O)[C@@]1([H])[C@@]2([H])CCC2=CC(=O)CC[C@]12C</t>
  </si>
  <si>
    <t>JYGXADMDTFJGBT-VWUMJDOOSA-N</t>
  </si>
  <si>
    <t xml:space="preserve">InChI=1S/C21H30O5/c1-19-7-5-13(23)9-12(19)3-4-14-15-6-8-21(26,17(25)11-22)20(15,2)10-16(24)18(14)19/h9,14-16,18,22,24,26H,3-8,10-11H2,1-2H3/t14-,15-,16-,18+,19-,20-,21-/m0/s1_x000D__x000D_
</t>
  </si>
  <si>
    <t>C21H30O5</t>
  </si>
  <si>
    <t>methylphenidate</t>
  </si>
  <si>
    <t>DTXSID5023299</t>
  </si>
  <si>
    <t>COC(=O)C(C1CCCCN1)C1=CC=CC=C1</t>
  </si>
  <si>
    <t>DUGOZIWVEXMGBE-UHFFFAOYSA-N</t>
  </si>
  <si>
    <t xml:space="preserve">InChI=1/C14H19NO2/c1-17-14(16)13(11-7-3-2-4-8-11)12-9-5-6-10-15-12/h2-4,7-8,12-13,15H,5-6,9-10H2,1H3_x000D__x000D_
</t>
  </si>
  <si>
    <t>C14H19NO2</t>
  </si>
  <si>
    <t>doxepin</t>
  </si>
  <si>
    <t>DTXSID7022966</t>
  </si>
  <si>
    <t>CN(C)CCC=C1C2=C(COC3=C1C=CC=C3)C=CC=C2</t>
  </si>
  <si>
    <t>ODQWQRRAPPTVAG-UHFFFAOYSA-N</t>
  </si>
  <si>
    <t xml:space="preserve">InChI=1S/C19H21NO/c1-20(2)13-7-11-17-16-9-4-3-8-15(16)14-21-19-12-6-5-10-18(17)19/h3-6,8-12H,7,13-14H2,1-2H3_x000D__x000D_
</t>
  </si>
  <si>
    <t>C19H21NO</t>
  </si>
  <si>
    <t>sumatriptan</t>
  </si>
  <si>
    <t>DTXSID4023628</t>
  </si>
  <si>
    <t>CNS(=O)(=O)CC1=CC=C2NC=C(CCN(C)C)C2=C1</t>
  </si>
  <si>
    <t>KQKPFRSPSRPDEB-UHFFFAOYSA-N</t>
  </si>
  <si>
    <t xml:space="preserve">InChI=1S/C14H21N3O2S/c1-15-20(18,19)10-11-4-5-14-13(8-11)12(9-16-14)6-7-17(2)3/h4-5,8-9,15-16H,6-7,10H2,1-3H3_x000D__x000D_
</t>
  </si>
  <si>
    <t>C14H21N3O2S</t>
  </si>
  <si>
    <t>mirabegron</t>
  </si>
  <si>
    <t>DTXSID101021648</t>
  </si>
  <si>
    <t>[H]OC([H])(C1=C([H])C([H])=C([H])C([H])=C1[H])C([H])([H])N([H])C([H])([H])C([H])([H])C1=C([H])C([H])=C(N([H])C(=O)C([H])([H])C2=C([H])SC(=N2)N([H])[H])C([H])=C1[H]</t>
  </si>
  <si>
    <t>PBAPPPCECJKMCM-IBGZPJMESA-N</t>
  </si>
  <si>
    <t xml:space="preserve">InChI=1S/C21H24N4O2S/c22-21-25-18(14-28-21)12-20(27)24-17-8-6-15(7-9-17)10-11-23-13-19(26)16-4-2-1-3-5-16/h1-9,14,19,23,26H,10-13H2,(H2,22,25)(H,24,27)/t19-/m0/s1_x000D__x000D_
</t>
  </si>
  <si>
    <t>C21H24N4O2S</t>
  </si>
  <si>
    <t>phentermine</t>
  </si>
  <si>
    <t>DTXSID9023461</t>
  </si>
  <si>
    <t>CC(C)(N)CC1=CC=CC=C1</t>
  </si>
  <si>
    <t>DHHVAGZRUROJKS-UHFFFAOYSA-N</t>
  </si>
  <si>
    <t xml:space="preserve">InChI=1S/C10H15N/c1-10(2,11)8-9-6-4-3-5-7-9/h3-7H,8,11H2,1-2H3_x000D__x000D_
</t>
  </si>
  <si>
    <t>C10H15N</t>
  </si>
  <si>
    <t>sildenafil</t>
  </si>
  <si>
    <t>DTXSID6023579</t>
  </si>
  <si>
    <t>CCCC1=NN(C)C2=C1N=C(NC2=O)C1=CC(=CC=C1OCC)S(=O)(=O)N1CCN(C)CC1</t>
  </si>
  <si>
    <t>BNRNXUUZRGQAQC-UHFFFAOYSA-N</t>
  </si>
  <si>
    <t xml:space="preserve">InChI=1S/C22H30N6O4S/c1-5-7-17-19-20(27(4)25-17)22(29)24-21(23-19)16-14-15(8-9-18(16)32-6-2)33(30,31)28-12-10-26(3)11-13-28/h8-9,14H,5-7,10-13H2,1-4H3,(H,23,24,29)_x000D__x000D_
</t>
  </si>
  <si>
    <t>C22H30N6O4S</t>
  </si>
  <si>
    <t>brimonidine</t>
  </si>
  <si>
    <t>DTXSID3045221</t>
  </si>
  <si>
    <t>BrC1=C2N=CC=NC2=CC=C1NC1=NCCN1</t>
  </si>
  <si>
    <t>XYLJNLCSTIOKRM-UHFFFAOYSA-N</t>
  </si>
  <si>
    <t xml:space="preserve">InChI=1S/C11H10BrN5/c12-9-7(17-11-15-5-6-16-11)1-2-8-10(9)14-4-3-13-8/h1-4H,5-6H2,(H2,15,16,17)_x000D__x000D_
</t>
  </si>
  <si>
    <t>C11H10BrN5</t>
  </si>
  <si>
    <t>pravastatin</t>
  </si>
  <si>
    <t>DTXSID6023498</t>
  </si>
  <si>
    <t>CC[C@H](C)C(=O)O[C@H]1C[C@H](O)C=C2C=C[C@H](C)[C@H](CC[C@@H](O)C[C@@H](O)CC(O)=O)[C@@H]12</t>
  </si>
  <si>
    <t>TUZYXOIXSAXUGO-PZAWKZKUSA-N</t>
  </si>
  <si>
    <t xml:space="preserve">InChI=1S/C23H36O7/c1-4-13(2)23(29)30-20-11-17(25)9-15-6-5-14(3)19(22(15)20)8-7-16(24)10-18(26)12-21(27)28/h5-6,9,13-14,16-20,22,24-26H,4,7-8,10-12H2,1-3H3,(H,27,28)/t13-,14-,16+,17+,18+,19-,20-,22-/m0/s1_x000D__x000D_
</t>
  </si>
  <si>
    <t>C23H36O7</t>
  </si>
  <si>
    <t>ipratropium</t>
  </si>
  <si>
    <t>DTXSID9048437</t>
  </si>
  <si>
    <t>CC(C)[N+]1(C)[C@H]2CC[C@@H]1C[C@@H](C2)OC(=O)C(CO)C1=CC=CC=C1</t>
  </si>
  <si>
    <t>OEXHQOGQTVQTAT-BHIXFJMTNA-N</t>
  </si>
  <si>
    <t xml:space="preserve">InChI=1/C20H30NO3/c1-14(2)21(3)16-9-10-17(21)12-18(11-16)24-20(23)19(13-22)15-7-5-4-6-8-15/h4-8,14,16-19,22H,9-13H2,1-3H3/q+1/t16-,17+,18+,19?,21?_x000D__x000D_
</t>
  </si>
  <si>
    <t>C20H30NO3</t>
  </si>
  <si>
    <t>baclofen</t>
  </si>
  <si>
    <t>DTXSID5022641</t>
  </si>
  <si>
    <t>NCC(CC(O)=O)C1=CC=C(Cl)C=C1</t>
  </si>
  <si>
    <t>KPYSYYIEGFHWSV-UHFFFAOYSA-N</t>
  </si>
  <si>
    <t xml:space="preserve">InChI=1/C10H12ClNO2/c11-9-3-1-7(2-4-9)8(6-12)5-10(13)14/h1-4,8H,5-6,12H2,(H,13,14)_x000D__x000D_
</t>
  </si>
  <si>
    <t>C10H12ClNO2</t>
  </si>
  <si>
    <t>atorvastatin</t>
  </si>
  <si>
    <t>DTXSID8029868</t>
  </si>
  <si>
    <t>CC(C)C1=C(C(=O)NC2=CC=CC=C2)C(=C(N1CC[C@@H](O)C[C@@H](O)CC(O)=O)C1=CC=C(F)C=C1)C1=CC=CC=C1</t>
  </si>
  <si>
    <t>XUKUURHRXDUEBC-KAYWLYCHSA-N</t>
  </si>
  <si>
    <t xml:space="preserve">InChI=1S/C33H35FN2O5/c1-21(2)31-30(33(41)35-25-11-7-4-8-12-25)29(22-9-5-3-6-10-22)32(23-13-15-24(34)16-14-23)36(31)18-17-26(37)19-27(38)20-28(39)40/h3-16,21,26-27,37-38H,17-20H2,1-2H3,(H,35,41)(H,39,40)/t26-,27-/m1/s1_x000D__x000D_
</t>
  </si>
  <si>
    <t>C33H35FN2O5</t>
  </si>
  <si>
    <t>lansoprazole</t>
  </si>
  <si>
    <t>DTXSID4023200</t>
  </si>
  <si>
    <t>CC1=C(CS(=O)C2=NC3=CC=CC=C3N2)N=CC=C1OCC(F)(F)F</t>
  </si>
  <si>
    <t>MJIHNNLFOKEZEW-UHFFFAOYSA-N</t>
  </si>
  <si>
    <t xml:space="preserve">InChI=1/C16H14F3N3O2S/c1-10-13(20-7-6-14(10)24-9-16(17,18)19)8-25(23)15-21-11-4-2-3-5-12(11)22-15/h2-7H,8-9H2,1H3,(H,21,22)_x000D__x000D_
</t>
  </si>
  <si>
    <t>C16H14F3N3O2S</t>
  </si>
  <si>
    <t>omeprazole</t>
  </si>
  <si>
    <t>DTXSID6021080</t>
  </si>
  <si>
    <t>COC1=CC2=C(NC(=N2)S(=O)CC2=C(C)C(OC)=C(C)C=N2)C=C1</t>
  </si>
  <si>
    <t>SUBDBMMJDZJVOS-UHFFFAOYSA-N</t>
  </si>
  <si>
    <t xml:space="preserve">InChI=1/C17H19N3O3S/c1-10-8-18-15(11(2)16(10)23-4)9-24(21)17-19-13-6-5-12(22-3)7-14(13)20-17/h5-8H,9H2,1-4H3,(H,19,20)_x000D__x000D_
</t>
  </si>
  <si>
    <t>quinapril</t>
  </si>
  <si>
    <t>DTXSID4023547</t>
  </si>
  <si>
    <t>CCOC(=O)[C@H](CCC1=CC=CC=C1)N[C@@H](C)C(=O)N1CC2=C(C[C@H]1C(O)=O)C=CC=C2</t>
  </si>
  <si>
    <t>JSDRRTOADPPCHY-HSQYWUDLSA-N</t>
  </si>
  <si>
    <t xml:space="preserve">InChI=1S/C25H30N2O5/c1-3-32-25(31)21(14-13-18-9-5-4-6-10-18)26-17(2)23(28)27-16-20-12-8-7-11-19(20)15-22(27)24(29)30/h4-12,17,21-22,26H,3,13-16H2,1-2H3,(H,29,30)/t17-,21-,22-/m0/s1_x000D__x000D_
</t>
  </si>
  <si>
    <t>C25H30N2O5</t>
  </si>
  <si>
    <t>pioglitazone</t>
  </si>
  <si>
    <t>DTXSID3037129</t>
  </si>
  <si>
    <t>CCC1=CN=C(CCOC2=CC=C(CC3SC(=O)NC3=O)C=C2)C=C1</t>
  </si>
  <si>
    <t>HYAFETHFCAUJAY-UHFFFAOYSA-N</t>
  </si>
  <si>
    <t xml:space="preserve">InChI=1/C19H20N2O3S/c1-2-13-3-6-15(20-12-13)9-10-24-16-7-4-14(5-8-16)11-17-18(22)21-19(23)25-17/h3-8,12,17H,2,9-11H2,1H3,(H,21,22,23)_x000D__x000D_
</t>
  </si>
  <si>
    <t>C19H20N2O3S</t>
  </si>
  <si>
    <t>torsemide</t>
  </si>
  <si>
    <t>DTXSID2023690</t>
  </si>
  <si>
    <t>CC(C)NC(=O)NS(=O)(=O)C1=C(NC2=CC(C)=CC=C2)C=CN=C1</t>
  </si>
  <si>
    <t>NGBFQHCMQULJNZ-UHFFFAOYSA-N</t>
  </si>
  <si>
    <t xml:space="preserve">InChI=1S/C16H20N4O3S/c1-11(2)18-16(21)20-24(22,23)15-10-17-8-7-14(15)19-13-6-4-5-12(3)9-13/h4-11H,1-3H3,(H,17,19)(H2,18,20,21)_x000D__x000D_
</t>
  </si>
  <si>
    <t>C16H20N4O3S</t>
  </si>
  <si>
    <t>fluoxetine</t>
  </si>
  <si>
    <t>DTXSID7023067</t>
  </si>
  <si>
    <t>CNCCC(OC1=CC=C(C=C1)C(F)(F)F)C1=CC=CC=C1</t>
  </si>
  <si>
    <t>RTHCYVBBDHJXIQ-UHFFFAOYSA-N</t>
  </si>
  <si>
    <t xml:space="preserve">InChI=1/C17H18F3NO/c1-21-12-11-16(13-5-3-2-4-6-13)22-15-9-7-14(8-10-15)17(18,19)20/h2-10,16,21H,11-12H2,1H3_x000D__x000D_
</t>
  </si>
  <si>
    <t>C17H18F3NO</t>
  </si>
  <si>
    <t>buspirone</t>
  </si>
  <si>
    <t>DTXSID2022707</t>
  </si>
  <si>
    <t>O=C1CC2(CCCC2)CC(=O)N1CCCCN1CCN(CC1)C1=NC=CC=N1</t>
  </si>
  <si>
    <t>QWCRAEMEVRGPNT-UHFFFAOYSA-N</t>
  </si>
  <si>
    <t xml:space="preserve">InChI=1S/C21H31N5O2/c27-18-16-21(6-1-2-7-21)17-19(28)26(18)11-4-3-10-24-12-14-25(15-13-24)20-22-8-5-9-23-20/h5,8-9H,1-4,6-7,10-17H2_x000D__x000D_
</t>
  </si>
  <si>
    <t>C21H31N5O2</t>
  </si>
  <si>
    <t>citalopram</t>
  </si>
  <si>
    <t>DTXSID8022826</t>
  </si>
  <si>
    <t>CN(C)CCCC1(OCC2=CC(=CC=C12)C#N)C1=CC=C(F)C=C1</t>
  </si>
  <si>
    <t>WSEQXVZVJXJVFP-UHFFFAOYSA-N</t>
  </si>
  <si>
    <t xml:space="preserve">InChI=1/C20H21FN2O/c1-23(2)11-3-10-20(17-5-7-18(21)8-6-17)19-9-4-15(13-22)12-16(19)14-24-20/h4-9,12H,3,10-11,14H2,1-2H3_x000D__x000D_
</t>
  </si>
  <si>
    <t>C20H21FN2O</t>
  </si>
  <si>
    <t>metoclopramide</t>
  </si>
  <si>
    <t>DTXSID6045169</t>
  </si>
  <si>
    <t>CCN(CC)CCNC(=O)C1=CC(Cl)=C(N)C=C1OC</t>
  </si>
  <si>
    <t>TTWJBBZEZQICBI-UHFFFAOYSA-N</t>
  </si>
  <si>
    <t xml:space="preserve">InChI=1S/C14H22ClN3O2/c1-4-18(5-2)7-6-17-14(19)10-8-11(15)12(16)9-13(10)20-3/h8-9H,4-7,16H2,1-3H3,(H,17,19)_x000D__x000D_
</t>
  </si>
  <si>
    <t>C14H22ClN3O2</t>
  </si>
  <si>
    <t>benazepril</t>
  </si>
  <si>
    <t>DTXSID5022645</t>
  </si>
  <si>
    <t>CCOC(=O)[C@H](CCC1=CC=CC=C1)N[C@H]1CCC2=CC=CC=C2N(CC(O)=O)C1=O</t>
  </si>
  <si>
    <t>XPCFTKFZXHTYIP-PMACEKPBSA-N</t>
  </si>
  <si>
    <t xml:space="preserve">InChI=1S/C24H28N2O5/c1-2-31-24(30)20(14-12-17-8-4-3-5-9-17)25-19-15-13-18-10-6-7-11-21(18)26(23(19)29)16-22(27)28/h3-11,19-20,25H,2,12-16H2,1H3,(H,27,28)/t19-,20-/m0/s1_x000D__x000D_
</t>
  </si>
  <si>
    <t>C24H28N2O5</t>
  </si>
  <si>
    <t>lovastatin</t>
  </si>
  <si>
    <t>DTXSID5020784</t>
  </si>
  <si>
    <t>[H][C@]12[C@H](C[C@@H](C)C=C1C=C[C@H](C)[C@@H]2CC[C@@H]1C[C@@H](O)CC(=O)O1)OC(=O)[C@@H](C)CC</t>
  </si>
  <si>
    <t>PCZOHLXUXFIOCF-BXMDZJJMSA-N</t>
  </si>
  <si>
    <t xml:space="preserve">InChI=1S/C24H36O5/c1-5-15(3)24(27)29-21-11-14(2)10-17-7-6-16(4)20(23(17)21)9-8-19-12-18(25)13-22(26)28-19/h6-7,10,14-16,18-21,23,25H,5,8-9,11-13H2,1-4H3/t14-,15-,16-,18+,19+,20-,21-,23-/m0/s1_x000D__x000D_
</t>
  </si>
  <si>
    <t>C24H36O5</t>
  </si>
  <si>
    <t>nadolol</t>
  </si>
  <si>
    <t>DTXSID3023342</t>
  </si>
  <si>
    <t>CC(C)(C)NCC(O)COC1=CC=CC2=C1CC(O)C(O)C2</t>
  </si>
  <si>
    <t>VWPOSFSPZNDTMJ-UHFFFAOYSA-N</t>
  </si>
  <si>
    <t xml:space="preserve">InChI=1/C17H27NO4/c1-17(2,3)18-9-12(19)10-22-16-6-4-5-11-7-14(20)15(21)8-13(11)16/h4-6,12,14-15,18-21H,7-10H2,1-3H3_x000D__x000D_
</t>
  </si>
  <si>
    <t>C17H27NO4</t>
  </si>
  <si>
    <t>prochlorperazine</t>
  </si>
  <si>
    <t>DTXSID7023514</t>
  </si>
  <si>
    <t>CN1CCN(CCCN2C3=CC=CC=C3SC3=C2C=C(Cl)C=C3)CC1</t>
  </si>
  <si>
    <t>WIKYUJGCLQQFNW-UHFFFAOYSA-N</t>
  </si>
  <si>
    <t xml:space="preserve">InChI=1S/C20H24ClN3S/c1-22-11-13-23(14-12-22)9-4-10-24-17-5-2-3-6-19(17)25-20-8-7-16(21)15-18(20)24/h2-3,5-8,15H,4,9-14H2,1H3_x000D__x000D_
</t>
  </si>
  <si>
    <t>C20H24ClN3S</t>
  </si>
  <si>
    <t>olmesartan</t>
  </si>
  <si>
    <t>DTXSID2040571</t>
  </si>
  <si>
    <t>CCCC1=NC(=C(N1CC1=CC=C(C=C1)C1=C(C=CC=C1)C1=NN=NN1)C(O)=O)C(C)(C)O</t>
  </si>
  <si>
    <t>VTRAEEWXHOVJFV-UHFFFAOYSA-N</t>
  </si>
  <si>
    <t xml:space="preserve">InChI=1S/C24H26N6O3/c1-4-7-19-25-21(24(2,3)33)20(23(31)32)30(19)14-15-10-12-16(13-11-15)17-8-5-6-9-18(17)22-26-28-29-27-22/h5-6,8-13,33H,4,7,14H2,1-3H3,(H,31,32)(H,26,27,28,29)_x000D__x000D_
</t>
  </si>
  <si>
    <t>C24H26N6O3</t>
  </si>
  <si>
    <t>carvedilol</t>
  </si>
  <si>
    <t>DTXSID8022747</t>
  </si>
  <si>
    <t>COC1=C(OCCNCC(O)COC2=CC=CC3=C2C2=C(N3)C=CC=C2)C=CC=C1</t>
  </si>
  <si>
    <t>OGHNVEJMJSYVRP-UHFFFAOYSA-N</t>
  </si>
  <si>
    <t xml:space="preserve">InChI=1/C24H26N2O4/c1-28-21-10-4-5-11-22(21)29-14-13-25-15-17(27)16-30-23-12-6-9-20-24(23)18-7-2-3-8-19(18)26-20/h2-12,17,25-27H,13-16H2,1H3_x000D__x000D_
</t>
  </si>
  <si>
    <t>C24H26N2O4</t>
  </si>
  <si>
    <t>senna</t>
  </si>
  <si>
    <t>alendronate</t>
  </si>
  <si>
    <t>DTXSID5022568</t>
  </si>
  <si>
    <t>NCCCC(O)(P(O)(O)=O)P(O)(O)=O</t>
  </si>
  <si>
    <t>OGSPWJRAVKPPFI-UHFFFAOYSA-N</t>
  </si>
  <si>
    <t xml:space="preserve">InChI=1S/C4H13NO7P2/c5-3-1-2-4(6,13(7,8)9)14(10,11)12/h6H,1-3,5H2,(H2,7,8,9)(H2,10,11,12)_x000D__x000D_
</t>
  </si>
  <si>
    <t>C4H13NO7P2</t>
  </si>
  <si>
    <t>simvastatin</t>
  </si>
  <si>
    <t>DTXSID0023581</t>
  </si>
  <si>
    <t>CCC(C)(C)C(=O)O[C@H]1C[C@@H](C)C=C2C=C[C@H](C)[C@H](CC[C@@H]3C[C@@H](O)CC(=O)O3)[C@@H]12</t>
  </si>
  <si>
    <t>RYMZZMVNJRMUDD-HGQWONQESA-N</t>
  </si>
  <si>
    <t xml:space="preserve">InChI=1S/C25H38O5/c1-6-25(4,5)24(28)30-21-12-15(2)11-17-8-7-16(3)20(23(17)21)10-9-19-13-18(26)14-22(27)29-19/h7-8,11,15-16,18-21,23,26H,6,9-10,12-14H2,1-5H3/t15-,16-,18+,19+,20-,21-,23-/m0/s1_x000D__x000D_
</t>
  </si>
  <si>
    <t>C25H38O5</t>
  </si>
  <si>
    <t>chlorthalidone</t>
  </si>
  <si>
    <t>DTXSID4022812</t>
  </si>
  <si>
    <t>NS(=O)(=O)C1=C(Cl)C=CC(=C1)C1(O)NC(=O)C2=CC=CC=C12</t>
  </si>
  <si>
    <t>JIVPVXMEBJLZRO-UHFFFAOYSA-N</t>
  </si>
  <si>
    <t xml:space="preserve">InChI=1/C14H11ClN2O4S/c15-11-6-5-8(7-12(11)22(16,20)21)14(19)10-4-2-1-3-9(10)13(18)17-14/h1-7,19H,(H,17,18)(H2,16,20,21)_x000D__x000D_
</t>
  </si>
  <si>
    <t>C14H11ClN2O4S</t>
  </si>
  <si>
    <t>mirtazapine</t>
  </si>
  <si>
    <t>DTXSID0023325</t>
  </si>
  <si>
    <t>CN1CCN2C(C1)C1=CC=CC=C1CC1=C2N=CC=C1</t>
  </si>
  <si>
    <t>RONZAEMNMFQXRA-UHFFFAOYSA-N</t>
  </si>
  <si>
    <t xml:space="preserve">InChI=1/C17H19N3/c1-19-9-10-20-16(12-19)15-7-3-2-5-13(15)11-14-6-4-8-18-17(14)20/h2-8,16H,9-12H2,1H3_x000D__x000D_
</t>
  </si>
  <si>
    <t>C17H19N3</t>
  </si>
  <si>
    <t>ketoprofen</t>
  </si>
  <si>
    <t>DTXSID6020771</t>
  </si>
  <si>
    <t>CC(C(O)=O)C1=CC(=CC=C1)C(=O)C1=CC=CC=C1</t>
  </si>
  <si>
    <t>DKYWVDODHFEZIM-UHFFFAOYSA-N</t>
  </si>
  <si>
    <t xml:space="preserve">InChI=1/C16H14O3/c1-11(16(18)19)13-8-5-9-14(10-13)15(17)12-6-3-2-4-7-12/h2-11H,1H3,(H,18,19)_x000D__x000D_
</t>
  </si>
  <si>
    <t>C16H14O3</t>
  </si>
  <si>
    <t>triamterene</t>
  </si>
  <si>
    <t>DTXSID6021373</t>
  </si>
  <si>
    <t>NC1=NC(N)=C2N=C(C(N)=NC2=N1)C1=CC=CC=C1</t>
  </si>
  <si>
    <t>FNYLWPVRPXGIIP-UHFFFAOYSA-N</t>
  </si>
  <si>
    <t xml:space="preserve">InChI=1S/C12H11N7/c13-9-7(6-4-2-1-3-5-6)16-8-10(14)18-12(15)19-11(8)17-9/h1-5H,(H6,13,14,15,17,18,19)_x000D__x000D_
</t>
  </si>
  <si>
    <t>C12H11N7</t>
  </si>
  <si>
    <t>alogliptin</t>
  </si>
  <si>
    <t>DTXSID90234130</t>
  </si>
  <si>
    <t>CN1C(=O)C=C(N2CCC[C@@H](N)C2)N(CC2=CC=CC=C2C#N)C1=O</t>
  </si>
  <si>
    <t>ZSBOMTDTBDDKMP-OAHLLOKOSA-N</t>
  </si>
  <si>
    <t xml:space="preserve">InChI=1S/C18H21N5O2/c1-21-17(24)9-16(22-8-4-7-15(20)12-22)23(18(21)25)11-14-6-3-2-5-13(14)10-19/h2-3,5-6,9,15H,4,7-8,11-12,20H2,1H3/t15-/m1/s1_x000D__x000D_
</t>
  </si>
  <si>
    <t>C18H21N5O2</t>
  </si>
  <si>
    <t>paroxetine</t>
  </si>
  <si>
    <t>DTXSID3023425</t>
  </si>
  <si>
    <t>FC1=CC=C(C=C1)[C@@H]1CCNC[C@H]1COC1=CC=C2OCOC2=C1</t>
  </si>
  <si>
    <t>AHOUBRCZNHFOSL-YOEHRIQHSA-N</t>
  </si>
  <si>
    <t xml:space="preserve">InChI=1S/C19H20FNO3/c20-15-3-1-13(2-4-15)17-7-8-21-10-14(17)11-22-16-5-6-18-19(9-16)24-12-23-18/h1-6,9,14,17,21H,7-8,10-12H2/t14-,17-/m0/s1_x000D__x000D_
</t>
  </si>
  <si>
    <t>C19H20FNO3</t>
  </si>
  <si>
    <t>hydrochlorothiazide</t>
  </si>
  <si>
    <t>DTXSID2020713</t>
  </si>
  <si>
    <t>NS(=O)(=O)C1=CC2=C(NCNS2(=O)=O)C=C1Cl</t>
  </si>
  <si>
    <t>JZUFKLXOESDKRF-UHFFFAOYSA-N</t>
  </si>
  <si>
    <t xml:space="preserve">InChI=1S/C7H8ClN3O4S2/c8-4-1-5-7(2-6(4)16(9,12)13)17(14,15)11-3-10-5/h1-2,10-11H,3H2,(H2,9,12,13)_x000D__x000D_
</t>
  </si>
  <si>
    <t>C7H8ClN3O4S2</t>
  </si>
  <si>
    <t>temazepam</t>
  </si>
  <si>
    <t>DTXSID8021309</t>
  </si>
  <si>
    <t>CN1C2=CC=C(Cl)C=C2C(=NC(O)C1=O)C1=CC=CC=C1</t>
  </si>
  <si>
    <t>SEQDDYPDSLOBDC-UHFFFAOYSA-N</t>
  </si>
  <si>
    <t xml:space="preserve">InChI=1/C16H13ClN2O2/c1-19-13-8-7-11(17)9-12(13)14(18-15(20)16(19)21)10-5-3-2-4-6-10/h2-9,15,20H,1H3_x000D__x000D_
</t>
  </si>
  <si>
    <t>C16H13ClN2O2</t>
  </si>
  <si>
    <t>flunisolide</t>
  </si>
  <si>
    <t>DTXSID1045534</t>
  </si>
  <si>
    <t>CC1(C)O[C@@H]2C[C@H]3[C@@H]4C[C@H](F)C5=CC(=O)C=C[C@]5(C)[C@H]4[C@@H](O)C[C@]3(C)[C@@]2(O1)C(=O)CO</t>
  </si>
  <si>
    <t>XSFJVAJPIHIPKU-XWCQMRHXSA-N</t>
  </si>
  <si>
    <t xml:space="preserve">InChI=1S/C24H31FO6/c1-21(2)30-19-9-14-13-8-16(25)15-7-12(27)5-6-22(15,3)20(13)17(28)10-23(14,4)24(19,31-21)18(29)11-26/h5-7,13-14,16-17,19-20,26,28H,8-11H2,1-4H3/t13-,14-,16-,17-,19+,20+,22-,23-,24+/m0/s1_x000D__x000D_
</t>
  </si>
  <si>
    <t>C24H31FO6</t>
  </si>
  <si>
    <t>cyclobenzaprine</t>
  </si>
  <si>
    <t>DTXSID0046933</t>
  </si>
  <si>
    <t>CN(C)CCC=C1C2=C(C=CC=C2)C=CC2=C1C=CC=C2</t>
  </si>
  <si>
    <t>JURKNVYFZMSNLP-UHFFFAOYSA-N</t>
  </si>
  <si>
    <t xml:space="preserve">InChI=1S/C20H21N/c1-21(2)15-7-12-20-18-10-5-3-8-16(18)13-14-17-9-4-6-11-19(17)20/h3-6,8-14H,7,15H2,1-2H3_x000D__x000D_
</t>
  </si>
  <si>
    <t>C20H21N</t>
  </si>
  <si>
    <t>piroxicam</t>
  </si>
  <si>
    <t>DTXSID5021170</t>
  </si>
  <si>
    <t>CN1C(C(=O)NC2=NC=CC=C2)=C(O)C2=C(C=CC=C2)S1(=O)=O</t>
  </si>
  <si>
    <t>QYSPLQLAKJAUJT-UHFFFAOYSA-N</t>
  </si>
  <si>
    <t xml:space="preserve">InChI=1S/C15H13N3O4S/c1-18-13(15(20)17-12-8-4-5-9-16-12)14(19)10-6-2-3-7-11(10)23(18,21)22/h2-9,19H,1H3,(H,16,17,20)_x000D__x000D_
</t>
  </si>
  <si>
    <t>C15H13N3O4S</t>
  </si>
  <si>
    <t>empagliflozin</t>
  </si>
  <si>
    <t>DTXSID601026093</t>
  </si>
  <si>
    <t>OC[C@H]1O[C@H]([C@H](O)[C@@H](O)[C@@H]1O)C1=CC(CC2=CC=C(O[C@H]3CCOC3)C=C2)=C(Cl)C=C1</t>
  </si>
  <si>
    <t>OBWASQILIWPZMG-QZMOQZSNSA-N</t>
  </si>
  <si>
    <t xml:space="preserve">InChI=1S/C23H27ClO7/c24-18-6-3-14(23-22(28)21(27)20(26)19(11-25)31-23)10-15(18)9-13-1-4-16(5-2-13)30-17-7-8-29-12-17/h1-6,10,17,19-23,25-28H,7-9,11-12H2/t17-,19+,20+,21-,22+,23-/m0/s1_x000D__x000D_
</t>
  </si>
  <si>
    <t>C23H27ClO7</t>
  </si>
  <si>
    <t>lisinopril</t>
  </si>
  <si>
    <t>DTXSID6040537</t>
  </si>
  <si>
    <t>NCCCC[C@H](N[C@@H](CCC1=CC=CC=C1)C(O)=O)C(=O)N1CCC[C@H]1C(O)=O</t>
  </si>
  <si>
    <t>RLAWWYSOJDYHDC-BZSNNMDCSA-N</t>
  </si>
  <si>
    <t xml:space="preserve">InChI=1S/C21H31N3O5/c22-13-5-4-9-16(19(25)24-14-6-10-18(24)21(28)29)23-17(20(26)27)12-11-15-7-2-1-3-8-15/h1-3,7-8,16-18,23H,4-6,9-14,22H2,(H,26,27)(H,28,29)/t16-,17-,18-/m0/s1_x000D__x000D_
</t>
  </si>
  <si>
    <t>C21H31N3O5</t>
  </si>
  <si>
    <t>rivaroxaban</t>
  </si>
  <si>
    <t>DTXSID3057723</t>
  </si>
  <si>
    <t>ClC1=CC=C(S1)C(=O)NC[C@H]1CN(C(=O)O1)C1=CC=C(C=C1)N1CCOCC1=O</t>
  </si>
  <si>
    <t>KGFYHTZWPPHNLQ-YQTOOIBONA-N</t>
  </si>
  <si>
    <t xml:space="preserve">InChI=1/C19H18ClN3O5S/c20-16-6-5-15(29-16)18(25)21-9-14-10-23(19(26)28-14)13-3-1-12(2-4-13)22-7-8-27-11-17(22)24/h1-6,14H,7-11H2,(H,21,25)/t14-/s2_x000D__x000D_
</t>
  </si>
  <si>
    <t>C19H18ClN3O5S</t>
  </si>
  <si>
    <t>prednisone</t>
  </si>
  <si>
    <t>DTXSID4021185</t>
  </si>
  <si>
    <t>C[C@]12CC(=O)[C@H]3[C@@H](CCC4=CC(=O)C=C[C@]34C)[C@@H]1CC[C@]2(O)C(=O)CO</t>
  </si>
  <si>
    <t>XOFYZVNMUHMLCC-ZPOLXVRWSA-N</t>
  </si>
  <si>
    <t xml:space="preserve">InChI=1S/C21H26O5/c1-19-7-5-13(23)9-12(19)3-4-14-15-6-8-21(26,17(25)11-22)20(15,2)10-16(24)18(14)19/h5,7,9,14-15,18,22,26H,3-4,6,8,10-11H2,1-2H3/t14-,15-,18+,19-,20-,21-/m0/s1_x000D__x000D_
</t>
  </si>
  <si>
    <t>C21H26O5</t>
  </si>
  <si>
    <t>diazepam</t>
  </si>
  <si>
    <t>DTXSID4020406</t>
  </si>
  <si>
    <t>CN1C2=C(C=C(Cl)C=C2)C(=NCC1=O)C1=CC=CC=C1</t>
  </si>
  <si>
    <t>AAOVKJBEBIDNHE-UHFFFAOYSA-N</t>
  </si>
  <si>
    <t xml:space="preserve">InChI=1S/C16H13ClN2O/c1-19-14-8-7-12(17)9-13(14)16(18-10-15(19)20)11-5-3-2-4-6-11/h2-9H,10H2,1H3_x000D__x000D_
</t>
  </si>
  <si>
    <t>C16H13ClN2O</t>
  </si>
  <si>
    <t>memantine</t>
  </si>
  <si>
    <t>DTXSID5045174</t>
  </si>
  <si>
    <t>CC12CC3CC(C)(C1)CC(N)(C3)C2</t>
  </si>
  <si>
    <t>BUGYDGFZZOZRHP-UHFFFAOYSA-N</t>
  </si>
  <si>
    <t xml:space="preserve">InChI=1/C12H21N/c1-10-3-9-4-11(2,6-10)8-12(13,5-9)7-10/h9H,3-8,13H2,1-2H3_x000D__x000D_
</t>
  </si>
  <si>
    <t>C12H21N</t>
  </si>
  <si>
    <t>dexmethylphenidate</t>
  </si>
  <si>
    <t>DTXSID70893769</t>
  </si>
  <si>
    <t>[H][C@@]1(CCCCN1)[C@H](C(=O)OC)C1=CC=CC=C1</t>
  </si>
  <si>
    <t>DUGOZIWVEXMGBE-CHWSQXEVSA-N</t>
  </si>
  <si>
    <t xml:space="preserve">InChI=1S/C14H19NO2/c1-17-14(16)13(11-7-3-2-4-8-11)12-9-5-6-10-15-12/h2-4,7-8,12-13,15H,5-6,9-10H2,1H3/t12-,13-/m1/s1_x000D__x000D_
</t>
  </si>
  <si>
    <t>tamoxifen</t>
  </si>
  <si>
    <t>DTXSID1034187</t>
  </si>
  <si>
    <t>CC\C(=C(/C1=CC=CC=C1)C1=CC=C(OCCN(C)C)C=C1)C1=CC=CC=C1</t>
  </si>
  <si>
    <t>NKANXQFJJICGDU-QPLCGJKRSA-N</t>
  </si>
  <si>
    <t xml:space="preserve">InChI=1S/C26H29NO/c1-4-25(21-11-7-5-8-12-21)26(22-13-9-6-10-14-22)23-15-17-24(18-16-23)28-20-19-27(2)3/h5-18H,4,19-20H2,1-3H3/b26-25-_x000D__x000D_
</t>
  </si>
  <si>
    <t>C26H29NO</t>
  </si>
  <si>
    <t>leflunomide</t>
  </si>
  <si>
    <t>DTXSID9023201</t>
  </si>
  <si>
    <t>CC1=C(C=NO1)C(=O)NC1=CC=C(C=C1)C(F)(F)F</t>
  </si>
  <si>
    <t>VHOGYURTWQBHIL-UHFFFAOYSA-N</t>
  </si>
  <si>
    <t xml:space="preserve">InChI=1S/C12H9F3N2O2/c1-7-10(6-16-19-7)11(18)17-9-4-2-8(3-5-9)12(13,14)15/h2-6H,1H3,(H,17,18)_x000D__x000D_
</t>
  </si>
  <si>
    <t>C12H9F3N2O2</t>
  </si>
  <si>
    <t>rosuvastatin</t>
  </si>
  <si>
    <t>DTXSID8048492</t>
  </si>
  <si>
    <t>CC(C)C1=C(\C=C\[C@@H](O)C[C@@H](O)CC(O)=O)C(=NC(=N1)N(C)S(C)(=O)=O)C1=CC=C(F)C=C1</t>
  </si>
  <si>
    <t>BPRHUIZQVSMCRT-VEUZHWNKSA-N</t>
  </si>
  <si>
    <t xml:space="preserve">InChI=1S/C22H28FN3O6S/c1-13(2)20-18(10-9-16(27)11-17(28)12-19(29)30)21(14-5-7-15(23)8-6-14)25-22(24-20)26(3)33(4,31)32/h5-10,13,16-17,27-28H,11-12H2,1-4H3,(H,29,30)/b10-9+/t16-,17-/m1/s1_x000D__x000D_
</t>
  </si>
  <si>
    <t>C22H28FN3O6S</t>
  </si>
  <si>
    <t>tadalafil</t>
  </si>
  <si>
    <t>DTXSID9046786</t>
  </si>
  <si>
    <t>CN1CC(=O)N2[C@H](CC3=C(NC4=C3C=CC=C4)[C@H]2C2=CC=C3OCOC3=C2)C1=O</t>
  </si>
  <si>
    <t>WOXKDUGGOYFFRN-IIBYNOLFSA-N</t>
  </si>
  <si>
    <t xml:space="preserve">InChI=1S/C22H19N3O4/c1-24-10-19(26)25-16(22(24)27)9-14-13-4-2-3-5-15(13)23-20(14)21(25)12-6-7-17-18(8-12)29-11-28-17/h2-8,16,21,23H,9-11H2,1H3/t16-,21-/m1/s1_x000D__x000D_
</t>
  </si>
  <si>
    <t>C22H19N3O4</t>
  </si>
  <si>
    <t>vortioxetine</t>
  </si>
  <si>
    <t>DTXSID80965062</t>
  </si>
  <si>
    <t>CC1=CC(C)=C(SC2=CC=CC=C2N2CCNCC2)C=C1</t>
  </si>
  <si>
    <t>YQNWZWMKLDQSAC-UHFFFAOYSA-N</t>
  </si>
  <si>
    <t xml:space="preserve">InChI=1S/C18H22N2S/c1-14-7-8-17(15(2)13-14)21-18-6-4-3-5-16(18)20-11-9-19-10-12-20/h3-8,13,19H,9-12H2,1-2H3_x000D__x000D_
</t>
  </si>
  <si>
    <t>C18H22N2S</t>
  </si>
  <si>
    <t>escitalopram</t>
  </si>
  <si>
    <t>DTXSID8048440</t>
  </si>
  <si>
    <t>CN(C)CCC[C@]1(OCC2=CC(=CC=C12)C#N)C1=CC=C(F)C=C1</t>
  </si>
  <si>
    <t>WSEQXVZVJXJVFP-FQEVSTJZSA-N</t>
  </si>
  <si>
    <t xml:space="preserve">InChI=1S/C20H21FN2O/c1-23(2)11-3-10-20(17-5-7-18(21)8-6-17)19-9-4-15(13-22)12-16(19)14-24-20/h4-9,12H,3,10-11,14H2,1-2H3/t20-/m0/s1_x000D__x000D_
</t>
  </si>
  <si>
    <t>ondansetron</t>
  </si>
  <si>
    <t>DTXSID8023393</t>
  </si>
  <si>
    <t>CN1C2=C(C3=CC=CC=C13)C(=O)C(CN1C=CN=C1C)CC2</t>
  </si>
  <si>
    <t>FELGMEQIXOGIFQ-UHFFFAOYSA-N</t>
  </si>
  <si>
    <t xml:space="preserve">InChI=1/C18H19N3O/c1-12-19-9-10-21(12)11-13-7-8-16-17(18(13)22)14-5-3-4-6-15(14)20(16)2/h3-6,9-10,13H,7-8,11H2,1-2H3_x000D__x000D_
</t>
  </si>
  <si>
    <t>C18H19N3O</t>
  </si>
  <si>
    <t>enalapril</t>
  </si>
  <si>
    <t>DTXSID5022982</t>
  </si>
  <si>
    <t>CCOC(=O)[C@H](CCC1=CC=CC=C1)N[C@@H](C)C(=O)N1CCC[C@H]1C(O)=O</t>
  </si>
  <si>
    <t>GBXSMTUPTTWBMN-XIRDDKMYSA-N</t>
  </si>
  <si>
    <t xml:space="preserve">InChI=1S/C20H28N2O5/c1-3-27-20(26)16(12-11-15-8-5-4-6-9-15)21-14(2)18(23)22-13-7-10-17(22)19(24)25/h4-6,8-9,14,16-17,21H,3,7,10-13H2,1-2H3,(H,24,25)/t14-,16-,17-/m0/s1_x000D__x000D_
</t>
  </si>
  <si>
    <t>C20H28N2O5</t>
  </si>
  <si>
    <t>hydromorphone</t>
  </si>
  <si>
    <t>DTXSID8023133</t>
  </si>
  <si>
    <t>[H][C@@]12OC3=C(O)C=CC4=C3[C@@]11CCN(C)[C@H](C4)[C@]1([H])CCC2=O</t>
  </si>
  <si>
    <t>WVLOADHCBXTIJK-YNHQPCIGSA-N</t>
  </si>
  <si>
    <t xml:space="preserve">InChI=1S/C17H19NO3/c1-18-7-6-17-10-3-5-13(20)16(17)21-15-12(19)4-2-9(14(15)17)8-11(10)18/h2,4,10-11,16,19H,3,5-8H2,1H3/t10-,11+,16-,17-/m0/s1_x000D__x000D_
</t>
  </si>
  <si>
    <t>meloxicam</t>
  </si>
  <si>
    <t>DTXSID1020803</t>
  </si>
  <si>
    <t>CN1C(C(=O)NC2=NC=C(C)S2)=C(O)C2=CC=CC=C2S1(=O)=O</t>
  </si>
  <si>
    <t>ZRVUJXDFFKFLMG-UHFFFAOYSA-N</t>
  </si>
  <si>
    <t xml:space="preserve">InChI=1S/C14H13N3O4S2/c1-8-7-15-14(22-8)16-13(19)11-12(18)9-5-3-4-6-10(9)23(20,21)17(11)2/h3-7,18H,1-2H3,(H,15,16,19)_x000D__x000D_
</t>
  </si>
  <si>
    <t>C14H13N3O4S2</t>
  </si>
  <si>
    <t>epinastine</t>
  </si>
  <si>
    <t>DTXSID2048371</t>
  </si>
  <si>
    <t>NC1=NCC2N1C1=CC=CC=C1CC1=CC=CC=C21</t>
  </si>
  <si>
    <t>WHWZLSFABNNENI-UHFFFAOYSA-N</t>
  </si>
  <si>
    <t xml:space="preserve">InChI=1/C16H15N3/c17-16-18-10-15-13-7-3-1-5-11(13)9-12-6-2-4-8-14(12)19(15)16/h1-8,15H,9-10H2,(H2,17,18)_x000D__x000D_
</t>
  </si>
  <si>
    <t>C16H15N3</t>
  </si>
  <si>
    <t>glipizide</t>
  </si>
  <si>
    <t>DTXSID0040676</t>
  </si>
  <si>
    <t>CC1=NC=C(N=C1)C(=O)NCCC1=CC=C(C=C1)S(=O)(=O)NC(=O)NC1CCCCC1</t>
  </si>
  <si>
    <t>ZJJXGWJIGJFDTL-UHFFFAOYSA-N</t>
  </si>
  <si>
    <t xml:space="preserve">InChI=1S/C21H27N5O4S/c1-15-13-24-19(14-23-15)20(27)22-12-11-16-7-9-18(10-8-16)31(29,30)26-21(28)25-17-5-3-2-4-6-17/h7-10,13-14,17H,2-6,11-12H2,1H3,(H,22,27)(H2,25,26,28)_x000D__x000D_
</t>
  </si>
  <si>
    <t>C21H27N5O4S</t>
  </si>
  <si>
    <t>ertugliflozin</t>
  </si>
  <si>
    <t>olanzapine</t>
  </si>
  <si>
    <t>DTXSID9023388</t>
  </si>
  <si>
    <t>CN1CCN(CC1)C1=NC2=C(NC3=C1C=C(C)S3)C=CC=C2</t>
  </si>
  <si>
    <t>KVWDHTXUZHCGIO-UHFFFAOYSA-N</t>
  </si>
  <si>
    <t xml:space="preserve">InChI=1S/C17H20N4S/c1-12-11-13-16(21-9-7-20(2)8-10-21)18-14-5-3-4-6-15(14)19-17(13)22-12/h3-6,11,19H,7-10H2,1-2H3_x000D__x000D_
</t>
  </si>
  <si>
    <t>C17H20N4S</t>
  </si>
  <si>
    <t>alfuzosin</t>
  </si>
  <si>
    <t>DTXSID6048549</t>
  </si>
  <si>
    <t>COC1=CC2=C(C=C1OC)C(N)=NC(=N2)N(C)CCCNC(=O)C1CCCO1</t>
  </si>
  <si>
    <t>WNMJYKCGWZFFKR-UHFFFAOYSA-N</t>
  </si>
  <si>
    <t xml:space="preserve">InChI=1/C19H27N5O4/c1-24(8-5-7-21-18(25)14-6-4-9-28-14)19-22-13-11-16(27-3)15(26-2)10-12(13)17(20)23-19/h10-11,14H,4-9H2,1-3H3,(H,21,25)(H2,20,22,23)_x000D__x000D_
</t>
  </si>
  <si>
    <t>C19H27N5O4</t>
  </si>
  <si>
    <t>loratadine</t>
  </si>
  <si>
    <t>DTXSID2023224</t>
  </si>
  <si>
    <t>CCOC(=O)N1CCC(CC1)=C1C2=C(CCC3=C1N=CC=C3)C=C(Cl)C=C2</t>
  </si>
  <si>
    <t>JCCNYMKQOSZNPW-UHFFFAOYSA-N</t>
  </si>
  <si>
    <t xml:space="preserve">InChI=1S/C22H23ClN2O2/c1-2-27-22(26)25-12-9-15(10-13-25)20-19-8-7-18(23)14-17(19)6-5-16-4-3-11-24-21(16)20/h3-4,7-8,11,14H,2,5-6,9-10,12-13H2,1H3_x000D__x000D_
</t>
  </si>
  <si>
    <t>C22H23ClN2O2</t>
  </si>
  <si>
    <t>methimazole</t>
  </si>
  <si>
    <t>DTXSID4020820</t>
  </si>
  <si>
    <t>CN1C=CNC1=S</t>
  </si>
  <si>
    <t>PMRYVIKBURPHAH-UHFFFAOYSA-N</t>
  </si>
  <si>
    <t xml:space="preserve">InChI=1S/C4H6N2S/c1-6-3-2-5-4(6)7/h2-3H,1H3,(H,5,7)_x000D__x000D_
</t>
  </si>
  <si>
    <t>C4H6N2S</t>
  </si>
  <si>
    <t>methylprednisolone</t>
  </si>
  <si>
    <t>DTXSID7023300</t>
  </si>
  <si>
    <t>[H][C@@]12CC[C@](O)(C(=O)CO)[C@@]1(C)C[C@H](O)[C@@]1([H])[C@@]2([H])C[C@H](C)C2=CC(=O)C=C[C@]12C</t>
  </si>
  <si>
    <t>VHRSUDSXCMQTMA-PJHHCJLFSA-N</t>
  </si>
  <si>
    <t xml:space="preserve">InChI=1S/C22H30O5/c1-12-8-14-15-5-7-22(27,18(26)11-23)21(15,3)10-17(25)19(14)20(2)6-4-13(24)9-16(12)20/h4,6,9,12,14-15,17,19,23,25,27H,5,7-8,10-11H2,1-3H3/t12-,14-,15-,17-,19+,20-,21-,22-/m0/s1_x000D__x000D_
</t>
  </si>
  <si>
    <t>C22H30O5</t>
  </si>
  <si>
    <t>loperamide</t>
  </si>
  <si>
    <t>DTXSID6045165</t>
  </si>
  <si>
    <t>CN(C)C(=O)C(CCN1CCC(O)(CC1)C1=CC=C(Cl)C=C1)(C1=CC=CC=C1)C1=CC=CC=C1</t>
  </si>
  <si>
    <t>RDOIQAHITMMDAJ-UHFFFAOYSA-N</t>
  </si>
  <si>
    <t xml:space="preserve">InChI=1S/C29H33ClN2O2/c1-31(2)27(33)29(24-9-5-3-6-10-24,25-11-7-4-8-12-25)19-22-32-20-17-28(34,18-21-32)23-13-15-26(30)16-14-23/h3-16,34H,17-22H2,1-2H3_x000D__x000D_
</t>
  </si>
  <si>
    <t>C29H33ClN2O2</t>
  </si>
  <si>
    <t>ezetimibe</t>
  </si>
  <si>
    <t>DTXSID1044223</t>
  </si>
  <si>
    <t>O[C@@H](CC[C@@H]1[C@H](N(C1=O)C1=CC=C(F)C=C1)C1=CC=C(O)C=C1)C1=CC=C(F)C=C1</t>
  </si>
  <si>
    <t>OLNTVTPDXPETLC-XPWALMASSA-N</t>
  </si>
  <si>
    <t xml:space="preserve">InChI=1S/C24H21F2NO3/c25-17-5-1-15(2-6-17)22(29)14-13-21-23(16-3-11-20(28)12-4-16)27(24(21)30)19-9-7-18(26)8-10-19/h1-12,21-23,28-29H,13-14H2/t21-,22+,23-/m1/s1_x000D__x000D_
</t>
  </si>
  <si>
    <t>C24H21F2NO3</t>
  </si>
  <si>
    <t>oxybutynin</t>
  </si>
  <si>
    <t>DTXSID0023406</t>
  </si>
  <si>
    <t>CCN(CC)CC#CCOC(=O)C(O)(C1CCCCC1)C1=CC=CC=C1</t>
  </si>
  <si>
    <t>XIQVNETUBQGFHX-UHFFFAOYSA-N</t>
  </si>
  <si>
    <t xml:space="preserve">InChI=1/C22H31NO3/c1-3-23(4-2)17-11-12-18-26-21(24)22(25,19-13-7-5-8-14-19)20-15-9-6-10-16-20/h5,7-8,13-14,20,25H,3-4,6,9-10,15-18H2,1-2H3_x000D__x000D_
</t>
  </si>
  <si>
    <t>C22H31NO3</t>
  </si>
  <si>
    <t>dapagliflozin</t>
  </si>
  <si>
    <t>DTXSID20905104</t>
  </si>
  <si>
    <t>CCOC1=CC=C(CC2=C(Cl)C=CC(=C2)[C@@H]2O[C@H](CO)[C@@H](O)[C@H](O)[C@H]2O)C=C1</t>
  </si>
  <si>
    <t>JVHXJTBJCFBINQ-ADAARDCZSA-N</t>
  </si>
  <si>
    <t xml:space="preserve">InChI=1S/C21H25ClO6/c1-2-27-15-6-3-12(4-7-15)9-14-10-13(5-8-16(14)22)21-20(26)19(25)18(24)17(11-23)28-21/h3-8,10,17-21,23-26H,2,9,11H2,1H3/t17-,18-,19+,20-,21+/m1/s1_x000D__x000D_
</t>
  </si>
  <si>
    <t>C21H25ClO6</t>
  </si>
  <si>
    <t>aripiprazole</t>
  </si>
  <si>
    <t>DTXSID3046083</t>
  </si>
  <si>
    <t>ClC1=CC=CC(N2CCN(CCCCOC3=CC=C4CCC(=O)NC4=C3)CC2)=C1Cl</t>
  </si>
  <si>
    <t>CEUORZQYGODEFX-UHFFFAOYSA-N</t>
  </si>
  <si>
    <t xml:space="preserve">InChI=1S/C23H27Cl2N3O2/c24-19-4-3-5-21(23(19)25)28-13-11-27(12-14-28)10-1-2-15-30-18-8-6-17-7-9-22(29)26-20(17)16-18/h3-6,8,16H,1-2,7,9-15H2,(H,26,29)_x000D__x000D_
</t>
  </si>
  <si>
    <t>C23H27Cl2N3O2</t>
  </si>
  <si>
    <t>montelukast</t>
  </si>
  <si>
    <t>DTXSID9023334</t>
  </si>
  <si>
    <t>CC(C)(O)C1=C(CC[C@@H](SCC2(CC(O)=O)CC2)C2=CC(\C=C\C3=NC4=C(C=CC(Cl)=C4)C=C3)=CC=C2)C=CC=C1</t>
  </si>
  <si>
    <t>UCHDWCPVSPXUMX-TZIWLTJVSA-N</t>
  </si>
  <si>
    <t xml:space="preserve">InChI=1S/C35H36ClNO3S/c1-34(2,40)30-9-4-3-7-25(30)13-17-32(41-23-35(18-19-35)22-33(38)39)27-8-5-6-24(20-27)10-15-29-16-12-26-11-14-28(36)21-31(26)37-29/h3-12,14-16,20-21,32,40H,13,17-19,22-23H2,1-2H3,(H,38,39)/b15-10+/t32-/m1/s1_x000D__x000D_
</t>
  </si>
  <si>
    <t>C35H36ClNO3S</t>
  </si>
  <si>
    <t>rizatriptan</t>
  </si>
  <si>
    <t>DTXSID2023565</t>
  </si>
  <si>
    <t>CN(C)CCC1=CNC2=CC=C(CN3C=NC=N3)C=C12</t>
  </si>
  <si>
    <t>ULFRLSNUDGIQQP-UHFFFAOYSA-N</t>
  </si>
  <si>
    <t xml:space="preserve">InChI=1S/C15H19N5/c1-19(2)6-5-13-8-17-15-4-3-12(7-14(13)15)9-20-11-16-10-18-20/h3-4,7-8,10-11,17H,5-6,9H2,1-2H3_x000D__x000D_
</t>
  </si>
  <si>
    <t>C15H19N5</t>
  </si>
  <si>
    <t>cetirizine</t>
  </si>
  <si>
    <t>DTXSID4022787</t>
  </si>
  <si>
    <t>OC(=O)COCCN1CCN(CC1)C(C1=CC=CC=C1)C1=CC=C(Cl)C=C1</t>
  </si>
  <si>
    <t>ZKLPARSLTMPFCP-UHFFFAOYSA-N</t>
  </si>
  <si>
    <t xml:space="preserve">InChI=1/C21H25ClN2O3/c22-19-8-6-18(7-9-19)21(17-4-2-1-3-5-17)24-12-10-23(11-13-24)14-15-27-16-20(25)26/h1-9,21H,10-16H2,(H,25,26)_x000D__x000D_
</t>
  </si>
  <si>
    <t>nebivolol</t>
  </si>
  <si>
    <t>DTXSID9040556</t>
  </si>
  <si>
    <t>OC(CNCC(O)C1CCC2=C(O1)C=CC(F)=C2)C1CCC2=CC(F)=CC=C2O1</t>
  </si>
  <si>
    <t>KOHIRBRYDXPAMZ-UHFFFAOYSA-N</t>
  </si>
  <si>
    <t xml:space="preserve">InChI=1/C22H25F2NO4/c23-15-3-7-19-13(9-15)1-5-21(28-19)17(26)11-25-12-18(27)22-6-2-14-10-16(24)4-8-20(14)29-22/h3-4,7-10,17-18,21-22,25-27H,1-2,5-6,11-12H2_x000D__x000D_
</t>
  </si>
  <si>
    <t>C22H25F2NO4</t>
  </si>
  <si>
    <t>apixaban</t>
  </si>
  <si>
    <t>DTXSID80436500</t>
  </si>
  <si>
    <t>COC1=CC=C(C=C1)N1N=C(C(N)=O)C2=C1C(=O)N(CC2)C1=CC=C(C=C1)N1CCCCC1=O</t>
  </si>
  <si>
    <t>QNZCBYKSOIHPEH-UHFFFAOYSA-N</t>
  </si>
  <si>
    <t xml:space="preserve">InChI=1S/C25H25N5O4/c1-34-19-11-9-18(10-12-19)30-23-20(22(27-30)24(26)32)13-15-29(25(23)33)17-7-5-16(6-8-17)28-14-3-2-4-21(28)31/h5-12H,2-4,13-15H2,1H3,(H2,26,32)_x000D__x000D_
</t>
  </si>
  <si>
    <t>C25H25N5O4</t>
  </si>
  <si>
    <t>cyproheptadine</t>
  </si>
  <si>
    <t>DTXSID8022872</t>
  </si>
  <si>
    <t>CN1CCC(CC1)=C1C2=C(C=CC=C2)C=CC2=C1C=CC=C2</t>
  </si>
  <si>
    <t>JJCFRYNCJDLXIK-UHFFFAOYSA-N</t>
  </si>
  <si>
    <t xml:space="preserve">InChI=1S/C21H21N/c1-22-14-12-18(13-15-22)21-19-8-4-2-6-16(19)10-11-17-7-3-5-9-20(17)21/h2-11H,12-15H2,1H3_x000D__x000D_
</t>
  </si>
  <si>
    <t>C21H21N</t>
  </si>
  <si>
    <t>tizanidine</t>
  </si>
  <si>
    <t>DTXSID9023679</t>
  </si>
  <si>
    <t>ClC1=C(NC2=NCCN2)C2=NSN=C2C=C1</t>
  </si>
  <si>
    <t>XFYDIVBRZNQMJC-UHFFFAOYSA-N</t>
  </si>
  <si>
    <t xml:space="preserve">InChI=1S/C9H8ClN5S/c10-5-1-2-6-8(15-16-14-6)7(5)13-9-11-3-4-12-9/h1-2H,3-4H2,(H2,11,12,13)_x000D__x000D_
</t>
  </si>
  <si>
    <t>C9H8ClN5S</t>
  </si>
  <si>
    <t>dexamethasone</t>
  </si>
  <si>
    <t>DTXSID3020384</t>
  </si>
  <si>
    <t>[H][C@@]12C[C@@H](C)[C@](O)(C(=O)CO)[C@@]1(C)C[C@H](O)[C@@]1(F)[C@@]2([H])CCC2=CC(=O)C=C[C@]12C</t>
  </si>
  <si>
    <t>UREBDLICKHMUKA-CXSFZGCWSA-N</t>
  </si>
  <si>
    <t xml:space="preserve">InChI=1S/C22H29FO5/c1-12-8-16-15-5-4-13-9-14(25)6-7-19(13,2)21(15,23)17(26)10-20(16,3)22(12,28)18(27)11-24/h6-7,9,12,15-17,24,26,28H,4-5,8,10-11H2,1-3H3/t12-,15+,16+,17+,19+,20+,21+,22+/m1/s1_x000D__x000D_
</t>
  </si>
  <si>
    <t>C22H29FO5</t>
  </si>
  <si>
    <t>zolpidem</t>
  </si>
  <si>
    <t>DTXSID7045946</t>
  </si>
  <si>
    <t>CN(C)C(=O)CC1=C(N=C2C=CC(C)=CN12)C1=CC=C(C)C=C1</t>
  </si>
  <si>
    <t>ZAFYATHCZYHLPB-UHFFFAOYSA-N</t>
  </si>
  <si>
    <t xml:space="preserve">InChI=1S/C19H21N3O/c1-13-5-8-15(9-6-13)19-16(11-18(23)21(3)4)22-12-14(2)7-10-17(22)20-19/h5-10,12H,11H2,1-4H3_x000D__x000D_
</t>
  </si>
  <si>
    <t>C19H21N3O</t>
  </si>
  <si>
    <t>felodipine</t>
  </si>
  <si>
    <t>DTXSID4023042</t>
  </si>
  <si>
    <t>CCOC(=O)C1=C(C)NC(C)=C(C1C1=CC=CC(Cl)=C1Cl)C(=O)OC</t>
  </si>
  <si>
    <t>RZTAMFZIAATZDJ-UHFFFAOYSA-N</t>
  </si>
  <si>
    <t xml:space="preserve">InChI=1/C18H19Cl2NO4/c1-5-25-18(23)14-10(3)21-9(2)13(17(22)24-4)15(14)11-7-6-8-12(19)16(11)20/h6-8,15,21H,5H2,1-4H3_x000D__x000D_
</t>
  </si>
  <si>
    <t>C18H19Cl2NO4</t>
  </si>
  <si>
    <t>donepezil</t>
  </si>
  <si>
    <t>DTXSID8048317</t>
  </si>
  <si>
    <t>COC1=C(OC)C=C2C(=O)C(CC3CCN(CC4=CC=CC=C4)CC3)CC2=C1</t>
  </si>
  <si>
    <t>ADEBPBSSDYVVLD-UHFFFAOYSA-N</t>
  </si>
  <si>
    <t xml:space="preserve">InChI=1/C24H29NO3/c1-27-22-14-19-13-20(24(26)21(19)15-23(22)28-2)12-17-8-10-25(11-9-17)16-18-6-4-3-5-7-18/h3-7,14-15,17,20H,8-13,16H2,1-2H3_x000D__x000D_
</t>
  </si>
  <si>
    <t>C24H29NO3</t>
  </si>
  <si>
    <t>bisoprolol</t>
  </si>
  <si>
    <t>DTXSID6022682</t>
  </si>
  <si>
    <t>CC(C)NCC(O)COC1=CC=C(COCCOC(C)C)C=C1</t>
  </si>
  <si>
    <t>VHYCDWMUTMEGQY-UHFFFAOYSA-N</t>
  </si>
  <si>
    <t xml:space="preserve">InChI=1/C18H31NO4/c1-14(2)19-11-17(20)13-23-18-7-5-16(6-8-18)12-21-9-10-22-15(3)4/h5-8,14-15,17,19-20H,9-13H2,1-4H3_x000D__x000D_
</t>
  </si>
  <si>
    <t>C18H31NO4</t>
  </si>
  <si>
    <t>buprenorphine</t>
  </si>
  <si>
    <t>DTXSID2022705</t>
  </si>
  <si>
    <t>[H][C@@]12OC3=C(O)C=CC4=C3[C@@]11CCN(CC3CC3)[C@H](C4)[C@]11CC[C@@]2(OC)[C@]([H])(C1)[C@](C)(O)C(C)(C)C</t>
  </si>
  <si>
    <t>RMRJXGBAOAMLHD-IHFGGWKQSA-N</t>
  </si>
  <si>
    <t xml:space="preserve">InChI=1S/C29H41NO4/c1-25(2,3)26(4,32)20-15-27-10-11-29(20,33-5)24-28(27)12-13-30(16-17-6-7-17)21(27)14-18-8-9-19(31)23(34-24)22(18)28/h8-9,17,20-21,24,31-32H,6-7,10-16H2,1-5H3/t20-,21-,24-,26+,27-,28+,29-/m1/s1_x000D__x000D_
</t>
  </si>
  <si>
    <t>C29H41NO4</t>
  </si>
  <si>
    <t>ramipril</t>
  </si>
  <si>
    <t>DTXSID8023551</t>
  </si>
  <si>
    <t>CCOC(=O)[C@H](CCC1=CC=CC=C1)N[C@@H](C)C(=O)N1[C@H]2CCC[C@H]2C[C@H]1C(O)=O</t>
  </si>
  <si>
    <t>HDACQVRGBOVJII-JBDAPHQKSA-N</t>
  </si>
  <si>
    <t xml:space="preserve">InChI=1S/C23H32N2O5/c1-3-30-23(29)18(13-12-16-8-5-4-6-9-16)24-15(2)21(26)25-19-11-7-10-17(19)14-20(25)22(27)28/h4-6,8-9,15,17-20,24H,3,7,10-14H2,1-2H3,(H,27,28)/t15-,17-,18-,19-,20-/m0/s1_x000D__x000D_
</t>
  </si>
  <si>
    <t>C23H32N2O5</t>
  </si>
  <si>
    <t>haloperidol</t>
  </si>
  <si>
    <t>DTXSID4034150</t>
  </si>
  <si>
    <t>OC1(CCN(CCCC(=O)C2=CC=C(F)C=C2)CC1)C1=CC=C(Cl)C=C1</t>
  </si>
  <si>
    <t>LNEPOXFFQSENCJ-UHFFFAOYSA-N</t>
  </si>
  <si>
    <t xml:space="preserve">InChI=1S/C21H23ClFNO2/c22-18-7-5-17(6-8-18)21(26)11-14-24(15-12-21)13-1-2-20(25)16-3-9-19(23)10-4-16/h3-10,26H,1-2,11-15H2_x000D__x000D_
</t>
  </si>
  <si>
    <t>C21H23ClFNO2</t>
  </si>
  <si>
    <t>ibandronate</t>
  </si>
  <si>
    <t>DTXSID5048340</t>
  </si>
  <si>
    <t>CCCCCN(C)CCC(O)(P(O)(O)=O)P(O)(O)=O</t>
  </si>
  <si>
    <t>MPBVHIBUJCELCL-UHFFFAOYSA-N</t>
  </si>
  <si>
    <t xml:space="preserve">InChI=1S/C9H23NO7P2/c1-3-4-5-7-10(2)8-6-9(11,18(12,13)14)19(15,16)17/h11H,3-8H2,1-2H3,(H2,12,13,14)(H2,15,16,17)_x000D__x000D_
</t>
  </si>
  <si>
    <t>C9H23NO7P2</t>
  </si>
  <si>
    <t>bisacodyl</t>
  </si>
  <si>
    <t>DTXSID1022681</t>
  </si>
  <si>
    <t>CC(=O)OC1=CC=C(C=C1)C(C1=CC=C(OC(C)=O)C=C1)C1=NC=CC=C1</t>
  </si>
  <si>
    <t>KHOITXIGCFIULA-UHFFFAOYSA-N</t>
  </si>
  <si>
    <t xml:space="preserve">InChI=1S/C22H19NO4/c1-15(24)26-19-10-6-17(7-11-19)22(21-5-3-4-14-23-21)18-8-12-20(13-9-18)27-16(2)25/h3-14,22H,1-2H3_x000D__x000D_
</t>
  </si>
  <si>
    <t>C22H19NO4</t>
  </si>
  <si>
    <t>amlodipine</t>
  </si>
  <si>
    <t>DTXSID7022596</t>
  </si>
  <si>
    <t>CCOC(=O)C1=C(COCCN)NC(C)=C(C1C1=CC=CC=C1Cl)C(=O)OC</t>
  </si>
  <si>
    <t>HTIQEAQVCYTUBX-UHFFFAOYSA-N</t>
  </si>
  <si>
    <t xml:space="preserve">InChI=1/C20H25ClN2O5/c1-4-28-20(25)18-15(11-27-10-9-22)23-12(2)16(19(24)26-3)17(18)13-7-5-6-8-14(13)21/h5-8,17,23H,4,9-11,22H2,1-3H3_x000D__x000D_
</t>
  </si>
  <si>
    <t>C20H25ClN2O5</t>
  </si>
  <si>
    <t>glyburide</t>
  </si>
  <si>
    <t>DTXSID0037237</t>
  </si>
  <si>
    <t>COC1=C(C=C(Cl)C=C1)C(=O)NCCC1=CC=C(C=C1)S(=O)(=O)NC(=O)NC1CCCCC1</t>
  </si>
  <si>
    <t>ZNNLBTZKUZBEKO-UHFFFAOYSA-N</t>
  </si>
  <si>
    <t xml:space="preserve">InChI=1S/C23H28ClN3O5S/c1-32-21-12-9-17(24)15-20(21)22(28)25-14-13-16-7-10-19(11-8-16)33(30,31)27-23(29)26-18-5-3-2-4-6-18/h7-12,15,18H,2-6,13-14H2,1H3,(H,25,28)(H2,26,27,29)_x000D__x000D_
</t>
  </si>
  <si>
    <t>C23H28ClN3O5S</t>
  </si>
  <si>
    <t>solifenacin</t>
  </si>
  <si>
    <t>DTXSID3048289</t>
  </si>
  <si>
    <t>O=C(O[C@H]1CN2CCC1CC2)N1CCC2=CC=CC=C2[C@@H]1C1=CC=CC=C1</t>
  </si>
  <si>
    <t>FBOUYBDGKBSUES-VXKWHMMOSA-N</t>
  </si>
  <si>
    <t xml:space="preserve">InChI=1S/C23H26N2O2/c26-23(27-21-16-24-13-10-18(21)11-14-24)25-15-12-17-6-4-5-9-20(17)22(25)19-7-2-1-3-8-19/h1-9,18,21-22H,10-16H2/t21-,22-/m0/s1_x000D__x000D_
</t>
  </si>
  <si>
    <t>C23H26N2O2</t>
  </si>
  <si>
    <t>bromfenac</t>
  </si>
  <si>
    <t>DTXSID7040655</t>
  </si>
  <si>
    <t>NC1=C(CC(O)=O)C=CC=C1C(=O)C1=CC=C(Br)C=C1</t>
  </si>
  <si>
    <t>ZBPLOVFIXSTCRZ-UHFFFAOYSA-N</t>
  </si>
  <si>
    <t xml:space="preserve">InChI=1S/C15H12BrNO3/c16-11-6-4-9(5-7-11)15(20)12-3-1-2-10(14(12)17)8-13(18)19/h1-7H,8,17H2,(H,18,19)_x000D__x000D_
</t>
  </si>
  <si>
    <t>C15H12BrNO3</t>
  </si>
  <si>
    <t>liraglutide</t>
  </si>
  <si>
    <t>DTXSID60174433</t>
  </si>
  <si>
    <t>CCCCCCCCCCCCCCCC(=O)N[C@@H](CCC(=O)NCCCC[C@H](NC(=O)[C@H](C)NC(=O)[C@H](C)NC(=O)[C@H](CCC(N)=O)NC(=O)CNC(=O)[C@H](CCC(O)=O)NC(=O)[C@H](CC(C)C)NC(=O)[C@H](CC1=CC=C(O)C=C1)NC(=O)[C@H](CO)NC(=O)[C@H](CO)NC(=O)[C@@H](NC(=O)[C@H](CC(O)=O)NC(=O)[C@H](CO)NC(=O)[C@@H](NC(=O)[C@H](CC1=CC=CC=C1)NC(=O)[C@@H](NC(=O)CNC(=O)[C@H](CCC(O)=O)NC(=O)[C@H](C)NC(=O)[C@@H](N)CC1=CN=CN1)[C@@H](C)O)[C@@H](C)O)C(C)C)C(=O)N[C@@H](CCC(O)=O)C(=O)N[C@@H](CC1=CC=CC=C1)C(=O)N[C@@H]([C@@H](C)CC)C(=O)N[C@@H](C)C(=O)N[C@@H](CC1=CNC2=CC=CC=C12)C(=O)N[C@@H](CC(C)C)C(=O)N[C@@H](C(C)C)C(=O)N[C@@H](CCCNC(N)=N)C(=O)NCC(=O)N[C@@H](CCCNC(N)=N)C(=O)NCC(O)=O)C(O)=O</t>
  </si>
  <si>
    <t>YSDQQAXHVYUZIW-QCIJIYAXSA-N</t>
  </si>
  <si>
    <t xml:space="preserve">InChI=1S/C172H265N43O51/c1-18-20-21-22-23-24-25-26-27-28-29-30-37-53-129(224)195-116(170(265)266)59-64-128(223)180-68-41-40-50-111(153(248)199-115(62-67-135(232)233)154(249)204-120(73-100-44-33-31-34-45-100)159(254)214-140(93(11)19-2)167(262)192-97(15)146(241)201-122(76-103-79-183-108-49-39-38-48-106(103)108)157(252)203-118(72-90(5)6)158(253)212-138(91(7)8)165(260)200-110(52-43-70-182-172(177)178)149(244)184-81-130(225)193-109(51-42-69-181-171(175)176)148(243)187-84-137(236)237)196-144(239)95(13)189-143(238)94(12)191-152(247)114(58-63-127(174)222)194-131(226)82-185-151(246)113(61-66-134(230)231)198-155(250)117(71-89(3)4)202-156(251)119(75-102-54-56-105(221)57-55-102)205-162(257)124(85-216)208-164(259)126(87-218)209-166(261)139(92(9)10)213-161(256)123(78-136(234)235)206-163(258)125(86-217)210-169(264)142(99(17)220)215-160(255)121(74-101-46-35-32-36-47-101)207-168(263)141(98(16)219)211-132(227)83-186-150(245)112(60-65-133(228)229)197-145(240)96(14)190-147(242)107(173)77-104-80-179-88-188-104/h31-36,38-39,44-49,54-57,79-80,88-99,107,109-126,138-142,183,216-221H,18-30,37,40-43,50-53,58-78,81-87,173H2,1-17H3,(H2,174,222)(H,179,188)(H,180,223)(H,184,244)(H,185,246)(H,186,245)(H,187,243)(H,189,238)(H,190,242)(H,191,247)(H,192,262)(H,193,225)(H,194,226)(H,195,224)(H,196,239)(H,197,240)(H,198,250)(H,199,248)(H,200,260)(H,201,241)(H,202,251)(H,203,252)(H,204,249)(H,205,257)(H,206,258)(H,207,263)(H,208,259)(H,209,261)(H,210,264)(H,211,227)(H,212,253)(H,213,256)(H,214,254)(H,215,255)(H,228,229)(H,230,231)(H,232,233)(H,234,235)(H,236,237)(H,265,266)(H4,175,176,181)(H4,177,178,182)/t93-,94-,95-,96-,97-,98+,99+,107-,109-,110-,111-,112-,113-,114-,115-,116-,117-,118-,119-,120-,121-,122-,123-,124-,125-,126-,138-,139-,140-,141-,142-/m0/s1_x000D__x000D_
</t>
  </si>
  <si>
    <t>C172H265N43O51</t>
  </si>
  <si>
    <t>terazosin</t>
  </si>
  <si>
    <t>DTXSID3023639</t>
  </si>
  <si>
    <t>COC1=C(OC)C=C2C(N)=NC(=NC2=C1)N1CCN(CC1)C(=O)C1CCCO1</t>
  </si>
  <si>
    <t>VCKUSRYTPJJLNI-UHFFFAOYSA-N</t>
  </si>
  <si>
    <t xml:space="preserve">InChI=1/C19H25N5O4/c1-26-15-10-12-13(11-16(15)27-2)21-19(22-17(12)20)24-7-5-23(6-8-24)18(25)14-4-3-9-28-14/h10-11,14H,3-9H2,1-2H3,(H2,20,21,22)_x000D__x000D_
</t>
  </si>
  <si>
    <t>C19H25N5O4</t>
  </si>
  <si>
    <t>warfarin</t>
  </si>
  <si>
    <t>DTXSID5023742</t>
  </si>
  <si>
    <t>CC(=O)CC(C1=CC=CC=C1)C1=C(O)C2=CC=CC=C2OC1=O</t>
  </si>
  <si>
    <t>PJVWKTKQMONHTI-UHFFFAOYSA-N</t>
  </si>
  <si>
    <t xml:space="preserve">InChI=1/C19H16O4/c1-12(20)11-15(13-7-3-2-4-8-13)17-18(21)14-9-5-6-10-16(14)23-19(17)22/h2-10,15,21H,11H2,1H3_x000D__x000D_
</t>
  </si>
  <si>
    <t>C19H16O4</t>
  </si>
  <si>
    <t>desloratadine</t>
  </si>
  <si>
    <t>DTXSID1044196</t>
  </si>
  <si>
    <t>ClC1=CC=C2C(CCC3=C(N=CC=C3)C2=C2CCNCC2)=C1</t>
  </si>
  <si>
    <t>JAUOIFJMECXRGI-UHFFFAOYSA-N</t>
  </si>
  <si>
    <t xml:space="preserve">InChI=1S/C19H19ClN2/c20-16-5-6-17-15(12-16)4-3-14-2-1-9-22-19(14)18(17)13-7-10-21-11-8-13/h1-2,5-6,9,12,21H,3-4,7-8,10-11H2_x000D__x000D_
</t>
  </si>
  <si>
    <t>C19H19ClN2</t>
  </si>
  <si>
    <t>levocetirizine</t>
  </si>
  <si>
    <t>DTXSID60156294</t>
  </si>
  <si>
    <t>OC(=O)COCCN1CCN(CC1)[C@H](C1=CC=CC=C1)C1=CC=C(Cl)C=C1</t>
  </si>
  <si>
    <t>ZKLPARSLTMPFCP-OAQYLSRUSA-N</t>
  </si>
  <si>
    <t xml:space="preserve">InChI=1S/C21H25ClN2O3/c22-19-8-6-18(7-9-19)21(17-4-2-1-3-5-17)24-12-10-23(11-13-24)14-15-27-16-20(25)26/h1-9,21H,10-16H2,(H,25,26)/t21-/m1/s1_x000D__x000D_
</t>
  </si>
  <si>
    <t>glimepiride</t>
  </si>
  <si>
    <t>DTXSID5040675</t>
  </si>
  <si>
    <t>CCC1=C(C)CN(C(=O)NCCC2=CC=C(C=C2)S(=O)(=O)NC(=O)N[C@H]2CC[C@H](C)CC2)C1=O</t>
  </si>
  <si>
    <t>WIGIZIANZCJQQY-RUCARUNLSA-N</t>
  </si>
  <si>
    <t xml:space="preserve">InChI=1/C24H34N4O5S/c1-4-21-17(3)15-28(22(21)29)24(31)25-14-13-18-7-11-20(12-8-18)34(32,33)27-23(30)26-19-9-5-16(2)6-10-19/h7-8,11-12,16,19H,4-6,9-10,13-15H2,1-3H3,(H,25,31)(H2,26,27,30)/t16-,19-_x000D__x000D_
</t>
  </si>
  <si>
    <t>C24H34N4O5S</t>
  </si>
  <si>
    <t>linagliptin</t>
  </si>
  <si>
    <t>DTXSID201021653</t>
  </si>
  <si>
    <t>[H]N([H])[C@@]1([H])C([H])([H])N(C2=NC3=C(N2C([H])([H])C#CC([H])([H])[H])C(=O)N(C(=O)N3C([H])([H])[H])C([H])([H])C2=NC3=C([H])C([H])=C([H])C([H])=C3C(=N2)C([H])([H])[H])C([H])([H])C([H])([H])C1([H])[H]</t>
  </si>
  <si>
    <t>LTXREWYXXSTFRX-QGZVFWFLSA-N</t>
  </si>
  <si>
    <t xml:space="preserve">InChI=1S/C25H28N8O2/c1-4-5-13-32-21-22(29-24(32)31-12-8-9-17(26)14-31)30(3)25(35)33(23(21)34)15-20-27-16(2)18-10-6-7-11-19(18)28-20/h6-7,10-11,17H,8-9,12-15,26H2,1-3H3/t17-/m1/s1_x000D__x000D_
</t>
  </si>
  <si>
    <t>C25H28N8O2</t>
  </si>
  <si>
    <t>medroxyprogesterone</t>
  </si>
  <si>
    <t>DTXSID0036508</t>
  </si>
  <si>
    <t>C[C@H]1C[C@H]2[C@@H]3CC[C@](O)(C(C)=O)[C@@]3(C)CC[C@@H]2[C@@]2(C)CCC(=O)C=C12</t>
  </si>
  <si>
    <t>FRQMUZJSZHZSGN-HBNHAYAOSA-N</t>
  </si>
  <si>
    <t xml:space="preserve">InChI=1S/C22H32O3/c1-13-11-16-17(20(3)8-5-15(24)12-19(13)20)6-9-21(4)18(16)7-10-22(21,25)14(2)23/h12-13,16-18,25H,5-11H2,1-4H3/t13-,16+,17-,18-,20+,21-,22-/m0/s1_x000D__x000D_
</t>
  </si>
  <si>
    <t>C22H32O3</t>
  </si>
  <si>
    <t>finasteride</t>
  </si>
  <si>
    <t>DTXSID3020625</t>
  </si>
  <si>
    <t>CC(C)(C)NC(=O)[C@H]1CC[C@H]2[C@@H]3CC[C@H]4NC(=O)C=C[C@]4(C)[C@H]3CC[C@]12C</t>
  </si>
  <si>
    <t>DBEPLOCGEIEOCV-WSBQPABSSA-N</t>
  </si>
  <si>
    <t xml:space="preserve">InChI=1S/C23H36N2O2/c1-21(2,3)25-20(27)17-8-7-15-14-6-9-18-23(5,13-11-19(26)24-18)16(14)10-12-22(15,17)4/h11,13-18H,6-10,12H2,1-5H3,(H,24,26)(H,25,27)/t14-,15-,16-,17+,18+,22-,23+/m0/s1_x000D__x000D_
</t>
  </si>
  <si>
    <t>C23H36N2O2</t>
  </si>
  <si>
    <t>ketotifen</t>
  </si>
  <si>
    <t>DTXSID7023190</t>
  </si>
  <si>
    <t>CN1CCC(CC1)=C1C2=C(SC=C2)C(=O)CC2=CC=CC=C12</t>
  </si>
  <si>
    <t>ZCVMWBYGMWKGHF-UHFFFAOYSA-N</t>
  </si>
  <si>
    <t xml:space="preserve">InChI=1S/C19H19NOS/c1-20-9-6-13(7-10-20)18-15-5-3-2-4-14(15)12-17(21)19-16(18)8-11-22-19/h2-5,8,11H,6-7,9-10,12H2,1H3_x000D__x000D_
</t>
  </si>
  <si>
    <t>C19H19NOS</t>
  </si>
  <si>
    <t>tolterodine</t>
  </si>
  <si>
    <t>DTXSID3023687</t>
  </si>
  <si>
    <t>CC(C)N(CC[C@H](C1=CC=CC=C1)C1=C(O)C=CC(C)=C1)C(C)C</t>
  </si>
  <si>
    <t>OOGJQPCLVADCPB-HXUWFJFHSA-N</t>
  </si>
  <si>
    <t xml:space="preserve">InChI=1S/C22H31NO/c1-16(2)23(17(3)4)14-13-20(19-9-7-6-8-10-19)21-15-18(5)11-12-22(21)24/h6-12,15-17,20,24H,13-14H2,1-5H3/t20-/m1/s1_x000D__x000D_
</t>
  </si>
  <si>
    <t>C22H31NO</t>
  </si>
  <si>
    <t>doxazosin</t>
  </si>
  <si>
    <t>DTXSID7022964</t>
  </si>
  <si>
    <t>COC1=C(OC)C=C2C(N)=NC(=NC2=C1)N1CCN(CC1)C(=O)C1COC2=C(O1)C=CC=C2</t>
  </si>
  <si>
    <t>RUZYUOTYCVRMRZ-UHFFFAOYSA-N</t>
  </si>
  <si>
    <t xml:space="preserve">InChI=1/C23H25N5O5/c1-30-18-11-14-15(12-19(18)31-2)25-23(26-21(14)24)28-9-7-27(8-10-28)22(29)20-13-32-16-5-3-4-6-17(16)33-20/h3-6,11-12,20H,7-10,13H2,1-2H3,(H2,24,25,26)_x000D__x000D_
</t>
  </si>
  <si>
    <t>C23H25N5O5</t>
  </si>
  <si>
    <t>methotrexate</t>
  </si>
  <si>
    <t>DTXSID4020822</t>
  </si>
  <si>
    <t>CN(CC1=NC2=C(N=C1)N=C(N)N=C2N)C1=CC=C(C=C1)C(=O)N[C@@H](CCC(O)=O)C(O)=O</t>
  </si>
  <si>
    <t>FBOZXECLQNJBKD-ZDUSSCGKSA-N</t>
  </si>
  <si>
    <t xml:space="preserve">InChI=1S/C20H22N8O5/c1-28(9-11-8-23-17-15(24-11)16(21)26-20(22)27-17)12-4-2-10(3-5-12)18(31)25-13(19(32)33)6-7-14(29)30/h2-5,8,13H,6-7,9H2,1H3,(H,25,31)(H,29,30)(H,32,33)(H4,21,22,23,26,27)/t13-/m0/s1_x000D__x000D_
</t>
  </si>
  <si>
    <t>C20H22N8O5</t>
  </si>
  <si>
    <t>prazosin</t>
  </si>
  <si>
    <t>DTXSID4049082</t>
  </si>
  <si>
    <t>COC1=CC2=NC(=NC(N)=C2C=C1OC)N1CCN(CC1)C(=O)C1=CC=CO1</t>
  </si>
  <si>
    <t>IENZQIKPVFGBNW-UHFFFAOYSA-N</t>
  </si>
  <si>
    <t xml:space="preserve">InChI=1S/C19H21N5O4/c1-26-15-10-12-13(11-16(15)27-2)21-19(22-17(12)20)24-7-5-23(6-8-24)18(25)14-4-3-9-28-14/h3-4,9-11H,5-8H2,1-2H3,(H2,20,21,22)_x000D__x000D_
</t>
  </si>
  <si>
    <t>C19H21N5O4</t>
  </si>
  <si>
    <t>letrozole</t>
  </si>
  <si>
    <t>DTXSID4023202</t>
  </si>
  <si>
    <t>N#CC1=CC=C(C=C1)C(N1C=NC=N1)C1=CC=C(C=C1)C#N</t>
  </si>
  <si>
    <t>HPJKCIUCZWXJDR-UHFFFAOYSA-N</t>
  </si>
  <si>
    <t xml:space="preserve">InChI=1S/C17H11N5/c18-9-13-1-5-15(6-2-13)17(22-12-20-11-21-22)16-7-3-14(10-19)4-8-16/h1-8,11-12,17H_x000D__x000D_
</t>
  </si>
  <si>
    <t>C17H11N5</t>
  </si>
  <si>
    <t>risperidone</t>
  </si>
  <si>
    <t>DTXSID8045193</t>
  </si>
  <si>
    <t>CC1=C(CCN2CCC(CC2)C2=NOC3=C2C=CC(F)=C3)C(=O)N2CCCCC2=N1</t>
  </si>
  <si>
    <t>RAPZEAPATHNIPO-UHFFFAOYSA-N</t>
  </si>
  <si>
    <t xml:space="preserve">InChI=1S/C23H27FN4O2/c1-15-18(23(29)28-10-3-2-4-21(28)25-15)9-13-27-11-7-16(8-12-27)22-19-6-5-17(24)14-20(19)30-26-22/h5-6,14,16H,2-4,7-13H2,1H3_x000D__x000D_
</t>
  </si>
  <si>
    <t>C23H27FN4O2</t>
  </si>
  <si>
    <t>eszopiclone</t>
  </si>
  <si>
    <t>DTXSID8046086</t>
  </si>
  <si>
    <t>CN1CCN(CC1)C(=O)O[C@@H]1N(C(=O)C2=NC=CN=C12)C1=NC=C(Cl)C=C1</t>
  </si>
  <si>
    <t>GBBSUAFBMRNDJC-INIZCTEOSA-N</t>
  </si>
  <si>
    <t xml:space="preserve">InChI=1S/C17H17ClN6O3/c1-22-6-8-23(9-7-22)17(26)27-16-14-13(19-4-5-20-14)15(25)24(16)12-3-2-11(18)10-21-12/h2-5,10,16H,6-9H2,1H3/t16-/m0/s1_x000D__x000D_
</t>
  </si>
  <si>
    <t>C17H17ClN6O3</t>
  </si>
  <si>
    <t>pitavastatin</t>
  </si>
  <si>
    <t>DTXSID1048384</t>
  </si>
  <si>
    <t>O[C@H](C[C@H](O)\C=C\C1=C(C2=CC=C(F)C=C2)C2=CC=CC=C2N=C1C1CC1)CC(O)=O</t>
  </si>
  <si>
    <t>VGYFMXBACGZSIL-MCBHFWOFSA-N</t>
  </si>
  <si>
    <t xml:space="preserve">InChI=1S/C25H24FNO4/c26-17-9-7-15(8-10-17)24-20-3-1-2-4-22(20)27-25(16-5-6-16)21(24)12-11-18(28)13-19(29)14-23(30)31/h1-4,7-12,16,18-19,28-29H,5-6,13-14H2,(H,30,31)/b12-11+/t18-,19-/m1/s1_x000D__x000D_
</t>
  </si>
  <si>
    <t>C25H24FNO4</t>
  </si>
  <si>
    <t>bumetanide</t>
  </si>
  <si>
    <t>DTXSID5022699</t>
  </si>
  <si>
    <t>CCCCNC1=CC(=CC(=C1OC1=CC=CC=C1)S(N)(=O)=O)C(O)=O</t>
  </si>
  <si>
    <t>MAEIEVLCKWDQJH-UHFFFAOYSA-N</t>
  </si>
  <si>
    <t xml:space="preserve">InChI=1S/C17H20N2O5S/c1-2-3-9-19-14-10-12(17(20)21)11-15(25(18,22)23)16(14)24-13-7-5-4-6-8-13/h4-8,10-11,19H,2-3,9H2,1H3,(H,20,21)(H2,18,22,23)_x000D__x000D_
</t>
  </si>
  <si>
    <t>C17H20N2O5S</t>
  </si>
  <si>
    <t>guanfacine</t>
  </si>
  <si>
    <t>DTXSID9046944</t>
  </si>
  <si>
    <t>NC(=N)NC(=O)CC1=C(Cl)C=CC=C1Cl</t>
  </si>
  <si>
    <t>INJOMKTZOLKMBF-UHFFFAOYSA-N</t>
  </si>
  <si>
    <t xml:space="preserve">InChI=1S/C9H9Cl2N3O/c10-6-2-1-3-7(11)5(6)4-8(15)14-9(12)13/h1-3H,4H2,(H4,12,13,14,15)_x000D__x000D_
</t>
  </si>
  <si>
    <t>C9H9Cl2N3O</t>
  </si>
  <si>
    <t>budesonide</t>
  </si>
  <si>
    <t>DTXSID8020202</t>
  </si>
  <si>
    <t>CCCC1O[C@@H]2C[C@H]3[C@@H]4CCC5=CC(=O)C=C[C@]5(C)[C@H]4[C@@H](O)C[C@]3(C)[C@@]2(O1)C(=O)CO</t>
  </si>
  <si>
    <t>VOVIALXJUBGFJZ-KWVAZRHASA-N</t>
  </si>
  <si>
    <t xml:space="preserve">InChI=1S/C25H34O6/c1-4-5-21-30-20-11-17-16-7-6-14-10-15(27)8-9-23(14,2)22(16)18(28)12-24(17,3)25(20,31-21)19(29)13-26/h8-10,16-18,20-22,26,28H,4-7,11-13H2,1-3H3/t16-,17-,18-,20+,21?,22+,23-,24-,25+/m0/s1_x000D__x000D_
</t>
  </si>
  <si>
    <t>C25H34O6</t>
  </si>
  <si>
    <t>varenicline</t>
  </si>
  <si>
    <t>DTXSID70891447</t>
  </si>
  <si>
    <t>C1[C@H]2CNC[C@@H]1C1=CC3=C(C=C21)N=CC=N3</t>
  </si>
  <si>
    <t>JQSHBVHOMNKWFT-DTORHVGOSA-N</t>
  </si>
  <si>
    <t xml:space="preserve">InChI=1S/C13H13N3/c1-2-16-13-5-11-9-3-8(6-14-7-9)10(11)4-12(13)15-1/h1-2,4-5,8-9,14H,3,6-7H2/t8-,9+_x000D__x000D_
</t>
  </si>
  <si>
    <t>C13H13N3</t>
  </si>
  <si>
    <t>triprolidine</t>
  </si>
  <si>
    <t>DTXSID3023718</t>
  </si>
  <si>
    <t>CC1=CC=C(C=C1)C(=C/CN1CCCC1)\C1=CC=CC=N1</t>
  </si>
  <si>
    <t>CBEQULMOCCWAQT-WOJGMQOQSA-N</t>
  </si>
  <si>
    <t xml:space="preserve">InChI=1S/C19H22N2/c1-16-7-9-17(10-8-16)18(19-6-2-3-12-20-19)11-15-21-13-4-5-14-21/h2-3,6-12H,4-5,13-15H2,1H3/b18-11+_x000D__x000D_
</t>
  </si>
  <si>
    <t>C19H22N2</t>
  </si>
  <si>
    <t>ropinirole</t>
  </si>
  <si>
    <t>DTXSID8045195</t>
  </si>
  <si>
    <t>CCCN(CCC)CCC1=C2CC(=O)NC2=CC=C1</t>
  </si>
  <si>
    <t>UHSKFQJFRQCDBE-UHFFFAOYSA-N</t>
  </si>
  <si>
    <t xml:space="preserve">InChI=1S/C16H24N2O/c1-3-9-18(10-4-2)11-8-13-6-5-7-15-14(13)12-16(19)17-15/h5-7H,3-4,8-12H2,1-2H3,(H,17,19)_x000D__x000D_
</t>
  </si>
  <si>
    <t>clonazepam</t>
  </si>
  <si>
    <t>DTXSID1022845</t>
  </si>
  <si>
    <t>[O-][N+](=O)C1=CC2=C(NC(=O)CN=C2C2=CC=CC=C2Cl)C=C1</t>
  </si>
  <si>
    <t>DGBIGWXXNGSACT-UHFFFAOYSA-N</t>
  </si>
  <si>
    <t xml:space="preserve">InChI=1S/C15H10ClN3O3/c16-12-4-2-1-3-10(12)15-11-7-9(19(21)22)5-6-13(11)18-14(20)8-17-15/h1-7H,8H2,(H,18,20)_x000D__x000D_
</t>
  </si>
  <si>
    <t>C15H10ClN3O3</t>
  </si>
  <si>
    <t>lorazepam</t>
  </si>
  <si>
    <t>DTXSID7023225</t>
  </si>
  <si>
    <t>OC1N=C(C2=CC=CC=C2Cl)C2=CC(Cl)=CC=C2NC1=O</t>
  </si>
  <si>
    <t>DIWRORZWFLOCLC-UHFFFAOYSA-N</t>
  </si>
  <si>
    <t xml:space="preserve">InChI=1/C15H10Cl2N2O2/c16-8-5-6-12-10(7-8)13(19-15(21)14(20)18-12)9-3-1-2-4-11(9)17/h1-7,15,21H,(H,18,20)_x000D__x000D_
</t>
  </si>
  <si>
    <t>C15H10Cl2N2O2</t>
  </si>
  <si>
    <t>benztropine</t>
  </si>
  <si>
    <t>DTXSID9022659</t>
  </si>
  <si>
    <t>CN1[C@H]2CC[C@@H]1C[C@@H](C2)OC(C1=CC=CC=C1)C1=CC=CC=C1</t>
  </si>
  <si>
    <t>GIJXKZJWITVLHI-PMOLBWCYSA-N</t>
  </si>
  <si>
    <t xml:space="preserve">InChI=1S/C21H25NO/c1-22-18-12-13-19(22)15-20(14-18)23-21(16-8-4-2-5-9-16)17-10-6-3-7-11-17/h2-11,18-21H,12-15H2,1H3/t18-,19+,20+_x000D__x000D_
</t>
  </si>
  <si>
    <t>C21H25NO</t>
  </si>
  <si>
    <t>levalbuterol</t>
  </si>
  <si>
    <t>DTXSID80187964</t>
  </si>
  <si>
    <t>CC(C)(C)NC[C@H](O)C1=CC(CO)=C(O)C=C1</t>
  </si>
  <si>
    <t>NDAUXUAQIAJITI-LBPRGKRZSA-N</t>
  </si>
  <si>
    <t xml:space="preserve">InChI=1S/C13H21NO3/c1-13(2,3)14-7-12(17)9-4-5-11(16)10(6-9)8-15/h4-6,12,14-17H,7-8H2,1-3H3/t12-/m0/s1_x000D__x000D_
</t>
  </si>
  <si>
    <t>alprazolam</t>
  </si>
  <si>
    <t>DTXSID4022577</t>
  </si>
  <si>
    <t>CC1=NN=C2CN=C(C3=CC=CC=C3)C3=CC(Cl)=CC=C3N12</t>
  </si>
  <si>
    <t>VREFGVBLTWBCJP-UHFFFAOYSA-N</t>
  </si>
  <si>
    <t xml:space="preserve">InChI=1S/C17H13ClN4/c1-11-20-21-16-10-19-17(12-5-3-2-4-6-12)14-9-13(18)7-8-15(14)22(11)16/h2-9H,10H2,1H3_x000D__x000D_
</t>
  </si>
  <si>
    <t>C17H13ClN4</t>
  </si>
  <si>
    <t>amphetamine</t>
  </si>
  <si>
    <t>DTXSID4022600</t>
  </si>
  <si>
    <t>CC(N)CC1=CC=CC=C1</t>
  </si>
  <si>
    <t>KWTSXDURSIMDCE-UHFFFAOYSA-N</t>
  </si>
  <si>
    <t xml:space="preserve">InChI=1/C9H13N/c1-8(10)7-9-5-3-2-4-6-9/h2-6,8H,7,10H2,1H3_x000D__x000D_
</t>
  </si>
  <si>
    <t>C9H13N</t>
  </si>
  <si>
    <t>dextroamphetamine</t>
  </si>
  <si>
    <t>DTXSID8022907</t>
  </si>
  <si>
    <t>C[C@H](N)CC1=CC=CC=C1</t>
  </si>
  <si>
    <t>KWTSXDURSIMDCE-QMMMGPOBSA-N</t>
  </si>
  <si>
    <t xml:space="preserve">InChI=1S/C9H13N/c1-8(10)7-9-5-3-2-4-6-9/h2-6,8H,7,10H2,1H3/t8-/m0/s1_x000D__x000D_
</t>
  </si>
  <si>
    <t>levonorgestrel</t>
  </si>
  <si>
    <t>DTXSID3036496</t>
  </si>
  <si>
    <t>[H][C@@]12CC[C@@](O)(C#C)[C@@]1(CC)CC[C@]1([H])[C@@]3([H])CCC(=O)C=C3CC[C@@]21[H]</t>
  </si>
  <si>
    <t>WWYNJERNGUHSAO-XUDSTZEESA-N</t>
  </si>
  <si>
    <t xml:space="preserve">InChI=1S/C21H28O2/c1-3-20-11-9-17-16-8-6-15(22)13-14(16)5-7-18(17)19(20)10-12-21(20,23)4-2/h2,13,16-19,23H,3,5-12H2,1H3/t16-,17+,18+,19-,20-,21-/m0/s1_x000D__x000D_
</t>
  </si>
  <si>
    <t>C21H28O2</t>
  </si>
  <si>
    <t>norethindrone</t>
  </si>
  <si>
    <t>DTXSID9023380</t>
  </si>
  <si>
    <t>[H][C@@]12CC[C@@](O)(C#C)[C@@]1(C)CC[C@]1([H])[C@@]3([H])CCC(=O)C=C3CC[C@@]21[H]</t>
  </si>
  <si>
    <t>VIKNJXKGJWUCNN-XGXHKTLJSA-N</t>
  </si>
  <si>
    <t xml:space="preserve">InChI=1S/C20H26O2/c1-3-20(22)11-9-18-17-6-4-13-12-14(21)5-7-15(13)16(17)8-10-19(18,20)2/h1,12,15-18,22H,4-11H2,2H3/t15-,16+,17+,18-,19-,20-/m0/s1_x000D__x000D_
</t>
  </si>
  <si>
    <t>C20H26O2</t>
  </si>
  <si>
    <t>nitroglycerin</t>
  </si>
  <si>
    <t>DTXSID1021407</t>
  </si>
  <si>
    <t>[O-][N+](=O)OCC(CO[N+]([O-])=O)O[N+]([O-])=O</t>
  </si>
  <si>
    <t>SNIOPGDIGTZGOP-UHFFFAOYSA-N</t>
  </si>
  <si>
    <t xml:space="preserve">InChI=1S/C3H5N3O9/c7-4(8)13-1-3(15-6(11)12)2-14-5(9)10/h3H,1-2H2_x000D__x000D_
</t>
  </si>
  <si>
    <t>C3H5N3O9</t>
  </si>
  <si>
    <t>colchicine</t>
  </si>
  <si>
    <t>DTXSID5024845</t>
  </si>
  <si>
    <t>COC1=CC2=C(C(OC)=C1OC)C1=CC=C(OC)C(=O)C=C1[C@H](CC2)NC(C)=O</t>
  </si>
  <si>
    <t>IAKHMKGGTNLKSZ-INIZCTEOSA-N</t>
  </si>
  <si>
    <t xml:space="preserve">InChI=1S/C22H25NO6/c1-12(24)23-16-8-6-13-10-19(27-3)21(28-4)22(29-5)20(13)14-7-9-18(26-2)17(25)11-15(14)16/h7,9-11,16H,6,8H2,1-5H3,(H,23,24)/t16-/m0/s1_x000D__x000D_
</t>
  </si>
  <si>
    <t>C22H25NO6</t>
  </si>
  <si>
    <t>bimatoprost</t>
  </si>
  <si>
    <t>DTXSID30895042</t>
  </si>
  <si>
    <t>CCNC(=O)CCC\C=C/C[C@H]1[C@@H](O)C[C@@H](O)[C@@H]1\C=C\[C@@H](O)CCC1=CC=CC=C1</t>
  </si>
  <si>
    <t>AQOKCDNYWBIDND-WNGDPRECNA-N</t>
  </si>
  <si>
    <t xml:space="preserve">InChI=1/C25H37NO4/c1-2-26-25(30)13-9-4-3-8-12-21-22(24(29)18-23(21)28)17-16-20(27)15-14-19-10-6-5-7-11-19/h3,5-8,10-11,16-17,20-24,27-29H,2,4,9,12-15,18H2,1H3,(H,26,30)/b8-3-,17-16+/t20-,21+,22+,23-,24+/s2_x000D__x000D_
</t>
  </si>
  <si>
    <t>C25H37NO4</t>
  </si>
  <si>
    <t>anastrozole</t>
  </si>
  <si>
    <t>DTXSID9022607</t>
  </si>
  <si>
    <t>CC(C)(C#N)C1=CC(=CC(CN2C=NC=N2)=C1)C(C)(C)C#N</t>
  </si>
  <si>
    <t>YBBLVLTVTVSKRW-UHFFFAOYSA-N</t>
  </si>
  <si>
    <t xml:space="preserve">InChI=1S/C17H19N5/c1-16(2,9-18)14-5-13(8-22-12-20-11-21-22)6-15(7-14)17(3,4)10-19/h5-7,11-12H,8H2,1-4H3_x000D__x000D_
</t>
  </si>
  <si>
    <t>C17H19N5</t>
  </si>
  <si>
    <t>pramipexole</t>
  </si>
  <si>
    <t>DTXSID6023496</t>
  </si>
  <si>
    <t>CCCN[C@H]1CCC2=C(C1)SC(N)=N2</t>
  </si>
  <si>
    <t>FASDKYOPVNHBLU-ZETCQYMHSA-N</t>
  </si>
  <si>
    <t xml:space="preserve">InChI=1S/C10H17N3S/c1-2-5-12-7-3-4-8-9(6-7)14-10(11)13-8/h7,12H,2-6H2,1H3,(H2,11,13)/t7-/m0/s1_x000D__x000D_
</t>
  </si>
  <si>
    <t>C10H17N3S</t>
  </si>
  <si>
    <t>formoterol</t>
  </si>
  <si>
    <t>DTXSID1023077</t>
  </si>
  <si>
    <t>COC1=CC=C(C[C@H](C)NC[C@@H](O)C2=CC(NC=O)=C(O)C=C2)C=C1</t>
  </si>
  <si>
    <t>BPZSYCZIITTYBL-YJYMSZOUSA-N</t>
  </si>
  <si>
    <t xml:space="preserve">InChI=1/C19H24N2O4/c1-13(9-14-3-6-16(25-2)7-4-14)20-11-19(24)15-5-8-18(23)17(10-15)21-12-22/h3-8,10,12-13,19-20,23-24H,9,11H2,1-2H3,(H,21,22)/t13-,19+/s2_x000D__x000D_
</t>
  </si>
  <si>
    <t>C19H24N2O4</t>
  </si>
  <si>
    <t>ciclesonide</t>
  </si>
  <si>
    <t>DTXSID9046659</t>
  </si>
  <si>
    <t>[H][C@@]12CCC3=CC(=O)C=C[C@]3(C)[C@@]1([H])[C@@H](O)C[C@@]1(C)[C@H]2C[C@H]2O[C@H](O[C@@]12C(=O)COC(=O)C(C)C)C1CCCCC1</t>
  </si>
  <si>
    <t>LUKZNWIVRBCLON-GXOBDPJESA-N</t>
  </si>
  <si>
    <t xml:space="preserve">InChI=1S/C32H44O7/c1-18(2)28(36)37-17-25(35)32-26(38-29(39-32)19-8-6-5-7-9-19)15-23-22-11-10-20-14-21(33)12-13-30(20,3)27(22)24(34)16-31(23,32)4/h12-14,18-19,22-24,26-27,29,34H,5-11,15-17H2,1-4H3/t22-,23-,24-,26+,27+,29+,30-,31-,32+/m0/s1_x000D__x000D_
</t>
  </si>
  <si>
    <t>C32H44O7</t>
  </si>
  <si>
    <t>hyoscyamine</t>
  </si>
  <si>
    <t>DTXSID80889335</t>
  </si>
  <si>
    <t>CN1[C@H]2CC[C@@H]1C[C@@H](C2)OC(=O)[C@H](CO)C1=CC=CC=C1</t>
  </si>
  <si>
    <t>RKUNBYITZUJHSG-FXUDXRNXSA-N</t>
  </si>
  <si>
    <t xml:space="preserve">InChI=1S/C17H23NO3/c1-18-13-7-8-14(18)10-15(9-13)21-17(20)16(11-19)12-5-3-2-4-6-12/h2-6,13-16,19H,7-11H2,1H3/t13-,14+,15+,16-/m1/s1_x000D__x000D_
</t>
  </si>
  <si>
    <t>C17H23NO3</t>
  </si>
  <si>
    <t>latanoprost</t>
  </si>
  <si>
    <t>DTXSID1041057</t>
  </si>
  <si>
    <t>CC(C)OC(=O)CCC\C=C/C[C@H]1[C@@H](O)C[C@@H](O)[C@@H]1CC[C@@H](O)CCC1=CC=CC=C1</t>
  </si>
  <si>
    <t>GGXICVAJURFBLW-CEYXHVGTSA-N</t>
  </si>
  <si>
    <t xml:space="preserve">InChI=1S/C26H40O5/c1-19(2)31-26(30)13-9-4-3-8-12-22-23(25(29)18-24(22)28)17-16-21(27)15-14-20-10-6-5-7-11-20/h3,5-8,10-11,19,21-25,27-29H,4,9,12-18H2,1-2H3/b8-3-/t21-,22+,23+,24-,25+/m0/s1_x000D__x000D_
</t>
  </si>
  <si>
    <t>C26H40O5</t>
  </si>
  <si>
    <t>travoprost</t>
  </si>
  <si>
    <t>DTXSID80896948</t>
  </si>
  <si>
    <t>CC(C)OC(=O)CCC\C=C/C[C@H]1[C@@H](O)C[C@@H](O)[C@@H]1\C=C\[C@@H](O)COC1=CC(=CC=C1)C(F)(F)F</t>
  </si>
  <si>
    <t>MKPLKVHSHYCHOC-AHTXBMBWSA-N</t>
  </si>
  <si>
    <t xml:space="preserve">InChI=1S/C26H35F3O6/c1-17(2)35-25(33)11-6-4-3-5-10-21-22(24(32)15-23(21)31)13-12-19(30)16-34-20-9-7-8-18(14-20)26(27,28)29/h3,5,7-9,12-14,17,19,21-24,30-32H,4,6,10-11,15-16H2,1-2H3/b5-3-,13-12+/t19-,21-,22-,23+,24-/m1/s1_x000D__x000D_
</t>
  </si>
  <si>
    <t>C26H35F3O6</t>
  </si>
  <si>
    <t>semaglutide</t>
  </si>
  <si>
    <t>DTXSID101027903</t>
  </si>
  <si>
    <t>CC[C@H](C)[C@H](NC(=O)[C@H](CC1=CC=CC=C1)NC(=O)[C@H](CCC(O)=O)NC(=O)[C@H](CCCCNC(=O)COCCOCCNC(=O)COCCOCCNC(=O)CC[C@@H](NC(=O)CCCCCCCCCCCCCCCCC(O)=O)C(O)=O)NC(=O)[C@H](C)NC(=O)[C@H](C)NC(=O)[C@H](CCC(N)=O)NC(=O)CNC(=O)[C@H](CCC(O)=O)NC(=O)[C@H](CC(C)C)NC(=O)[C@H](CC1=CC=C(O)C=C1)NC(=O)[C@H](CO)NC(=O)[C@H](CO)NC(=O)[C@@H](NC(=O)[C@H](CC(O)=O)NC(=O)[C@H](CO)NC(=O)[C@@H](NC(=O)[C@H](CC1=CC=CC=C1)NC(=O)[C@@H](NC(=O)CNC(=O)[C@H](CCC(O)=O)NC(=O)C(C)(C)NC(=O)[C@@H](N)CC1=CN=CN1)[C@@H](C)O)[C@@H](C)O)C(C)C)C(=O)N[C@@H](C)C(=O)N[C@@H](CC1=CNC2=CC=CC=C12)C(=O)N[C@@H](CC(C)C)C(=O)N[C@@H](C(C)C)C(=O)N[C@@H](CCCNC(N)=N)C(=O)NCC(=O)N[C@@H](CCCNC(N)=N)C(=O)NCC(O)=O</t>
  </si>
  <si>
    <t>DLSWIYLPEUIQAV-CCUURXOWSA-N</t>
  </si>
  <si>
    <t xml:space="preserve">InChI=1S/C187H291N45O59/c1-18-105(10)154(180(282)208-108(13)159(261)216-133(86-114-89-200-119-50-40-39-49-117(114)119)170(272)218-129(82-102(4)5)171(273)228-152(103(6)7)178(280)215-121(53-44-72-199-186(192)193)162(264)201-91-141(242)209-120(52-43-71-198-185(190)191)161(263)204-94-151(257)258)230-172(274)131(83-111-45-33-31-34-46-111)219-167(269)126(64-69-149(253)254)214-166(268)122(51-41-42-70-195-144(245)98-290-79-78-289-76-74-197-145(246)99-291-80-77-288-75-73-196-139(240)66-61-127(183(285)286)211-140(241)54-37-29-27-25-23-21-19-20-22-24-26-28-30-38-55-146(247)248)212-158(260)107(12)206-157(259)106(11)207-165(267)125(60-65-138(189)239)210-142(243)92-202-163(265)123(62-67-147(249)250)213-168(270)128(81-101(2)3)217-169(271)130(85-113-56-58-116(238)59-57-113)220-175(277)135(95-233)223-177(279)137(97-235)224-179(281)153(104(8)9)229-174(276)134(88-150(255)256)221-176(278)136(96-234)225-182(284)156(110(15)237)231-173(275)132(84-112-47-35-32-36-48-112)222-181(283)155(109(14)236)227-143(244)93-203-164(266)124(63-68-148(251)252)226-184(287)187(16,17)232-160(262)118(188)87-115-90-194-100-205-115/h31-36,39-40,45-50,56-59,89-90,100-110,118,120-137,152-156,200,233-238H,18-30,37-38,41-44,51-55,60-88,91-99,188H2,1-17H3,(H2,189,239)(H,194,205)(H,195,245)(H,196,240)(H,197,246)(H,201,264)(H,202,265)(H,203,266)(H,204,263)(H,206,259)(H,207,267)(H,208,282)(H,209,242)(H,210,243)(H,211,241)(H,212,260)(H,213,270)(H,214,268)(H,215,280)(H,216,261)(H,217,271)(H,218,272)(H,219,269)(H,220,277)(H,221,278)(H,222,283)(H,223,279)(H,224,281)(H,225,284)(H,226,287)(H,227,244)(H,228,273)(H,229,276)(H,230,274)(H,231,275)(H,232,262)(H,247,248)(H,249,250)(H,251,252)(H,253,254)(H,255,256)(H,257,258)(H,285,286)(H4,190,191,198)(H4,192,193,199)/t105-,106-,107-,108-,109+,110+,118-,120-,121-,122-,123-,124-,125-,126-,127+,128-,129-,130-,131-,132-,133-,134-,135-,136-,137-,152-,153-,154-,155-,156-/m0/s1_x000D__x000D_
</t>
  </si>
  <si>
    <t>C187H291N45O59</t>
  </si>
  <si>
    <t>tamsulosin</t>
  </si>
  <si>
    <t>DTXSID3023631</t>
  </si>
  <si>
    <t>CCOC1=C(OCCN[C@H](C)CC2=CC(=C(OC)C=C2)S(N)(=O)=O)C=CC=C1</t>
  </si>
  <si>
    <t>DRHKJLXJIQTDTD-OAHLLOKOSA-N</t>
  </si>
  <si>
    <t xml:space="preserve">InChI=1S/C20H28N2O5S/c1-4-26-17-7-5-6-8-18(17)27-12-11-22-15(2)13-16-9-10-19(25-3)20(14-16)28(21,23)24/h5-10,14-15,22H,4,11-13H2,1-3H3,(H2,21,23,24)/t15-/m1/s1_x000D__x000D_
</t>
  </si>
  <si>
    <t>C20H28N2O5S</t>
  </si>
  <si>
    <t>fluticasone</t>
  </si>
  <si>
    <t>DTXSID0044022</t>
  </si>
  <si>
    <t>[H][C@@]12C[C@@H](C)[C@](O)(C(=O)SCF)[C@@]1(C)C[C@H](O)[C@@]1(F)[C@@]2([H])C[C@H](F)C2=CC(=O)C=C[C@]12C</t>
  </si>
  <si>
    <t>MGNNYOODZCAHBA-GQKYHHCASA-N</t>
  </si>
  <si>
    <t xml:space="preserve">InChI=1S/C22H27F3O4S/c1-11-6-13-14-8-16(24)15-7-12(26)4-5-19(15,2)21(14,25)17(27)9-20(13,3)22(11,29)18(28)30-10-23/h4-5,7,11,13-14,16-17,27,29H,6,8-10H2,1-3H3/t11-,13+,14+,16+,17+,19+,20+,21+,22+/m1/s1_x000D__x000D_
</t>
  </si>
  <si>
    <t>C22H27F3O4S</t>
  </si>
  <si>
    <t>ethinyl estradiol</t>
  </si>
  <si>
    <t>DTXSID5020576</t>
  </si>
  <si>
    <t>[H][C@@]12CC[C@@](O)(C#C)[C@@]1(C)CC[C@]1([H])C3=C(CC[C@@]21[H])C=C(O)C=C3</t>
  </si>
  <si>
    <t>BFPYWIDHMRZLRN-SLHNCBLASA-N</t>
  </si>
  <si>
    <t xml:space="preserve">InChI=1S/C20H24O2/c1-3-20(22)11-9-18-17-6-4-13-12-14(21)5-7-15(13)16(17)8-10-19(18,20)2/h1,5,7,12,16-18,21-22H,4,6,8-11H2,2H3/t16-,17-,18+,19+,20+/m1/s1_x000D__x000D_
</t>
  </si>
  <si>
    <t>C20H24O2</t>
  </si>
  <si>
    <t>clonidine</t>
  </si>
  <si>
    <t>DTXSID6022846</t>
  </si>
  <si>
    <t>ClC1=CC=CC(Cl)=C1NC1=NCCN1</t>
  </si>
  <si>
    <t>GJSURZIOUXUGAL-UHFFFAOYSA-N</t>
  </si>
  <si>
    <t xml:space="preserve">InChI=1S/C9H9Cl2N3/c10-6-2-1-3-7(11)8(6)14-9-12-4-5-13-9/h1-3H,4-5H2,(H2,12,13,14)_x000D__x000D_
</t>
  </si>
  <si>
    <t>C9H9Cl2N3</t>
  </si>
  <si>
    <t>linaclotide</t>
  </si>
  <si>
    <t>DTXSID90234256</t>
  </si>
  <si>
    <t>C[C@@H](O)[C@@H]1NC(=O)[C@@H]2CSSC[C@@H]3NC(=O)[C@@H](N)CSSC[C@H](NC(=O)[C@H](CSSC[C@H](NC(=O)CNC1=O)C(=O)N[C@@H](CC1=CC=C(O)C=C1)C(O)=O)NC(=O)[C@H](CC1=CC=C(O)C=C1)NC(=O)[C@H](CCC(O)=O)NC3=O)C(=O)N[C@@H](CC(N)=O)C(=O)N1CCC[C@H]1C(=O)N[C@@H](C)C(=O)N2</t>
  </si>
  <si>
    <t>KXGCNMMJRFDFNR-WDRJZQOASA-N</t>
  </si>
  <si>
    <t xml:space="preserve">InChI=1S/C59H79N15O21S6/c1-26-47(82)69-41-25-101-99-22-38-52(87)65-33(13-14-45(80)81)49(84)66-34(16-28-5-9-30(76)10-6-28)50(85)71-40(54(89)72-39(23-97-96-20-32(60)48(83)70-38)53(88)67-35(18-43(61)78)58(93)74-15-3-4-42(74)56(91)63-26)24-100-98-21-37(64-44(79)19-62-57(92)46(27(2)75)73-55(41)90)51(86)68-36(59(94)95)17-29-7-11-31(77)12-8-29/h5-12,26-27,32-42,46,75-77H,3-4,13-25,60H2,1-2H3,(H2,61,78)(H,62,92)(H,63,91)(H,64,79)(H,65,87)(H,66,84)(H,67,88)(H,68,86)(H,69,82)(H,70,83)(H,71,85)(H,72,89)(H,73,90)(H,80,81)(H,94,95)/t26-,27+,32-,33-,34-,35-,36-,37-,38-,39-,40-,41-,42-,46-/m0/s1_x000D__x000D_
</t>
  </si>
  <si>
    <t>C59H79N15O21S6</t>
  </si>
  <si>
    <t>digoxin</t>
  </si>
  <si>
    <t>DTXSID5022934</t>
  </si>
  <si>
    <t>C[C@H]1O[C@H](C[C@H](O)[C@@H]1O)O[C@H]1[C@@H](O)C[C@H](O[C@H]2[C@@H](O)C[C@H](O[C@H]3CC[C@@]4(C)[C@H](CC[C@@H]5[C@@H]4C[C@@H](O)[C@]4(C)[C@H](CC[C@]54O)C4=CC(=O)OC4)C3)O[C@@H]2C)O[C@@H]1C</t>
  </si>
  <si>
    <t>LTMHDMANZUZIPE-PUGKRICDSA-N</t>
  </si>
  <si>
    <t xml:space="preserve">InChI=1S/C41H64O14/c1-19-36(47)28(42)15-34(50-19)54-38-21(3)52-35(17-30(38)44)55-37-20(2)51-33(16-29(37)43)53-24-8-10-39(4)23(13-24)6-7-26-27(39)14-31(45)40(5)25(9-11-41(26,40)48)22-12-32(46)49-18-22/h12,19-21,23-31,33-38,42-45,47-48H,6-11,13-18H2,1-5H3/t19-,20-,21-,23-,24+,25-,26-,27+,28+,29+,30+,31-,33+,34+,35+,36-,37-,38-,39+,40+,41+/m1/s1_x000D__x000D_
</t>
  </si>
  <si>
    <t>C41H64O14</t>
  </si>
  <si>
    <t>dulaglutide</t>
  </si>
  <si>
    <t>umeclidinium</t>
  </si>
  <si>
    <t>DTXSID00235971</t>
  </si>
  <si>
    <t>OC(C1=CC=CC=C1)(C1=CC=CC=C1)C12CC[N+](CCOCC3=CC=CC=C3)(CC1)CC2</t>
  </si>
  <si>
    <t>FVTWTVQXNAJTQP-UHFFFAOYSA-N</t>
  </si>
  <si>
    <t xml:space="preserve">InChI=1S/C29H34NO2/c31-29(26-12-6-2-7-13-26,27-14-8-3-9-15-27)28-16-19-30(20-17-28,21-18-28)22-23-32-24-25-10-4-1-5-11-25/h1-15,31H,16-24H2/q+1_x000D__x000D_
</t>
  </si>
  <si>
    <t>C29H34NO2</t>
  </si>
  <si>
    <t>salmeterol</t>
  </si>
  <si>
    <t>DTXSID6023571</t>
  </si>
  <si>
    <t>OCC1=C(O)C=CC(=C1)C(O)CNCCCCCCOCCCCC1=CC=CC=C1</t>
  </si>
  <si>
    <t>GIIZNNXWQWCKIB-UHFFFAOYSA-N</t>
  </si>
  <si>
    <t xml:space="preserve">InChI=1/C25H37NO4/c27-20-23-18-22(13-14-24(23)28)25(29)19-26-15-7-1-2-8-16-30-17-9-6-12-21-10-4-3-5-11-21/h3-5,10-11,13-14,18,25-29H,1-2,6-9,12,15-17,19-20H2_x000D__x000D_
</t>
  </si>
  <si>
    <t>triamcinolone</t>
  </si>
  <si>
    <t>DTXSID1040742</t>
  </si>
  <si>
    <t>[H][C@@]12C[C@@H](O)[C@](O)(C(=O)CO)[C@@]1(C)C[C@H](O)[C@@]1(F)[C@@]2([H])CCC2=CC(=O)C=C[C@]12C</t>
  </si>
  <si>
    <t>GFNANZIMVAIWHM-OBYCQNJPSA-N</t>
  </si>
  <si>
    <t xml:space="preserve">InChI=1S/C21H27FO6/c1-18-6-5-12(24)7-11(18)3-4-13-14-8-15(25)21(28,17(27)10-23)19(14,2)9-16(26)20(13,18)22/h5-7,13-16,23,25-26,28H,3-4,8-10H2,1-2H3/t13-,14-,15+,16-,18-,19-,20-,21-/m0/s1_x000D__x000D_
</t>
  </si>
  <si>
    <t>C21H27FO6</t>
  </si>
  <si>
    <t>beclomethasone</t>
  </si>
  <si>
    <t>DTXSID5040750</t>
  </si>
  <si>
    <t>C[C@H]1C[C@H]2[C@@H]3CCC4=CC(=O)C=C[C@]4(C)[C@@]3(Cl)[C@@H](O)C[C@]2(C)[C@@]1(O)C(=O)CO</t>
  </si>
  <si>
    <t>NBMKJKDGKREAPL-DVTGEIKXSA-N</t>
  </si>
  <si>
    <t xml:space="preserve">InChI=1S/C22H29ClO5/c1-12-8-16-15-5-4-13-9-14(25)6-7-19(13,2)21(15,23)17(26)10-20(16,3)22(12,28)18(27)11-24/h6-7,9,12,15-17,24,26,28H,4-5,8,10-11H2,1-3H3/t12-,15-,16-,17-,19-,20-,21-,22-/m0/s1_x000D__x000D_
</t>
  </si>
  <si>
    <t>C22H29ClO5</t>
  </si>
  <si>
    <t>mometasone</t>
  </si>
  <si>
    <t>DTXSID10872412</t>
  </si>
  <si>
    <t>[H][C@@]12C[C@@H](C)[C@](O)(C(=O)CCl)[C@@]1(C)C[C@H](O)[C@@]1(Cl)[C@@]2([H])CCC2=CC(=O)C=C[C@]12C</t>
  </si>
  <si>
    <t>QLIIKPVHVRXHRI-CXSFZGCWSA-N</t>
  </si>
  <si>
    <t xml:space="preserve">InChI=1S/C22H28Cl2O4/c1-12-8-16-15-5-4-13-9-14(25)6-7-19(13,2)21(15,24)17(26)10-20(16,3)22(12,28)18(27)11-23/h6-7,9,12,15-17,26,28H,4-5,8,10-11H2,1-3H3/t12-,15+,16+,17+,19+,20+,21+,22+/m1/s1_x000D__x000D_
</t>
  </si>
  <si>
    <t>C22H28Cl2O4</t>
  </si>
  <si>
    <t>tiotropium</t>
  </si>
  <si>
    <t>DTXSID5044281</t>
  </si>
  <si>
    <t>[H][C@]12O[C@@]1([H])[C@]1([H])CC(C[C@]2([H])[N+]1(C)C)OC(=O)C(O)(C1=CC=CS1)C1=CC=CS1</t>
  </si>
  <si>
    <t>LERNTVKEWCAPOY-OTUBXIGJNA-N</t>
  </si>
  <si>
    <t xml:space="preserve">InChI=1/C19H22NO4S2/c1-20(2)12-9-11(10-13(20)17-16(12)24-17)23-18(21)19(22,14-5-3-7-25-14)15-6-4-8-26-15/h3-8,11-13,16-17,22H,9-10H2,1-2H3/q+1/t11?,12-,13-,16-,17+/s2_x000D__x000D_
</t>
  </si>
  <si>
    <t>C19H22NO4S2</t>
  </si>
  <si>
    <t>Codeine</t>
  </si>
  <si>
    <t>Morphine</t>
  </si>
  <si>
    <t>Hydrocodone</t>
  </si>
  <si>
    <t>ND</t>
  </si>
  <si>
    <t>Hydromorphone</t>
  </si>
  <si>
    <t>Oxycodone</t>
  </si>
  <si>
    <t>Tramadol</t>
  </si>
  <si>
    <t>Buprenorphine</t>
  </si>
  <si>
    <t>Alprazolam</t>
  </si>
  <si>
    <t>Diazepam</t>
  </si>
  <si>
    <t>Temazepam</t>
  </si>
  <si>
    <t>Cyclobenzaprine</t>
  </si>
  <si>
    <t>Nortriptyline</t>
  </si>
  <si>
    <t>Amphetamine</t>
  </si>
  <si>
    <t>Zolpidem</t>
  </si>
  <si>
    <t>Fluoxetine</t>
  </si>
  <si>
    <t>Acetaminophen</t>
  </si>
  <si>
    <t>Amitriptyline</t>
  </si>
  <si>
    <t>Azithromycin</t>
  </si>
  <si>
    <t>Bupropion</t>
  </si>
  <si>
    <t>Carbamazepine</t>
  </si>
  <si>
    <t>Ciprofloxacin</t>
  </si>
  <si>
    <t>Citalopram</t>
  </si>
  <si>
    <t>Clarithromycin</t>
  </si>
  <si>
    <t>Diclofenac</t>
  </si>
  <si>
    <t>Erythromycin</t>
  </si>
  <si>
    <t>Haloperidol</t>
  </si>
  <si>
    <t>Lamotrigine</t>
  </si>
  <si>
    <t>Naproxen</t>
  </si>
  <si>
    <t>Paroxetine</t>
  </si>
  <si>
    <t>Primidone</t>
  </si>
  <si>
    <t>Sertraline</t>
  </si>
  <si>
    <t>Sulfamethoxazole</t>
  </si>
  <si>
    <t>Trimethoprim</t>
  </si>
  <si>
    <t>Venlafaxine</t>
  </si>
  <si>
    <t>Diphenhydramine</t>
  </si>
  <si>
    <t>Diltiazem</t>
  </si>
  <si>
    <t>Lisinopril</t>
  </si>
  <si>
    <t>Simvastatin</t>
  </si>
  <si>
    <t>Ofloxacin</t>
  </si>
  <si>
    <t>Atenolol</t>
  </si>
  <si>
    <t>Fenofibrate</t>
  </si>
  <si>
    <t>Ketoprofen</t>
  </si>
  <si>
    <t>Metoprolol</t>
  </si>
  <si>
    <t>Propranolol</t>
  </si>
  <si>
    <t>Ranitidine</t>
  </si>
  <si>
    <t>Albuterol</t>
  </si>
  <si>
    <t>Ampicillin</t>
  </si>
  <si>
    <t>Doxycycline</t>
  </si>
  <si>
    <t>Hydroxychloroquine</t>
  </si>
  <si>
    <t>Dexamethasone</t>
  </si>
  <si>
    <t>Desvenlafaxine</t>
  </si>
  <si>
    <t>Clonazepam</t>
  </si>
  <si>
    <t>Lorazepam</t>
  </si>
  <si>
    <t>Quetiapine</t>
  </si>
  <si>
    <t>Aripiprazole</t>
  </si>
  <si>
    <t>Acyclovir</t>
  </si>
  <si>
    <t>Dextromethorphan</t>
  </si>
  <si>
    <t>Famotidine</t>
  </si>
  <si>
    <t>Fexofenadine</t>
  </si>
  <si>
    <t>Fluconazole</t>
  </si>
  <si>
    <t>Glyburide</t>
  </si>
  <si>
    <t>Hydroxyzine</t>
  </si>
  <si>
    <t>Metaxalone</t>
  </si>
  <si>
    <t>Metformin</t>
  </si>
  <si>
    <t>Methocarbamol</t>
  </si>
  <si>
    <t>Nadolol</t>
  </si>
  <si>
    <t>Phenytoin</t>
  </si>
  <si>
    <t>Pseudoephedrine + ephedrine</t>
  </si>
  <si>
    <t>Triamterene</t>
  </si>
  <si>
    <t>Valacyclovir</t>
  </si>
  <si>
    <t>Verapamil</t>
  </si>
  <si>
    <t>Sitagliptin</t>
  </si>
  <si>
    <t>Atorvastatin</t>
  </si>
  <si>
    <t>Terbinafine</t>
  </si>
  <si>
    <t>Sotalol</t>
  </si>
  <si>
    <t>Gemfibrozil</t>
  </si>
  <si>
    <t>Ibuprofen</t>
  </si>
  <si>
    <t>Methylphenidate</t>
  </si>
  <si>
    <t>Amoxicillin</t>
  </si>
  <si>
    <t xml:space="preserve">Penicillin V potassium </t>
  </si>
  <si>
    <t>Cephalexin</t>
  </si>
  <si>
    <t>Flecainide</t>
  </si>
  <si>
    <t>Gabapentin</t>
  </si>
  <si>
    <t>Losartan</t>
  </si>
  <si>
    <t>Metronidazole</t>
  </si>
  <si>
    <t>Oxcarbazepine</t>
  </si>
  <si>
    <t>Valsartan</t>
  </si>
  <si>
    <t>Intermountain western US state</t>
  </si>
  <si>
    <t>24h composite</t>
  </si>
  <si>
    <t>30d passive POCIS</t>
  </si>
  <si>
    <t>Aug-Dec 2017, Jun-Jul 2018</t>
  </si>
  <si>
    <t>Eastern US</t>
  </si>
  <si>
    <t>Ohio</t>
  </si>
  <si>
    <t>grab sample</t>
  </si>
  <si>
    <t>Jun 2014 - July 2015</t>
  </si>
  <si>
    <t>Wisconsin</t>
  </si>
  <si>
    <t>14month composite</t>
  </si>
  <si>
    <t>Massachusetts</t>
  </si>
  <si>
    <t>Pennsylvania</t>
  </si>
  <si>
    <t>US</t>
  </si>
  <si>
    <t>Midwestern US city</t>
  </si>
  <si>
    <t>July - Oct 2020</t>
  </si>
  <si>
    <t>Alaska, Arizona, Florida, Illinois, New Mexico, New Jersey, Kansas, Kentucky, Texas, Washington</t>
  </si>
  <si>
    <t>grab &amp; composite avg</t>
  </si>
  <si>
    <t>Oregon</t>
  </si>
  <si>
    <t>New York</t>
  </si>
  <si>
    <t>Boulder</t>
  </si>
  <si>
    <t>2012 (assumed since pub year)</t>
  </si>
  <si>
    <t>Atlanta</t>
  </si>
  <si>
    <t>2013 (assumed since pub year)</t>
  </si>
  <si>
    <t>Tuscaloosa, AL</t>
  </si>
  <si>
    <t>Albany, NY</t>
  </si>
  <si>
    <t>Around July &amp; Oct 2015 (inferred)</t>
  </si>
  <si>
    <t>Niagara, NY</t>
  </si>
  <si>
    <t>Oct 2016 - Dec 2017</t>
  </si>
  <si>
    <t>July - Nov 2013</t>
  </si>
  <si>
    <t>Summer 2018</t>
  </si>
  <si>
    <t>Kentucky</t>
  </si>
  <si>
    <t>Jan-Feb 2020</t>
  </si>
  <si>
    <t>Florida</t>
  </si>
  <si>
    <t>May 2009 - March 2010</t>
  </si>
  <si>
    <t>Jan - March 2019</t>
  </si>
  <si>
    <t>Mobile County, Alabama</t>
  </si>
  <si>
    <t>June 2020-January 2022</t>
  </si>
  <si>
    <t>May 2022 - April 2023</t>
  </si>
  <si>
    <t>Fall 2017</t>
  </si>
  <si>
    <t>Winter 2018</t>
  </si>
  <si>
    <t>Spring 2018</t>
  </si>
  <si>
    <t>July &amp; Nov 2016</t>
  </si>
  <si>
    <t>Urbana-Champaign, IL</t>
  </si>
  <si>
    <t>Summer 2013</t>
  </si>
  <si>
    <t>Spring 2014</t>
  </si>
  <si>
    <t>Fall 2014</t>
  </si>
  <si>
    <t>Summer 2015</t>
  </si>
  <si>
    <t>Fall 2015</t>
  </si>
  <si>
    <t>Winter 2016</t>
  </si>
  <si>
    <t>Spring 2016</t>
  </si>
  <si>
    <t>midwestern US state</t>
  </si>
  <si>
    <t>Nov 2011 - Sep 2012</t>
  </si>
  <si>
    <t>Mississippi</t>
  </si>
  <si>
    <t>Sep &amp; Nov 2011</t>
  </si>
  <si>
    <t>Illinois</t>
  </si>
  <si>
    <t>Aug 2010 &amp; Feb 2011</t>
  </si>
  <si>
    <t>Riverside, CA</t>
  </si>
  <si>
    <t>Sep 2018 - Jan 2019</t>
  </si>
  <si>
    <t>Santee, CA</t>
  </si>
  <si>
    <t>US Northeast</t>
  </si>
  <si>
    <t>Sep 2018 - Aug 2020</t>
  </si>
  <si>
    <t>100 people</t>
  </si>
  <si>
    <t>1000 people</t>
  </si>
  <si>
    <t>100,000 people</t>
  </si>
  <si>
    <t>1,000,000 people</t>
  </si>
  <si>
    <t>Alendronate</t>
  </si>
  <si>
    <t>Alfuzosin</t>
  </si>
  <si>
    <t>Allopurinol</t>
  </si>
  <si>
    <t>Alogliptin</t>
  </si>
  <si>
    <t>Amiodarone</t>
  </si>
  <si>
    <t>Amlodipine</t>
  </si>
  <si>
    <t>Anastrozole</t>
  </si>
  <si>
    <t>Apixaban</t>
  </si>
  <si>
    <t>Aspirin</t>
  </si>
  <si>
    <t>Atomoxetine</t>
  </si>
  <si>
    <t>Azelastine</t>
  </si>
  <si>
    <t>Baclofen</t>
  </si>
  <si>
    <t>Beclomethasone</t>
  </si>
  <si>
    <t>Benazepril</t>
  </si>
  <si>
    <t>Benzonatate</t>
  </si>
  <si>
    <t>Benztropine</t>
  </si>
  <si>
    <t>Bepotastine</t>
  </si>
  <si>
    <t>Bimatoprost</t>
  </si>
  <si>
    <t>Bisacodyl</t>
  </si>
  <si>
    <t>Bismuth Subsalicylate</t>
  </si>
  <si>
    <t>Bisoprolol</t>
  </si>
  <si>
    <t>Brimonidine</t>
  </si>
  <si>
    <t>Bromfenac</t>
  </si>
  <si>
    <t>Budesonide</t>
  </si>
  <si>
    <t>Bumetanide</t>
  </si>
  <si>
    <t>Buspirone</t>
  </si>
  <si>
    <t>Canagliflozin</t>
  </si>
  <si>
    <t>Carvedilol</t>
  </si>
  <si>
    <t>Cefdinir</t>
  </si>
  <si>
    <t>Cefuroxime</t>
  </si>
  <si>
    <t>Celecoxib</t>
  </si>
  <si>
    <t>Cetirizine</t>
  </si>
  <si>
    <t>Chlorthalidone</t>
  </si>
  <si>
    <t>Ciclesonide</t>
  </si>
  <si>
    <t>Clavulanate</t>
  </si>
  <si>
    <t>Clindamycin</t>
  </si>
  <si>
    <t>Clonidine</t>
  </si>
  <si>
    <t>Clopidogrel</t>
  </si>
  <si>
    <t>Colchicine</t>
  </si>
  <si>
    <t>Cromolyn</t>
  </si>
  <si>
    <t>Cyclosporine</t>
  </si>
  <si>
    <t>Cyproheptadine</t>
  </si>
  <si>
    <t>Dabigatran</t>
  </si>
  <si>
    <t>Dapagliflozin</t>
  </si>
  <si>
    <t>Desloratadine</t>
  </si>
  <si>
    <t>Dexlansoprazole</t>
  </si>
  <si>
    <t>Dexmethylphenidate</t>
  </si>
  <si>
    <t>Dextroamphetamine</t>
  </si>
  <si>
    <t>Dicyclomine</t>
  </si>
  <si>
    <t>Digoxin</t>
  </si>
  <si>
    <t>Divalproex Sodium</t>
  </si>
  <si>
    <t>Docusate</t>
  </si>
  <si>
    <t>Donepezil</t>
  </si>
  <si>
    <t>Dorzolamide</t>
  </si>
  <si>
    <t>Doxazosin</t>
  </si>
  <si>
    <t>Doxepin</t>
  </si>
  <si>
    <t>Dulaglutide</t>
  </si>
  <si>
    <t>Duloxetine</t>
  </si>
  <si>
    <t>Empagliflozin</t>
  </si>
  <si>
    <t>Enalapril</t>
  </si>
  <si>
    <t>Epinastine</t>
  </si>
  <si>
    <t>Ertugliflozin</t>
  </si>
  <si>
    <t>Escitalopram</t>
  </si>
  <si>
    <t>Esomeprazole</t>
  </si>
  <si>
    <t>Eszopiclone</t>
  </si>
  <si>
    <t>Ethinyl Estradiol</t>
  </si>
  <si>
    <t>Etodolac</t>
  </si>
  <si>
    <t>Ezetimibe</t>
  </si>
  <si>
    <t>Felodipine</t>
  </si>
  <si>
    <t>Finasteride</t>
  </si>
  <si>
    <t>Flunisolide</t>
  </si>
  <si>
    <t>Flurbiprofen</t>
  </si>
  <si>
    <t>Fluticasone</t>
  </si>
  <si>
    <t>Formoterol</t>
  </si>
  <si>
    <t>Furosemide</t>
  </si>
  <si>
    <t>Glimepiride</t>
  </si>
  <si>
    <t>Glipizide</t>
  </si>
  <si>
    <t>Guaifenesin</t>
  </si>
  <si>
    <t>Guanfacine</t>
  </si>
  <si>
    <t>Hydralazine</t>
  </si>
  <si>
    <t>Hydrochlorothiazide</t>
  </si>
  <si>
    <t>Hydrocortisone</t>
  </si>
  <si>
    <t>Hyoscyamine</t>
  </si>
  <si>
    <t>Ibandronate</t>
  </si>
  <si>
    <t>Indomethacin</t>
  </si>
  <si>
    <t>Ipratropium</t>
  </si>
  <si>
    <t>Irbesartan</t>
  </si>
  <si>
    <t>Isosorbide Dinitrate</t>
  </si>
  <si>
    <t>Isosorbide Mononitrate</t>
  </si>
  <si>
    <t>Isotretinoin</t>
  </si>
  <si>
    <t>Ketorolac</t>
  </si>
  <si>
    <t>Ketotifen</t>
  </si>
  <si>
    <t>Labetalol</t>
  </si>
  <si>
    <t>Lactulose</t>
  </si>
  <si>
    <t>Lansoprazole</t>
  </si>
  <si>
    <t>Latanoprost</t>
  </si>
  <si>
    <t>Leflunomide</t>
  </si>
  <si>
    <t>Letrozole</t>
  </si>
  <si>
    <t>Levalbuterol</t>
  </si>
  <si>
    <t>Levetiracetam</t>
  </si>
  <si>
    <t>Levocetirizine</t>
  </si>
  <si>
    <t>Levofloxacin</t>
  </si>
  <si>
    <t>Levonorgestrel</t>
  </si>
  <si>
    <t>Linaclotide</t>
  </si>
  <si>
    <t>Linagliptin</t>
  </si>
  <si>
    <t>Liraglutide</t>
  </si>
  <si>
    <t>Lisdexamfetamine</t>
  </si>
  <si>
    <t>Loperamide</t>
  </si>
  <si>
    <t>Loratadine</t>
  </si>
  <si>
    <t>Loteprednol</t>
  </si>
  <si>
    <t>Lovastatin</t>
  </si>
  <si>
    <t>Lurasidone</t>
  </si>
  <si>
    <t>Meclizine</t>
  </si>
  <si>
    <t>Medroxyprogesterone</t>
  </si>
  <si>
    <t>Meloxicam</t>
  </si>
  <si>
    <t>Memantine</t>
  </si>
  <si>
    <t>Mesalamine</t>
  </si>
  <si>
    <t>Methimazole</t>
  </si>
  <si>
    <t>Methotrexate</t>
  </si>
  <si>
    <t>Methylprednisolone</t>
  </si>
  <si>
    <t>Metoclopramide</t>
  </si>
  <si>
    <t>Minocycline</t>
  </si>
  <si>
    <t>Mirabegron</t>
  </si>
  <si>
    <t>Mirtazapine</t>
  </si>
  <si>
    <t>Modafinil</t>
  </si>
  <si>
    <t>Mometasone</t>
  </si>
  <si>
    <t>Montelukast</t>
  </si>
  <si>
    <t>Moxifloxacin</t>
  </si>
  <si>
    <t>Mycophenolate Mofetil</t>
  </si>
  <si>
    <t>Nabumetone</t>
  </si>
  <si>
    <t>Naltrexone</t>
  </si>
  <si>
    <t>Nebivolol</t>
  </si>
  <si>
    <t>Nifedipine</t>
  </si>
  <si>
    <t>Nitrofurantoin</t>
  </si>
  <si>
    <t>Nitroglycerin</t>
  </si>
  <si>
    <t>Norethindrone</t>
  </si>
  <si>
    <t>Olanzapine</t>
  </si>
  <si>
    <t>Olmesartan</t>
  </si>
  <si>
    <t>Olopatadine</t>
  </si>
  <si>
    <t>Omeprazole</t>
  </si>
  <si>
    <t>Ondansetron</t>
  </si>
  <si>
    <t>Oseltamivir</t>
  </si>
  <si>
    <t>Oxybutynin</t>
  </si>
  <si>
    <t>Oxymetazoline</t>
  </si>
  <si>
    <t>Pantoprazole</t>
  </si>
  <si>
    <t>Penicillin V Potassium</t>
  </si>
  <si>
    <t>Phenazopyridine</t>
  </si>
  <si>
    <t>Phentermine</t>
  </si>
  <si>
    <t>Pioglitazone</t>
  </si>
  <si>
    <t>Piroxicam</t>
  </si>
  <si>
    <t>Pitavastatin</t>
  </si>
  <si>
    <t>Pramipexole</t>
  </si>
  <si>
    <t>Pravastatin</t>
  </si>
  <si>
    <t>Prazosin</t>
  </si>
  <si>
    <t>Prednisolone</t>
  </si>
  <si>
    <t>Prednisone</t>
  </si>
  <si>
    <t>Pregabalin</t>
  </si>
  <si>
    <t>Prochlorperazine</t>
  </si>
  <si>
    <t>Promethazine</t>
  </si>
  <si>
    <t>Pseudoephedrine</t>
  </si>
  <si>
    <t>Quinapril</t>
  </si>
  <si>
    <t>Raloxifene</t>
  </si>
  <si>
    <t>Ramipril</t>
  </si>
  <si>
    <t>Ranolazine</t>
  </si>
  <si>
    <t>Risperidone</t>
  </si>
  <si>
    <t>Rivaroxaban</t>
  </si>
  <si>
    <t>Rizatriptan</t>
  </si>
  <si>
    <t>Ropinirole</t>
  </si>
  <si>
    <t>Rosuvastatin</t>
  </si>
  <si>
    <t>Salmeterol</t>
  </si>
  <si>
    <t>Semaglutide</t>
  </si>
  <si>
    <t>Senna</t>
  </si>
  <si>
    <t>Sildenafil</t>
  </si>
  <si>
    <t>Solifenacin</t>
  </si>
  <si>
    <t>Spironolactone</t>
  </si>
  <si>
    <t>Sulfasalazine</t>
  </si>
  <si>
    <t>Sulindac</t>
  </si>
  <si>
    <t>Sumatriptan</t>
  </si>
  <si>
    <t>Tadalafil</t>
  </si>
  <si>
    <t>Tamoxifen</t>
  </si>
  <si>
    <t>Tamsulosin</t>
  </si>
  <si>
    <t>Telmisartan</t>
  </si>
  <si>
    <t>Terazosin</t>
  </si>
  <si>
    <t>Ticagrelor</t>
  </si>
  <si>
    <t>Timolol</t>
  </si>
  <si>
    <t>Tiotropium</t>
  </si>
  <si>
    <t>Tizanidine</t>
  </si>
  <si>
    <t>Tobramycin</t>
  </si>
  <si>
    <t>Tolterodine</t>
  </si>
  <si>
    <t>Topiramate</t>
  </si>
  <si>
    <t>Torsemide</t>
  </si>
  <si>
    <t>Travoprost</t>
  </si>
  <si>
    <t>Trazodone</t>
  </si>
  <si>
    <t>Triamcinolone</t>
  </si>
  <si>
    <t>Triprolidine</t>
  </si>
  <si>
    <t>Umeclidinium</t>
  </si>
  <si>
    <t>Varenicline</t>
  </si>
  <si>
    <t>Vortioxetine</t>
  </si>
  <si>
    <t>Warfarin</t>
  </si>
  <si>
    <t>Ziprasidone</t>
  </si>
  <si>
    <t>Zonisamide</t>
  </si>
  <si>
    <t>1,000 people</t>
  </si>
  <si>
    <t>1 million people</t>
  </si>
  <si>
    <t>Form</t>
  </si>
  <si>
    <t>Administration Route</t>
  </si>
  <si>
    <t>Drugs@FDA</t>
  </si>
  <si>
    <t>EPA CompTox</t>
  </si>
  <si>
    <t>Index of Refraction (unitless)</t>
  </si>
  <si>
    <t>pKa Acidic Apparent (unitless)</t>
  </si>
  <si>
    <t>pKa Basic Apparent (unitless)</t>
  </si>
  <si>
    <t>Hydrolyzes (binary value)</t>
  </si>
  <si>
    <t>Excretion percentage (%)</t>
  </si>
  <si>
    <t>Excretion_percentage</t>
  </si>
  <si>
    <t>intravenous</t>
  </si>
  <si>
    <t>oral</t>
  </si>
  <si>
    <t>rectal</t>
  </si>
  <si>
    <t>adapalene</t>
  </si>
  <si>
    <t>topical</t>
  </si>
  <si>
    <t>DTXSID5046481</t>
  </si>
  <si>
    <t>COC1=C(C=C(C=C1)C1=CC=C2C=C(C=CC2=C1)C(O)=O)C12CC3CC(CC(C3)C1)C2</t>
  </si>
  <si>
    <t>LZCDAPDGXCYOEH-UHFFFAOYSA-N</t>
  </si>
  <si>
    <t>InChI=1S/C28H28O3/c1-31-26-7-6-23(21-2-3-22-12-24(27(29)30)5-4-20(22)11-21)13-25(26)28-14-17-8-18(15-28)10-19(9-17)16-28/h2-7,11-13,17-19H,8-10,14-16H2,1H3,(H,29,30)</t>
  </si>
  <si>
    <t>C28H28O3</t>
  </si>
  <si>
    <t>inhalation</t>
  </si>
  <si>
    <t>intramuscular</t>
  </si>
  <si>
    <t>nasal</t>
  </si>
  <si>
    <t>ophthalmic</t>
  </si>
  <si>
    <t>benzoyl peroxide</t>
  </si>
  <si>
    <t>DTXSID6024591</t>
  </si>
  <si>
    <t>O=C(OOC(=O)C1=CC=CC=C1)C1=CC=CC=C1</t>
  </si>
  <si>
    <t>OMPJBNCRMGITSC-UHFFFAOYSA-N</t>
  </si>
  <si>
    <t xml:space="preserve">InChI=1S/C14H10O4/c15-13(11-7-3-1-4-8-11)17-18-14(16)12-9-5-2-6-10-12/h1-10H_x000D__x000D_
</t>
  </si>
  <si>
    <t>C14H10O4</t>
  </si>
  <si>
    <t>betamethasone</t>
  </si>
  <si>
    <t>DTXSID3022667</t>
  </si>
  <si>
    <t>[H][C@@]12C[C@H](C)[C@](O)(C(=O)CO)[C@@]1(C)C[C@H](O)[C@@]1(F)[C@@]2([H])CCC2=CC(=O)C=C[C@]12C</t>
  </si>
  <si>
    <t>UREBDLICKHMUKA-DVTGEIKXSA-N</t>
  </si>
  <si>
    <t>InChI=1S/C22H29FO5/c1-12-8-16-15-5-4-13-9-14(25)6-7-19(13,2)21(15,23)17(26)10-20(16,3)22(12,28)18(27)11-24/h6-7,9,12,15-17,24,26,28H,4-5,8,10-11H2,1-3H3/t12-,15-,16-,17-,19-,20-,21-,22-/m0/s1</t>
  </si>
  <si>
    <t>buccal</t>
  </si>
  <si>
    <t>sublingual</t>
  </si>
  <si>
    <t>transdermal</t>
  </si>
  <si>
    <t>cadexomer iodine</t>
  </si>
  <si>
    <t>DTXSID401045891</t>
  </si>
  <si>
    <t>calcipotriene</t>
  </si>
  <si>
    <t>DTXSID0046648</t>
  </si>
  <si>
    <t>[H][C@@]1(CC[C@@]2([H])\C(CCC[C@]12C)=C\C=C1\C[C@@H](O)C[C@H](O)C1=C)[C@H](C)\C=C\[C@@H](O)C1CC1</t>
  </si>
  <si>
    <t>LWQQLNNNIPYSNX-UROSTWAQSA-N</t>
  </si>
  <si>
    <t xml:space="preserve">InChI=1S/C27H40O3/c1-17(6-13-25(29)20-8-9-20)23-11-12-24-19(5-4-14-27(23,24)3)7-10-21-15-22(28)16-26(30)18(21)2/h6-7,10,13,17,20,22-26,28-30H,2,4-5,8-9,11-12,14-16H2,1,3H3/b13-6+,19-7+,21-10-/t17-,22-,23-,24+,25-,26+,27-/m1/s1_x000D__x000D_
</t>
  </si>
  <si>
    <t>C27H40O3</t>
  </si>
  <si>
    <t>chlorhexidine</t>
  </si>
  <si>
    <t>DTXSID2033314</t>
  </si>
  <si>
    <t>ClC1=CC=C(NC(=N)NC(=N)NCCCCCCNC(=N)NC(=N)NC2=CC=C(Cl)C=C2)C=C1</t>
  </si>
  <si>
    <t>GHXZTYHSJHQHIJ-UHFFFAOYSA-N</t>
  </si>
  <si>
    <t>InChI=1S/C22H30Cl2N10/c23-15-5-9-17(10-6-15)31-21(27)33-19(25)29-13-3-1-2-4-14-30-20(26)34-22(28)32-18-11-7-16(24)8-12-18/h5-12H,1-4,13-14H2,(H5,25,27,29,31,33)(H5,26,28,30,32,34)</t>
  </si>
  <si>
    <t>C22H30Cl2N10</t>
  </si>
  <si>
    <t>ciclopirox</t>
  </si>
  <si>
    <t>DTXSID9048564</t>
  </si>
  <si>
    <t>CC1=CC(=O)N(O)C(=C1)C1CCCCC1</t>
  </si>
  <si>
    <t>SCKYRAXSEDYPSA-UHFFFAOYSA-N</t>
  </si>
  <si>
    <t>InChI=1S/C12H17NO2/c1-9-7-11(13(15)12(14)8-9)10-5-3-2-4-6-10/h7-8,10,15H,2-6H2,1H3</t>
  </si>
  <si>
    <t>C12H17NO2</t>
  </si>
  <si>
    <t>otic</t>
  </si>
  <si>
    <t>clobetasol</t>
  </si>
  <si>
    <t>DTXSID2048955</t>
  </si>
  <si>
    <t>C[C@H]1C[C@H]2[C@@H]3CCC4=CC(=O)C=C[C@]4(C)[C@@]3(F)[C@@H](O)C[C@]2(C)[C@@]1(O)C(=O)CCl</t>
  </si>
  <si>
    <t>FCSHDIVRCWTZOX-DVTGEIKXSA-N</t>
  </si>
  <si>
    <t>InChI=1S/C22H28ClFO4/c1-12-8-16-15-5-4-13-9-14(25)6-7-19(13,2)21(15,24)17(26)10-20(16,3)22(12,28)18(27)11-23/h6-7,9,12,15-17,26,28H,4-5,8,10-11H2,1-3H3/t12-,15-,16-,17-,19-,20-,21-,22-/m0/s1</t>
  </si>
  <si>
    <t>C22H28ClFO4</t>
  </si>
  <si>
    <t>clotrimazole</t>
  </si>
  <si>
    <t>DTXSID7029871</t>
  </si>
  <si>
    <t>ClC1=C(C=CC=C1)C(N1C=CN=C1)(C1=CC=CC=C1)C1=CC=CC=C1</t>
  </si>
  <si>
    <t>VNFPBHJOKIVQEB-UHFFFAOYSA-N</t>
  </si>
  <si>
    <t xml:space="preserve">InChI=1S/C22H17ClN2/c23-21-14-8-7-13-20(21)22(25-16-15-24-17-25,18-9-3-1-4-10-18)19-11-5-2-6-12-19/h1-17H_x000D__x000D_
</t>
  </si>
  <si>
    <t>C22H17ClN2</t>
  </si>
  <si>
    <t>dapsone</t>
  </si>
  <si>
    <t>DTXSID4020371</t>
  </si>
  <si>
    <t>NC1=CC=C(C=C1)S(=O)(=O)C1=CC=C(N)C=C1</t>
  </si>
  <si>
    <t>MQJKPEGWNLWLTK-UHFFFAOYSA-N</t>
  </si>
  <si>
    <t xml:space="preserve">InChI=1S/C12H12N2O2S/c13-9-1-5-11(6-2-9)17(15,16)12-7-3-10(14)4-8-12/h1-8H,13-14H2_x000D__x000D_
</t>
  </si>
  <si>
    <t>C12H12N2O2S</t>
  </si>
  <si>
    <t>desonide</t>
  </si>
  <si>
    <t>DTXSID7046756</t>
  </si>
  <si>
    <t>[H][C@]12[C@@H](O)C[C@@]3(C)[C@@H](C[C@H]4OC(C)(C)O[C@@]34C(=O)CO)[C@@H]1CCC1=CC(=O)C=C[C@]21C</t>
  </si>
  <si>
    <t>WBGKWQHBNHJJPZ-LECWWXJVSA-N</t>
  </si>
  <si>
    <t xml:space="preserve">InChI=1S/C24H32O6/c1-21(2)29-19-10-16-15-6-5-13-9-14(26)7-8-22(13,3)20(15)17(27)11-23(16,4)24(19,30-21)18(28)12-25/h7-9,15-17,19-20,25,27H,5-6,10-12H2,1-4H3/t15-,16-,17-,19+,20+,22-,23-,24+/m0/s1_x000D__x000D_
</t>
  </si>
  <si>
    <t>C24H32O6</t>
  </si>
  <si>
    <t>DTXSID101044044</t>
  </si>
  <si>
    <t>subcutaneous</t>
  </si>
  <si>
    <t>DTXSID40153120</t>
  </si>
  <si>
    <t>CCOC1=CC=C(CC2=C(Cl)C=CC(=C2)[C@]23OC[C@](CO)(O2)[C@@H](O)[C@H](O)[C@H]3O)C=C1</t>
  </si>
  <si>
    <t>MCIACXAZCBVDEE-CUUWFGFTSA-N</t>
  </si>
  <si>
    <t>InChI=1S/C22H25ClO7/c1-2-28-16-6-3-13(4-7-16)9-14-10-15(5-8-17(14)23)22-20(27)18(25)19(26)21(11-24,30-22)12-29-22/h3-8,10,18-20,24-27H,2,9,11-12H2,1H3/t18-,19-,20+,21-,22-/m0/s1</t>
  </si>
  <si>
    <t>C22H25ClO7</t>
  </si>
  <si>
    <t>fluocinonide</t>
  </si>
  <si>
    <t>DTXSID8045307</t>
  </si>
  <si>
    <t>CC(=O)OCC(=O)[C@@]12OC(C)(C)O[C@@H]1C[C@H]1[C@@H]3C[C@H](F)C4=CC(=O)C=C[C@]4(C)[C@@]3(F)[C@@H](O)C[C@]21C</t>
  </si>
  <si>
    <t>WJOHZNCJWYWUJD-IUGZLZTKSA-N</t>
  </si>
  <si>
    <t>InChI=1S/C26H32F2O7/c1-13(29)33-12-20(32)26-21(34-22(2,3)35-26)10-15-16-9-18(27)17-8-14(30)6-7-23(17,4)25(16,28)19(31)11-24(15,26)5/h6-8,15-16,18-19,21,31H,9-12H2,1-5H3/t15-,16-,18-,19-,21+,23-,24-,25-,26+/m0/s1</t>
  </si>
  <si>
    <t>C26H32F2O7</t>
  </si>
  <si>
    <t>fluorouracil</t>
  </si>
  <si>
    <t>DTXSID2020634</t>
  </si>
  <si>
    <t>FC1=CNC(=O)NC1=O</t>
  </si>
  <si>
    <t>GHASVSINZRGABV-UHFFFAOYSA-N</t>
  </si>
  <si>
    <t>InChI=1S/C4H3FN2O2/c5-2-1-6-4(9)7-3(2)8/h1H,(H2,6,7,8,9)</t>
  </si>
  <si>
    <t>C4H3FN2O2</t>
  </si>
  <si>
    <t>gentamicin</t>
  </si>
  <si>
    <t>DTXSID5034642</t>
  </si>
  <si>
    <t>intravenous/intramuscular/subcutaneous</t>
  </si>
  <si>
    <t>imiquimod</t>
  </si>
  <si>
    <t>DTXSID7041047</t>
  </si>
  <si>
    <t>CC(C)CN1C=NC2=C(N)N=C3C=CC=CC3=C12</t>
  </si>
  <si>
    <t>DOUYETYNHWVLEO-UHFFFAOYSA-N</t>
  </si>
  <si>
    <t>InChI=1S/C14H16N4/c1-9(2)7-18-8-16-12-13(18)10-5-3-4-6-11(10)17-14(12)15/h3-6,8-9H,7H2,1-2H3,(H2,15,17)</t>
  </si>
  <si>
    <t>C14H16N4</t>
  </si>
  <si>
    <t>ivermectin</t>
  </si>
  <si>
    <t>DTXSID7040235</t>
  </si>
  <si>
    <t>ketoconazole</t>
  </si>
  <si>
    <t>DTXSID7029879</t>
  </si>
  <si>
    <t>CC(=O)N1CCN(CC1)C1=CC=C(OC[C@H]2CO[C@@](CN3C=CN=C3)(O2)C2=CC=C(Cl)C=C2Cl)C=C1</t>
  </si>
  <si>
    <t>XMAYWYJOQHXEEK-MKNUCDGGNA-N</t>
  </si>
  <si>
    <t xml:space="preserve">InChI=1/C26H28Cl2N4O4/c1-19(33)31-10-12-32(13-11-31)21-3-5-22(6-4-21)34-15-23-16-35-26(36-23,17-30-9-8-29-18-30)24-7-2-20(27)14-25(24)28/h2-9,14,18,23H,10-13,15-17H2,1H3/t23-,26-/s2_x000D__x000D_
</t>
  </si>
  <si>
    <t>C26H28Cl2N4O4</t>
  </si>
  <si>
    <t>lidocaine</t>
  </si>
  <si>
    <t>DTXSID1045166</t>
  </si>
  <si>
    <t>CCN(CC)CC(=O)NC1=C(C)C=CC=C1C</t>
  </si>
  <si>
    <t>NNJVILVZKWQKPM-UHFFFAOYSA-N</t>
  </si>
  <si>
    <t>InChI=1S/C14H22N2O/c1-5-16(6-2)10-13(17)15-14-11(3)8-7-9-12(14)4/h7-9H,5-6,10H2,1-4H3,(H,15,17)</t>
  </si>
  <si>
    <t>C14H22N2O</t>
  </si>
  <si>
    <t>intra-arterial/intrathecal/intravenous/intramuscular</t>
  </si>
  <si>
    <t>intravenous/intramuscular/intra-arterial</t>
  </si>
  <si>
    <t>intramuscular/intra-articular/soft tissue/intralesional</t>
  </si>
  <si>
    <t>mupirocin</t>
  </si>
  <si>
    <t>DTXSID0046438</t>
  </si>
  <si>
    <t>[H][C@]1(O[C@H]1C[C@H]1CO[C@@H](C\C(C)=C\C(=O)OCCCCCCCCC(O)=O)[C@H](O)[C@@H]1O)[C@@H](C)[C@H](C)O</t>
  </si>
  <si>
    <t>MINDHVHHQZYEEK-HBBNESRFSA-N</t>
  </si>
  <si>
    <t xml:space="preserve">InChI=1S/C26H44O9/c1-16(13-23(30)33-11-9-7-5-4-6-8-10-22(28)29)12-20-25(32)24(31)19(15-34-20)14-21-26(35-21)17(2)18(3)27/h13,17-21,24-27,31-32H,4-12,14-15H2,1-3H3,(H,28,29)/b16-13+/t17-,18-,19-,20-,21-,24+,25-,26-/m0/s1_x000D__x000D_
</t>
  </si>
  <si>
    <t>C26H44O9</t>
  </si>
  <si>
    <t>permethrin</t>
  </si>
  <si>
    <t>DTXSID8022292</t>
  </si>
  <si>
    <t>CC1(C)C(C=C(Cl)Cl)C1C(=O)OCC1=CC(OC2=CC=CC=C2)=CC=C1</t>
  </si>
  <si>
    <t>RLLPVAHGXHCWKJ-UHFFFAOYNA-N</t>
  </si>
  <si>
    <t xml:space="preserve">InChI=1/C21H20Cl2O3/c1-21(2)17(12-18(22)23)19(21)20(24)25-13-14-7-6-10-16(11-14)26-15-8-4-3-5-9-15/h3-12,17,19H,13H2,1-2H3_x000D__x000D_
</t>
  </si>
  <si>
    <t>C21H20Cl2O3</t>
  </si>
  <si>
    <t>podofilox</t>
  </si>
  <si>
    <t>DTXSID3045645</t>
  </si>
  <si>
    <t>[H][C@]12COC(=O)[C@]1([H])[C@H](C1=CC(OC)=C(OC)C(OC)=C1)C1=CC3=C(OCO3)C=C1[C@@H]2O</t>
  </si>
  <si>
    <t>YJGVMLPVUAXIQN-XVVDYKMHSA-N</t>
  </si>
  <si>
    <t xml:space="preserve">InChI=1S/C22H22O8/c1-25-16-4-10(5-17(26-2)21(16)27-3)18-11-6-14-15(30-9-29-14)7-12(11)20(23)13-8-28-22(24)19(13)18/h4-7,13,18-20,23H,8-9H2,1-3H3/t13-,18+,19-,20-/m0/s1_x000D__x000D_
</t>
  </si>
  <si>
    <t>C22H22O8</t>
  </si>
  <si>
    <t>povidone iodine</t>
  </si>
  <si>
    <t>DTXSID8035712</t>
  </si>
  <si>
    <t>silver sulfadiazine</t>
  </si>
  <si>
    <t>DTXSID4048646</t>
  </si>
  <si>
    <t>[Ag+].NC1=CC=C(C=C1)S(=O)(=O)\N=C1\[N-]C=CC=N1</t>
  </si>
  <si>
    <t>UEJSSZHHYBHCEL-UHFFFAOYSA-N</t>
  </si>
  <si>
    <t>InChI=1S/C10H9N4O2S.Ag/c11-8-2-4-9(5-3-8)17(15,16)14-10-12-6-1-7-13-10;/h1-7H,11H2;/q-1;+1</t>
  </si>
  <si>
    <t>C10H9AgN4O2S</t>
  </si>
  <si>
    <t>spinosad</t>
  </si>
  <si>
    <t>DTXSID7032478</t>
  </si>
  <si>
    <t>sulfacetamide sodium</t>
  </si>
  <si>
    <t>DTXSID50211129</t>
  </si>
  <si>
    <t>O.[Na+].CC(=O)[N-]S(=O)(=O)C1=CC=C(N)C=C1</t>
  </si>
  <si>
    <t>IHCDKJZZFOUARO-UHFFFAOYSA-M</t>
  </si>
  <si>
    <t>InChI=1S/C8H10N2O3S.Na.H2O/c1-6(11)10-14(12,13)8-4-2-7(9)3-5-8;;/h2-5H,9H2,1H3,(H,10,11);;1H2/q;+1;/p-1</t>
  </si>
  <si>
    <t>C8H11N2NaO4S</t>
  </si>
  <si>
    <t>tacrolimus</t>
  </si>
  <si>
    <t>DTXSID5046354</t>
  </si>
  <si>
    <t>[H][C@]12O[C@](O)([C@H](C)C[C@@H]1OC)C(=O)C(=O)N1CCCC[C@@]1([H])C(=O)O[C@@H]([C@H](C)[C@@H](O)CC(=O)[C@H](CC=C)\C=C(C)\C[C@H](C)C[C@@H]2OC)C(\C)=C\[C@@H]1CC[C@@H](O)[C@@H](C1)OC</t>
  </si>
  <si>
    <t>QJJXYPPXXYFBGM-LFZNUXCKSA-N</t>
  </si>
  <si>
    <t xml:space="preserve">InChI=1S/C44H69NO12/c1-10-13-31-19-25(2)18-26(3)20-37(54-8)40-38(55-9)22-28(5)44(52,57-40)41(49)42(50)45-17-12-11-14-32(45)43(51)56-39(29(6)34(47)24-35(31)48)27(4)21-30-15-16-33(46)36(23-30)53-7/h10,19,21,26,28-34,36-40,46-47,52H,1,11-18,20,22-24H2,2-9H3/b25-19+,27-21+/t26-,28+,29+,30-,31+,32-,33+,34-,36+,37-,38-,39+,40+,44+/m0/s1_x000D__x000D_
</t>
  </si>
  <si>
    <t>C44H69NO12</t>
  </si>
  <si>
    <t>witch hazel</t>
  </si>
  <si>
    <t>DTXSID1026297</t>
  </si>
  <si>
    <t>Reference</t>
  </si>
  <si>
    <t>Sampling_date</t>
  </si>
  <si>
    <t>Sampling_location</t>
  </si>
  <si>
    <t>Sampling_type</t>
  </si>
  <si>
    <t>Concentration_reported</t>
  </si>
  <si>
    <t>A</t>
  </si>
  <si>
    <t>Apr - Jun 2019</t>
  </si>
  <si>
    <t>ng/L</t>
  </si>
  <si>
    <t>B</t>
  </si>
  <si>
    <t>Sept 1 2022</t>
  </si>
  <si>
    <t>Sept 2 2022</t>
  </si>
  <si>
    <t>Plant 1</t>
  </si>
  <si>
    <t>Plant 2</t>
  </si>
  <si>
    <t>M1</t>
  </si>
  <si>
    <t>M2</t>
  </si>
  <si>
    <t>M3</t>
  </si>
  <si>
    <t>M4</t>
  </si>
  <si>
    <t xml:space="preserve">ND </t>
  </si>
  <si>
    <t>M5</t>
  </si>
  <si>
    <t>M6</t>
  </si>
  <si>
    <t>Penn State</t>
  </si>
  <si>
    <t>May 2020-May 2021</t>
  </si>
  <si>
    <t>UAJA</t>
  </si>
  <si>
    <t>11.56</t>
  </si>
  <si>
    <t>7.31</t>
  </si>
  <si>
    <t>7.23</t>
  </si>
  <si>
    <t>6.91</t>
  </si>
  <si>
    <t>16.97</t>
  </si>
  <si>
    <t>16.11</t>
  </si>
  <si>
    <t>10.72</t>
  </si>
  <si>
    <t>13.53</t>
  </si>
  <si>
    <t>13.79</t>
  </si>
  <si>
    <t>2.64</t>
  </si>
  <si>
    <t>1.34</t>
  </si>
  <si>
    <t>4.71</t>
  </si>
  <si>
    <t>1.08</t>
  </si>
  <si>
    <t>11.97</t>
  </si>
  <si>
    <t>City 1</t>
  </si>
  <si>
    <t>Mar 2015 - Mar 2017</t>
  </si>
  <si>
    <t>City 2</t>
  </si>
  <si>
    <t>Cookeville</t>
  </si>
  <si>
    <t>Cookeville, Tennessee</t>
  </si>
  <si>
    <t>n.d.</t>
  </si>
  <si>
    <t>10 states</t>
  </si>
  <si>
    <t>Boulder, Colorado</t>
  </si>
  <si>
    <t>Atlanta, Georgia</t>
  </si>
  <si>
    <t>Tuscaloosa, Alabama</t>
  </si>
  <si>
    <t>2h composite</t>
  </si>
  <si>
    <t>Albany, New York</t>
  </si>
  <si>
    <t>Niagara, New York</t>
  </si>
  <si>
    <t>WS-1</t>
  </si>
  <si>
    <t>WS-3</t>
  </si>
  <si>
    <t>WS-4</t>
  </si>
  <si>
    <t>WWTP_A</t>
  </si>
  <si>
    <t>WWTP_B</t>
  </si>
  <si>
    <t>Manhole</t>
  </si>
  <si>
    <t>3.5h composite</t>
  </si>
  <si>
    <t>ng/person/d</t>
  </si>
  <si>
    <t>WWTP</t>
  </si>
  <si>
    <t>Ketoconazole</t>
  </si>
  <si>
    <t>Lidocaine</t>
  </si>
  <si>
    <t>C</t>
  </si>
  <si>
    <t>D</t>
  </si>
  <si>
    <t>E</t>
  </si>
  <si>
    <t>Southeastern US</t>
  </si>
  <si>
    <t>CC Williams</t>
  </si>
  <si>
    <t>Copeland</t>
  </si>
  <si>
    <t>Snow</t>
  </si>
  <si>
    <t>Hutchens</t>
  </si>
  <si>
    <t>Back River WWTP</t>
  </si>
  <si>
    <t>Baltimore, Maryland</t>
  </si>
  <si>
    <t>Ciclopirox</t>
  </si>
  <si>
    <t>Stony Brook STP</t>
  </si>
  <si>
    <t>Long Island, New York</t>
  </si>
  <si>
    <t>12.5h composite sample</t>
  </si>
  <si>
    <t>Suffolk County WWTP</t>
  </si>
  <si>
    <t>Suffolk County, New York</t>
  </si>
  <si>
    <t>S Nevada Sewershed</t>
  </si>
  <si>
    <t>Las Vegas, Nevada</t>
  </si>
  <si>
    <t>USA1-P1 &amp; USA1-P2</t>
  </si>
  <si>
    <t>2016-2017</t>
  </si>
  <si>
    <t>WS-1 through WS-4</t>
  </si>
  <si>
    <t>MIDO WWTP</t>
  </si>
  <si>
    <t>Athens, Georgia</t>
  </si>
  <si>
    <t>unspecified</t>
  </si>
  <si>
    <t>NORO WWTP</t>
  </si>
  <si>
    <t>Cedar WWTP</t>
  </si>
  <si>
    <t>NE &amp; SW plants</t>
  </si>
  <si>
    <t>4 midwestern plants</t>
  </si>
  <si>
    <t>Around 2008</t>
  </si>
  <si>
    <t>Plant E</t>
  </si>
  <si>
    <t>Plant F</t>
  </si>
  <si>
    <t>Plant G</t>
  </si>
  <si>
    <t>Plant H</t>
  </si>
  <si>
    <t>26th Ward WWTP</t>
  </si>
  <si>
    <t>WWTP A, B, C</t>
  </si>
  <si>
    <t>small Illinois plant</t>
  </si>
  <si>
    <t>WWTP A-E</t>
  </si>
  <si>
    <t>Ray Stoyer Water Recycling Facility</t>
  </si>
  <si>
    <t>WWTP 2</t>
  </si>
  <si>
    <t>WWTP 1</t>
  </si>
  <si>
    <t>WWTP 3a</t>
  </si>
  <si>
    <t>WWTP 3b</t>
  </si>
  <si>
    <t>Concentration_ug_per_liter</t>
  </si>
  <si>
    <t>Mass_load_ug_per_capita_per_day</t>
  </si>
  <si>
    <t>WRRF_capacity_liters_per_day</t>
  </si>
  <si>
    <t>Adapalene</t>
  </si>
  <si>
    <t>Benzoyl Peroxide</t>
  </si>
  <si>
    <t>Betamethasone</t>
  </si>
  <si>
    <t>Cadexomer Iodine</t>
  </si>
  <si>
    <t>Calcipotriene</t>
  </si>
  <si>
    <t>Chlorhexidine</t>
  </si>
  <si>
    <t>Clobetasol</t>
  </si>
  <si>
    <t>Clotrimazole</t>
  </si>
  <si>
    <t>Dapsone</t>
  </si>
  <si>
    <t>Desonide</t>
  </si>
  <si>
    <t>Fluocinonide</t>
  </si>
  <si>
    <t>Fluorouracil</t>
  </si>
  <si>
    <t>Gentamicin</t>
  </si>
  <si>
    <t>Imiquimod</t>
  </si>
  <si>
    <t>Ivermectin</t>
  </si>
  <si>
    <t>Mupirocin</t>
  </si>
  <si>
    <t>Permethrin</t>
  </si>
  <si>
    <t>Podofilox</t>
  </si>
  <si>
    <t>Povidone Iodine</t>
  </si>
  <si>
    <t>Silver Sulfadiazine</t>
  </si>
  <si>
    <t>Spinosad</t>
  </si>
  <si>
    <t>Sulfacetamide Sodium</t>
  </si>
  <si>
    <t>Tacrolimus</t>
  </si>
  <si>
    <t>Witch Hazel</t>
  </si>
  <si>
    <t>Benzoyl peroxide</t>
  </si>
  <si>
    <t>Excretion (%)</t>
  </si>
  <si>
    <t>Rectal</t>
  </si>
  <si>
    <t>https://www.accessdata.fda.gov/spl/data/f0b79991-a87f-2b4b-e053-2995a90a8690/f0b79991-a87f-2b4b-e053-2995a90a8690.xml</t>
  </si>
  <si>
    <t>3% reported unchanged in urine, fecal route seems all metabolized</t>
  </si>
  <si>
    <t>Oral</t>
  </si>
  <si>
    <t>https://www.accessdata.fda.gov/spl/data/6bbabdc6-f6a8-4f67-a448-e452d1928deb/6bbabdc6-f6a8-4f67-a448-e452d1928deb.xml</t>
  </si>
  <si>
    <t>https://www.accessdata.fda.gov/spl/data/22a64bf5-efa3-46af-8e6d-b3b12156cbfd/22a64bf5-efa3-46af-8e6d-b3b12156cbfd.xml</t>
  </si>
  <si>
    <t>assuming same amount unabsorbed as enema (70%) since not specified as well for suppository, plus 12% excreted unchanged in urine (enema data found here: https://www.accessdata.fda.gov/spl/data/f416ded9-2018-4422-8cff-c6fc563a3772/f416ded9-2018-4422-8cff-c6fc563a3772.xml)</t>
  </si>
  <si>
    <t>https://www.accessdata.fda.gov/spl/data/d9ce9589-6aee-4dc3-a71b-f1c32ab9f552/d9ce9589-6aee-4dc3-a71b-f1c32ab9f552.xml</t>
  </si>
  <si>
    <t>8% unchanged in urine; 22% absorbed &amp; assumed rest in feces unchanged</t>
  </si>
  <si>
    <t>https://www.accessdata.fda.gov/drugsatfda_docs/label/2016/019537s086lbl.pdf</t>
  </si>
  <si>
    <t>50% max unchanged in urine, up to 35% total in feces (bile may not be right amount, so most conservative estimate)</t>
  </si>
  <si>
    <t>Intravenous</t>
  </si>
  <si>
    <t>https://www.accessdata.fda.gov/drugsatfda_docs/label/2017/019857s066lbl.pdf</t>
  </si>
  <si>
    <t>70% max unchanged urine, up to 15% unchanged in feces</t>
  </si>
  <si>
    <t>Otic</t>
  </si>
  <si>
    <t>https://www.accessdata.fda.gov/drugsatfda_docs/label/2017/020805s011lbl.pdf</t>
  </si>
  <si>
    <t>otic assumption: 30% is excreted unchanged for otic administration</t>
  </si>
  <si>
    <t xml:space="preserve">Ophthalmic </t>
  </si>
  <si>
    <t>https://www.accessdata.fda.gov/drugsatfda_docs/label/2006/019992s020lbl.pdf</t>
  </si>
  <si>
    <t>ophthalmic assumption: 80% is excreted unchanged for ophthalmic administration</t>
  </si>
  <si>
    <t>https://www.accessdata.fda.gov/drugsatfda_docs/label/2008/013217s053lbl.pdf</t>
  </si>
  <si>
    <t>excretion as metabolites, so 0% excreted unchanged</t>
  </si>
  <si>
    <t>https://www.accessdata.fda.gov/drugsatfda_docs/label/2008/050542s24,050754s11,050760s10,050761s10lbl.pdf</t>
  </si>
  <si>
    <t>reported 60% unchanged in urine</t>
  </si>
  <si>
    <t>https://www.accessdata.fda.gov/drugsatfda_docs/label/2007/017463s105lbl.pdf</t>
  </si>
  <si>
    <t>1% unchanged in urine, up to 40% unchanged in feces</t>
  </si>
  <si>
    <t>https://www.accessdata.fda.gov/drugsatfda_docs/label/2023/215320s000lbl.pdf</t>
  </si>
  <si>
    <t>1% unchanged in urine, up to 23% unchanged in feces</t>
  </si>
  <si>
    <t>https://www.accessdata.fda.gov/drugsatfda_docs/label/2003/050719s007lbl.pdf</t>
  </si>
  <si>
    <t>1% excreted unchanged because there is near-total metabolism</t>
  </si>
  <si>
    <t>https://www.accessdata.fda.gov/drugsatfda_docs/label/2003/011011Orig1s070s071lbl.pdf</t>
  </si>
  <si>
    <t>30% excreted unchanged because of reported low unchanged excretion</t>
  </si>
  <si>
    <t>https://www.accessdata.fda.gov/drugsatfda_docs/label/2004/11790slr046_robaxin_lbl.pdf</t>
  </si>
  <si>
    <t>Intramuscular</t>
  </si>
  <si>
    <t>https://www.accessdata.fda.gov/drugsatfda_docs/label/2009/007073s124lbl.pdf</t>
  </si>
  <si>
    <t>85% excreted unabsorbed and therefore unchanged, up to 15% unmetabolized from absorbed portion</t>
  </si>
  <si>
    <t>Inhalation</t>
  </si>
  <si>
    <t>https://www.accessdata.fda.gov/drugsatfda_docs/label/2004/18887slr020_intal_lbl.pdf</t>
  </si>
  <si>
    <t>8% absorbed and excreted unchanged and then up to 92% unabsorbed and possibly excreted unchanged</t>
  </si>
  <si>
    <t>Ophthalmic</t>
  </si>
  <si>
    <t>https://www.accessdata.fda.gov/spl/data/1e6c1140-abd9-44ea-b043-a00db4789c6f/1e6c1140-abd9-44ea-b043-a00db4789c6f.xml</t>
  </si>
  <si>
    <t>used systematic absorption of 0.03% as max excreted, used human value over rabbit value</t>
  </si>
  <si>
    <t>https://www.accessdata.fda.gov/drugsatfda_docs/label/2009/090954s000lbl.pdf</t>
  </si>
  <si>
    <t>99% unabsorbed and likely excreted unchanged in feces, then 0.5% excreted likely unchanged in urine</t>
  </si>
  <si>
    <t>https://www.accessdata.fda.gov/drugsatfda_docs/label/2012/063024s022lbl.pdf</t>
  </si>
  <si>
    <t>90% reported unchanged in urine</t>
  </si>
  <si>
    <t>https://www.accessdata.fda.gov/drugsatfda_docs/label/2020/050608s047lbl.pdf</t>
  </si>
  <si>
    <t>85% reported unchanged in urine</t>
  </si>
  <si>
    <t>https://dailymed.nlm.nih.gov/dailymed/drugInfo.cfm?setid=0a66c5c3-63bf-46e3-835e-26b555ab6954#:~:text=Information%20for%20the%20Patient,Drug/Laboratory%20Test%20Interactions).</t>
  </si>
  <si>
    <t>70% excreted unchanged because of reported high unchanged excretion</t>
  </si>
  <si>
    <t>https://www.accessdata.fda.gov/drugsatfda_docs/label/2024/017377s084lbl.pdf</t>
  </si>
  <si>
    <t>30% reported unchanged in urine</t>
  </si>
  <si>
    <t>https://www.accessdata.fda.gov/drugsatfda_docs/label/2013/073303s030lbl.pdf</t>
  </si>
  <si>
    <t>12.7% reported unchanged in urine</t>
  </si>
  <si>
    <t>https://www.accessdata.fda.gov/drugsatfda_docs/label/2022/206968s000lbl.pdf</t>
  </si>
  <si>
    <t>5% reported unchanged in urine</t>
  </si>
  <si>
    <t>https://www.accessdata.fda.gov/drugsatfda_docs/label/2024/209471s001lbl.pdf</t>
  </si>
  <si>
    <t>9% reported unchanged in urine</t>
  </si>
  <si>
    <t>https://www.accessdata.fda.gov/drugsatfda_docs/label/2009/021035s078s080%2C021505s021s024lbl.pdf</t>
  </si>
  <si>
    <t>66% reported unchanged in urine</t>
  </si>
  <si>
    <t>https://www.accessdata.fda.gov/drugsatfda_docs/label/2020/021872s029lbl.pdf</t>
  </si>
  <si>
    <t>Topical</t>
  </si>
  <si>
    <t>https://www.accessdata.fda.gov/drugsatfda_docs/label/2003/050557s025lbl.pdf</t>
  </si>
  <si>
    <t>Unknown, so assume 100% / also can assume all is washed off since it's topical</t>
  </si>
  <si>
    <t>https://www.accessdata.fda.gov/drugsatfda_docs/label/2013/061621s039lbl.pdf</t>
  </si>
  <si>
    <t>https://www.accessdata.fda.gov/drugsatfda_docs/label/2019/050609s041lbl.pdf</t>
  </si>
  <si>
    <t>15% reported unchanged in urine</t>
  </si>
  <si>
    <t>https://dailymed.nlm.nih.gov/dailymed/drugInfo.cfm?setid=061ddd20-94a6-4e3c-ba84-1ebd8529eea6</t>
  </si>
  <si>
    <t>https://www.accessdata.fda.gov/drugsatfda_docs/label/2022/050722s049s051,050723s049s051,050758s047s049lbl.pdf</t>
  </si>
  <si>
    <t>88% in urine as metabolites, so remaining 5% of dose in urine may be parent, and up to 6% parent in feces - so 11% total</t>
  </si>
  <si>
    <t>https://www.accessdata.fda.gov/drugsatfda_docs/label/2017/020357s037s039,021202s021s023lbl.pdf</t>
  </si>
  <si>
    <t>90% reported in urine and reported to have no metabolism, so assuming all unchanged</t>
  </si>
  <si>
    <t>https://www.accessdata.fda.gov/drugsatfda_docs/label/2009/021014s026,021285s021lbl.pdf</t>
  </si>
  <si>
    <t>1% reported unchanged in urine, 4% total reported excreted in feces</t>
  </si>
  <si>
    <t>https://www.accessdata.fda.gov/drugsatfda_docs/label/2021/020487s022lbl.pdf</t>
  </si>
  <si>
    <t>89% of urinary excretion is acyclovir and 46% of dose in urine; taking 89% of 46 gives 40.94% of dose from acyclovir and leaves up to 5.06% from parent drug, then added 47% because up to 47% may be excreted fecally from total fecal excretion reported</t>
  </si>
  <si>
    <t>https://www.accessdata.fda.gov/drugsatfda_docs/label/2015/021526s028lbl.pdf</t>
  </si>
  <si>
    <t>5% reported unchanged in urine and feces</t>
  </si>
  <si>
    <t>https://www.accessdata.fda.gov/drugsatfda_docs/label/2012/064071s006lbl.pdf</t>
  </si>
  <si>
    <t>Unclear from info given</t>
  </si>
  <si>
    <t>https://www.accessdata.fda.gov/drugsatfda_docs/label/2006/019583s025lbl.pdf</t>
  </si>
  <si>
    <t>Reported no detectable parent drug in list of metabolites excreted</t>
  </si>
  <si>
    <t>https://dailymed.nlm.nih.gov/dailymed/drugInfo.cfm?setid=78987a51-82f7-4ca6-80ad-fa22d1f3e11a</t>
  </si>
  <si>
    <t>https://www.accessdata.fda.gov/drugsatfda_docs/label/2009/018422s048lbl.pdf</t>
  </si>
  <si>
    <t>2% reported unchanged in urine, up to 6% total excretion reported in feces</t>
  </si>
  <si>
    <t>https://www.accessdata.fda.gov/drugsatfda_docs/label/2008/050719s013lbl.pdf</t>
  </si>
  <si>
    <t>20% of urinary excretion is unchanged - this is clarified in the injection form label (so up to 20% of 80%, which is 16% unchanged in urine), up to 15% reported total and could be unchanged in feces</t>
  </si>
  <si>
    <t>https://www.accessdata.fda.gov/drugsatfda_docs/label/2018/018890s052lbl.pdf</t>
  </si>
  <si>
    <t>20% of urinary excretion is unchanged (so up to 20% of 80%, which is 16% unchanged in urine), up to 15% reported total and could be unchanged in feces</t>
  </si>
  <si>
    <t>https://www.accessdata.fda.gov/drugsatfda_docs/label/2003/020743s002lbl.pdf</t>
  </si>
  <si>
    <t>Vaginal</t>
  </si>
  <si>
    <t>https://www.accessdata.fda.gov/drugsatfda_docs/label/2005/021806lbl.pdf</t>
  </si>
  <si>
    <t xml:space="preserve">Can assume 30% excretion for vaginal route due to low absorption </t>
  </si>
  <si>
    <t>https://www.accessdata.fda.gov/drugsatfda_docs/label/2011/022399s000lbl.pdf</t>
  </si>
  <si>
    <t>reported 94% total excretion in urine, 5% total excretion in feces</t>
  </si>
  <si>
    <t>https://www.accessdata.fda.gov/drugsatfda_docs/label/2025/018723s070lbl.pdf</t>
  </si>
  <si>
    <t>reported 3% unchanged in urine, valproate is just deprotonated divalproex, so can count the same</t>
  </si>
  <si>
    <t>https://www.accessdata.fda.gov/drugsatfda_docs/label/2012/050662s044s050,50698s026s030,050775s015s019lbl.pdf</t>
  </si>
  <si>
    <t>reported up to 40% unchanged in urine</t>
  </si>
  <si>
    <t>https://www.accessdata.fda.gov/drugsatfda_docs/label/2024/020353s041lbl.pdf</t>
  </si>
  <si>
    <t>reported as 1% unchanged in urine, 5% total in feces</t>
  </si>
  <si>
    <t>https://www.accessdata.fda.gov/drugsatfda_docs/label/2005/018828s030%2C020089s019%2C019909s020lbl.pdf</t>
  </si>
  <si>
    <t>up to 80% unabsorbed and excreted, remaining 20% is not specified, so assuming unchanged for conservative estimate</t>
  </si>
  <si>
    <t>https://www.accessdata.fda.gov/drugsatfda_docs/label/2001/018604s018lbl.pdf</t>
  </si>
  <si>
    <t>mentions 9.4% urinary excretion and minimal systemic absorption, so up to 100% may be excreted unchanged from being washed off</t>
  </si>
  <si>
    <t>https://www.accessdata.fda.gov/drugsatfda_docs/label/2019/018603s030lbl.pdf</t>
  </si>
  <si>
    <t>reported up to 91% unchanged urinary excretion</t>
  </si>
  <si>
    <t>https://www.accessdata.fda.gov/drugsatfda_docs/label/1999/50739S2LBL.PDF</t>
  </si>
  <si>
    <t>reported 18.4% unchanged in urine</t>
  </si>
  <si>
    <t>https://www.accessdata.fda.gov/drugsatfda_docs/label/2013/050767s010lbl.pdf</t>
  </si>
  <si>
    <t>up to 70% absorption reported but no excretion reported, so using 70% absorption as max possible excretion</t>
  </si>
  <si>
    <t>https://www.accessdata.fda.gov/drugsatfda_docs/label/2020/050162s102lbl.pdf</t>
  </si>
  <si>
    <t>10% total excretion reported in urine, 3.6% total excretion feces</t>
  </si>
  <si>
    <t>https://www.accessdata.fda.gov/drugsatfda_docs/label/2021/050441s086,050639s043lbl.pdf</t>
  </si>
  <si>
    <t>amount excreted not well-specified, some metabolism but not sure how much, assume 100% for conservative estimate</t>
  </si>
  <si>
    <t>https://www.accessdata.fda.gov/drugsatfda_docs/label/2006/050801s006lbl.pdf</t>
  </si>
  <si>
    <t>0.024% unchanged in urine, low plasma levels reported for other topical forms (lotions, etc) mean that there is low absorption following topical application and may be up to 100% excreted unchanged with wash-off (lotion label: https://www.accessdata.fda.gov/drugsatfda_docs/label/2014/050537s035,050600s013,050615s012lbl.pdf)</t>
  </si>
  <si>
    <t>https://www.accessdata.fda.gov/drugsatfda_docs/label/2001/50643s11lbl.pdf</t>
  </si>
  <si>
    <t>89% total excreted in urine</t>
  </si>
  <si>
    <t>https://www.accessdata.fda.gov/drugsatfda_docs/label/2015/050605s048,050672s034lbl.pdf</t>
  </si>
  <si>
    <t>50% unchanged in urine</t>
  </si>
  <si>
    <t>https://www.accessdata.fda.gov/drugsatfda_docs/label/2006/018922s022,020584s009lbl.pdf</t>
  </si>
  <si>
    <t>1% reported unchanged in urine, 16% total excreted fecal</t>
  </si>
  <si>
    <t>https://www.accessdata.fda.gov/drugsatfda_docs/label/2013/091526lbl.pdf</t>
  </si>
  <si>
    <t>metabolism is mentioned but not extent, putting 100% as conservative estimate</t>
  </si>
  <si>
    <t>https://www.accessdata.fda.gov/drugsatfda_docs/label/2023/016608s121_018927s60_020234s054lbl.pdf</t>
  </si>
  <si>
    <t>3% reported unchanged in urine, 28% total excreted reported in feces</t>
  </si>
  <si>
    <t>https://www.accessdata.fda.gov/drugsatfda_docs/label/2018/206627s007s008lbl.pdf</t>
  </si>
  <si>
    <t xml:space="preserve">6.5% reported unchanged in urine </t>
  </si>
  <si>
    <t>https://www.accessdata.fda.gov/drugsatfda_docs/label/2020/020869s042lbl.pdf</t>
  </si>
  <si>
    <t>using 80% absorption assumption for max amount excreted for ophthalmic delivery</t>
  </si>
  <si>
    <t>https://www.accessdata.fda.gov/drugsatfda_docs/label/2008/021721s020_020635s57_020634s52_lbl.pdf</t>
  </si>
  <si>
    <t>reports 87% unchanged in urine, 4% total excreted in feces</t>
  </si>
  <si>
    <t>https://www.accessdata.fda.gov/drugsatfda_docs/label/2004/21571_iquix_lbl.pdf</t>
  </si>
  <si>
    <t>Nasal</t>
  </si>
  <si>
    <t>https://www.accessdata.fda.gov/drugsatfda_docs/label/2018/208032s004lbl.pdf</t>
  </si>
  <si>
    <t>not clear</t>
  </si>
  <si>
    <t>https://www.accessdata.fda.gov/drugsatfda_docs/label/2017/208552s000lbl.pdf</t>
  </si>
  <si>
    <t>https://www.accessdata.fda.gov/drugsatfda_docs/label/2021/212520s004lbl.pdf</t>
  </si>
  <si>
    <t>https://www.accessdata.fda.gov/drugsatfda_docs/label/2001/21105lbl.pdf</t>
  </si>
  <si>
    <t>up to 65% reported unchanged in urine</t>
  </si>
  <si>
    <t>https://www.accessdata.fda.gov/drugsatfda_docs/anda/98/74787_Labetalol%20Hydrochloride_Prntlbl.pdf</t>
  </si>
  <si>
    <t>up to 60% reported unchanged in urine</t>
  </si>
  <si>
    <t>https://www.accessdata.fda.gov/drugsatfda_docs/label/2024/213330s006lbl.pdf</t>
  </si>
  <si>
    <t>https://www.accessdata.fda.gov/drugsatfda_docs/label/2011/011210s053lbl.pdf</t>
  </si>
  <si>
    <t>Unknown</t>
  </si>
  <si>
    <t>https://www.accessdata.fda.gov/drugsatfda_docs/label/2017/020232s041lbl.pdf</t>
  </si>
  <si>
    <t>up to 70% unchanged in urine from this label but labels for other oral routes specify 10% as unchanged in urine, this label also demonstrates 5% total excreted feces; label for other oral routes specifying 10%: https://www.accessdata.fda.gov/drugsatfda_docs/label/2023/008306s035lbl.pdf</t>
  </si>
  <si>
    <t>https://www.accessdata.fda.gov/drugsatfda_docs/label/2019/009768Orig1s051lbl.pdf</t>
  </si>
  <si>
    <t>30% max reported unchanged renal clearance</t>
  </si>
  <si>
    <t>https://www.accessdata.fda.gov/drugsatfda_docs/label/2015/200671s000lbl.pdf</t>
  </si>
  <si>
    <t>all excretion is metabolites</t>
  </si>
  <si>
    <t>https://www.accessdata.fda.gov/drugsatfda_docs/label/2024/050810s017lbl.pdf</t>
  </si>
  <si>
    <t>concentrations estimated below limit of detection in circulation</t>
  </si>
  <si>
    <t>https://www.accessdata.fda.gov/drugsatfda_docs/label/2007/050733s018lbl.pdf</t>
  </si>
  <si>
    <t>14% reported total excretion in urine</t>
  </si>
  <si>
    <t>https://www.accessdata.fda.gov/drugsatfda_docs/label/2021/050670s036,050710s051,050711s050,050784s037lbl.pdf</t>
  </si>
  <si>
    <t>70% from biliary being a major excretion route, 6% from reported unchanged in urine</t>
  </si>
  <si>
    <t>66.8% reported unchanged in urine</t>
  </si>
  <si>
    <t>42.4% reported unchanged in urine</t>
  </si>
  <si>
    <t>https://www.accessdata.fda.gov/spl/data/85cac791-8812-41fb-8809-8c64bfc6214c/85cac791-8812-41fb-8809-8c64bfc6214c.xml</t>
  </si>
  <si>
    <t>https://www.accessdata.fda.gov/drugsatfda_docs/label/2010/017911s074lbl.pdf</t>
  </si>
  <si>
    <t>can assume 30% unchanged excretion here because mostly excreted as metabolites</t>
  </si>
  <si>
    <t>https://www.accessdata.fda.gov/drugsatfda_docs/label/2018/022288s008lbl.pdf</t>
  </si>
  <si>
    <t>up to 90% excreted unchanged in urine</t>
  </si>
  <si>
    <t>https://www.accessdata.fda.gov/drugsatfda_docs/label/2025/021446s046,022488s022lbl.pdf</t>
  </si>
  <si>
    <t>90% unchanged in urine</t>
  </si>
  <si>
    <t>https://www.accessdata.fda.gov/drugsatfda_docs/label/2022/020450s046lbl.pdf</t>
  </si>
  <si>
    <t>5% unchanged in urine</t>
  </si>
  <si>
    <t>https://www.accessdata.fda.gov/drugsatfda_docs/label/2022/084349s088lbl.pdf</t>
  </si>
  <si>
    <t>https://www.accessdata.fda.gov/drugsatfda_docs/label/2020/020789s036lbl.pdf</t>
  </si>
  <si>
    <t>35% reported unchanged during excretion</t>
  </si>
  <si>
    <t>https://www.accessdata.fda.gov/drugsatfda_docs/label/2009/018703s068,019675s035,020251s019lbl.pdf</t>
  </si>
  <si>
    <t>30% reported unchanged during excretion</t>
  </si>
  <si>
    <t>https://www.accessdata.fda.gov/drugsatfda_docs/label/2010/021959s004lbl.pdf</t>
  </si>
  <si>
    <t>reported excretion in urine as metabolites</t>
  </si>
  <si>
    <t>https://www.accessdata.fda.gov/drugsatfda_docs/label/2017/017011s047lbl.pdf</t>
  </si>
  <si>
    <t>https://www.accessdata.fda.gov/drugsatfda_docs/label/2025/022512s049lbl.pdf</t>
  </si>
  <si>
    <t>from 86% fecal excretion and 7% urinary</t>
  </si>
  <si>
    <t>https://www.accessdata.fda.gov/drugsatfda_docs/label/2024/021515s046lbl.pdf</t>
  </si>
  <si>
    <t>0.5% reported unchanged during excretion</t>
  </si>
  <si>
    <t>https://www.accessdata.fda.gov/drugsatfda_docs/label/2024/020998s058lbl.pdf</t>
  </si>
  <si>
    <t>3% reported unchanged during excretion</t>
  </si>
  <si>
    <t>https://www.accessdata.fda.gov/drugsatfda_docs/label/2025/022047s048lbl.pdf</t>
  </si>
  <si>
    <t>up to 5% reported unchanged in urine</t>
  </si>
  <si>
    <t>https://www.accessdata.fda.gov/drugsatfda_docs/label/2024/050785s019lbl.pdf</t>
  </si>
  <si>
    <t>up to 50% reported renal excretion, non-renal excretion mentioned, but likely negligible since the other oral routes (see full data tab) report 40%</t>
  </si>
  <si>
    <t>https://www.accessdata.fda.gov/drugsatfda_docs/label/2012/020539s021lbl.pdf</t>
  </si>
  <si>
    <t>using 30% assumption for extensive metabolism</t>
  </si>
  <si>
    <t>https://www.accessdata.fda.gov/drugsatfda_docs/label/2010/018972s042lbl.pdf</t>
  </si>
  <si>
    <t>1% because negligible excretion in urine reported</t>
  </si>
  <si>
    <t>https://www.accessdata.fda.gov/drugsatfda_docs/label/2021/022325s016lbl.pdf</t>
  </si>
  <si>
    <t>https://www.accessdata.fda.gov/drugsatfda_docs/label/2023/016084s048s051s052lbl.pdf</t>
  </si>
  <si>
    <t>https://www.accessdata.fda.gov/drugsatfda_docs/label/2022/020298s012lbl.pdf</t>
  </si>
  <si>
    <t>12% reported unchanged during excretion</t>
  </si>
  <si>
    <t>https://www.accessdata.fda.gov/drugsatfda_docs/label/2025/020241s066s067,020764s059s060,022251s030s031lbl.pdf</t>
  </si>
  <si>
    <t>10% reported unchanged in urine and total fecal excretion is 2%</t>
  </si>
  <si>
    <t>https://www.accessdata.fda.gov/drugsatfda_docs/label/2025/018602s072lbl.pdf</t>
  </si>
  <si>
    <t>up to 4% reported unchanged in urine</t>
  </si>
  <si>
    <t>https://dailymed.nlm.nih.gov/dailymed/lookup.cfm?setid=5e36488b-8f2d-4dc9-b803-af1829e6fdd0</t>
  </si>
  <si>
    <t>only excretion data for oral administration, so using the reported 4% unchanged in urine again</t>
  </si>
  <si>
    <t>https://www.accessdata.fda.gov/drugsatfda_docs/label/2009/021605s006lbl.pdf</t>
  </si>
  <si>
    <t>up to 96% reported excreted unchanged in urine</t>
  </si>
  <si>
    <t>https://www.accessdata.fda.gov/drugsatfda_docs/label/2015/020717s037s038lbl.pdf</t>
  </si>
  <si>
    <t>10% reported unchanged in urine, 1% total excretion reported in feces</t>
  </si>
  <si>
    <t>https://www.accessdata.fda.gov/drugsatfda_docs/label/2024/204042s041s042lbl.pdf</t>
  </si>
  <si>
    <t>41.5% excreted unchanged in feces, 1% excreted unchanged in urine</t>
  </si>
  <si>
    <t>https://www.accessdata.fda.gov/drugsatfda_docs/label/2019/019152s044lbl.pdf</t>
  </si>
  <si>
    <t>up to 4% unchanged in urine, up to 26% total excretion in feces (16% or more reported, there's 10% unaccounted for, so 26% is the most conservative estimate)</t>
  </si>
  <si>
    <t>https://www.accessdata.fda.gov/drugsatfda_docs/label/2011/019038s004lbl.pdf</t>
  </si>
  <si>
    <t>up to 4% unchanged in urine, up to 26% total excretion in feces (16% or more reported, there's 10% unaccounted for, so 26% is the most conservative estimate) - using oral administration values because IV not available</t>
  </si>
  <si>
    <t>https://www.accessdata.fda.gov/drugsatfda_docs/label/2021/020758s080lbl.pdf</t>
  </si>
  <si>
    <t>20% total urinary excretion and the remainder in feces unchanged or glucuronidated; not totally clear, so assuming 100% as conservative estimate</t>
  </si>
  <si>
    <t>https://www.accessdata.fda.gov/drugsatfda_docs/label/2003/20872se8-003,20625se8-010_allegra_lbl.pdf</t>
  </si>
  <si>
    <t>5% reported metabolism, 80% reported excreted in feces and 11% in urine for total excretion but this is not the most conservative estimate, so 95% is used</t>
  </si>
  <si>
    <t>https://www.accessdata.fda.gov/drugsatfda_docs/label/2016/018766s020lbl.pdf</t>
  </si>
  <si>
    <t>3% reported unchanged in urine</t>
  </si>
  <si>
    <t>https://www.accessdata.fda.gov/drugsatfda_docs/label/2012/019404s026lbl.pdf</t>
  </si>
  <si>
    <t>https://www.accessdata.fda.gov/drugsatfda_docs/label/2011/021151s010lbl.pdf</t>
  </si>
  <si>
    <t>reported to not be metabolized, so 100% is the most conservative estimate for excretion</t>
  </si>
  <si>
    <t>https://www.accessdata.fda.gov/drugsatfda_docs/label/2025/022306s008lbl.pdf</t>
  </si>
  <si>
    <t>https://www.accessdata.fda.gov/spl/data/262e370a-db06-cf2d-e063-6394a90ab0bc/262e370a-db06-cf2d-e063-6394a90ab0bc.xml</t>
  </si>
  <si>
    <t>Administration routes for all docusate formulations from https://www.ncbi.nlm.nih.gov/books/NBK555942/ (not available in Drugs@FDA); enema label does not provide any pharmacokinetic information, so assuming 100% as most conservative estimate</t>
  </si>
  <si>
    <t>https://www.accessdata.fda.gov/spl/data/7d4000af-4afc-4a5b-b9e8-b71dd12b8fe7/7d4000af-4afc-4a5b-b9e8-b71dd12b8fe7.xml</t>
  </si>
  <si>
    <t>label does not provide any pharmacokinetic information, so assuming 100% as most conservative estimate</t>
  </si>
  <si>
    <t>https://www.drugs.com/uk/waxsol-ear-drops-ducosate-sodium-bp-0-5-w-v-leaflet.html</t>
  </si>
  <si>
    <t>using 30% assumption for otic route</t>
  </si>
  <si>
    <t>https://www.accessdata.fda.gov/drugsatfda_docs/label/2024/218591Orig1s000,207620Orig1s025lbl.pdf</t>
  </si>
  <si>
    <t>86% reported total in feces, 13% reported total in urine. 99% total recovery. 20% reported as metabolites for tablet (see https://www.accessdata.fda.gov/drugsatfda_docs/label/2011/021283s033lbl.pdf) and both tablet and capsule are oral routes, so 79% is upper limit for unchanged drug</t>
  </si>
  <si>
    <t>https://www.accessdata.fda.gov/drugsatfda_docs/label/2023/022370s025lbl.pdf</t>
  </si>
  <si>
    <t>https://www.accessdata.fda.gov/drugsatfda_docs/label/2024/022433s037lbl.pdf</t>
  </si>
  <si>
    <t>1% reported unchanged in urine, 58% total fecal excretion reported</t>
  </si>
  <si>
    <t>https://dailymed.nlm.nih.gov/dailymed/drugInfo.cfm?setid=fa68b35e-9f50-408b-9e70-e84cecf3fd6e</t>
  </si>
  <si>
    <t>30% unchanged in urine, 5% total excreted in feces</t>
  </si>
  <si>
    <t>https://www.accessdata.fda.gov/drugsatfda_docs/label/2020/213690s000lbl.pdf</t>
  </si>
  <si>
    <t>Dental</t>
  </si>
  <si>
    <t>https://www.accessdata.fda.gov/drugsatfda_docs/label/2024/050781s025lbl.pdf</t>
  </si>
  <si>
    <t>negligible systemic uptake assumption for administration to gums as through dental powder</t>
  </si>
  <si>
    <t>https://www.accessdata.fda.gov/drugsatfda_docs/label/2015/050444s049lbl.pdf</t>
  </si>
  <si>
    <t>https://www.accessdata.fda.gov/drugsatfda_docs/label/2013/063009s034lbl.pdf</t>
  </si>
  <si>
    <t>reports 1/2 to 1/3 of the excretion for minocycline than other tetracyclines, used the estimate of 100% for doxycycline to get 50% here</t>
  </si>
  <si>
    <t>https://www.accessdata.fda.gov/drugsatfda_docs/label/2023/020699s118lbl.pdf</t>
  </si>
  <si>
    <t>https://www.accessdata.fda.gov/drugsatfda_docs/label/2011/021612s007lbl.pdf</t>
  </si>
  <si>
    <t>reported to be excreted as metabolites in urine, fecal is reported to be 25% total</t>
  </si>
  <si>
    <t>https://www.accessdata.fda.gov/drugsatfda_docs/label/2023/211746Orig1s004lbl.pdf</t>
  </si>
  <si>
    <t>70% total excretion in urine and 86% of that is from unchanged drug - so 60.2% unchanged in urine plus 17% total excretion in feces to get 77.2%</t>
  </si>
  <si>
    <t>https://www.accessdata.fda.gov/drugsatfda_docs/label/2025/050783s005lbl.pdf</t>
  </si>
  <si>
    <t>up to 100% unchanged excretion because 55.4% is unchanged in urine but the fecal percentage is not specified (so 100% is most conservative estimate)</t>
  </si>
  <si>
    <t>https://www.accessdata.fda.gov/drugsatfda_docs/label/2017/050442s020lbl.pdf</t>
  </si>
  <si>
    <t>reports 40% excretion in active form in urine and mentions fecal excretion at high concentrations too, so 100% is most conservative estimate</t>
  </si>
  <si>
    <t>https://www.accessdata.fda.gov/drugsatfda_docs/label/2019/021087s071,021246s054lbl.pdf</t>
  </si>
  <si>
    <t>5% in systemic circulation as parent drug, 20% total excreted in feces (and unaccounted for in absorption percentages given)</t>
  </si>
  <si>
    <t>https://www.accessdata.fda.gov/drugsatfda_docs/label/2021/020064Orig1s029lbl.pdf</t>
  </si>
  <si>
    <t>25% reported unchanged in urine</t>
  </si>
  <si>
    <t>https://www.accessdata.fda.gov/drugsatfda_docs/nda/2001/21-085S010_Avelox_prntlbl.pdf</t>
  </si>
  <si>
    <t>reported 45% unchanged during excretion</t>
  </si>
  <si>
    <t>https://www.accessdata.fda.gov/drugsatfda_docs/label/2020/21598s024lbl.pdf</t>
  </si>
  <si>
    <t>https://www.accessdata.fda.gov/drugsatfda_docs/label/1996/008303s068lbl.pdf</t>
  </si>
  <si>
    <t>using 30% excretion because extensive metabolism</t>
  </si>
  <si>
    <t>https://www.accessdata.fda.gov/drugsatfda_docs/label/2013/040136s005lbl.pdf</t>
  </si>
  <si>
    <t>excretion data unavailable</t>
  </si>
  <si>
    <t>https://www.accessdata.fda.gov/drugsatfda_docs/label/2016/019921s021lbl.pdf</t>
  </si>
  <si>
    <t>excretion unchanged in urine mentioned, but not extent, so using 80% excretion assumption for ophthalmic delivery</t>
  </si>
  <si>
    <t>https://www.accessdata.fda.gov/drugsatfda_docs/label/2008/019735s059lbl.pdf</t>
  </si>
  <si>
    <t>up to 80% unchanged in urine, up to 8% total in feces</t>
  </si>
  <si>
    <t>https://www.accessdata.fda.gov/drugsatfda_docs/label/2003/20799se2-006_floxin_lbl.pdf</t>
  </si>
  <si>
    <t>using 30% excretion assumption for otic administration</t>
  </si>
  <si>
    <t>https://www.accessdata.fda.gov/drugsatfda_docs/label/2022/215430s000lblCorrect3.pdf</t>
  </si>
  <si>
    <t>up to 26% excreted unchanged in urine in CYP2D6 poor metabolizers (most conservative estimate)</t>
  </si>
  <si>
    <t>https://www.accessdata.fda.gov/drugsatfda_docs/label/2021/019201s048lbl.pdf</t>
  </si>
  <si>
    <t>little to no unchanged diclofenac in urine reported, up to 35% of unchanged plus metabolites in feces</t>
  </si>
  <si>
    <t>https://www.accessdata.fda.gov/drugsatfda_docs/label/1998/20809lbl.pdf</t>
  </si>
  <si>
    <t>below limit of detection in plasma, limited systemic absorption if any is noted</t>
  </si>
  <si>
    <t>https://www.accessdata.fda.gov/drugsatfda_docs/label/2016/020947s010s011lbl.pdf</t>
  </si>
  <si>
    <t>little to no unchanged diclofenac in urine, biliary extent of metabolism unclear, even less absorption than for the topical gel (see https://www.accessdata.fda.gov/drugsatfda_docs/label/2024/021005s025lbl.pdf), so assume 100% to account for wash off</t>
  </si>
  <si>
    <t>https://www.accessdata.fda.gov/drugsatfda_docs/label/2025/214679s009lbl.pdf</t>
  </si>
  <si>
    <t>70% reported unchanged in urine</t>
  </si>
  <si>
    <t>https://www.accessdata.fda.gov/drugsatfda_docs/label/2021/050804s026lbl.pdf</t>
  </si>
  <si>
    <t>below limit of detection in plasma</t>
  </si>
  <si>
    <t>https://www.accessdata.fda.gov/drugsatfda_docs/label/2024/016059s102lbl.pdf</t>
  </si>
  <si>
    <t>26% reported unchanged in urine, 1.5% reported unchanged in feces</t>
  </si>
  <si>
    <t>https://www.accessdata.fda.gov/drugsatfda_docs/label/2024/017814s045lbl.pdf</t>
  </si>
  <si>
    <t>for oral dose: 26% reported unchanged in urine, 1.5% reported unchanged in feces; rectal dose is 80-90% of oral dose, so 90% of 27.5 is 24.75%</t>
  </si>
  <si>
    <t>https://www.accessdata.fda.gov/drugsatfda_docs/label/2021/018878s029lbl.pdf</t>
  </si>
  <si>
    <t>limited studies for intravenous, so assuming 100% to make conservative estimate</t>
  </si>
  <si>
    <t>https://www.accessdata.fda.gov/drugsatfda_docs/label/2025/219122s000lbl.pdf</t>
  </si>
  <si>
    <t>79% unchanged in urine, 13% total excretion in feces</t>
  </si>
  <si>
    <t>https://www.accessdata.fda.gov/drugsatfda_docs/label/2024/218637s000lbl.pdf</t>
  </si>
  <si>
    <t>1% unchanged in urine</t>
  </si>
  <si>
    <t>https://www.accessdata.fda.gov/drugsatfda_docs/label/2009/009170s036lbl.pdf</t>
  </si>
  <si>
    <t>not clear from label</t>
  </si>
  <si>
    <t>https://www.accessdata.fda.gov/drugsatfda_docs/label/2011/019949s051lbl.pdf</t>
  </si>
  <si>
    <t>80% unchanged in urine reported</t>
  </si>
  <si>
    <t>https://www.accessdata.fda.gov/drugsatfda_docs/label/2013/050573s039,050574s047,050625s053lbl.pdf</t>
  </si>
  <si>
    <t>using 30% excretion assumption for extensive metabolism (most elimination noted to be biliary but not specified; only 0.1% unchanged in urine)</t>
  </si>
  <si>
    <t>https://www.accessdata.fda.gov/drugsatfda_docs/label/2012/050790s020lbl.pdf</t>
  </si>
  <si>
    <t>none detected in blood during administration</t>
  </si>
  <si>
    <t>https://www.accessdata.fda.gov/drugsatfda_docs/label/2023/019839s108,20990s062lbl.pdf</t>
  </si>
  <si>
    <t>none detected unchanged in urine, up to 14% unchanged in feces</t>
  </si>
  <si>
    <t>https://www.accessdata.fda.gov/drugsatfda_docs/label/2018/050753s022lbl.pdf</t>
  </si>
  <si>
    <t>no metabolism and unchanged excretion noted, so assuming 100%</t>
  </si>
  <si>
    <t>https://www.accessdata.fda.gov/drugsatfda_docs/label/2022/050818s007s008s009lbl.pdf</t>
  </si>
  <si>
    <t>no absorption extent data specified here, but using 80% assumption for ophthalmic delivery</t>
  </si>
  <si>
    <t>https://www.accessdata.fda.gov/drugsatfda_docs/label/2023/050789s017lbl.pdf</t>
  </si>
  <si>
    <t>up to 93% urinary recovery with minimal transformation, so assuming 1% transformation to get 92% unchanged</t>
  </si>
  <si>
    <t>https://www.accessdata.fda.gov/drugsatfda_docs/label/2009/020825s035,020919s023lbl.pdf</t>
  </si>
  <si>
    <t>1% excreted unchanged in urine, 4% unchanged in feces</t>
  </si>
  <si>
    <t>intramuscular data not specified but reported to not be expected to be much different from oral</t>
  </si>
  <si>
    <t>https://www.accessdata.fda.gov/drugsatfda_docs/label/2019/021457s036lbl.pdf</t>
  </si>
  <si>
    <t>https://dailymed.nlm.nih.gov/dailymed/drugInfo.cfm?setid=230d66fc-f62c-42a6-adb3-0a0f879c8ad4</t>
  </si>
  <si>
    <t>assumed "albuterol" refers to whole mixture since enantiomers not specified; 60% is from metabolites (so up to 40% is unchanged) in urine; 4% total excreted in feces</t>
  </si>
  <si>
    <t>https://www.accessdata.fda.gov/drugsatfda_docs/label/2012/020114s023lbl.pdf</t>
  </si>
  <si>
    <t>40% gets into systemic circulation following nasal administration (excretion data given for oral only)</t>
  </si>
  <si>
    <t>https://www.accessdata.fda.gov/drugsatfda_docs/label/2008/021127s013lbl.pdf</t>
  </si>
  <si>
    <t>https://www.accessdata.fda.gov/drugsatfda_docs/label/2004/07935s030lbl.pdf</t>
  </si>
  <si>
    <t>https://labeling.pfizer.com/ShowLabeling.aspx?id=12257</t>
  </si>
  <si>
    <t>https://www.accessdata.fda.gov/drugsatfda_docs/label/2016/011459s051_011795s028lbl.pdf</t>
  </si>
  <si>
    <t>Unclear from label</t>
  </si>
  <si>
    <t>https://www.accessdata.fda.gov/spl/data/e711ee73-c054-4f3f-a189-bb3c01c7aecc/e711ee73-c054-4f3f-a189-bb3c01c7aecc.xml</t>
  </si>
  <si>
    <t>https://www.accessdata.fda.gov/drugsatfda_docs/label/2012/019700s028lbl.pdf</t>
  </si>
  <si>
    <t>https://www.accessdata.fda.gov/drugsatfda_docs/label/2013/019645s019lbl.pdf</t>
  </si>
  <si>
    <t>60% unchanged reported in urine, 6% total excreted in feces</t>
  </si>
  <si>
    <t>https://www.accessdata.fda.gov/drugsatfda_docs/label/2014/074802s038lbl.pdf</t>
  </si>
  <si>
    <t>Ocular irrigant</t>
  </si>
  <si>
    <t>https://www.accessdata.fda.gov/drugsatfda_docs/label/2017/205388s006lbl.pdf</t>
  </si>
  <si>
    <t>technically an irrigation solution applied to eyes; low systemic exposure noted, so 30% assumption for low excretion applies</t>
  </si>
  <si>
    <t>https://www.accessdata.fda.gov/drugsatfda_docs/label/2024/022382s022lbl.pdf</t>
  </si>
  <si>
    <t>https://www.accessdata.fda.gov/drugsatfda_docs/label/2017/019463s031lbl.pdf</t>
  </si>
  <si>
    <t>https://dailymed.nlm.nih.gov/dailymed/lookup.cfm?setid=57c62928-63d8-4505-9b9e-c085a3a12c95</t>
  </si>
  <si>
    <t>50% first pass metabolism indicated, so up to 50% excreted unchanged from that; also 10% unabsorbed, so 60% max unchanged</t>
  </si>
  <si>
    <t>https://www.accessdata.fda.gov/drugsatfda_docs/label/2022/020839s078lbl.pdf</t>
  </si>
  <si>
    <t>30% unchanged excretion assumption works here because extensive metabolism reported</t>
  </si>
  <si>
    <t>https://www.accessdata.fda.gov/drugsatfda_docs/label/2021/205410s006lbl.pdf</t>
  </si>
  <si>
    <t>1% reported unchanged in urine</t>
  </si>
  <si>
    <t>https://www.accessdata.fda.gov/drugsatfda_docs/label/2008/016419s029lbl.pdf</t>
  </si>
  <si>
    <t>30% assumption for low excretion because of extensive metabolism</t>
  </si>
  <si>
    <t>https://www.accessdata.fda.gov/drugsatfda_docs/label/2023/210428s006lbl.pdf</t>
  </si>
  <si>
    <t>https://www.accessdata.fda.gov/drugsatfda_docs/label/2025/218772s000lbl.pdf</t>
  </si>
  <si>
    <t>4% reported unchanged in urine, 60% total excreted in feces</t>
  </si>
  <si>
    <t>https://www.accessdata.fda.gov/drugsatfda_docs/label/2025/200603s041lbl.pdf</t>
  </si>
  <si>
    <t>89% total excretion reported</t>
  </si>
  <si>
    <t>https://www.accessdata.fda.gov/drugsatfda_docs/label/2011/020198s023lbl.pdf</t>
  </si>
  <si>
    <t>0.1% unchanged in urine, only metabolites in feces</t>
  </si>
  <si>
    <t>https://www.accessdata.fda.gov/drugsatfda_docs/label/2023/021992s051lbl.pdf</t>
  </si>
  <si>
    <t>45% reported excreted unchanged in urine</t>
  </si>
  <si>
    <t>https://www.accessdata.fda.gov/drugsatfda_docs/label/2023/022287s038lbl.pdf</t>
  </si>
  <si>
    <t>reports no detectable parent drug in urine and 47.6% detected in feces total</t>
  </si>
  <si>
    <t>https://www.accessdata.fda.gov/drugsatfda_docs/label/2019/010721s063lbl.pdf</t>
  </si>
  <si>
    <t>some metabolism mentioned but not extent, so assuming 100% to be safe</t>
  </si>
  <si>
    <t>https://www.accessdata.fda.gov/drugsatfda_docs/label/2022/020850s045lbl.pdf</t>
  </si>
  <si>
    <t>97% reported unchanged in feces, 0.49% reported total excretion in urine</t>
  </si>
  <si>
    <t>https://www.accessdata.fda.gov/drugsatfda_docs/label/2023/018565s027,s031lbl.pdf</t>
  </si>
  <si>
    <t>up to 12% reported unchanged in urine, 10% total excreted in feces</t>
  </si>
  <si>
    <t>https://www.accessdata.fda.gov/drugsatfda_docs/label/2019/019999s023lbl.pdf</t>
  </si>
  <si>
    <t>Intrathecal</t>
  </si>
  <si>
    <t>time to peak plasma concentration profile similar to epidural and plasma concentrations are lower for intrathecal than epidural, so epidural is a good upper limit</t>
  </si>
  <si>
    <t>Epidural</t>
  </si>
  <si>
    <t xml:space="preserve">plasma concentration time profiles similar to intravenous or intramuscular, so those values are used </t>
  </si>
  <si>
    <t>https://www.accessdata.fda.gov/drugsatfda_docs/label/2021/022207s010lbl.pdf</t>
  </si>
  <si>
    <t>10% reported unchanged in urine, up to 10% total excreted in feces</t>
  </si>
  <si>
    <t>https://www.accessdata.fda.gov/drugsatfda_docs/label/2018/020815s034lbl.pdf</t>
  </si>
  <si>
    <t>1% unchanged in plasma (includes any drug metabolized to urinary or fecal routes), 40% unabsorbed</t>
  </si>
  <si>
    <t>https://www.accessdata.fda.gov/drugsatfda_docs/label/2023/021427s055s057lbl.pdf</t>
  </si>
  <si>
    <t>1% unchanged in urine, 20% total excreted in feces</t>
  </si>
  <si>
    <t>https://www.accessdata.fda.gov/drugsatfda_docs/label/2013/007409s042,008370s033lbl.pdf</t>
  </si>
  <si>
    <t>79.5% total excreted in urine, 8.4% total excreted in feces</t>
  </si>
  <si>
    <t>https://www.accessdata.fda.gov/spl/data/0f12f50f-7087-46e7-a2e6-356b4c566c9f/0f12f50f-7087-46e7-a2e6-356b4c566c9f.xml</t>
  </si>
  <si>
    <t>little drug unchanged in urine and almost completely metabolized</t>
  </si>
  <si>
    <t>https://www.accessdata.fda.gov/drugsatfda_docs/label/2011/018240s031lbl.pdf</t>
  </si>
  <si>
    <t>Unclear for urinary portion but 50% total urinary and definitely 50% unchanged fecal</t>
  </si>
  <si>
    <t>https://www.accessdata.fda.gov/drugsatfda_docs/label/2024/209777Orig1s011lbl.pdf</t>
  </si>
  <si>
    <t>up to 19% excreted unchanged in urine, up to 40% unabsorbed and excreted unchanged in feces</t>
  </si>
  <si>
    <t>https://www.accessdata.fda.gov/drugsatfda_docs/label/2022/012616s083lbl.pdf</t>
  </si>
  <si>
    <t>using 30% unchanged excretion assumption since there is extensive metabolism noted</t>
  </si>
  <si>
    <t>https://dailymed.nlm.nih.gov/dailymed/fda/fdaDrugXsl.cfm?setid=ef08d90f-ba26-4b68-8e3a-d0320e4b0f8e</t>
  </si>
  <si>
    <t>2% reported unchanged in urine, 1% total fecal excretion reported</t>
  </si>
  <si>
    <t>https://www.accessdata.fda.gov/drugsatfda_docs/label/2022/021411s050lbl.pdf</t>
  </si>
  <si>
    <t>https://www.accessdata.fda.gov/drugsatfda_docs/label/2019/020727s010lbl.pdf</t>
  </si>
  <si>
    <t>minimum of 15% of dose metabolized to 2-mononitrate, minimum of 75% of dose metabolized to 5-mononitrate, 10% of dose left to be otherwise excreted</t>
  </si>
  <si>
    <t>https://www.accessdata.fda.gov/drugsatfda_docs/label/2023/020987s060,022020s023lbl.pdf</t>
  </si>
  <si>
    <t>no unchanged drug reported in urine, up to 18% from total fecal excretion</t>
  </si>
  <si>
    <t>https://www.accessdata.fda.gov/drugsatfda_docs/label/2024/020988s070lbl.pdf</t>
  </si>
  <si>
    <t>https://www.accessdata.fda.gov/drugsatfda_docs/label/2012/018012s029,018013s061lbl.pdf</t>
  </si>
  <si>
    <t>https://www.accessdata.fda.gov/drugsatfda_docs/label/2023/021951s024,211913s011lbl.pdf</t>
  </si>
  <si>
    <t>calculated from a minimum of 65% excreted in urine and feces as metabolites; up to 35% may be excreted unchanged</t>
  </si>
  <si>
    <t>https://www.accessdata.fda.gov/drugsatfda_docs/label/2013/018932s017lbl.pdf</t>
  </si>
  <si>
    <t>mentioned to be 98% metabolized and 2% unchanged in urine</t>
  </si>
  <si>
    <t>https://www.accessdata.fda.gov/drugsatfda_docs/label/2022/021897s057lbl.pdf</t>
  </si>
  <si>
    <t>minimal unchanged excretion reported</t>
  </si>
  <si>
    <t>https://www.accessdata.fda.gov/drugsatfda_docs/label/2025/219847s000lbl.pdf</t>
  </si>
  <si>
    <t>2% unchanged in urine, 0.3% total in feces</t>
  </si>
  <si>
    <t>https://www.accessdata.fda.gov/drugsatfda_docs/label/2018/019462s039lbl.pdf</t>
  </si>
  <si>
    <t>up to 30% unchanged in urine (assuming the elimination from metabolic routes refers to metabolites and that all renal clearance is urinary)</t>
  </si>
  <si>
    <t>https://www.accessdata.fda.gov/drugsatfda_docs/label/2001/20249S12LBL.PDF</t>
  </si>
  <si>
    <t>up to 70% unchanged in urine (assuming elimination from metabolic routes refers to metabolites and that all renal clearnace is urinary)</t>
  </si>
  <si>
    <t>Subcutaneous</t>
  </si>
  <si>
    <t>https://www.accessdata.fda.gov/drugsatfda_docs/label/2025/209988s003lbl.pdf</t>
  </si>
  <si>
    <t>the label reports significantly more furosemide after intravenous administration than after oral adminstration. Subcutaneous is similar to IV administration. The label also reports that furosemide is predominantly excreted unchanged in urine. So 70% is a safe assumption for the majority of excretion being unchanged</t>
  </si>
  <si>
    <t>https://www.accessdata.fda.gov/drugsatfda_docs/label/2017/018823s044lbl.pdf</t>
  </si>
  <si>
    <t>36% unabsorbed and excreted unchanged in feces, but unclear how much in urine, so assume 100% for most conservative estimate</t>
  </si>
  <si>
    <t>https://www.accessdata.fda.gov/drugsatfda_docs/label/2023/021153s060,021957s027,022101s024lbl.pdf</t>
  </si>
  <si>
    <t>1% reported unchanged in urine, fecal excretion is all as metabolites</t>
  </si>
  <si>
    <t>https://www.accessdata.fda.gov/drugsatfda_docs/label/2023/021689s038lbl.pdf</t>
  </si>
  <si>
    <t>https://www.accessdata.fda.gov/drugsatfda_docs/label/2017/020453s007lbl.pdf</t>
  </si>
  <si>
    <t>https://www.accessdata.fda.gov/drugsatfda_docs/label/2024/213876s005lbl.pdf</t>
  </si>
  <si>
    <t>13% unabsorbed and excreted unchanged in feces, very small amount unchanged in urine, so assuming 1% unchanged in urine</t>
  </si>
  <si>
    <t>https://www.accessdata.fda.gov/spl/data/4eb947c7-2da9-4ce6-8d13-06a4539a6e96/4eb947c7-2da9-4ce6-8d13-06a4539a6e96.xml</t>
  </si>
  <si>
    <t>https://www.accessdata.fda.gov/drugsatfda_docs/label/2021/050479s020lbl.pdf</t>
  </si>
  <si>
    <t>using 30% absorption assumption for max amount excreted for otic delivery</t>
  </si>
  <si>
    <t>https://www.accessdata.fda.gov/drugsatfda_docs/label/2008/016199s035lbl.pdf</t>
  </si>
  <si>
    <t>up to 50% absorption, so 50% is excreted in feces unchanged; unclear how much of the absorbed drug is excreted unchanged</t>
  </si>
  <si>
    <t>https://www.accessdata.fda.gov/drugsatfda_docs/label/2024/009866Orig1s120lbl.pdf</t>
  </si>
  <si>
    <t>https://www.accessdata.fda.gov/drugsatfda_docs/label/2019/010187s071s082,018029s041s051lbl.pdf</t>
  </si>
  <si>
    <t>up to 40% of urinary excretion may be from unchanged drug (since a minimum of 60% is excreted as a metabolite in urine), all fecal excretion is as metabolites</t>
  </si>
  <si>
    <t>Transdermal</t>
  </si>
  <si>
    <t>https://www.accessdata.fda.gov/drugsatfda_docs/label/2024/021514s039lbl.pdf</t>
  </si>
  <si>
    <t>unclear on extent of metabolism and even extent of absorption, so assuming 100% for most conservative estimate</t>
  </si>
  <si>
    <t>https://www.accessdata.fda.gov/drugsatfda_docs/label/2020/022036s006lbl.pdf</t>
  </si>
  <si>
    <t>3% reported unchanged or as nordoxepin in urine</t>
  </si>
  <si>
    <t>https://www.accessdata.fda.gov/drugsatfda_docs/label/2002/20126slr006_Zonalon_lbl.pdf</t>
  </si>
  <si>
    <t>https://www.accessdata.fda.gov/drugsatfda_docs/label/2024/021926s019lbl.pdf</t>
  </si>
  <si>
    <t>3% excreted unchanged</t>
  </si>
  <si>
    <t>https://www.accessdata.fda.gov/drugsatfda_docs/label/2017/208223Orig1s003lbledt.pdf</t>
  </si>
  <si>
    <t>up to 26% reported unchanged in urine</t>
  </si>
  <si>
    <t>https://www.accessdata.fda.gov/drugsatfda_docs/label/2019/206099s005lbl.pdf</t>
  </si>
  <si>
    <t>https://www.accessdata.fda.gov/drugsatfda_docs/label/2021/202611s017,213801s000lbl.pdf</t>
  </si>
  <si>
    <t>25% reported unchanged in urine, 0% reported unchanged in feces</t>
  </si>
  <si>
    <t>https://www.accessdata.fda.gov/drugsatfda_docs/label/2025/022580s029lbl.pdf</t>
  </si>
  <si>
    <t>up to 80% of dose excreted unchanged in urine</t>
  </si>
  <si>
    <t>https://www.accessdata.fda.gov/drugsatfda_docs/label/2017/020895s048lbl.pdf</t>
  </si>
  <si>
    <t>reported to be excreted as metabolites</t>
  </si>
  <si>
    <t>https://www.accessdata.fda.gov/drugsatfda_docs/label/2023/203109s016,022473s176lbl.pdf</t>
  </si>
  <si>
    <t>https://www.accessdata.fda.gov/drugsatfda_docs/label/2012/021764s005lbl.pdf</t>
  </si>
  <si>
    <t>metabolism data is not clear if it's for the ophthalmic or oral route; excretion is for oral route; assuming 80% here (from ophthalmic assumption) for most conservative estimate since the excretion pattern is likely different for ophthalmic vs. oral dose</t>
  </si>
  <si>
    <t>https://www.accessdata.fda.gov/drugsatfda_docs/label/2016/204708s005lbl.pdf</t>
  </si>
  <si>
    <t>mentions extensive metabolism in liver but unclear how much actually makes it into systemic circulation, so assuming 100% as most conservative estimate</t>
  </si>
  <si>
    <t>https://www.accessdata.fda.gov/drugsatfda_docs/label/2003/21387_pravigard_lbl.pdf</t>
  </si>
  <si>
    <t>20% of total excretion is urinary, 70% of total excretion is fecal; unchanged not specified</t>
  </si>
  <si>
    <t>https://www.accessdata.fda.gov/drugsatfda_docs/label/2006/021527s005lbl.pdf</t>
  </si>
  <si>
    <t>most of dose is unabsorbed and excreted in feces unchanged if administered as an inhalation solution; unclear how much is metabolized for inhaled dose</t>
  </si>
  <si>
    <t>https://www.accessdata.fda.gov/drugsatfda_docs/label/2007/020393s007,020394s008lbl.pdf</t>
  </si>
  <si>
    <t>less than 20% of dose is absorbed and unabsorbed portion (about 80%) is excreted unchanged in feces; unclear how much is metabolized for nasal dose</t>
  </si>
  <si>
    <t>https://www.accessdata.fda.gov/drugsatfda_docs/label/2003/21589_kemstro_lbl.pdf</t>
  </si>
  <si>
    <t>85% reported unchanged in urine and feces</t>
  </si>
  <si>
    <t>https://www.accessdata.fda.gov/drugsatfda_docs/label/2021/022462s013lbl.pdf</t>
  </si>
  <si>
    <t>low systemic absorption because low plasma concentrations reported</t>
  </si>
  <si>
    <t>https://www.accessdata.fda.gov/drugsatfda_docs/label/2024/020702s081lbl.pdf</t>
  </si>
  <si>
    <t>30% assumption for low excretion because of extensive metabolism &amp; biliary excretion of unchanged drug unclear</t>
  </si>
  <si>
    <t>https://www.accessdata.fda.gov/drugsatfda_docs/label/2012/020406s078-021428s025lbl.pdf</t>
  </si>
  <si>
    <t>https://www.accessdata.fda.gov/drugsatfda_docs/label/2012/019810s096lbl.pdf</t>
  </si>
  <si>
    <t>77% of excretion is urinary, little to no parent drug in urine (so assume 1%), remainder of excretion noted to be fecal but not specified if unchanged - so up to 23% could be from unchanged</t>
  </si>
  <si>
    <t>https://www.accessdata.fda.gov/drugsatfda_docs/label/2017/019885s043lbl.pdf</t>
  </si>
  <si>
    <t>38% definitely metabolized, unclear how much the other metabolites contribute, so assuming up to 62% excreted unchanged</t>
  </si>
  <si>
    <t>https://www.accessdata.fda.gov/drugsatfda_docs/label/2024/021842s025lbl.pdf</t>
  </si>
  <si>
    <t>using 30% excreted unchanged because extensive metabolism reported (it is mentioned that most drug is excreted unchanged or as metabolites in feces but extensive metabolism implies most will be as metabolites)</t>
  </si>
  <si>
    <t>https://www.accessdata.fda.gov/drugsatfda_docs/label/2022/213218s001lbl.pdf</t>
  </si>
  <si>
    <t>21% reported unchanged in urine</t>
  </si>
  <si>
    <t>https://www.accessdata.fda.gov/drugsatfda_docs/label/2023/018936%20s112lbl.pdf</t>
  </si>
  <si>
    <t>using 30% excreted unchanged because extensive metabolism reported</t>
  </si>
  <si>
    <t>https://www.accessdata.fda.gov/drugsatfda_docs/label/2010/018731s051lbl.pdf</t>
  </si>
  <si>
    <t>https://www.accessdata.fda.gov/drugsatfda_docs/label/2024/020822s055lbl.pdf</t>
  </si>
  <si>
    <t>https://www.accessdata.fda.gov/drugsatfda_docs/label/2020/209388s000lbl.pdf</t>
  </si>
  <si>
    <t>47% systemic absorption following nasal dose, unchanged excretion only reported for oral dose - so used amount absorbed nasally is assumed to amount excreted unchanged to get most conservative estimate</t>
  </si>
  <si>
    <t>https://www.accessdata.fda.gov/drugsatfda_docs/label/2010/017862s063lbl.pdf</t>
  </si>
  <si>
    <t>only excretion data for oral administration, so assuming 100% here for conservative estimate</t>
  </si>
  <si>
    <t>https://www.accessdata.fda.gov/drugsatfda_docs/anda/2001/75-051_Metoclopramide_prntlbl.pdf</t>
  </si>
  <si>
    <t>half of 85% is unchanged in urine (42.5%), up to 35.5% unabsorbed and unchanged in feces (from 80 plus/minus 15.5% absorption of oral dose; 64.5% is minimum absorbed); 35.5+42.5</t>
  </si>
  <si>
    <t>https://www.accessdata.fda.gov/drugsatfda_docs/label/2020/020364s066lbl.pdf</t>
  </si>
  <si>
    <t>https://www.accessdata.fda.gov/drugsatfda_docs/label/2012/019643s085lbl.pdf</t>
  </si>
  <si>
    <t>10% urinary total excretion, 83% fecal total excretion reported (unclear exactly how much metabolism but at least 70% definitely unabsorbed and excreted unchanged in feces)</t>
  </si>
  <si>
    <t>https://www.accessdata.fda.gov/drugsatfda_docs/label/2021/018647s026lbl.pdf</t>
  </si>
  <si>
    <t>70% unabsorbed and excreted unchanged in feces on average due to an average of 30% absorption, what is absorbed is reported to be unmetabolized and excreted unchanged; remaining 30% unaccounted for, so 100% is most conservative estimate</t>
  </si>
  <si>
    <t>https://www.accessdata.fda.gov/spl/data/a7245ba0-8a1f-42ca-a05b-19dbc333bc53/a7245ba0-8a1f-42ca-a05b-19dbc333bc53.xml</t>
  </si>
  <si>
    <t>https://www.accessdata.fda.gov/drugsatfda_docs/label/2010/089903s018lbl.pdf</t>
  </si>
  <si>
    <t>https://www.accessdata.fda.gov/drugsatfda_docs/label/2025/040268Orig1s033lbl.pdf</t>
  </si>
  <si>
    <t>https://www.accessdata.fda.gov/drugsatfda_docs/label/2020/200175s033lbl.pdf</t>
  </si>
  <si>
    <t>administered as olmesartan medoxomil but converted to active olmesartan and excreted unmetabolized in urine and feces</t>
  </si>
  <si>
    <t>https://www.accessdata.fda.gov/drugsatfda_docs/label/2023/020297Orig1s039correctedlbl.pdf</t>
  </si>
  <si>
    <t>2% reported unchanged in urine</t>
  </si>
  <si>
    <t>https://dailymed.nlm.nih.gov/dailymed/fda/fdaDrugXsl.cfm?setid=ea14be82-1d4d-41fe-9e2f-3f4df9393be5</t>
  </si>
  <si>
    <t>https://www.accessdata.fda.gov/drugsatfda_docs/label/2019/020560s070lbl.pdf</t>
  </si>
  <si>
    <t>50% excreted in urine, little to none (assuming 1%) excreted in feces, no metabolism</t>
  </si>
  <si>
    <t>https://www.accessdata.fda.gov/drugsatfda_docs/label/2023/019766s104lbl.pdf</t>
  </si>
  <si>
    <t>30% assumed to be excreted because extensive first pass metabolism and total excretion values are too high for an extensively metabolized drug</t>
  </si>
  <si>
    <t>https://www.accessdata.fda.gov/drugsatfda_docs/label/2019/019574s017lbl.pdf</t>
  </si>
  <si>
    <t>reported to be primarily excreted unchanged in urine</t>
  </si>
  <si>
    <t>https://www.accessdata.fda.gov/drugsatfda_docs/label/2021/020415s038,021208s028lbl.pdf</t>
  </si>
  <si>
    <t>30% assumed to be excreted because extensive metabolism reported</t>
  </si>
  <si>
    <t>https://www.accessdata.fda.gov/drugsatfda_docs/label/2007/019816s011lbl.pdf</t>
  </si>
  <si>
    <t>80% of dose in urine primarily as metabolite - assuming 30% from unchanged drug as conservative estimate for low excretion; biliary excretion hypothesized, so assuming 20% of dose is excreted in feces as conservative estimate; so 50% total as most conservative estimate</t>
  </si>
  <si>
    <t>https://www.accessdata.fda.gov/drugsatfda_docs/label/2010/016042s077lbl.pdf</t>
  </si>
  <si>
    <t>reported to be mostly metabolized to a metabolite with metabolite levels greatly exceeding parent drug levels</t>
  </si>
  <si>
    <t>https://www.accessdata.fda.gov/drugsatfda_docs/label/2023/022271s015lbl.pdf</t>
  </si>
  <si>
    <t>up to 71% unchanged in urine</t>
  </si>
  <si>
    <t>https://www.accessdata.fda.gov/drugsatfda_docs/label/2017/207139Orig1s000lbl.pdf</t>
  </si>
  <si>
    <t>2% reported unchanged in urine, 1% reported unchanged in feces</t>
  </si>
  <si>
    <t>https://www.accessdata.fda.gov/drugsatfda_docs/label/2020/020504s026lbl.pdf</t>
  </si>
  <si>
    <t>greater than 95% reported unchanged in urine</t>
  </si>
  <si>
    <t>https://www.accessdata.fda.gov/drugsatfda_docs/label/2023/018163s071lbl.pdf</t>
  </si>
  <si>
    <t>reported to be completely metabolized</t>
  </si>
  <si>
    <t>https://dailymed.nlm.nih.gov/dailymed/fda/fdaDrugXsl.cfm?setid=f39cae46-c68f-47ef-82f3-4fd3dd46c74c&amp;type=display</t>
  </si>
  <si>
    <t xml:space="preserve">50% of total excretion is urinary, and min of 65% of that is from metabolite (0.65*50 is 32.5% from metabolite); up to 17.5% of urinary excretion may be from parent plus up to 50% of fecal excretion since that's not specified if unchanged or not - so 17.5+50 is 67.5% </t>
  </si>
  <si>
    <t>https://www.accessdata.fda.gov/drugsatfda_docs/label/2024/021777s019lbl.pdf</t>
  </si>
  <si>
    <t>extensive metabolism, so used 30% low excretion assumption</t>
  </si>
  <si>
    <t>https://www.accessdata.fda.gov/drugsatfda_docs/label/2024/018147s053lbl.pdf</t>
  </si>
  <si>
    <t>5% reported unchanged during excretion</t>
  </si>
  <si>
    <t>https://www.accessdata.fda.gov/drugsatfda_docs/label/2023/206073s036lbl.pdf</t>
  </si>
  <si>
    <t>majority of fecal excretion is reported to be unchanged drug, and 41.2% of dose is excreted fecally, so assume 41.2% in feces unchanged as conservative estimate; half of total urinary excretion (54.4% of dose) is unchanged, so that's 27.2% unchanged in urine; together, up to 68.4% unchanged excretion</t>
  </si>
  <si>
    <t>https://www.accessdata.fda.gov/drugsatfda_docs/label/2017/019777s076lbl.pdf</t>
  </si>
  <si>
    <t>reported to be excreted unchanged entirely in urine</t>
  </si>
  <si>
    <t>https://www.accessdata.fda.gov/drugsatfda_docs/label/2025/022406s044,215859s005lbl.pdf</t>
  </si>
  <si>
    <t>36% reported unchanged in urine and 7% reported unchanged in feces</t>
  </si>
  <si>
    <t>https://www.accessdata.fda.gov/drugsatfda_docs/label/2012/202020s000lbl.pdf</t>
  </si>
  <si>
    <t>https://www.accessdata.fda.gov/drugsatfda_docs/label/2024/020648s024lbl.pdf</t>
  </si>
  <si>
    <t>assuming 30% excreted unchanged because extensive metabolism</t>
  </si>
  <si>
    <t>https://www.accessdata.fda.gov/drugsatfda_docs/label/2022/071309s008lbl.pdf</t>
  </si>
  <si>
    <t>https://www.accessdata.fda.gov/drugsatfda_docs/label/2016/013263s094lbl.pdf</t>
  </si>
  <si>
    <t>reported to be mostly excreted as metabolites</t>
  </si>
  <si>
    <t>https://www.accessdata.fda.gov/drugsatfda_docs/label/2025/211635s010lbl.pdf</t>
  </si>
  <si>
    <t>https://www.accessdata.fda.gov/drugsatfda_docs/label/2018/021487s025lbl.pdf</t>
  </si>
  <si>
    <t>48% reported unchanged in urine</t>
  </si>
  <si>
    <t>https://www.accessdata.fda.gov/drugsatfda_docs/label/2023/212994s007lbl.pdf</t>
  </si>
  <si>
    <t>0.4% unchanged in urine, 11% unchanged in feces; these are excreted as serdexmethylphenidate, the prodrug of dexmethylphenidate - this is used over the values for methylphenidate (0.5% excreted unchanged) because this is just the d-enantiomer - this is also the most conservative assumption between the two options</t>
  </si>
  <si>
    <t>https://www.accessdata.fda.gov/drugsatfda_docs/label/2019/021807s006lbl.pdf</t>
  </si>
  <si>
    <t>reports that unchanged drug and unconjugated metabolites comprise less than 30% in feces, which is primary excretion route with urinary route unmentioned</t>
  </si>
  <si>
    <t>https://www.accessdata.fda.gov/drugsatfda_docs/label/2024/020905s033lbl.pdf</t>
  </si>
  <si>
    <t>renal excretion is mentioned to be all metabolites, and extent of fecal excretion not totally clear with how much is absorbed, so assuming all unchanged drug in feces (37.5% as reported)</t>
  </si>
  <si>
    <t>https://www.accessdata.fda.gov/drugsatfda_docs/label/2024/021366s046lbl.pdf</t>
  </si>
  <si>
    <t>up to 90% excreted unchanged because there is not extensive metabolism, and not clear if the reported 10% excreted as metabolites is included in the 90% or if this 10% on top of the 90%</t>
  </si>
  <si>
    <t>https://www.accessdata.fda.gov/drugsatfda_docs/label/2021/215423s000lbl.pdf</t>
  </si>
  <si>
    <t>reported to be excreted mostly as metabolites, so using 30% assumption for low excretion</t>
  </si>
  <si>
    <t>https://www.accessdata.fda.gov/drugsatfda_docs/label/2023/204447s026lbl.pdf</t>
  </si>
  <si>
    <t>reports negligible amounts of unchanged drug in urine (assuming 1%) and reports other excretion as metabolites</t>
  </si>
  <si>
    <t>https://www.accessdata.fda.gov/drugsatfda_docs/label/2024/021323s058lbl.pdf</t>
  </si>
  <si>
    <t>reports 8% unchanged in urine</t>
  </si>
  <si>
    <t>https://www.accessdata.fda.gov/drugsatfda_docs/label/2025/020103s039,020605s023,020781s023lbl.pdf</t>
  </si>
  <si>
    <t>https://www.accessdata.fda.gov/drugsatfda_docs/label/2025/020007s050lbl.pdf</t>
  </si>
  <si>
    <t>https://www.accessdata.fda.gov/drugsatfda_docs/label/2018/018998s083lbl.pdf</t>
  </si>
  <si>
    <t>up to 60% of the dose is unchanged since the enalaprilat metabolite accounts for 40% of the dose</t>
  </si>
  <si>
    <t>https://www.accessdata.fda.gov/drugsatfda_docs/label/2023/019034s046lbl.pdf</t>
  </si>
  <si>
    <t>95% reported metabolism</t>
  </si>
  <si>
    <t>https://www.accessdata.fda.gov/drugsatfda_docs/label/2019/021217s025lbl.pdf</t>
  </si>
  <si>
    <t>7% reported unchanged in urine, 1% reported unchanged in feces</t>
  </si>
  <si>
    <t>https://www.accessdata.fda.gov/drugsatfda_docs/label/2021/021530s017lbl.pdf</t>
  </si>
  <si>
    <t>0.5% is highest reported unchanged in urine, 1.6% reported unchanged in feces</t>
  </si>
  <si>
    <t>https://www.accessdata.fda.gov/drugsatfda_docs/label/2025/218395s000lbl.pdf</t>
  </si>
  <si>
    <t>Surgical instillation</t>
  </si>
  <si>
    <t>https://www.accessdata.fda.gov/drugsatfda_docs/label/2024/211988s018lbl.pdf</t>
  </si>
  <si>
    <t>expected to have the same excretion patterns as oral formulations, applied directly to wound and so is taken up into systemic circulation</t>
  </si>
  <si>
    <t>https://www.accessdata.fda.gov/drugsatfda_docs/label/2011/021565s006lbl.pdf</t>
  </si>
  <si>
    <t>https://www.accessdata.fda.gov/drugsatfda_docs/label/2016/017783s026lbl.pdf</t>
  </si>
  <si>
    <t>less than 10% reported unchanged in urine</t>
  </si>
  <si>
    <t>https://www.accessdata.fda.gov/drugsatfda_docs/label/2024/209803s008lbledt.pdf</t>
  </si>
  <si>
    <t>1.5% reported unchanged in urine, 33.8% unchanged reported in feces</t>
  </si>
  <si>
    <t>https://www.accessdata.fda.gov/drugsatfda_docs/label/2025/213378s008lbl.pdf</t>
  </si>
  <si>
    <t>7% reported unchanged in urine, up to 30% unchanged reported in feces (30% includes metabolites)</t>
  </si>
  <si>
    <t>https://www.accessdata.fda.gov/drugsatfda_docs/label/2025/020592s077,021086s050,021253s047s066lbl.pdf</t>
  </si>
  <si>
    <t>7% reported unchanged in urine, up to 30% unchanged reported in feces (30% is total); this is data from oral administration but excretion data for intramuscular is not provided (it does mention that the pharmacokinetic profile is similar to oral dosing though)</t>
  </si>
  <si>
    <t>https://www.accessdata.fda.gov/drugsatfda_docs/label/2020/021287s024lbl.pdf</t>
  </si>
  <si>
    <t>11% reported unchanged in urine, 69% reported excreted in feces but unclear how much of that is unchanged (assuming it for conservative estimate)</t>
  </si>
  <si>
    <t>https://www.accessdata.fda.gov/drugsatfda_docs/label/2000/20641s7lbl.pdf</t>
  </si>
  <si>
    <t>https://www.accessdata.fda.gov/drugsatfda_docs/label/2001/007517s022lbl.pdf</t>
  </si>
  <si>
    <t>https://www.accessdata.fda.gov/drugsatfda_docs/label/2024/011856s144lbl.pdf</t>
  </si>
  <si>
    <t>https://www.accessdata.fda.gov/drugsatfda_docs/label/2024/011153s083lbl.pdf</t>
  </si>
  <si>
    <t>https://www.accessdata.fda.gov/drugsatfda_docs/label/2016/017690s005lbl.pdf</t>
  </si>
  <si>
    <t>extent of metabolism unclear, so using 100% as conservative estimate</t>
  </si>
  <si>
    <t>https://www.accessdata.fda.gov/drugsatfda_docs/label/2024/021445s043lbl.pdf</t>
  </si>
  <si>
    <t>69% reported unchanged in feces, 11% total excreted in urine but 9% as a metabolite, so up to 2% may be parent drug in urine</t>
  </si>
  <si>
    <t>https://www.accessdata.fda.gov/drugsatfda_docs/label/2012/017577s038lbl.pdf</t>
  </si>
  <si>
    <t>0.1% unchanged in urine</t>
  </si>
  <si>
    <t>https://www.accessdata.fda.gov/drugsatfda_docs/label/2024/021351Orig1s020lbl.pdf</t>
  </si>
  <si>
    <t>https://www.accessdata.fda.gov/drugsatfda_docs/label/2024/202293s031lbl.pdf</t>
  </si>
  <si>
    <t>2% reported unchanged in urine, 15% reported unchanged in feces</t>
  </si>
  <si>
    <t>https://www.accessdata.fda.gov/drugsatfda_docs/label/2025/021436s046s050lbl.pdf</t>
  </si>
  <si>
    <t>1% reported unchanged in urine, 18% unchanged in feces</t>
  </si>
  <si>
    <t>https://www.accessdata.fda.gov/drugsatfda_docs/label/2025/207533s031lbl.pdf</t>
  </si>
  <si>
    <t>https://www.accessdata.fda.gov/drugsatfda_docs/label/2021/020829s074,020830s076,021409s052lbl.pdf</t>
  </si>
  <si>
    <t>using 30% low excretion assumption because extensive metabolism</t>
  </si>
  <si>
    <t>https://www.accessdata.fda.gov/drugsatfda_docs/label/2025/215431Orig1s000correctedlbl.pdf</t>
  </si>
  <si>
    <t>14% excreted unchanged in urine, 12% excreted total in feces</t>
  </si>
  <si>
    <t>https://www.accessdata.fda.gov/drugsatfda_docs/label/2002/19835s15,%2020346s8lbl.pdf</t>
  </si>
  <si>
    <t>50% reported unchanged in urine, 10% excreted total in feces</t>
  </si>
  <si>
    <t>https://www.accessdata.fda.gov/drugsatfda_docs/label/2019/211415s000lbl.pdf</t>
  </si>
  <si>
    <t>https://www.accessdata.fda.gov/drugsatfda_docs/label/2017/208694s000lbl.pdf</t>
  </si>
  <si>
    <t>https://www.accessdata.fda.gov/drugsatfda_docs/label/2023/021742s028lbl.pdf</t>
  </si>
  <si>
    <t>all excreted as metabolites</t>
  </si>
  <si>
    <t>https://www.accessdata.fda.gov/drugsatfda_docs/label/2025/202155s039s040lbl.pdf</t>
  </si>
  <si>
    <t>25% metabolized, so up to 75% excreted unchanged</t>
  </si>
  <si>
    <t>https://www.accessdata.fda.gov/drugsatfda_docs/label/2009/087056s045lbl.pdf</t>
  </si>
  <si>
    <t>5.7% reported unchanged in stool, no parent drug excreted in urine</t>
  </si>
  <si>
    <t>https://www.accessdata.fda.gov/drugsatfda_docs/label/2024/216190s000lbl.pdf</t>
  </si>
  <si>
    <t>https://www.accessdata.fda.gov/drugsatfda_docs/label/2019/021537s017lbl.pdf</t>
  </si>
  <si>
    <t>using 30% unchanged excretion assumption for otic route</t>
  </si>
  <si>
    <t>https://www.accessdata.fda.gov/drugsatfda_docs/label/2004/11664slr062_decadron_lbl.pdf</t>
  </si>
  <si>
    <t>unclear from label</t>
  </si>
  <si>
    <t>https://www.accessdata.fda.gov/drugsatfda_docs/label/2014/084916s066lbl.pdf</t>
  </si>
  <si>
    <t>Intra-articular</t>
  </si>
  <si>
    <t>Soft tissue</t>
  </si>
  <si>
    <t>Intralesional</t>
  </si>
  <si>
    <t>https://www.accessdata.fda.gov/drugsatfda_docs/label/2025/208742s013lbl.pdf</t>
  </si>
  <si>
    <t>low systemic absorption in most cases indicated</t>
  </si>
  <si>
    <t>https://www.accessdata.fda.gov/drugsatfda_docs/label/2022/019908s40s044s047lbl.pdf</t>
  </si>
  <si>
    <t>converted to metabolites upon excretion</t>
  </si>
  <si>
    <t>https://www.accessdata.fda.gov/drugsatfda_docs/label/2012/019834s025lbl.pdf</t>
  </si>
  <si>
    <t>https://www.accessdata.fda.gov/drugsatfda_docs/label/2022/212304s000lbl.pdf</t>
  </si>
  <si>
    <t>15% recovered in feces total, 17% recovered in urine unchanged, transdermal is similar absorption to oral here</t>
  </si>
  <si>
    <t>https://www.accessdata.fda.gov/drugsatfda_docs/label/2018/020690s042,021720s014,022568s011lbl.pdf</t>
  </si>
  <si>
    <t>https://www.accessdata.fda.gov/drugsatfda_docs/label/2023/020186s042lbl.pdf</t>
  </si>
  <si>
    <t>50% unchanged in urine, the rest is all metabolites</t>
  </si>
  <si>
    <t>Buccal</t>
  </si>
  <si>
    <t>https://www.accessdata.fda.gov/drugsatfda_docs/label/2023/207932s023lbl.pdf</t>
  </si>
  <si>
    <t>1% free drug in urine, 33% free drug in feces</t>
  </si>
  <si>
    <t>https://www.accessdata.fda.gov/drugsatfda_docs/label/2023/210136Orig1s004correctedlbl.pdf</t>
  </si>
  <si>
    <t>https://www.accessdata.fda.gov/drugsatfda_docs/label/2014/021306s015s019lbl.pdf</t>
  </si>
  <si>
    <t>total fecal excretion is 70%, total urinary excretion is 27%; extent of metabolism is unclear but shown permeability to skin</t>
  </si>
  <si>
    <t>https://www.accessdata.fda.gov/drugsatfda_docs/label/2019/018401s025lbl.pdf</t>
  </si>
  <si>
    <t>unclear from label, extent of metabolism unclear</t>
  </si>
  <si>
    <t>Sublingual</t>
  </si>
  <si>
    <t>https://www.accessdata.fda.gov/drugsatfda_docs/label/2025/204242s031lbl.pdf</t>
  </si>
  <si>
    <t>https://www.accessdata.fda.gov/drugsatfda_docs/label/2017/019901s067lbl.pdf</t>
  </si>
  <si>
    <t>40% in feces as metabolites and/or unabsorbed drug and 2% unchanged in urine (although almost completely metabolized, there is unabsorbed drug, so must use 40% for most conservative estimate)</t>
  </si>
  <si>
    <t>https://www.accessdata.fda.gov/drugsatfda_docs/label/2025/018701s078lbl.pdf</t>
  </si>
  <si>
    <t>https://dailymed.nlm.nih.gov/dailymed/drugInfo.cfm?setid=c559b0b0-4087-d12a-e718-c18ccb6811e6</t>
  </si>
  <si>
    <t>https://www.accessdata.fda.gov/drugsatfda_docs/label/2016/021455s021lbl.pdf</t>
  </si>
  <si>
    <t>99.4% unabsorbed based on 0.6% bioavailability, then up to 60% of absorbed dose is unchanged in urine (0.6*0.6 = 0.36%), so up to 99.76% unchanged</t>
  </si>
  <si>
    <t>https://www.accessdata.fda.gov/drugsatfda_docs/label/2015/021858s020lbl.pdf</t>
  </si>
  <si>
    <t>https://www.accessdata.fda.gov/drugsatfda_docs/label/2010/021551s013lbl.pdf</t>
  </si>
  <si>
    <t>https://www.accessdata.fda.gov/drugsatfda_docs/label/2021/021990s041lbl.pdf</t>
  </si>
  <si>
    <t>10% reported unchanged in urine</t>
  </si>
  <si>
    <t>https://www.accessdata.fda.gov/drugsatfda_docs/label/2017/020051s022lbl.pdf</t>
  </si>
  <si>
    <t>excreted as metabolites</t>
  </si>
  <si>
    <t>https://www.accessdata.fda.gov/drugsatfda_docs/label/2020/021518s017lbl.pdf</t>
  </si>
  <si>
    <t>23% total reported in feces, 15% unchanged in urine</t>
  </si>
  <si>
    <t>https://www.accessdata.fda.gov/drugsatfda_docs/label/2025/203168s005lbl.pdf</t>
  </si>
  <si>
    <t>likely undetectable in systemic circulation (so only trace amount excreted)</t>
  </si>
  <si>
    <t>https://www.accessdata.fda.gov/drugsatfda_docs/label/2025/022341s044lbl.pdf</t>
  </si>
  <si>
    <t>no intact drug detected in urine or feces</t>
  </si>
  <si>
    <t>https://www.accessdata.fda.gov/drugsatfda_docs/label/2006/19057Orig1s021,%2020347Orig1s009%20lbl.pdf</t>
  </si>
  <si>
    <t>10% unchanged in urine, 20% unchanged in feces</t>
  </si>
  <si>
    <t>https://www.accessdata.fda.gov/drugsatfda_docs/label/2011/009218s107lbl.pdf</t>
  </si>
  <si>
    <t>very little parent drug detectable in urine (assuming 1%)</t>
  </si>
  <si>
    <t>https://www.accessdata.fda.gov/drugsatfda_docs/label/2019/021165s022,021300s019,021312s020,021563s008lbl.pdf</t>
  </si>
  <si>
    <t>https://www.accessdata.fda.gov/drugsatfda_docs/label/2008/022064s009lbl.pdf</t>
  </si>
  <si>
    <t>14% metabolism reported, so up to 86% may be excreted  unchanged</t>
  </si>
  <si>
    <t>https://www.accessdata.fda.gov/drugsatfda_docs/label/2017/021925s017lbl.pdf</t>
  </si>
  <si>
    <t>no parent drug in urine or feces</t>
  </si>
  <si>
    <t>https://www.accessdata.fda.gov/drugsatfda_docs/label/2023/201281s035lbl.pdf</t>
  </si>
  <si>
    <t>90% reported unchanged during excretion</t>
  </si>
  <si>
    <t>https://www.accessdata.fda.gov/drugsatfda_docs/label/2024/020246s068lbl.pdf</t>
  </si>
  <si>
    <t>https://www.accessdata.fda.gov/drugsatfda_docs/label/2024/011839s083lbl.pdf</t>
  </si>
  <si>
    <t>noted to be excreted mostly as metabolites, so using 30% assumption for low excretion</t>
  </si>
  <si>
    <t>https://www.accessdata.fda.gov/drugsatfda_docs/label/2022/022388s000lbl.pdf</t>
  </si>
  <si>
    <t>https://www.accessdata.fda.gov/drugsatfda_docs/label/2012/020771s028lbl.pdf</t>
  </si>
  <si>
    <t>up to 2.5% (in poor metabolizers) excreted intact</t>
  </si>
  <si>
    <t>https://www.accessdata.fda.gov/drugsatfda_docs/label/2021/019668Orig1s032lbl.pdf</t>
  </si>
  <si>
    <t>4.8% unchanged in feces, trace amount (assuming 1%) unchanged in urine</t>
  </si>
  <si>
    <t>https://www.accessdata.fda.gov/drugsatfda_docs/label/2018/208004s002lbl.pdf</t>
  </si>
  <si>
    <t>up to 90% excreted unchanged in urine, up to 10% excreted by biliary route (so up to 100% as conservative estimate)</t>
  </si>
  <si>
    <t>https://www.accessdata.fda.gov/drugsatfda_docs/label/2015/017442%20s043lbl.pdf</t>
  </si>
  <si>
    <t>reported to be extensively metabolized, so assuming 30% from low excretion assumption</t>
  </si>
  <si>
    <t>https://www.accessdata.fda.gov/drugsatfda_docs/label/2024/020726s043lbl.pdf</t>
  </si>
  <si>
    <t>6% reported unchanged in urine</t>
  </si>
  <si>
    <t>https://www.accessdata.fda.gov/drugsatfda_docs/label/2025/210655s014lbl.pdf</t>
  </si>
  <si>
    <t>https://www.accessdata.fda.gov/drugsatfda_docs/label/2010/020588s046lbl.pdf</t>
  </si>
  <si>
    <t>https://www.accessdata.fda.gov/drugsatfda_docs/label/2025/021346s065lbl.pdf</t>
  </si>
  <si>
    <t>https://www.accessdata.fda.gov/drugsatfda_docs/label/2019/021476Orig1s038rplLBL.pdf</t>
  </si>
  <si>
    <t>https://www.accessdata.fda.gov/drugsatfda_docs/label/2024/208379s005lbl.pdf</t>
  </si>
  <si>
    <t>taking total excretion here (79% in feces, 15% in urine) because extent of metabolism unclear</t>
  </si>
  <si>
    <t>https://www.accessdata.fda.gov/drugsatfda_docs/label/2024/018225Orig1s029lbl.pdf</t>
  </si>
  <si>
    <t>45% reported unchanged in urine, 2% total excretion in feces</t>
  </si>
  <si>
    <t>https://www.accessdata.fda.gov/drugsatfda_docs/label/2002/018226s025lbl.pdf</t>
  </si>
  <si>
    <t>https://www.accessdata.fda.gov/drugsatfda_docs/label/2013/019032s021lbl.pdf</t>
  </si>
  <si>
    <t>up to 75% reported unchanged in urine and rest noted as metabolites</t>
  </si>
  <si>
    <t>https://www.accessdata.fda.gov/drugsatfda_docs/label/2017/021929s042lbl.pdf</t>
  </si>
  <si>
    <t>excretion as metabolites</t>
  </si>
  <si>
    <t>https://www.accessdata.fda.gov/drugsatfda_docs/label/2009/020746s024lbl.pdf</t>
  </si>
  <si>
    <t>https://www.accessdata.fda.gov/drugsatfda_docs/label/2024/215935s005lbl.pdf</t>
  </si>
  <si>
    <t>excretion reported as metabolites and no unchanged drug in urine</t>
  </si>
  <si>
    <t>https://www.accessdata.fda.gov/drugsatfda_docs/label/2020/205613s004lbl.pdf</t>
  </si>
  <si>
    <t>not specified for rectal, so assuming 100% for conservative estimate</t>
  </si>
  <si>
    <t>https://www.accessdata.fda.gov/drugsatfda_docs/label/2024/213978s005lbl.pdf</t>
  </si>
  <si>
    <t>92% reported unchanged in urine</t>
  </si>
  <si>
    <t>https://www.accessdata.fda.gov/drugsatfda_docs/label/2019/021928s048lbl.pdf</t>
  </si>
  <si>
    <t>https://www.accessdata.fda.gov/spl/data/e9071387-8850-436c-badc-a087a899e0ac/e9071387-8850-436c-badc-a087a899e0ac.xml</t>
  </si>
  <si>
    <t>https://www.accessdata.fda.gov/drugsatfda_docs/label/2014/020658s024s026s027s030s032lbl.pdf</t>
  </si>
  <si>
    <t>10% unchanged in urine</t>
  </si>
  <si>
    <t>https://www.accessdata.fda.gov/drugsatfda_docs/label/2023/017533s062lbl.pdf</t>
  </si>
  <si>
    <t>https://www.accessdata.fda.gov/drugsatfda_docs/label/2023/018140s051lbl.pdf</t>
  </si>
  <si>
    <t>tablet label does not have complete excretion data, but injection label has excretion data for oral administration; the injection label reports 0.3% excreted unchanged following oral dose</t>
  </si>
  <si>
    <t>excretion data only provided following oral dose, so using 100% as most conservative estimate here</t>
  </si>
  <si>
    <t>https://pdf.hres.ca/dpd_pm/00029138.PDF</t>
  </si>
  <si>
    <t>https://www.accessdata.fda.gov/drugsatfda_docs/anda/2009/090233Orig1s000.pdf</t>
  </si>
  <si>
    <t>https://www.accessdata.fda.gov/drugsatfda_docs/label/2017/021730s039lbl.pdf</t>
  </si>
  <si>
    <t>inhalation data not specified, so assuming 100% as most conservative</t>
  </si>
  <si>
    <t>https://www.accessdata.fda.gov/drugsatfda_docs/label/2023/018276s059lbl.pdf</t>
  </si>
  <si>
    <t>https://www.accessdata.fda.gov/drugsatfda_docs/label/2013/021303s026lbl.pdf</t>
  </si>
  <si>
    <t>up to 75% reported unchanged in urine (notably still as racemic mixture) depending on urinary pH</t>
  </si>
  <si>
    <t>https://www.accessdata.fda.gov/drugsatfda_docs/anda/2008/040776Orig1s000.pdf</t>
  </si>
  <si>
    <t>reports 38% urinary recovery total</t>
  </si>
  <si>
    <t>https://www.accessdata.fda.gov/drugsatfda_docs/label/2023/215401s008lbl.pdf</t>
  </si>
  <si>
    <t>excretion unclear because only given for oral dose and unclear how similar the pharmacokinetics are for oral vs. transdermal routes for this drug; this is also excretion of amphetamine (dextroamphetamine excretion not specified) - made most conservative estimate</t>
  </si>
  <si>
    <t>https://www.accessdata.fda.gov/drugsatfda_docs/label/2017/021045s016lbl.pdf</t>
  </si>
  <si>
    <t>excretion mostly as metabolites, so assuming 30% for low unchanged excretion</t>
  </si>
  <si>
    <t>https://www.accessdata.fda.gov/drugsatfda_docs/label/2022/204017s004lbl.pdf</t>
  </si>
  <si>
    <t>Intrauterine</t>
  </si>
  <si>
    <t>https://www.accessdata.fda.gov/drugsatfda_docs/label/2023/208224s005lbl.pdf</t>
  </si>
  <si>
    <t>https://www.accessdata.fda.gov/drugsatfda_docs/label/2007/018405s023lbl.pdf</t>
  </si>
  <si>
    <t>https://www.accessdata.fda.gov/drugsatfda_docs/label/2024/020870s033lbl.pdf</t>
  </si>
  <si>
    <t>https://www.accessdata.fda.gov/drugsatfda_docs/label/2014/020145s027lbl.pdf</t>
  </si>
  <si>
    <t>https://www.accessdata.fda.gov/drugsatfda_docs/label/2014/019970s015lbl.pdf</t>
  </si>
  <si>
    <t>https://www.accessdata.fda.gov/drugsatfda_docs/label/2018/021134s010lbl.pdf</t>
  </si>
  <si>
    <t>Anal</t>
  </si>
  <si>
    <t>https://www.accessdata.fda.gov/drugsatfda_docs/label/2024/021359Orig1s005lbl.pdf</t>
  </si>
  <si>
    <t>https://www.accessdata.fda.gov/drugsatfda_docs/label/2024/204820s006lbl.pdf</t>
  </si>
  <si>
    <t>up to 65% reported unchanged in urine but biliary excretion also expected and does not specify how much; 16% is metabolized, so up to 84% may be excreted unchanged</t>
  </si>
  <si>
    <t>https://www.accessdata.fda.gov/drugsatfda_docs/label/2022/022184s009lbl.pdf</t>
  </si>
  <si>
    <t>most subjects had plasma concentrations below detection limit, so limited absorption; assuming 30% for low unchanged excretion</t>
  </si>
  <si>
    <t>https://www.accessdata.fda.gov/drugsatfda_docs/label/2024/020541s036lbl.pdf</t>
  </si>
  <si>
    <t>extent of metabolism unclear, so using total excretion of 85%</t>
  </si>
  <si>
    <t>https://www.accessdata.fda.gov/drugsatfda_docs/label/2024/022421s023lbl.pdf</t>
  </si>
  <si>
    <t>up to 90% excreted as unchanged drug</t>
  </si>
  <si>
    <t>not clarified for inhalation route, assuming 100% to be safe</t>
  </si>
  <si>
    <t>https://www.accessdata.fda.gov/drugsatfda_docs/label/2023/021658s011lbl.pdf</t>
  </si>
  <si>
    <t>https://www.accessdata.fda.gov/drugsatfda_docs/label/2007/022124lbl.pdf</t>
  </si>
  <si>
    <t>intranasal route has negligible absorption of parent drug</t>
  </si>
  <si>
    <t>https://www.accessdata.fda.gov/spl/data/101df6ee-1514-d005-e063-6394a90ab5de/101df6ee-1514-d005-e063-6394a90ab5de.xml</t>
  </si>
  <si>
    <t>majority is excreted unchanged in urine, so 70% assumption for high unchanged excretion applies</t>
  </si>
  <si>
    <t>https://dailymed.nlm.nih.gov/dailymed/fda/fdaDrugXsl.cfm?setid=526399a7-03ea-4d09-8dcd-d5cb012ab5c5</t>
  </si>
  <si>
    <t>https://www.accessdata.fda.gov/drugsatfda_docs/label/2022/020597s054lbl.pdf</t>
  </si>
  <si>
    <t>extent of metabolism not indicated, so total excretion of 98% used (did not use ophthalmic assumption because other numbers provided and a significant amount is absorbed into circulation)</t>
  </si>
  <si>
    <t>https://www.accessdata.fda.gov/drugsatfda_docs/label/2020/021994s013lbl.pdf</t>
  </si>
  <si>
    <t>https://www.accessdata.fda.gov/drugsatfda_docs/label/2025/209637s025lbl.pdf</t>
  </si>
  <si>
    <t>3% reported unchanged in urine, but fecal excretion is mentioned as a relevant route without specifying how much is excreted this way; 100% is most conservative estimate</t>
  </si>
  <si>
    <t>https://www.accessdata.fda.gov/drugsatfda_docs/label/2025/213051Orig1s020,213051Orig1s021lbl.pdf</t>
  </si>
  <si>
    <t>https://www.accessdata.fda.gov/drugsatfda_docs/label/2019/020579s033lbl.pdf</t>
  </si>
  <si>
    <t>10% unchanged in urine, 21% total excreted in feces</t>
  </si>
  <si>
    <t>https://www.accessdata.fda.gov/drugsatfda_docs/label/2010/021433s015lbl.pdf</t>
  </si>
  <si>
    <t>95% is excreted in feces as parent drug and metabolites (so 95% is upper limit for parent drug)</t>
  </si>
  <si>
    <t>https://www.accessdata.fda.gov/drugsatfda_docs/label/2024/209022s019lbl.pdf</t>
  </si>
  <si>
    <t>low bioavailability from nasal route (so little would be able to enter the urine or feces, so using 30% for low excretion)</t>
  </si>
  <si>
    <t>https://www.accessdata.fda.gov/drugsatfda_docs/label/2010/019958s017lbl.pdf</t>
  </si>
  <si>
    <t>5% systematically absorbed and 73% washes from surface, so this is the max amount that could be excreted into wastewater</t>
  </si>
  <si>
    <t>https://www.accessdata.fda.gov/drugsatfda_docs/label/2020/209405Orig1s000lbl.pdf</t>
  </si>
  <si>
    <t>https://www.accessdata.fda.gov/drugsatfda_docs/label/2018/021187s036lbl.pdf</t>
  </si>
  <si>
    <t>unclear from this label, but bioavailability is comparable to oral dose, so likely all excreted as metabolites too</t>
  </si>
  <si>
    <t>https://www.accessdata.fda.gov/drugsatfda_docs/label/2021/018891Orig1s032correctedlbl.pdf</t>
  </si>
  <si>
    <t>up to 40% excreted unchanged because unabsorbed &amp; washed off, can be up to 60% unchanged in urine (based on oral adminstration data but that's likely different from transdermal anyway, so 100% is best estimate)</t>
  </si>
  <si>
    <t>https://www.accessdata.fda.gov/drugsatfda_docs/label/2010/020615s003lbl.pdf</t>
  </si>
  <si>
    <t>https://www.accessdata.fda.gov/drugsatfda_docs/label/2009/022500lbl.pdf</t>
  </si>
  <si>
    <t>up to 60% excreted unchanged in urine, 50% metabolized in liver are metabolites and not parent drug</t>
  </si>
  <si>
    <t>https://www.accessdata.fda.gov/drugsatfda_docs/label/2023/202811s021lbl.pdf</t>
  </si>
  <si>
    <t>only fecal excretion mentioned and all excreted as metabolite</t>
  </si>
  <si>
    <t>https://www.accessdata.fda.gov/drugsatfda_docs/label/2019/020405s015lbl.pdf</t>
  </si>
  <si>
    <t>https://www.accessdata.fda.gov/drugsatfda_docs/label/2024/009330Orig1s039lbl.pdf</t>
  </si>
  <si>
    <t>up to 70% of dose recovered unchanged in urine</t>
  </si>
  <si>
    <t>https://www.accessdata.fda.gov/drugsatfda_docs/label/2025/125469s063lbl.pdf</t>
  </si>
  <si>
    <t>https://www.accessdata.fda.gov/drugsatfda_docs/label/2023/203975s015lbl.pdf</t>
  </si>
  <si>
    <t>no data provided for excretion following inhalation route, so assuming 100% to be safe</t>
  </si>
  <si>
    <t>https://www.accessdata.fda.gov/drugsatfda_docs/label/2019/208891Orig1s000lbl.pdf</t>
  </si>
  <si>
    <t>no unchanged drug reported in urine or feces</t>
  </si>
  <si>
    <t>https://www.accessdata.fda.gov/drugsatfda_docs/label/2024/012041s051lbl.pdf</t>
  </si>
  <si>
    <t>https://www.accessdata.fda.gov/drugsatfda_docs/label/2002/12097s16lbl.pdf</t>
  </si>
  <si>
    <t>extent of metabolism unclear, so assuming 100% as most conservative estimate</t>
  </si>
  <si>
    <t>https://www.accessdata.fda.gov/drugsatfda_docs/label/2011/012104s032lbl.pdf</t>
  </si>
  <si>
    <t>extent of metabolism unclear, so assuming 100% as most conservative estimate - can assume up to 100% washoff</t>
  </si>
  <si>
    <t>https://www.accessdata.fda.gov/drugsatfda_docs/label/2007/022223,022048lbl.pdf</t>
  </si>
  <si>
    <t>https://www.accessdata.fda.gov/drugsatfda_docs/label/2017/202813s011lbl.pdf</t>
  </si>
  <si>
    <t>at least 90% is metabolized, so up to 10% may be excreted unchanged (this is for inhaled, but intranasal is reported to be similar)</t>
  </si>
  <si>
    <t>https://www.accessdata.fda.gov/drugsatfda_docs/label/2017/207921s000lbl.pdf</t>
  </si>
  <si>
    <t>at least 90% is metabolized, so up to 10% may be excreted unchanged</t>
  </si>
  <si>
    <t>https://www.accessdata.fda.gov/drugsatfda_docs/label/2014/205641s000lbl.pdf</t>
  </si>
  <si>
    <t>none unchanged in urine, up to 74% in feces total (limited absorption into circulation but unclear how  much is swallowed unabsorbed)</t>
  </si>
  <si>
    <t>https://www.accessdata.fda.gov/drugsatfda_docs/label/2018/019543s028lbl.pdf</t>
  </si>
  <si>
    <t>0.7% absorbed, could have a significant part washed off, 100% is most conservative estimate</t>
  </si>
  <si>
    <t>https://www.accessdata.fda.gov/drugsatfda_docs/label/2018/020762s053lbl.pdf</t>
  </si>
  <si>
    <t>most not absorbed (but would not be excreted into wastewater because of nasal administration), and any that is absorbed is fully metabolized</t>
  </si>
  <si>
    <t>Sinus implant</t>
  </si>
  <si>
    <t>https://www.accessdata.fda.gov/drugsatfda_docs/label/2023/209310s006lbl.pdf</t>
  </si>
  <si>
    <t>using 30% for low unchanged excretion assumption due to extensive metabolism</t>
  </si>
  <si>
    <t>https://www.accessdata.fda.gov/drugsatfda_docs/label/2025/021395Orig1s078lbl.pdf</t>
  </si>
  <si>
    <t>7% reported unchanged in urine</t>
  </si>
  <si>
    <t>https://www.accessdata.fda.gov/drugsatfda_docs/label/2012/021758s017lbl.pdf</t>
  </si>
  <si>
    <t>not clear from label, so assuming 100% as most conservative estimate, topical means could be up to 100% washoff</t>
  </si>
  <si>
    <t>https://www.accessdata.fda.gov/drugsatfda_docs/label/2022/022259Orig1s008lbl.pdf</t>
  </si>
  <si>
    <t>limited absorption noted and topical, so up to 100% may wash off</t>
  </si>
  <si>
    <t>https://www.accessdata.fda.gov/drugsatfda_docs/label/2024/210123s008lbl.pdf</t>
  </si>
  <si>
    <t>up to 20% reported excreted unchanged in urine</t>
  </si>
  <si>
    <t>https://www.accessdata.fda.gov/drugsatfda_docs/label/2019/022563s006lbl.pdf</t>
  </si>
  <si>
    <t>https://www.accessdata.fda.gov/drugsatfda_docs/label/2025/218158s001lbl.pdf</t>
  </si>
  <si>
    <t>had detectable plasma concentrations in just under half of cases and can have up to 80% absorption for ophthalmic, so assuming 80% to be safe</t>
  </si>
  <si>
    <t>https://www.accessdata.fda.gov/drugsatfda_docs/label/2017/209483s000lbl.pdf</t>
  </si>
  <si>
    <t>unclear how much is absorbed vs. washed off, so assuming up to 100% may wash off</t>
  </si>
  <si>
    <t>https://www.accessdata.fda.gov/drugsatfda_docs/label/2016/017381s053lbl.pdf</t>
  </si>
  <si>
    <t>not clear from label, so assuming 100% as most conservative estimate, up to 100% could be washed off</t>
  </si>
  <si>
    <t>https://www.accessdata.fda.gov/drugsatfda_docs/label/2021/022408Orig1s010lbl.pdf</t>
  </si>
  <si>
    <t>no drug detected in plasma; assuming up to 100% wash off</t>
  </si>
  <si>
    <t>https://www.accessdata.fda.gov/drugsatfda_docs/label/2022/050708s054,050709s047,204096s010lbl.pdf</t>
  </si>
  <si>
    <t>oral absorption varies greatly, fecal excretion noted to potentially exceed 100% (not possible, so assuming up to 100% may be excreted); not clear how much is unchanged after oral dose especially with high potential for excretion of unabsorbed, unchanged drug</t>
  </si>
  <si>
    <t>https://www.accessdata.fda.gov/drugsatfda_docs/label/2022/050777s021lbl.pdf</t>
  </si>
  <si>
    <t>https://www.accessdata.fda.gov/drugsatfda_docs/label/2013/019028s022lbl.pdf</t>
  </si>
  <si>
    <t>1% reported unchanged in urine, 90% excreted total in feces with limited absorption, so up to 90% excreted unchanged in feces</t>
  </si>
  <si>
    <t>https://www.accessdata.fda.gov/drugsatfda_docs/nda/2001/21-074_Avagard_Prntlbl.pdf</t>
  </si>
  <si>
    <t>https://www.accessdata.fda.gov/drugsatfda_docs/label/2014/018533s041lbl.pdf</t>
  </si>
  <si>
    <t>up to 4% reported unchanged in urine, 57% total excreted in feces without specifying unchanged portion</t>
  </si>
  <si>
    <t>https://www.accessdata.fda.gov/drugsatfda_docs/label/2013/019927s032lbl.pdf</t>
  </si>
  <si>
    <t>unclear from label, so assuming 100% as most conservative estimate, up to 100% washoff</t>
  </si>
  <si>
    <t>https://www.accessdata.fda.gov/drugsatfda_docs/label/2013/018748s024,019824s023,020519s016lbl.pdf</t>
  </si>
  <si>
    <t>0.01% found in urine and negligible amount in feces, but limited absorption and wash-off amount not clear, so assuming 100%</t>
  </si>
  <si>
    <t>https://www.accessdata.fda.gov/drugsatfda_docs/label/2025/050788s009lbl.pdf</t>
  </si>
  <si>
    <t>unclear how much absorbed, but up to 3% excreted in urine; assume up to 100% from wash-off because topical</t>
  </si>
  <si>
    <t>https://www.accessdata.fda.gov/drugsatfda_docs/label/2019/018741s040lbl.pdf</t>
  </si>
  <si>
    <t>unclear from label and topical, so assuming 100% as most conservative estimate, up to 100% washoff</t>
  </si>
  <si>
    <t>https://www.accessdata.fda.gov/drugsatfda_docs/label/2024/014602s064lbl.pdf</t>
  </si>
  <si>
    <t>not clear from label, so assuming 100% as most conservative estimate</t>
  </si>
  <si>
    <t>https://www.accessdata.fda.gov/drugsatfda_docs/label/2014/021844s008lbl.pdf</t>
  </si>
  <si>
    <t>unclear from label and topical, so assuming 100% as most conservative estimate b/c washoff</t>
  </si>
  <si>
    <t>https://www.accessdata.fda.gov/drugsatfda_docs/label/2009/020010s021lbl.pdf</t>
  </si>
  <si>
    <t>https://www.accessdata.fda.gov/drugsatfda_docs/nda/2004/076387_Clotrimazole%20Lozenges_PRNTLBL.pdf</t>
  </si>
  <si>
    <t>not clear from label, so assuming 100%</t>
  </si>
  <si>
    <t>https://www.accessdata.fda.gov/drugsatfda_docs/label/2022/022221s008lbl.pdf</t>
  </si>
  <si>
    <t>10% reported unchanged during excretion, 90% as metabolites</t>
  </si>
  <si>
    <t>https://dailymed.nlm.nih.gov/dailymed/fda/fdaDrugXsl.cfm?setid=d1509740-f9f1-44e3-8fde-51d8683fcd87</t>
  </si>
  <si>
    <t>absorption varies a lot, so assuming 100% to be safe; also could have up to 100% washoff</t>
  </si>
  <si>
    <t>https://www.accessdata.fda.gov/drugsatfda_docs/label/2015/020612s012lbl.pdf</t>
  </si>
  <si>
    <t>only up to 5% absorbed, at least 95% remains in patch</t>
  </si>
  <si>
    <t>https://labeling.pfizer.com/ShowLabeling.aspx?id=4497</t>
  </si>
  <si>
    <t>https://dailymed.nlm.nih.gov/dailymed/lookup.cfm?setid=ae40021b-8df8-4b16-aac0-dcec88f76c7d</t>
  </si>
  <si>
    <t>https://www.accessdata.fda.gov/drugsatfda_docs/label/2018/006488s097lbl.pdf</t>
  </si>
  <si>
    <t>10% reported excreted unchanged, 90% reported as metabolites</t>
  </si>
  <si>
    <t>https://www.accessdata.fda.gov/drugsatfda_docs/label/2018/021451s014lbl.pdf</t>
  </si>
  <si>
    <t>not clear from label, so assuming 100% to be safe</t>
  </si>
  <si>
    <t>Intradermal</t>
  </si>
  <si>
    <t>https://www.accessdata.fda.gov/drugsatfda_docs/label/2018/022114s004lbl.pdf</t>
  </si>
  <si>
    <t>https://www.accessdata.fda.gov/drugsatfda_docs/label/2024/022483s011lbl.pdf</t>
  </si>
  <si>
    <t>not clear from label and topical, so assuming up to 100% from wash off</t>
  </si>
  <si>
    <t>https://www.accessdata.fda.gov/drugsatfda_docs/label/2018/021794s016lbl.pdf</t>
  </si>
  <si>
    <t>https://dailymed.nlm.nih.gov/dailymed/drugInfo.cfm?setid=57a47368-d1f6-4d61-a2ee-c5f1fe7ff690</t>
  </si>
  <si>
    <t>85% excreted as metabolites, so assuming up to 15% excreted in urine</t>
  </si>
  <si>
    <t>https://www.accessdata.fda.gov/drugsatfda_docs/label/2021/214902s000lbl.pdf</t>
  </si>
  <si>
    <t>https://www.accessdata.fda.gov/drugsatfda_docs/anda/98/074806ap.pdf</t>
  </si>
  <si>
    <t>unclear from label, but only up to 2% absorbed systemically, and extent of metabolism of the absorbed portion is unclear; most likely most of it is wash off</t>
  </si>
  <si>
    <t>https://www.accessdata.fda.gov/drugsatfda_docs/label/2022/206255s005s009lbl.pdf</t>
  </si>
  <si>
    <t>https://www.accessdata.fda.gov/drugsatfda_docs/label/2022/050742s030lbl.pdf</t>
  </si>
  <si>
    <t>https://www.accessdata.fda.gov/drugsatfda_docs/label/2010/019931s019lbl.pdf</t>
  </si>
  <si>
    <t>up to 0.33% of topical dose excreted unchanged in urine, 4% absorption systemically; overall amount that washes off may be up to 96% and so it’s 96.33% max excreted unchanged</t>
  </si>
  <si>
    <t>https://www.accessdata.fda.gov/drugsatfda_docs/anda/99/40216_Sulfacetamide%20Sodium%20Ophthalmic.pdf</t>
  </si>
  <si>
    <t>unclear from label, so assuming 80% as max ophthalmic unchanged excretion</t>
  </si>
  <si>
    <t>https://www.accessdata.fda.gov/drugsatfda_docs/label/2013/022320s004lbl.pdf</t>
  </si>
  <si>
    <t>https://dailymed.nlm.nih.gov/dailymed/drugInfo.cfm?setid=5bdac950-11b8-483e-a40e-0f2bca294d02</t>
  </si>
  <si>
    <t>only over-the-counter info provided; does not specify pharmacokinetics, but it's a topical antiseptic used for cleaning, so up to 100% may wash off</t>
  </si>
  <si>
    <t>https://www.accessdata.fda.gov/drugsatfda_docs/nda/2004/065024_S000_Gentamicin%20Ophthalmic%20Ointment_PRNTLBL.pdf</t>
  </si>
  <si>
    <t>https://www.accessdata.fda.gov/drugsatfda_docs/label/2014/062366s033lbl.pdf</t>
  </si>
  <si>
    <t>at least 70% excreted in urine, minimal excreted biliary, and little to no metabolic transformation noted; assuming all metabolism accounts for 1% and up to 99% from unchanged</t>
  </si>
  <si>
    <t>https://dailymed.nlm.nih.gov/dailymed/drugInfo.cfm?setid=a9486ae1-350b-41c5-ae0c-a4d692bb2dfd</t>
  </si>
  <si>
    <t>https://dailymed.nlm.nih.gov/dailymed/fda/fdaDrugXsl.cfm?setid=6af07697-5203-43e0-ba35-83683af851c3</t>
  </si>
  <si>
    <t>https://dailymed.nlm.nih.gov/dailymed/drugInfo.cfm?setid=36deb7de-14b0-44a4-89bb-51cc1770e65b&amp;audience=consumer</t>
  </si>
  <si>
    <t>not clear from label and topical, so assuming up to 100% from wash off (not in Drugs@FDA database)</t>
  </si>
  <si>
    <t>n/a</t>
  </si>
  <si>
    <t>30% assumption (low unchanged excretion) okay here because excretion is reported to be mainly as metabolites</t>
  </si>
  <si>
    <t xml:space="preserve">Title </t>
  </si>
  <si>
    <t>Abstract</t>
  </si>
  <si>
    <t>Sampling date</t>
  </si>
  <si>
    <t>Sampling location</t>
  </si>
  <si>
    <t>Table/Fig #</t>
  </si>
  <si>
    <t>Authors</t>
  </si>
  <si>
    <t>Editors</t>
  </si>
  <si>
    <t>Journal</t>
  </si>
  <si>
    <t>Publisher</t>
  </si>
  <si>
    <t>University
(if thesis)</t>
  </si>
  <si>
    <t>Year</t>
  </si>
  <si>
    <t>Volume</t>
  </si>
  <si>
    <t>Edition</t>
  </si>
  <si>
    <t>Pages</t>
  </si>
  <si>
    <t>Location of
publication</t>
  </si>
  <si>
    <t>DOI/URL</t>
  </si>
  <si>
    <t>Wastewater-based epidemiology pilot study to examine drug use in the Western United States</t>
  </si>
  <si>
    <t>The extent of prescription and illicit drug abuse in geographically isolated rural and micropolitan communities in the intermountain western United States (US) has not been well tracked. The goal of this pilot study was to accurately measure drug dose consumption rates (DCR) between two select populations, normalize the data and compare the DCRs to similar communities. To learn about patterns of drug abuse between the two disparate communities, we used the emergent field of wastewater-based epidemiology (WBE). A rapid, quantitative and systematic process for the determination of multiple classes of prescribed and illicit drugs was applied to influent wastewater samples. Influent samples were collected over the course of three months (April to June 2019) at two wastewater treatment plants representing a small urban and a rural community. Collection of sewage influent included 24-h composite samples and the use of polar organic chemical integrative samplers (POCIS), time-weighted samplers. Using the results from the composite sampling data, DCRs per 1000 population could be calculated from the concentration data and the use of excretion correction factors. The following 18 compounds: amphetamine, methamphetamine, MDA, MDMA, morphine, 6-acetylmorphine, methadone, EDDP, codeine, benzoylecgonine, hydrocodone, hydromorphone, oxycodone, noroxycodone, ketamine, fluoxetine, tramadol, and ritalinic acid; represent a subset of the targeted analytes that were consistently measured at detectable concentration levels, and present at both sites. Following normalization of the drug measurements to influent flow rates and per capita, the small urban community demonstrated greater collective excretion rates (CER) than the rural community, with the exceptions of amphetamine and methamphetamine.</t>
  </si>
  <si>
    <t>Table 1 &amp; 4</t>
  </si>
  <si>
    <t>Science of the Total Environment</t>
  </si>
  <si>
    <t>https://doi.org/10.1016/j.scitotenv.2020.140697</t>
  </si>
  <si>
    <t>Assessing pharmaceutical removal and reduction in toxicity provided by advanced wastewater treatment systems</t>
  </si>
  <si>
    <t>Wastewater treatment plants (WWTPs) have been considered as hotspots for pharmaceutical residues, such as antidepressants, antimicrobials and active ingredients of over-the-counter drugs. Despite evidence of ecotoxicological effects of these microcontaminants on exposed fish in the aquatic systems, there is currently no regulation in terms of the levels of pharmaceutical residues allowable for release into the environment. Depending on the extent of treatment employed in WWTPs removal of pharmaceutical residues are highly variable. This study compares the removal efficiencies for several antimicrobials, antidepressants, and other pharmaceuticals at different stages of the wastewater treatment process of seven WWTPs that employ varying treatment technologies including biological, physical, advanced chemical oxidation, and a combination of two or more of these technologies. The concentrations of the pharmaceuticals were measured by liquid chromatography/mass spectrometry at multiple points during the course of treatment. Additionally, the ecotoxicological effects of the WWTP effluents were also evaluated based on the behavioral effects in larval zebrafish. It was found that biological treatment process provided negative to low removal (&lt;50%), while activated carbon and ozonation provided high removal (&gt;95% overall removal) for 14 out of 15, and 9 out of 11 compounds detected in WWTP influents, respectively. Notably, the final effluents of the seven WWTPs in this study did not show any significant behavioral alterations in zebrafish, indicating that despite differences in removal efficiencies all the treatment processes investigated are sufficient in preventing short-term biological effects.</t>
  </si>
  <si>
    <t>Table S4B</t>
  </si>
  <si>
    <t>Luisa F. Angeles and Rachel A. Mullen and Irvin J. Huang and Christopher Wilson and Wendell Khunjar and Howard I. Sirotkin and Anne E. McElroy and Diana S. Aga</t>
  </si>
  <si>
    <t xml:space="preserve">Environmental Science: Water Research &amp; Technology </t>
  </si>
  <si>
    <t>Royal Society of Chemistry</t>
  </si>
  <si>
    <t>62-77</t>
  </si>
  <si>
    <t>https://doi.org/10.1039/C9EW00559E</t>
  </si>
  <si>
    <t>Analysis of Wastewater Samples for the Detection of Contaminating Drugs</t>
  </si>
  <si>
    <t>The use of controlled substances and pharmaceuticals is a wide-spread problem that does not currently have a quick and effective way to gauge the abuse of drugs in the community. The analysis of wastewater allows for a timely method in observing the use of illicit drugs and non-controlled substances in the surrounding communities. Removal of chemical contaminants from wastewater is crucial to prevent further introduction into the surrounding ecosystems. All water samples utilized for optimization and the wastewater samples that were tested to identify controlled substances and pharmaceuticals underwent two forms of extraction and were analyzed by liquid chromatography-tandem mass spectrometry (LC-MS/MS). The Anton-Paar synthesis reactor was used to extract the drug components from the wastewater samples for analysis, followed by solid phase extraction, before analysis on the LC-MS/MS. The drug panel that was used for this research consisted of cocaine, methamphetamine, fentanyl, tetrahydrocannabinol (THC), 6-monoacetylmorphine (6-MAM), alprazolam, benzoylecgonine, buprenorphine, caffeine, clonazepam, codeine, diphenhydramine, hydrocodone, 3,4-methylenedioxymethamphetamine (MDMA), morphine, norfentanyl, norhydrocodone, noroxycodone, norsertraline, oxycodone, and sertraline. The results showed that there was no statistically significant difference between the method optimization run parameters; therefore, the lowest temperature, 90 ℃ for 5 minutes, was selected for wastewater analysis to prevent any further degradation. Alprazolam, benzoylecgonine, caffeine, diphenhydramine, methamphetamine, norfentanyl, oxycodone, sertraline, and THC were detected in the influent wastewater samples. The effluent samples contained all of the compounds listed above, with the exception of methamphetamine and THC. The detection of these compounds shows prevalence in the surrounding community of the testing site. With the knowledge of prevalent drugs of abuse and pharmaceuticals, law enforcement, social workers, and public health officials can take preventative measures such as educational and awareness programs.</t>
  </si>
  <si>
    <t>Sep 1-2, 2022</t>
  </si>
  <si>
    <t>Ohio (not specified but university is there, reasonably confident in US)</t>
  </si>
  <si>
    <t>Appendix B (4 tables)</t>
  </si>
  <si>
    <t>Emily Dwyer</t>
  </si>
  <si>
    <t>OhioLINK Electronic Theses and Dissertations Center</t>
  </si>
  <si>
    <t xml:space="preserve">Master's thesis, Bowling Green State University </t>
  </si>
  <si>
    <t>bgsu1679587644584407</t>
  </si>
  <si>
    <t>69-71</t>
  </si>
  <si>
    <t>Bowling Green, OH</t>
  </si>
  <si>
    <t>http://rave.ohiolink.edu/etdc/view?acc_num=bgsu1679587644584407</t>
  </si>
  <si>
    <t>Detection of Pharmaceuticals, Personal Care Products (PPCPs) and Illicit Drugs in Wastewater Treatment Plants and Urban River Systems</t>
  </si>
  <si>
    <t>Pharmaceuticals, personal care products (PPCPs) and illicit drugs are a threat to human health
and the aquatic environment globally. Their usage and consumption is rapidly increasing
potentially due to an aging population, the development of new drugs, the overprescribing of
prescription drugs and easier accessibility of drugs legally and illegally prescribed. These
compounds enter wastewater treatment plants influent through urine or feces, pass through the
stages of treatment with some compounds not being removed and ending up in the effluent and
ultimately in the aquatic environment. In addition to human consumption, PPCPs are introduced
into the environment through veterinary use from livestock, and where concentrated animal
feeding operations (CAFOs) are located. Wastewater treatment plants (WWTPs) effluent are the
major source of these compounds into the environment. The wastewater effluent is discharged
into rivers, streams, or lake systems, and the biosolids are spread on fields for fertilizer. WWTPs
are known to not adequately remove these compounds and as a result there is a continuous
supply of these compounds to the environment. There are few studies on the long-term effects of
these compounds in the environment. The contaminants most often detected in wastewater treatment effluent are antibiotics, epileptic drugs, analgesics, herbicides, opioids, and
recreational drugs. This dissertation uses an alternative extraction method compared to the
standard solid phase extraction (SPE) method used in most of the literature. In Chapters 2 and 3,
sixty diverse compounds were analyzed from samples taken from influent, effluent, surface
water and sludge from two WWTPs that discharge their effluent into the largest freshwater lake
in the State of Wisconsin. Data were further analyzed by percent remaining, removal efficiency
and seasonality. Chapter 4 surveyed PPCPs and illicit drugs from six urban river systems, using
the alternative extraction method from Chapters 2 and 3. In addition, removal efficiency, percent
remaining, and seasonality were also studied. There is an increasing trend towards urbanization
and lifestyle changes, increasing health ailments such as cardiovascular disease, diabetes, and
illicit drug use. With rapid urbanization, brings about an increase in contamination of water. The
PPCPs and illicit drugs may be transferred to the water by rainfall, climate changes,
infrastructure breakdown of private sceptic systems, and release of gray water. Stressors in the
surrounding water environment may be channel form, cement encasements, the type of
community surrounding the water whether it be industrial, manufacturing, agricultural, retail, etc.
The alternative extraction method was successful in detecting the 60 diverse compounds but
there were limitations on percent recovery values for certain compounds.</t>
  </si>
  <si>
    <t>Jun 2014 - July 2015, Sep 2016-Dec 2017</t>
  </si>
  <si>
    <t>Figures 2.3-2.5</t>
  </si>
  <si>
    <t>Mary L. Seaman</t>
  </si>
  <si>
    <t>University of Wisconsin Milwaukee UWM Digital Commons</t>
  </si>
  <si>
    <t>Doctor of Philosophy Dissertation, University of Wisconsin Milwaukee</t>
  </si>
  <si>
    <t>58-59; 61; 88; 96-97</t>
  </si>
  <si>
    <t>Milwaukee, WI</t>
  </si>
  <si>
    <t>https://dc.uwm.edu/etd/3347</t>
  </si>
  <si>
    <t>Occurrence and removal of PPCPs from on-site wastewater using nitrogen removing biofilters</t>
  </si>
  <si>
    <t>Apr 2016 - Dec 2019</t>
  </si>
  <si>
    <t xml:space="preserve">Massachusetts </t>
  </si>
  <si>
    <t>Table S7</t>
  </si>
  <si>
    <t>Patricia M. Clyde and Cheng-Shiuan Lee and Roy E. Price and Arjun K. Venkatesan and Bruce J. Brownawell</t>
  </si>
  <si>
    <t>Water Research</t>
  </si>
  <si>
    <t>https://doi.org/10.1016/j.watres.2021.117743</t>
  </si>
  <si>
    <t>Impacts of the COVID-19 pandemic on pharmaceuticals in wastewater treated for beneficial reuse: Two case studies in central Pennsylvania</t>
  </si>
  <si>
    <t>During the COVID-19 pandemic, wastewater surveillance was leveraged as a powerful tool for monitoring community-scale health. Further, the well-known persistence of some pharmaceuticals through wastewater treatment plants spurred concerns that increased usage of pharmaceuticals during the pandemic would increase the concentrations in wastewater treatment plant effluent. We collected weekly influent and effluent samples from May 2020 through May 2021 from two wastewater treatment plants in central Pennsylvania, the Penn State Water Reclamation Facility and the University Area Joint Authority, that provide effluent for beneficial reuse, including for irrigation. Samples were analyzed for severe acute respiratory syndrome coronavirus 2 (influent only), two over-the-counter medicines (acetaminophen and naproxen), five antibiotics (ampicillin, doxycycline, ofloxacin, sulfamethoxazole, and trimethoprim), two therapeutic agents (remdesivir and dexamethasone), and hydroxychloroquine. Although there were no correlations between pharmaceutical and virus concentration, remdesivir detection occurred when the number of hospitalized patients with COVID-19 increased, and dexamethasone detection co-occurred with the presence of patients with COVID-19 on ventilators. Additionally, Penn State decision-making regarding instruction modes explained the temporal variation of influent pharmaceutical concentrations, with detection occurring primarily when students were on campus. Risk quotients calculated for pharmaceuticals with known effective and lethal concentrations at which 50% of a population is affected for fish, daphnia, and algae were generally low in the effluent; however, some acute risks from sulfamethoxazole were high when students returned to campus. Remdesivir and dexamethasone persisted through the wastewater treatment plants, thereby introducing novel pharmaceuticals directly to soils and surface water. These results highlight connections between human health and water quality and further demonstrate the broad utility of wastewater surveillance.</t>
  </si>
  <si>
    <t>May 2020 - May 2021</t>
  </si>
  <si>
    <t>Table S1 &amp; S3</t>
  </si>
  <si>
    <t>Journal of Environmental Quality</t>
  </si>
  <si>
    <t>1066-1082</t>
  </si>
  <si>
    <t>https://doi.org/10.1002/jeq2.20398</t>
  </si>
  <si>
    <t>Description of Community Drug Use by Detection and Quantification of Pharmaceuticals in Wastewater Using SPE and LC-MS/MS</t>
  </si>
  <si>
    <t>Pharmaceuticals are a significant group of micro-pollutants, that progressively with time, have expanded to include substances of abuse. Chemical analysis of local wastewater can detect the existence of illegal substances present in the population by consumption or directly released into the sewage system. This research is focused on the detection of pharmaceuticals present in wastewater, and the possible change in concentration during a short time of population increase. Additionally, a study was done to determine whether wastewater can be stored for several days prior to analysis and whether adjusting the pH of the samples has any effect on storage. and the concentration of illicit drugs present in the wastewater. Influent and effluent post-UV samples from a municipal wastewater treatment plant were collected, filtered, and extracted, and analyzed by LC-MS/MS. Results showed that storage of samples caused a decrease in analytes, and pH had no effect. Methamphetamine, amphetamine, and hydrocodone increased during the short time of the local fair.</t>
  </si>
  <si>
    <t>Multiple years - see Notes &amp; Location columns, June 2019 for Ch3 of this paper (sampling done for this paper)</t>
  </si>
  <si>
    <t>Midwestern US (2019), Minnesota (2019), NYC (2019), Cookeville, TN (2015-2016 &amp; 2019), Cookeville, TN (actual sampling done in this paper); this and the next reference both refer to same WWTP in Cookeville including for the Putnam County Fair</t>
  </si>
  <si>
    <t>Table 2.4, Table 2.8 referenced but used original literature that reported these values (reference 8), Table 4.7-4.9</t>
  </si>
  <si>
    <t>Waverly D. DeLaFontaine</t>
  </si>
  <si>
    <t>Tennessee Technological University ProQuest Dissertation &amp; Theses</t>
  </si>
  <si>
    <t>Master of Science thesis, Tennessee Technological University</t>
  </si>
  <si>
    <t>23-24, 33, 52-53, 57-58</t>
  </si>
  <si>
    <t>Cookeville, TN</t>
  </si>
  <si>
    <t>https://www.proquest.com/dissertations-theses/description-community-drug-use-detection/docview/2488101332/se-2</t>
  </si>
  <si>
    <t>Analysis of amphetamine and methamphetamine in municipal wastewater influent and effluent using weak cation-exchange SPE and LC-MS/MS</t>
  </si>
  <si>
    <t>Amphetamine and methamphetamine are emerging contaminants—those for which no regulations currently require monitoring or public reporting of their presence in our water supply. In this research, a protocol for weak cation-exchange (WCX) SPE coupled with LC-MS/MS was developed for determination of emerging contaminants amphetamine and methamphetamine in a complex wastewater matrix. Gradient LC parameters were adjusted to yield baseline separation of methamphetamine from other contaminants. Methamphetamine-D5 was used as the internal standard (IS) to compensate for sample loss during SPE and for signal loss during MS (matrix effects). Recoveries were 102.1 ± 7.9% and 99.4 ± 4.0% for amphetamine and methamphetamine, respectively, using WCX sorbent. Notably, methamphetamine was determined to be present in wastewater influent at each sampling date tested. Amphetamine was present in wastewater influent on two of four sampling dates. Amphetamine concentrations ranged from undetectable to 86.4 ng/L in influent, but it was undetectable in wastewater effluent. Methamphetamine was detected in influent at concentrations ranging from 27.0–60.3 ng/L. Methamphetamine concentration was reduced but incompletely removed at this facility. Although absent in one post-UV effluent sample, concentrations of methamphetamine ranged from 10.8–14.8 ng/L.</t>
  </si>
  <si>
    <t>Table 2</t>
  </si>
  <si>
    <t>Tammy H. Boles and Martha J.M. Wells</t>
  </si>
  <si>
    <t>Electrophoresis</t>
  </si>
  <si>
    <t>3101-3108</t>
  </si>
  <si>
    <t>https://doi.org/10.1002/elps.201600271</t>
  </si>
  <si>
    <t>Occurrence of Z-drugs, benzodiazepines, and ketamine in wastewater in the United States and Mexico during the Covid-19 pandemic</t>
  </si>
  <si>
    <t>July - October 2020</t>
  </si>
  <si>
    <t>Alaska, Arizona, Florida, Illinois, New Mexico, New Jersey, Kansas, Kentucky, Texas, Washington (according to Table S2)</t>
  </si>
  <si>
    <t>Sangeet Adhikari and Rahul Kumar and Erin M. Driver and Devin A. Bowes and Keng Tiong Ng and Juan Eduardo Sosa-Hernandez and Mariel Araceli Oyervides-Muñoz and Elda M. Melchor-Martínez and Manuel Martínez-Ruiz and Karina G. Coronado-Apodaca and Ted Smith and Aruni Bhatnagar and Brian J. Piper and Kenneth L. McCall and Roberto Parra-Saldivar and Leon P. Barron and Rolf U. Halden </t>
  </si>
  <si>
    <t>857, Part 2</t>
  </si>
  <si>
    <t>https://doi.org/10.1016/j.scitotenv.2022.159351</t>
  </si>
  <si>
    <t>Global scanning of selective serotonin reuptake inhibitors: occurrence, wastewater treatment and hazards in aquatic systems</t>
  </si>
  <si>
    <t>As the global population becomes more concentrated in urban areas, resource consumption, including access to pharmaceuticals, is increasing and chemical use is also increasingly concentrated. Unfortunately, implementation of waste management systems and wastewater treatment infrastructure is not yet meeting these global megatrends. Herein, pharmaceuticals are indicators of an urbanizing water cycle; antidepressants are among the most commonly studied classes of these contaminants of emerging concern. In the present study, we performed a unique global hazard assessment of selective serotonin reuptake inhibitors (SSRIs) in water matrices across geographic regions and for common wastewater treatment technologies. SSRIs in the environment have primarily been reported from Europe (50%) followed by North America (38%) and Asia-Pacific (10%). Minimal to no monitoring data exists for many developing regions of the world, including Africa and South America. From probabilistic environmental exposure distributions, 5th and 95th percentiles for all SSRIs across all geographic regions were 2.31 and 3022.1 ng/L for influent, 5.3 and 841.6 ng/L for effluent, 0.8 and 127.7 ng/L for freshwater, and 0.5 and 22.3 ng/L for coastal and marine systems, respectively. To estimate the potential hazards of SSRIs in the aquatic environment, percent exceedances of therapeutic hazard values of specific SSRIs, without recommended safety factors, were identified within and among geographic regions. For influent sewage and wastewater effluents, sertraline exceedances were observed 49% and 29% of the time, respectively, demonstrating the need to better understand emerging water quality hazards of SSRIs in urban freshwater and coastal ecosystems. This unique global review and analysis identified regions where more monitoring is necessary, and compounds requiring toxicological attention, particularly with increasing aquatic reports of behavioral perturbations elicited by SSRIs.</t>
  </si>
  <si>
    <t>Various - see Table S5</t>
  </si>
  <si>
    <t>Various US sites- see Table S5</t>
  </si>
  <si>
    <t>Appendix A of supplementals - multimedia component 2</t>
  </si>
  <si>
    <t>Rachel A. Mole and Bryan W. Brooks</t>
  </si>
  <si>
    <t>Environmental Pollution</t>
  </si>
  <si>
    <t>1019-1031</t>
  </si>
  <si>
    <t>https://doi.org/10.1016/j.envpol.2019.04.118</t>
  </si>
  <si>
    <t>Effects of Natural and Anthropogenic Drivers on Emerging Organic Contaminants in Wastewater and Drinking Water Systems: Occurrence and Removal</t>
  </si>
  <si>
    <t>Indirect potable water reuse is considered an effective management practice for augmenting declining water resources. However, the occurrence of emerging organic contaminants (EOCs) such as prescription and non-prescription drugs, health and beauty products, among others in wastewater effluent challenges reuse practices due to the underlying risk to aquatic ecosystem health and potential human health impacts. It is important therefore to understand the fate, transport and risks of EOCs in surface and groundwater drinking water sources that are impacted by various indirect potable reuse practices. The objectives of this study were to evaluate the occurrence and removal of selected EOCs during wastewater treatment, assess their fate, transport and risks in impacted surface and groundwater sources, and evaluate their removal during conventional drinking water treatment. While land application of wastewater effluent is beneficial for recharging groundwater aquifers and avoiding direct pollutant discharges to surface waters, it provides a pathway of EOCs that persist in wastewater effluent to underlying aquifers. The extent to which effluent irrigation activities at the Penn State Living Filter has impacted groundwater was investigated. Commonly used pharmaceuticals (acetaminophen, ampicillin, caffeine, naproxen, ofloxacin, sulfamethoxazole, and trimethoprim) were targeted for analysis in wastewater influent, effluent and monitoring wells at the spray irrigation site. In wastewater influent, acetaminophen and trimethoprim were the most frequently detected (93%) above the limit of quantification (LOQ), while in the effluent, caffeine and trimethoprim were detected most frequently (70%). Acetaminophen and caffeine were generally well removed (&gt;88%) during wastewater treatment while other compounds including antibiotics and the anti-inflammatory drug naproxen were removed to a lesser extent and in some cases, were present at higher concentrations in effluent samples. The removal efficiencies of the pharmaceuticals varied seasonally with the least removals recorded in colder months. The impact of long-term wastewater irrigation on groundwater was observed through the presence of studied compounds at levels above the LOQ. Detection frequencies were however lower in groundwater samples compared to the effluent, with sulfamethoxazole (40%) and caffeine (32%) as the most frequently detected compounds. Similarly, average concentrations of pharmaceuticals in groundwater were nearly two orders of magnitude lower than concentrations in the effluent. Effluent irrigation performs an ecosystem service by mitigating an ecosystem risk to aquatic organisms as wastewater effluent posing medium to high risk to aquatic systems is not discharged directly in streams but allowed to infiltrate through the soil and decrease in concentration before recharging groundwater. Furthermore, human health risk assessments indicate that concentrations of studied EOCs in groundwater, which is used as a drinking water source, appear to pose minimal risk. Domestic drinking water wells are common in the U.S. and serve about 1 million homes and farms in the commonwealth of Pennsylvania. These private wells are often located in areas served by onsite wastewater treatment systems such as septic systems where treated domestic wastewater effluent is discharged in subsurface leach fields for further treatment before recharging groundwater. The occurrence, range of concentrations, and potential human health risks of seven pharmaceutical compounds (acetaminophen, ampicillin, caffeine, naproxen, ofloxacin, sulfamethoxazole, and trimethoprim) in 26 private wells located in central PA were evaluated. Ofloxacin (100%) and sulfamethoxazole (58%) were the most frequently detected compounds while naproxen was not detected in any sample and other pharmaceuticals were present in &lt;50% of samples. Fate and transport modelling in the vadose zone suggest that detection frequencies and concentrations in groundwater are influenced by physicochemical properties of pharmaceutical compounds including sorption potential and biodegradation rates in soil. Average concentrations were typically &lt; 20 μg/L in private wells however, groundwater concentrations were higher when compared to nearby surface water samples. Additionally, human health risk calculations were conducted and revealed that none of the concentrations observed in the groundwater samples posed significant human health risk. Factors influencing the fate and transport of 20 EOCs in surface water sources impacted by both point source inputs from wastewater discharges and non-point inputs were investigated during a 2-yr. monitoring study. Six drinking water sources consisting of 3 riverine and reservoir types located in the Susquehanna River Basin were used as study sites. Higher detection frequencies and concentrations of targeted EOCs were observed in riverine sources in comparison to reservoir sources where longer residence times can promote natural attenuation processes. Detection frequencies of EOCs were linked to dominant land use types in associated watersheds with lower frequencies of detections observed in highly forested watersheds potentially due to reduced pollutant sources. Seasonal influences in concentrations of EOCs were observed as higher concentrations were recorded in the fall, winter and spring seasons since these colder seasons are associated with lower biodegradation rates in surface water. Statistically significant (p&lt;0.05) seasonal variations were observed for acetaminophen, caffeine, naproxen, and sulfamethoxazole. EOCs depicted diverse hydrologic contaminant transport responses. EOCs of wastewater origin such as metformin and sulfamethoxazole exhibited dilution responses whereby aqueous concentrations reduced during high streamflow conditions. Thiamethoxam, a neonicotinoid insecticide depicted concentration accretion patterns with lower in stream concentrations during low streamflow conditions and higher levels following high precipitation events which results in surface runoff that transports agricultural EOCs from diffuse sources. Risk calculations indicate that measured EOCs posed medium to high risk to aquatic organisms, however human health risks through consumption of fish was low. The occurrence of pharmaceuticals in various surface water sources raises concern over their removal through conventional drinking water treatment processes. A 1-yr. monitoring study was conducted in two conventional drinking water treatment plants (DWTPs) to evaluate seasonality in the occurrence of seven pharmaceutical compounds (acetaminophen, ampicillin, caffeine, naproxen, ofloxacin, sulfamethoxazole, and trimethoprim) in source waters, intermediate treatment steps and finished treated water distributed to consumers. At least one pharmaceutical compound was quantified in 88% of samples collected from untreated source waters, 80% of intermediate treatment step samples, and 64% of finished drinking water samples. Average concentrations in source water samples ranged between 0.12-14.66 μg/L to 0.05 μg/L-7.87 μg/L in finished drinking water. In general, concentrations of pharmaceuticals in finished water samples were lower than source water samples indicating that most of the pharmaceutical compounds are degraded during water treatment, though occurrence in finished water imply incomplete removal during treatment. Concentrations in source and treated drinking water varied seasonally with the highest concentrations recorded during fall, winter and spring seasons while lower concentrations occurred in the summer months. Environmental risk assessment reveal that the studied pharmaceuticals pose medium to high risk to the aquatic organisms. Although occurrence of pharmaceuticals in finished drinking water indicate their ability to persist during water treatment, concentrations measured in finished water pose minimal human health risks.</t>
  </si>
  <si>
    <t>Oct 2016 - Feb 2017</t>
  </si>
  <si>
    <t>Penn State WWTP</t>
  </si>
  <si>
    <t>Tables 3-2, 3-3</t>
  </si>
  <si>
    <t>Faith Awino Kibuye</t>
  </si>
  <si>
    <t>The Pennsylvania State University ProQuest Dissertations &amp; Theses</t>
  </si>
  <si>
    <t>69, 73</t>
  </si>
  <si>
    <t>University Park, PA</t>
  </si>
  <si>
    <t>https://www.proquest.com/docview/2432889212?pq-origsite=gscholar&amp;fromopenview=true&amp;sourcetype=Dissertations%20&amp;%20Theses</t>
  </si>
  <si>
    <t>Global occurrence and aquatic hazards of antipsychotics in sewage influents, effluent discharges and surface waters</t>
  </si>
  <si>
    <t>Despite increasing reports of pharmaceuticals in surface waters, aquatic hazard information remains limited for many contaminants, particularly for sublethal, chronic responses plausibly linked to molecular initiation events that are largely conserved across vertebrates. Here, we critically examined available refereed information on the occurrence of 67 antipsychotics in wastewater effluent and surface waters. Because the majority of sewage remains untreated around the world, we also examined occurrence in sewage influents. When sufficient information was available, we developed probabilistic environmental exposure distributions (EEDs) for each compound in each matrix by geographic region. We then performed probabilistic environmental hazard assessments (PEHAs) using therapeutic hazard values (THVs) of each compound, due to limited sublethal aquatic toxicology information for this class of pharmaceuticals. From these PEHAs, we determined predicted exceedances of the respective THVs for each chemical among matrices and regions, noting that THV values of antipsychotic contaminants are typically lower than other classes of human pharmaceuticals. Diverse exceedances were observed, and these aquatic hazards varied by compound, matrix and geographic region. In wastewater effluent discharges and surface waters, sulpiride was the most detected antipsychotic; however, percent exceedances of the THV were minimal (0.6%) for this medication. In contrast, we observed elevated aquatic hazards for chlorpromazine (30.5%), aripiprazole (37.5%), and perphenazine (68.7%) in effluent discharges, and for chlorprothixene (35.4%) and flupentixol (98.8%) in surface waters. Elevated aquatic hazards for relatively understudied antipsychotics were identified, which highlight important data gaps for future environmental chemistry and toxicology research.</t>
  </si>
  <si>
    <t>Oliveria et al, 2015: July to Nov 2013
Subedi &amp; Kannan, 2015: July 2013
Croft et al, 2020: summer 2018
Montgomery et al, 2021: Jan-Feb 2020
Skees et al, 2018: Oct 2017</t>
  </si>
  <si>
    <t>Oliveira et al, 2015: Suffolk County, NY
Subedi &amp; Kannan, 2015: Albany, NY
Croft et al, 2020: E Kentucky
Montgomery et al, 2020: Kentucky
Skees et al, 2018: Kentucky</t>
  </si>
  <si>
    <t>Appendix A, supplementary info, multimedia component 2, "Influent" sheet</t>
  </si>
  <si>
    <t>Adam R. Wronski, Bryan W. Brooks</t>
  </si>
  <si>
    <t>https://doi.org/10.1016/j.envpol.2023.121042</t>
  </si>
  <si>
    <t>Landfill leachate contributes per-/poly-fluoroalkyl substances (PFAS) and pharmaceuticals to municipal wastewater</t>
  </si>
  <si>
    <t>July-Oct 2016</t>
  </si>
  <si>
    <t>Table SI-3_all hits</t>
  </si>
  <si>
    <t>Jason R. Masoner, Dana W. Kolpin, Isabelle M. Cozzarelli, Kelly L. Smalling, Stephanie C. Bolyard, Jennifer A. Field, Edward T. Furlong, James L. Gray, Duncan Lozinski, Debra Reinhart,  Alix Rodowa and  Paul M. Bradley  </t>
  </si>
  <si>
    <t>Environmental Science: Water Research &amp; Technology</t>
  </si>
  <si>
    <t>1300-1311</t>
  </si>
  <si>
    <t>https://doi.org/10.1039/D0EW00045K</t>
  </si>
  <si>
    <t>Technology Development for the Removal of Covid-19 Pharmaceutical Active Compounds from Water and Wastewater: A Review.</t>
  </si>
  <si>
    <t>The novel coronavirus (SARS-CoV-2) outbreak has given rise to an inevitable worldwide application of a wide variety of drugs. Some of these pharmaceutical compounds pass through water and wastewater treatment processes and appear in treated water, wastewater and biosolids. These have posed potential risks to the water quality of aquatic ecosystems and public health. As a result, the failure to lessen coronavirus drugs' negative environmental impacts is the subject of criticism. Hence, there is an urgent need for water utilities to upgrade their existing water and wastewater treatment processes to increase the removal efficiencies of these emerging micropollutants from coronavirus drugs, especially endocrine disruptor compounds. This review paper will present different treatment technologies that may be used in water and wastewater treatment plants to further remove pharmaceutical micropollutants from coronavirus drugs. Also, different classes of these drugs, their occurrence, and risks to aquatic ecosystems and human health have been discussed in the current study. </t>
  </si>
  <si>
    <t>Ottmar et al, 2012: no sampling date given, around 2012</t>
  </si>
  <si>
    <t>SE USA</t>
  </si>
  <si>
    <t>S. Hashemi Safaei, S. Young, Z. Samimi, F. Parvizi, A. Shokrollahi, M. Baniamer</t>
  </si>
  <si>
    <t>Journal of Environmental Informatics</t>
  </si>
  <si>
    <t>141-156</t>
  </si>
  <si>
    <t>https://doi.org/10.3808/jei.202200480</t>
  </si>
  <si>
    <t>Carmamazipine Removal in Decentralized Wastewater Treatment Systems</t>
  </si>
  <si>
    <t>Pharmaceutical and personal care product residuals in treated wastewater and receiving waterways are an emerging concern in environmental science/engineering. Multiple studies indicate these residual compounds are not removed effectively by wastewater treatment systems. In this study, concentrations of Carbamazepine were determined in the influent and effluent of three decentralized wastewater treatment systems (employing packed-bed filtration technologies with small daily inflows &lt;50,00 gpd) and compared to a large (28 mgd), pure-oxygen, activated sludge treatment system. The median influent concentration for centralized system was 30.3 ng/L and the median effluent concentration was 28.5 ng/L. For the three decentralized treatment system the median influent concentration was 29.6 ng/L and the effluent median concentration was 19.5 ng/L. This study compared the median removal percentage of Carbamazepine in each system to each other. We found that that an attached growth treatment system utilizing geotextile sheets for growth media and a long retention time showed a Carbamazepine removal percentage higher than the activated sludge system used as the control. The other two systems underperformed the activated sludge system.</t>
  </si>
  <si>
    <t>Appendix A, Table 13</t>
  </si>
  <si>
    <t>Terry W. Rickey, Jr.</t>
  </si>
  <si>
    <t>University of South Alabama ProQuest Dissertations &amp; Theses</t>
  </si>
  <si>
    <t>University of South Alabama, master's thesis</t>
  </si>
  <si>
    <t>54-57</t>
  </si>
  <si>
    <t>Mobile, AL</t>
  </si>
  <si>
    <t>https://www.proquest.com/docview/2211093582?pq-origsite=gscholar&amp;fromopenview=true&amp;sourcetype=Dissertations%20&amp;%20Theses</t>
  </si>
  <si>
    <t>Antifungal drugs in the aquatic environment: A review on sources, occurrence, toxicity, health effects, removal strategies and future challenges</t>
  </si>
  <si>
    <t>Fungal infections pose a significant global health burden, resulting in millions of severe cases and deaths annually. The escalating demand for effective antifungal treatments has led to a rise in the wholesale distribution of antifungal drugs, which consequently has led to their release into the environment, posing a threat to ecosystems and human health. This article aims to provide a comprehensive review of the presence and distribution of antifungal drugs in the environment, evaluate their potential ecological and health risks, and assess current methods for their removal. Reviewed studies from 2010 to 2023 period have revealed the widespread occurrence of 19 various antifungals in natural waters and other matrices at alarmingly high concentrations. Due to the inefficiency of conventional water treatment in removing these compounds, advanced oxidation processes, membrane filtration, and adsorption techniques have been developed as promising decontamination methods.In conclusion, this review emphasizes the urgent need for a comprehensive understanding of the presence, fate, and removal of antifungal drugs in the environment. By addressing the current knowledge gaps and exploring future prospects, this study contributes to the development of strategies for mitigating the environmental impact of antifungal drugs and protecting ecosystems and human health.</t>
  </si>
  <si>
    <t>Baltimore</t>
  </si>
  <si>
    <t>Michał Wroński, Jakub Trawiński, Robert Skibiński</t>
  </si>
  <si>
    <t>Journal of Hazardous Materials</t>
  </si>
  <si>
    <t>https://doi.org/10.1016/j.jhazmat.2023.133167</t>
  </si>
  <si>
    <t>β-blockers in the environment: Distribution, transformation, and ecotoxicity</t>
  </si>
  <si>
    <t>β-blockers are a class of medications widely used to treat cardiovascular disorders, including abnormal heart rhythms, high blood pressure, and angina pectoris. The prevalence of β-blockers has generated a widespread concern on their potential chronic toxicity on aquatic organisms, highlighting the necessity of comprehensive studies on their environmental distribution, fate, and toxicity. This review summarizes the up-to-date knowledge on the source, global distribution, analytical methods, transformation, and toxicity of β-blockers. Twelve β-blockers have been detected in various environmental matrices, displaying significant temporal and spatial variations. β-blockers can be reduced by 0–99% at wastewater treatment plants, where secondary processes contribute to the majority of removal. Advanced oxidation processes, e.g., photocatalysis and combined UV/persulfate can transform β-blockers more rapidly and completely than conventional wastewater treatment processes, but the transformation products could be more toxic than the parent compounds. Propranolol, especially its (S)-enantiomer, exhibits the highest toxicity among all β-blockers. Future research towards improved detection methods, more efficient and cost-effective removal techniques, and more accurate toxicity assessment is needed to prioritize β-blockers for environmental monitoring and control worldwide.</t>
  </si>
  <si>
    <t>Lara-Martin et al, 2014: 2009</t>
  </si>
  <si>
    <t>Lara-Martin et al, 2014: NYC / Long Island</t>
  </si>
  <si>
    <t>Table SI-1</t>
  </si>
  <si>
    <t>Ming Yi, Qi Sheng, Qian Sui, Huijie Lu</t>
  </si>
  <si>
    <t>266, Part 2</t>
  </si>
  <si>
    <t>https://doi.org/10.1016/j.envpol.2020.115269</t>
  </si>
  <si>
    <t>Monitoring of over-the-counter (OTC) and COVID-19 treatment drugs complement wastewater surveillance of SARS-CoV-2</t>
  </si>
  <si>
    <t>Background The application of wastewater-based epidemiology to track the outbreak and prevalence of coronavirus disease (COVID-19) in communities has been tested and validated by several researchers across the globe. However, the RNA-based surveillance has its inherent limitations and uncertainties. Objective This study aims to complement the ongoing wastewater surveillance efforts by analyzing other chemical biomarkers in wastewater to help assess community response (hospitalization and treatment) during the pandemic (2020–2021). Methods Wastewater samples (n = 183) were collected from the largest wastewater treatment facility in Suffolk County, NY, USA and analyzed for COVID-19 treatment drugs (remdesivir, chloroquine, and hydroxychloroquine (HCQ)) and their human metabolites. We additionally monitored 26 pharmaceuticals including common over-the-counter (OTC) drugs. Lastly, we developed a Bayesian model that uses viral RNA, COVID-19 treatment drugs, and pharmaceuticals data to predict the confirmed COVID-19 cases within the catchment area. Results The viral RNA levels in wastewater tracked the actual COVID-19 case numbers well as expected. COVID-19 treatment drugs were detected with varying frequency (9–100%) partly due to their instability in wastewater. We observed a significant correlation (R = 0.30, p &lt; 0.01) between the SARS-CoV-2 genes and desethylhydroxychloroquine (DHCQ, metabolite of HCQ). Remdesivir levels peaked immediately after the Emergency Use Authorization approved by the FDA. Although, 13 out of 26 pharmaceuticals assessed were consistently detected (DF = 100%, n = 111), only acetaminophen was significantly correlated with viral loads, especially when the Omicron variant was dominant. The Bayesian models were capable of reproducing the temporal trend of the confirmed cases. Impact In this study, for the first time, we measured COVID-19 treatment and pharmaceutical drugs and their metabolites in wastewater to complement ongoing COVID-19 viral RNA surveillance efforts. Our results highlighted that, although the COVID-19 treatment drugs were not very stable in wastewater, their detection matched with usage trends in the community. Acetaminophen, an OTC drug, was significantly correlated with viral loads and confirmed cases, especially when the Omicron variant was dominant. A Bayesian model was developed which could predict COVID-19 cases more accurately when incorporating other drugs data along with viral RNA levels in wastewater.</t>
  </si>
  <si>
    <t>June-Dec 2020, Jan 2021-Jan 2022</t>
  </si>
  <si>
    <t>Suffolk County, NY</t>
  </si>
  <si>
    <t>Table S3</t>
  </si>
  <si>
    <t>Cheng-Shiuan Lee, Mian Wang, Deepak Nanjappa, Yi-Ta Lu, Jaymie Meliker, Sean Clouston, Christopher J. Gobler &amp; Arjun K. Venkatesa</t>
  </si>
  <si>
    <t>Journal of Exposure Science &amp; Environmental Epidemiology</t>
  </si>
  <si>
    <t>https://doi.org/10.1038/s41370-023-00613-2</t>
  </si>
  <si>
    <t>Wastewater surveillance of high risk substances in Southern Nevada: Sucralose normalization to translate data for potential public health action</t>
  </si>
  <si>
    <t>The COVID-19 pandemic highlighted the value of wastewater surveillance in providing unbiased assessments of incidence/prevalence for infectious disease targets, ultimately leading to the development of local, state, and national programs across the United States. To address the growing epidemic of drug abuse, there have been calls to extend these programs to high risk substances (HRS) and metabolites, while leveraging the experience gained during the pandemic and from ongoing efforts in other countries. This study further advances the science of wastewater surveillance for HRS by (1) highlighting analytical and sewer transport considerations, (2) proposing sucralose normalization to adjust for varying human urine/fecal load and confounded population estimates (e.g., high tourism areas), and (3) characterizing temporal and geographic trends in HRS use. This one-year study across eight sewersheds in Southern Nevada (208 total samples) monitored concentrations of 17 pharmaceuticals and personal care products (PPCPs) and 22 HRS and metabolites, including natural, semi-synthetic, and synthetic opioids. The data indicated a ∼200 % increase in heroin and methamphetamine use since 2010, a stark increase in fentanyl consumption beginning in October 2022, and statistically significant differences in HRS consumption patterns between sewersheds and on certain dates. Notably, the latter outcome highlights the potential for wastewater surveillance data to be strategically translated into public health action to reduce and/or more rapidly respond to overdoses.</t>
  </si>
  <si>
    <t>May 2022-April 2023</t>
  </si>
  <si>
    <t>S Nevada (near Las Vegas)</t>
  </si>
  <si>
    <t>Table S34</t>
  </si>
  <si>
    <t>Daniel Gerrity, Katherine Crank, Edwin C. Oh, Oscar Quinones, Rebecca A. Trenholm, Brett J. Vanderford</t>
  </si>
  <si>
    <t>https://doi.org/10.1016/j.scitotenv.2023.168369</t>
  </si>
  <si>
    <t>Demonstrating a Comprehensive Wastewater-Based Surveillance Approach That Differentiates Globally Sourced Resistomes</t>
  </si>
  <si>
    <t>Wastewater-based surveillance (WBS) for disease monitoring is highly promising but requires consistent methodologies that incorporate predetermined objectives, targets, and metrics. Herein, we describe a comprehensive metagenomics-based approach for global surveillance of antibiotic resistance in sewage that enables assessment of 1) which antibiotic resistance genes (ARGs) are shared across regions/communities; 2) which ARGs are discriminatory; and 3) factors associated with overall trends in ARGs, such as antibiotic concentrations. Across an internationally sourced transect of sewage samples collected using a centralized, standardized protocol, ARG relative abundances (16S rRNA gene-normalized) were highest in Hong Kong and India and lowest in Sweden and Switzerland, reflecting national policy, measured antibiotic concentrations, and metal resistance genes. Asian versus European/US resistomes were distinct, with macrolide-lincosamide-streptogramin, phenicol, quinolone, and tetracycline versus multidrug resistance ARGs being discriminatory, respectively. Regional trends in measured antibiotic concentrations differed from trends expected from public sales data. This could reflect unaccounted uses, captured only by the WBS approach. If properly benchmarked, antibiotic WBS might complement public sales and consumption statistics in the future. The WBS approach defined herein demonstrates multisite comparability and sensitivity to local/regional factors.</t>
  </si>
  <si>
    <t>Table S5</t>
  </si>
  <si>
    <t>Environmental Science &amp; Technology</t>
  </si>
  <si>
    <t>14982-14993</t>
  </si>
  <si>
    <t>https://doi.org/10.1021/acs.est.1c08673</t>
  </si>
  <si>
    <t>Prevalence of illicit and prescribed neuropsychiatric drugs in three communities in Kentucky using wastewater-based epidemiology and Monte Carlo simulation for the estimation of associated uncertainties</t>
  </si>
  <si>
    <t>A cost-effective alternative approach capable of determining the prevalence of substance use in communities can complement the existing efforts of combating drug abuse and addiction. In this study, the prevalence of 10 illicit and 19 prescribed psychoactive drugs of potential abuse was determined utilizing wastewater-based epidemiology, and compared in two adjoined urban communities and a rural community. This is the first application of the Monte Carlo simulation method to account multiple uncertainties and propagation of errors associated with the individual parameter of wastewater based epidemiological estimations in the U.S. A significantly higher prevalence of cocaine [3830 (mean difference, MD: 2960) mg/d/1000 people] was found in the central business district while the per-capita consumption rates of amphetamine [738 (MD: 338) mg/d/1000 people] and methamphetamine [1660 (MD: 629) mg/d/1000 people] were higher in a rural community. Among narcotics, the per-capita consumption rate of fentanyl and morphine was significantly higher in urban communities while codeine, hydrocodone, hydromorphone, and buprenorphine were dominant in a rural community. The significantly higher prevalence of buprenorphine (˜20-30 folds), oxycodone (˜2-3 folds), and alprazolam (˜2-3 folds) determined in these communities compared to the conventional estimates based on the electronically reported prescriptions and drug-related inpatient hospitalizations suggest the abuse of these drugs.</t>
  </si>
  <si>
    <t>Table S4</t>
  </si>
  <si>
    <t>Tara L. Croft, Rhiannon A. Huffines, Manoj Pathak, Bikram Subedi</t>
  </si>
  <si>
    <t>https://doi.org/10.1016/j.jhazmat.2019.121306</t>
  </si>
  <si>
    <t>Nootropic drugs: Methylphenidate, modafinil and piracetam – Population use trends, occurrence in the environment, ecotoxicity and removal methods – A review</t>
  </si>
  <si>
    <t>Pharmaceuticals which originally were designed to treat people with neurological and psychiatric conditions, e.g. Alzheimer's disease or attention deficit hyperactivity disorder (ADHD), are nowadays often misused by students as a ‘brain doping’ substances. These substances are known as nootropic drugs, smart drugs or cognitive enhancers, as they increase memory, attention and concentration of healthy individuals. Since they are easily available illicitly, their consumption is observed to be growing. Currently, these pharmaceuticals started gaining researchers' attention, especially since they have been recently detected in wastewater, surface water and even drinking water. This review summarises the current state of knowledge on nootropic drugs in terms of their population use trends and ethics, occurrence in the environment and detection techniques, toxicity and removal methods, in example of methylphenidate, modafinil and piracetam – three most popular nootropics. It points out that the main sources of knowledge on cognitive enhancers illicit use are often inconsistent questionnaires, which are not supported by wastewater analysis to become more veracious. Simultaneously, the studies concerning toxicity and removal methods of nootropic drugs are still limited and in many cases environmentally irrelevant. Although the prescription rules has been subjected to more strict control in developed countries, regulatory frameworks with regard to their ecosystem occurrence are still lacking and should be introduced. Moreover, the use of environmentally relevant concentrations in toxicity studies should be a standard, leading to proper ecotoxicity risk assessment. Based on this review, it is recommended to routinely monitor nootropics and their metabolites in waste- and surface waters.</t>
  </si>
  <si>
    <t>Skees et al, 2018: Oct 2017</t>
  </si>
  <si>
    <t>Skees et al, 2018: SE USA</t>
  </si>
  <si>
    <t>Table 4</t>
  </si>
  <si>
    <t>Wiktoria Wilms, Marta Woźniak-Karczewska, Philippe F.-X. Corvini, Łukasz Chrzanowski</t>
  </si>
  <si>
    <t>Chemosphere</t>
  </si>
  <si>
    <t>771-785</t>
  </si>
  <si>
    <t>https://doi.org/10.1016/j.chemosphere.2019.06.016</t>
  </si>
  <si>
    <t>The Influence and Removal of Pharmaceuticals During Anaerobic Wastewater Treatment</t>
  </si>
  <si>
    <t>The ever growing demand of effluent quality standards, increasing costs of electricity consumption and carbon footprint presents a problem under current wastewater treatment (WWT) processes. This has directed interest towards more circular approaches to treating wastewater. Theoretically, anaerobic wastewater treatment (AnWWT) is a promising approach to traditional processes that could address the conflicting demands. However, there is a knowledge gap on how emerging contaminants influence AnWWT. In particular, the literature on how pharmaceutical micropollutants affect anaerobic bacteria is limited. A review of current research on the occurrence of pharmaceuticals in wastewater identified 10 compounds of interest: atenolol, bezafibrate, caffeine, carbamazepine, ciprofloxacin, clarithromycin, erythromycin, lidocaine, oxytetracycline and propranolol.  All were selected to investigate the impact of environmentally relevant pharmaceutical concentrations during AnWWT. A novel technique was developed to evaluate the biochemical methane potential (BMP) of low strength wastewater substrates. This allowed for the rapid assessment of anaerobic microbes under various conditions and later the impacts of pharmaceuticals. Encouraging results showed that the anaerobic microbes were resilient to a range of substrate strengths and temperatures, but mesophilic conditions (38⁰C) were optimal. Laboratory experiments investigated the impacts of environmentally relevant pharmaceutical concentrations on the BMP of the wastewater substrate. This was a novel aspect of this study; most studies published up to this time had only considered the influence of individual pharmaceuticals (mainly antibiotics) at concentrations much higher than the amount expected in influent. Results showed that pharmaceuticals could negatively impact the performance of anaerobic microbes. However, this was dependant on pharmaceutical concentrations and the diversity of the microbial community. Interestingly, microbes were shown to adapt to the presence of pharmaceuticals over time. Semi-continuous experiments, using a continuously stirred tank reactor (CSTR), were designed to investigate the influence of pharmaceuticals during AnWWT. Performance of the reactor declined after pharmaceuticals were introduced and when concentrations were increased, but recovery was noted. It suggested that shock loadings of pharmaceuticals can have negative consequences on treatment. Also, removal rates varied for each compound and depended on the organic loading rate (OLR). High removals were observed for clarithromycin (&gt;75%) during a low OLR (1.83g COD d-1). Ciprofloxacin, caffeine carbamazepine and lidocaine were moderately removed (36 – 60%), whilst low removals were determined for atenolol (7 – 17%). Clarithromycin and caffeine continued to be highly removed from the wastewater (&gt; 60%) after the OLR was increased (3.66g COD d-1). Lidocaine and atenolol removals remained consistent but negative removals were observed for bezafibrate and carbamazepine. Adsorption and biomass washout were expected to have contributed to the concentrations found in the wastewater effluent.  Finally, recommendations on the type of wastewater suited to AnWWT were provided and it is suggested that AnWWT may be less suited to mainstream municipal wastewater due to variability of micropollutants. Instead, opportunities could include direct conversion treatment of defined (low-variation) streams such as specific industrial effluents and smaller treatment plants (including small sewage systems). Future recommendations included the impact of other emerging pollutants, the performance of AnWWT using different sources of biomass and low cost techniques for biomass retention to improve degradation of micropollutants.</t>
  </si>
  <si>
    <t>Oliveira et al, 2015: Aug-Nov 2013</t>
  </si>
  <si>
    <t>Oliveira et al, 2015: Suffolk County, NY</t>
  </si>
  <si>
    <t>Table 2.4</t>
  </si>
  <si>
    <t>Kaitlin Eleanor Dickson Ramsay</t>
  </si>
  <si>
    <t>Elsevier B.V.</t>
  </si>
  <si>
    <t>Glasgow Caledonian University (PhD thesis)</t>
  </si>
  <si>
    <t>Glasgow, Scotland</t>
  </si>
  <si>
    <t>https://researchonline.gcu.ac.uk/en/studentTheses/the-influence-and-removal-of-pharmaceuticals-during-anaerobic-was</t>
  </si>
  <si>
    <t>Distribution of Antibiotic Resistance in a Mixed-Use Watershed and the Impact of Wastewater Treatment Plants on Antibiotic Resistance in Surface Water</t>
  </si>
  <si>
    <t>2017-18</t>
  </si>
  <si>
    <t>Athens, GA</t>
  </si>
  <si>
    <t>Tables S1-S4</t>
  </si>
  <si>
    <t>Sohyun Cho, Lari M. Hiott, Quentin D. Read, Julian Damashek, Jason Westrich, Martinique Edwards, Roland F. Seim, Donna A. Glinski, Jacob M. Bateman McDonald, Elizabeth A. Ottesen, Erin K. Lipp, William Matthew Henderson, Charlene R. Jackson, Jonathan G. Frye</t>
  </si>
  <si>
    <t>Antibiotics</t>
  </si>
  <si>
    <t>https://doi.org/10.3390/antibiotics12111586</t>
  </si>
  <si>
    <t>Investigating the role of nonantibiotic chemical contaminants in the evolution of antibiotic resistance</t>
  </si>
  <si>
    <t>Antibiotic resistance, the ability of bacteria to resist the effects of antibiotic drugs, has now become a global threat to public health. Every year around 700,000 people die due to the antibiotic-resistant bacterial infections, and this number is even predicted to reach as many as 10 million by the year of 2050 if no actions are taken. Not only in clinical settings, antibiotic resistant bacteria and resistance genes are frequently detected in environmental compartments, such as wastewater treatment systems and animal husbandry facilities. Considering that the antibiotic resistance developed in those environments may re-enter water cycle and food chain, there could be potential transmissions of antibiotic resistance from the environmental hotspots to medical settings. Thus, it is urgent to control the emergence and spread of antibiotic resistance in the environments. The resistance could be acquired either by genetic mutations or horizontal transfer of resistance genes. These acquisition processes could be promoted by selective pressures, in which antibiotics are the long-standing study focus. However, a variety of chemical contaminants are present in natural and built environments. It is unclear how these nonantibiotic contaminants would affect the selection of antibiotic resistance. Aimed to answer this question, my work systematically investigated the role of nonantibiotic chemical contaminants in the evolution of antibiotic resistance. I started the investigation of the occurrence of chemical contaminants in wastewater. The influent and effluent samples from two local wastewater treatment plants in Urbana-Champaign were analyzed by HPLC coupled with high-resolution mass spectrometry. A suspect screening method was applied with a comprehensive suspect list of over 1000 chemicals in 5 categories: pharmaceuticals, personal care products, pesticides, industrial chemical, and metabolites. Paracetamol, benzotriazole, gabapentin, and DEET were detected in the influent with high abundance. The results also revealed that many chemical contaminants, such as fexofenadine, and prometon, had low removal efficiencies. This study suggests the prevalence of chemical contaminants and their coexistence in the wastewater. I then investigated the effects of pesticide mixture, which are nonantibiotic chemical contaminants and co-occur with antibiotics in the environments, on the development of antibiotic resistant bacteria. Long-term exposure experiments under pesticide exposure conditions were conducted in the Escherichia coli K-12 strain. The results reveal that (1) the exposure to pesticides (mg/L) alone lead to the emergence of mutants with significantly higher resistance to streptomycin; (2) the coexposure to pesticides (in μg/L) and a subinhibitory level (in high μg/L) of the antibiotic, ampicillin, synergistically stimulated the selection of ampicillin resistance and the cross-resistance to other antibiotics. Using genomic and transcriptome analysis, I have identified distinct and diversified genetic mutations in resistant mutants selected from the exposure conditions with pesticides, which likely caused a holistic transcriptional response (e.g., biofilm formation, oxidative stress defense) and led to increased resistance. I further explored whether the synergy of pesticides and ampicillin could be applied to other antibiotics and how pesticides as the co-stressors affect the evolutionary trajectory toward antibiotic resistance. The coexposure to pesticides and another antibiotic, streptomycin, substantially changed the phenotypic, genotypic, and fitness trajectories, resulting in much stronger resistance (&gt; 15-fold increase) of the populations. A succession pattern from the mildly resistant mutants with off-target mutations to the strongly resistant mutants with target modification mutations was found in the coexposed bacterial populations. Moreover, the relative fitness between different genotypes of cells has driven the evolution toward strong resistance, and the strongly resistant mutants exhibited higher fitness than the mildly resistant mutants even without the selective pressure. These findings depict the complete process of evolution with pesticide co-stressors, implying that the removal of selective pressure alone may not reverse strong resistance at a certain evolutionary period. In addition, the bacterial specificity to the synergy of pesticides and streptomycin was studied, and the results showed that the synergistic effect of pesticides and streptomycin could also be exerted in the E. coli O157: H7, but not the other tested strains (i.e., Pseudomonas putida and Staphylococcus epidermidis), suggesting the specificity of E. coli strains. Finally, I investigated how physicochemical parameters, including temperature, pH, salinity, and different nutrient elements would affect the growth of resistant and susceptible bacteria. The results showed that several physicochemical parameters (e.g., pH, KCl, Fe-limited condition) could affect the relative fitness of susceptible bacteria and resistant mutants, both with and without antibiotic stress, suggesting that other environmental factors could also influence the maintenance and selection of antibiotic resistance. Overall, my work elucidates that pesticides could induce de novo resistant mutants and drive the evolutionary trajectories toward higher resistance in the bacterial populations. These results highlight the overlooked role of nonantibiotic chemical contaminants in promoting antibiotic resistance, which provide a better understanding of antibiotic resistance evolution in the environments and help making better mitigation strategies against antibiotic resistance.</t>
  </si>
  <si>
    <t>Table 2.1</t>
  </si>
  <si>
    <t>Yue Xing</t>
  </si>
  <si>
    <t>Illinois University Library</t>
  </si>
  <si>
    <t>University of Illinois Urbana-Champaign</t>
  </si>
  <si>
    <t>Urbana, IL</t>
  </si>
  <si>
    <t>https://www.ideals.illinois.edu/items/121213</t>
  </si>
  <si>
    <t>The Influence of Wastewater Reuse on the Occurrence of Antibiotics, Antibiotic Resistant Bacteria, and Toxicological Impacts in the Environment</t>
  </si>
  <si>
    <t>Since the late 1990’s, low levels of pharmaceuticals and personal care products (PPCPs) have been detected in waterways and soil systems throughout the world. One of the main pathways that PPCPs reach the environment is by discharge of wastewater treatment plant (WWTP) effluent directly into natural waterways. Although concern of overt toxicity is low, pharmaceuticals are designed to elicit highly specific physiological responses. Release into the environment may result in unexpected biological and ecological responses in target and nontarget organisms that permanently alter the dynamics within an ecological system. Antibiotics, in particular, are an area of rising concern, specifically for human and animal health, due to selection and development of drug-resistant bacteria that limit the drugs available to fight infections. As cases of resistance increasing, the integrity and efficacy of antibiotics comes into question, especially with the development of human pathogens with multidrug resistance. Although, historically, environmental and clinical antibiotic resistance genes (ARGs) have been viewed as discrete entities, recently, environmental resistance genes have been linked to human pathogens. Scenarios for shared resistance between human pathogens and the environment are becoming more feasible given the influxes of anthropogenic antibiotics into the environment creating selective pressures for environmental bacteria to evolve cross-resistance to commonly prescribed antibiotics. Currently, sewage treatment systems are not equipped to completely remove antibiotics. A main concern about this uncontrolled release of anthropogenic antibiotics into waterways is the conduit created for intimate interactions of environmental bacteria with synthetic antibiotics that may alter microbial communities and negatively impact ecological systems. Due to the nature of wastewater reuse, the presence of anthropogenic antibiotics in effluent and subsequent aquatic environments may allow antibiotics and antibiotic resistance to cycle through ecosystems and eventually impact ecological and human health. One possible approach to mediate the release of anthropogenic antibiotics into waterways is tertiary treatment of effluent in soil, which will not only potentially remove contaminants, but also conserve water resources. Recent research has shown that anthropogenic antibiotics released into the environment have variable impacts on antibiotic resistance in bacteria depending on the system: water, soil or sediment. Of note, the level of antibiotic resistance in effluent impacted soil systems appears to be significantly lower than waterways and sediments. Therefore, tertiary treatment of effluent may effectively remove antibiotics and limit the development of antibiotic resistance throughout ecosystems. The Pennsylvania State University has a unique wastewater renovation system known as the Living Filter where WWTP effluent is spray irrigated on cropped, grassed and forested lands. This site has been in full operation since the 1980’s, is continuously spray irrigated year-round and receives on average 5 cm of effluent per week. Given the continuous application of WWTP effluent, this site offers a unique opportunity to analyze the potential for soil to provide a tertiary treatment of the effluent and remove antibiotics as well as analyze the potential biological impact of low concentrations of antibiotics within the soil and water environment. The objectives of this dissertation were to (i) quantify concentrations of four antibiotics (sulfamethoxazole, trimethoprim, ofloxacin, and lincomycin) in soil and water environments impacted by reuse of WWTP effluent, (ii) analyze for antibiotic resistant bacteria and antibiotic resistance genes in soil irrigated with WWTP effluent, and (iii) provide preliminary analysis of potential toxicological impacts of WWTP effluent. For the first objective, analysis of water, soil, and wheat samples at the Living Filter showed that antibiotic concentrations are present throughout the system from the influent entering the WWTP to the effluent that was spray-irrigated on soil, wheat plants grown on site, and the groundwater at the Astronomy Site. Concentrations of the four antibiotics are highest at the WWTP with concentration ranging from &lt;LOD for lincomycin up to 22 μg L-1 for sulfamethoxazole in the effluent, with overall antibiotics concentration averages of 0.71±1.3 μg L-1 and 1.05±3.8 μg L-1, respectively, for influent and effluent. Groundwater had the lowest overall load of antibiotics with most concentration below 25 ng L-1 and a yearly range of &lt;LOD – 660 ng L-1. Sulfamethoxazole was the antibiotic typically present in influent, effluent and groundwater at the highest concentrations, while trimethoprim, ofloxacin and lincomycin present, but with greater variability in overall abundance. When wheat plants were analyzed, residues of each compound were present on most plant surfaces. Ofloxacin was found throughout the plant with higher concentrations in the straw (10.2 ± 7.05 ng g-1) and lower concentrations in the grain (2.28 ± 0.89 ng g-1). Trimethoprim was found only on grain or straw surfaces, while carbamazepine, an anti-epileptic drug, and sulfamethoxazole were concentrated within the grain (1.88 ± 2.11 ng g-1 and 0.64 ± 0.37 ng g-1, respectively). Within the soil profile, ofloxacin had the highest background concentrations (650±204 ng kg-1) even after 7 months without effluent irrigation. However, after 10 weeks of effluent irrigation, concentrations of sulfamethoxazole (730±360 ng kg-1) were higher than ofloxacin, and trimethoprim was finally quantified (190±71 ng kg-1) in the soil profile. For the second objective, analysis of antibiotic resistant bacteria and antibiotic resistance genes began with a preliminary study showing that Gram-negative bacteria were resistant to trimethoprim above minimum inhibitory concentrations at the cropped location of the Astronomy site but absent at the control site. Additionally, this preliminary work found that copy numbers of SulI, a sulfonamide resistance gene, were significantly higher at the Astronomy site at a depth of 10-15 cm compared to the Control site. Based on this preliminary work demonstrating that spray irrigation of effluent may alter levels of antibiotic resistance in the soil profile, a full-scale assessment of four different antibiotic resistance genes was performed [two sulfonamide resistance genes (SulI and SulII), a macrolide resistance gene (ermB), and an integron associated with antibiotic resistance (Int1L)]. The impacts of spray irrigating with effluent at the Astronomy Site varied by type of antibiotic resistance gene, location (depression versus summit), and soil profile depth. For SulI, 10 weeks of irrigation resulted in significant increases in resistant gene numbers at a depth of 0-5 cm for the depression sites. Regardless of the number of irrigation events (1 week versus 10 weeks versus indirect irrigation), the number of SulI resistance genes at a depth of 35-80 cm at the Astronomy was higher for both depression and summit locations compared to the control site. On the other hand, for SulII, spray irrigation had little impact on resistance gene numbers near the surface regardless of location or number or irrigation events. By depth, differences in sulII resistance gene numbers did occur with higher levels at the Astronomy Site compared to the control site. Similar results occurred with ermB with little differences near the surface, but by depth ermB was present at the Astronomy Site while absent at the control site. Finally, for Int1L, while a few locations at the Astronomy Site had higher numbers of resistance genes near the surface, the most significant trend was that the amount of this resistance gene at the 35-80 cm depth was higher at the Astronomy Site compared to the control site. Overall, antibiotic resistance does appear to be impacted at the Astronomy Site due to spray irrigation of effluent on cropped lands; however, it varies by resistance gene. The most consistent impact was higher numbers of resistance genes by depth at the Astronomy Site compared to the control site. Finally, the initial assessment of potential toxicological impacts of effluent containing complex mixtures of contaminants that is, then, released into the environment did show that biological effects in mammals might be possible. In fact, the highest biological activity found in effluent was endocrine disruption with the total effluent having much higher activity than even the reference compound, 17β-estradiol. At concentrations similar to environmental levels of effluent, the whole effluent had an activity level equivalent to 54.5 μg L-1 of 17β-estradiol, which is higher than most acceptable daily intakes for humans and predicted no effect concentrations for aquatic wildlife. While the contaminant load from the whole effluent would be diluted once it enters the environment, that dilution effect might not be enough to lower the overall biological activity of that contaminant mixture so that it wouldn’t have adverse effects in endocrine systems of exposed organisms. Additional research is necessary to determine the specific receptors within the endocrine system that are being activated by the whole effluent, but this preliminary work demonstrates the possible risk that effluent going out into the environment might pose. In addition, bioassays may be an adequate screening tool for assessing the overall environmental risk of effluent and other complex contaminant mixtures. In conclusion, this research project has shown that antibiotics are present throughout the Living Filter system from the WWTP to the impacted soil and water environments. Antibiotics are found at the highest concentrations in the influent and effluent of the WWTP and those concentrations decrease once in the environment with the lowest concentrations found in the groundwater. The soil does appear to prevent most of the antibiotics from reaching the groundwater system by either retaining those compounds in the soil profile, specifically SMX and OFL, and/or by degradation processes. However, the presence of these antibiotics in the soil profile does lead to update into wheat plants and appears to impact antibiotic resistance with higher numbers of antibiotic resistance genes found to a depth of 80 cm at the Astronomy Site when compared to a control site. Finally, initial toxicity assays demonstrate that effluent containing not only antibiotics but also other contaminants has the potential for negative biological impacts, especially with regard to endocrine disruption. Overall, by spray irrigating effluent on cropped lands the soil does filter the antibiotics to prevent significant groundwater contamination, but the possible biological impacts need to be assessed more carefully.</t>
  </si>
  <si>
    <t>Summer 2013-Summer 2017</t>
  </si>
  <si>
    <t>Living Filter @ Penn State</t>
  </si>
  <si>
    <t>Tables for summer 2013-August 2017 for each drug in Appendix C</t>
  </si>
  <si>
    <t>Alison M. Franklin</t>
  </si>
  <si>
    <t>PennState University Libraries Electronic Theses and Disserations for Graduate School</t>
  </si>
  <si>
    <t>The Pennsylvania State University (doctoral thesis)</t>
  </si>
  <si>
    <t>191-194</t>
  </si>
  <si>
    <t>https://www.proquest.com/docview/2676543923?pq-origsite=gscholar&amp;fromopenview=true&amp;sourcetype=Dissertations%20&amp;%20Theses</t>
  </si>
  <si>
    <t>Combining environmental, health, and safety features with a conductor like Screening Model for selecting green solvents for antibiotic analyses</t>
  </si>
  <si>
    <t>Extraction and chromatographic techniques for analyzing pharmaceutically active compounds necessitate large quantities of organic solvents, resulting in a high volume of hazardous waste. The concept of green solvents focuses on protecting the environment by reducing or even eliminating the use of toxic solvents. The main objective of this critical review article is to build a framework for choosing green solvents for antibiotic analyses. The article briefly discusses the chemical properties of ciprofloxacin, sulfamethoxazole, tetracycline, and trimethoprim, and the current state of methodologies for their analyses in water and wastewater. It evaluates the greenness of solvents used for antibiotic analyses and includes insights on the comparison between conventional and green solvents for the analyses. An economic and environmental health and safety analysis combined with a Conductor-like Screening Model for Real Solvent (COSMO-RS) molecular simulation technique for predicting extraction efficiency was used in the evaluation. Methyl acetate and propylene carbonate tied for the greenest solvents from an environmental and economic perspective, whereas the COSMO-RS approach suggests dimethyl sulfoxide (DMSO) as the most suitable candidate. Although DMSO ranked third environmentally and economically, after methyl acetate and propylene carbonate, it would be an ideal replacement of hazardous solvents if it could be manufactured at a lower cost. DMSO showed the highest extraction capacity, as it can interact with antibiotics through hydrophobic interaction and hydrogen bonding. This article can be used as a green solvent selection guide for developing sustainable processes for antibiotic analyses.</t>
  </si>
  <si>
    <t>Bhandari et al, 2008: n.d.</t>
  </si>
  <si>
    <t>Bhandari et al, 2008: midwestern US</t>
  </si>
  <si>
    <t>Table 1</t>
  </si>
  <si>
    <t>Sayeda Ummeh Masrura, Tauqeer Abbas, Tammy L. Jones-Lepp, Puangrat Kaewlom, Eakalak Khan</t>
  </si>
  <si>
    <t>Environmental Research</t>
  </si>
  <si>
    <t>https://doi.org/10.1016/j.envres.2022.114962</t>
  </si>
  <si>
    <t>Fate and behaviour of metformin and its transformation product guanylurea in soil-water systems</t>
  </si>
  <si>
    <t>Due to the widespread occurrence of diabetes, metformin (MET) has become one of the most prescribed medicines in the world. The human body excretes MET through urine and faeces as an unchanged compound and MET eventually ends up in wastewater treatment plants, where the compound is transformed into its bacterial dead-end product, guanylurea (GUA). Monitoring of surface, drinking and groundwaters, sediments and sludge has shown the persistence of these compounds in the environment. Recently, researchers have documented that MET at 40 μg/L, which has been detected in wastewater effluent, also caused endocrine disrupting effects in fish. Due to its high usage, persistence in the environmental media and chronic ecotoxicity, MET has been identified as an emerging contaminant, but there is a dearth of information about its fate in the environment. Globally, land-application of wastewater effluents and sludge has become a popular disposal method, thus, understanding the fate of MET and GUA in the soil environment is crucial to assessing their risk to the wider ecosystems. Forced degradation studies of MET and GUA indicated that combined hydrolysis and photolysis contributed to &lt;30% degradation at neutral pH. Hydrolysis of MET was &lt;16% for all pH range studied while hydrolysis of GUA resulted to 60% and 50% degradation in acidic (pH4) and basic (pH 9) solutions, respectively. Photolytic degradation was &lt;5% for both compounds at all pH conditions. Batch sorption experiments revealed low to moderate sorption of MET and GUA in soils with their distribution coefficients ranging between 10.6 and 53.5 L/kg. The contrasting sorption behaviour of MET and GUA towards changes in pH and ionic strength suggests involvement of different sorption mechanisms for the two compounds. Electrostatic interactions and cation-exchange were the most significant mechanisms for MET and GUA sorption, respectively, at environmentally relevant pH range between 5.7 and 8.5. Biosolid-amended soils have also resulted in decreased MET sorption while GUA sorption significantly increased. Enrichment cultures demonstrated the capability of soil and sludge microbial communities to degrade MET and GUA to certain extent. In sludge cultures, 100% and 25% degradation of MET and GUA, respectively, was observed when supplied as single substrates while in soil cultures, 20% and 30% dissipation, respectively, was recorded. GUA was completely degraded in soil and sludge cultures with the addition of glucose which provided carbon and energy source to microbes. Out of the six kinetic models used (single first order, Michaelis-Menten, logistic, logarithmic, Quiroga-Rosales-Romero (QSR) and autocatalytic models), the QSR and autocatalytic models predicted the degradation profiles of GUA and MET, respectively, capturing the incomplete degradation of GUA and "autocatalytic" behaviour of MET. Soil incubation studies revealed a bi-phasic degradation pattern of both MET and GUA with an initial rapid degradation stage followed by a slow dissipation rate. Statistical indices and box-whisker plots showed that the double first-order in parallel and first-order two-compartment models best described the degradation patterns. The calculated half-lives (DT50) using both models were in the range of 2.7 to 15.5 days and 0.9 to 4 days for MET and GUA, respectively while 90% dissipation time (DT90) varied between 91 and 123 days and 44 and 137 days, respectively. Soil column experiments indicated high mobility of MET and GUA especially in biosolid-amended topsoils. Whilst biodegradation, which is affected by sorption, is a significant process affecting the attenuation of MET and GUA, their high mobility through soil leaching suggest that these compounds may still move into deeper soil profile. There is potential that both MET and GUA could also possibly reach the groundwater under conditions conducive to leaching such as during high rainfall events and storms. Experiments performed throughout this research led to a better understanding of the fate and behavior of MET and GUA in soil-water systems. Once MET- and GUA- contaminated wastewater enters the soil compartment, microbial degradation is the primary attenuation process that will contribute to their attenuation and dissipation in soil. However, biodegradation is influenced by the compound’s bioavailability, which is related to sorption and desorption, depending on the soil type and environmental conditions. Similarly, land application of biosolid may introduce MET and GUA to soil. Biosolid amendment changes soil properties greatly affecting their sorption and consequently, the rates of biodegradation.With biosolid amendment, desorption rates of both compounds increased which renders MET and GUA very mobile and they may potentially reach the groundwater.</t>
  </si>
  <si>
    <t>EPA, 2009: 2005-2008,
Benotti and Brownawell, 2007: Feb 2005</t>
  </si>
  <si>
    <t>EPA, 2009: US
Benotti and Brownawell, 2007: Long Island, NY</t>
  </si>
  <si>
    <t>University of Auckland Research Repository, ResearchSpace</t>
  </si>
  <si>
    <t>The University of Auckland (NZ), doctoral thesis</t>
  </si>
  <si>
    <t>Auckland, NZ</t>
  </si>
  <si>
    <t>https://researchspace.auckland.ac.nz/handle/2292/46342</t>
  </si>
  <si>
    <t>Carbamazepine Residues in Wastewater and River Water: Occurrence and Estimation of Use and Disposal of this Drug in a Small Community in Western Kentucky</t>
  </si>
  <si>
    <t>Carbamazepine (5H-dibenz[b,f]azepine-5-carboxamide, CBZ) is one of the most commonly used pharmaceutical drugs to treat pain symptoms, epilepsy, trigeminal neuralgia, and diabetes insipidus. CBZ is considered as one of the highly persistent pharmaceutical drugs and emerging pollutants in the environment. The objective of this study was to determine the disposal/contamination levels of CBZ in water samples collected from wastewater treatment plant effluent, Bee Creek, Clarks River, and Red Duck Creek, Kentucky. Enzyme-linked immunosorbent assay (ELISA) method was used to quantify CBZ in the samples. The results revealed that water samples from various sampling locations contained detectable concentrations of CBZ. The concentration of CBZ followed the order of WWTP Samples &gt; Clarks River ≥ Downstream Bee Creek &gt; Red Duck Creek &gt; Upstream Bee Creek. In effluent samples from Murray Wastewater Treatment Plant (MWWTP), the mean concentration of CBZ was 32.8 ng/L. Estimated discharge of CBZ was 655 mg/day (range 588–704 mg/day). Estimated total loading (based on dissolved phase only) from the community was 728 mg/day. Estimated per capita use of this drug in this small community is 36.4 μg/capita/day. This preliminary study provides evidence that CBZ is a potential environmental contaminant in these waters.</t>
  </si>
  <si>
    <t>Skees et al, 2018: Oct 2017
Kwon &amp; Rodriguez, 2014: Nov 2011-Sep 2012
Benotti &amp; Brownawell, 2007: Feb 2005</t>
  </si>
  <si>
    <t>Skees et al. 2018: SE US
Kwon &amp; Rodriguez, 2014: Mississippi
Benotti &amp; Brownawell, 2007: Long Island, NY</t>
  </si>
  <si>
    <t>Table 3</t>
  </si>
  <si>
    <t>Peng Shangwu, Bommanna G. Loganathan</t>
  </si>
  <si>
    <t>Paromita Chakraborty, Daniel Snow</t>
  </si>
  <si>
    <t>Legacy and Emerging Contaminants in Water and Wastewater: Monitoring, Risk Assessment and Remediation Techniques (book), in series: Emerging Contaminants and Associated Treatment Technologies</t>
  </si>
  <si>
    <t>Springer</t>
  </si>
  <si>
    <t>145-159</t>
  </si>
  <si>
    <t>Cham, Switzerland</t>
  </si>
  <si>
    <t>https://doi.org/10.1007/978-3-030-95443-7_7</t>
  </si>
  <si>
    <t>Nanotechnology-Based Treatment Strategies for the Removal of Antibiotics and Their By-Products from Wastewater</t>
  </si>
  <si>
    <t>Antibiotic resistance has become a serious issue throughout the world due to its inappropriate use and overdosing in pharmaceutical therapies and veterinary and agricultural applications. The cause of increasing antibiotic resistance is the slow and steady exposure of sensitive microbes to antibiotics released into the wastewater. Not only the antibiotics but also the degradation products of antibiotics in wastewater are also of major concern. The higher stability of antibiotics during biodegradation and conventional chlorination process has been a major challenge to remove them from wastewater. Various technologies like photocatalysis, advanced oxidation process (AOP), biological removal, adsorption, and nanotechnology- based processes/products have been investigated to address this issue. Among these technologies, nano-based technologies have been increasingly getting attention recently owing to their advantages. This chapter addresses the suitability, efficiency, advantages, disadvantages, and other factors involved in the removal of antibiotics and their by-products from wastewater using nanotechnology. The integrated use of biotechnology and nanotechnology has also been discussed.</t>
  </si>
  <si>
    <t>Kwon-Rodriguez, 2014: Nov 2011-Sept 2012
Li, Zheng &amp; Kelly, 2013: Sep and Nov 2011</t>
  </si>
  <si>
    <t>Kwon &amp; Rodriguez, 2014: Mississippi
Li, Zheng &amp; Kelly, 2013: Illinois</t>
  </si>
  <si>
    <t>Nithiya Pachamal, Rajarathnam Dharmarajan, S. Senthil Sundaram, Selvakumar Rajendran</t>
  </si>
  <si>
    <t>339-360</t>
  </si>
  <si>
    <t>https://doi.org/10.1007/978-3-030-95443-7_15</t>
  </si>
  <si>
    <t>A Review on the Removal of Carbamazepine from Aqueous Solution by Using Activated Carbon and Biochar</t>
  </si>
  <si>
    <t>Carbamazepine (CBZ), one of the most used pharmaceuticals worldwide and a Contaminant of Emerging Concern, represents a potential risk for the environment and human health. Wastewater treatment plants (WWTPs) are a significant source of CBZ to the environment, polluting the whole water cycle. In this review, the CBZ presence and fate in the urban water cycle are addressed, with a focus on adsorption as a possible solution for its removal. Specifically, the scientific literature on CBZ removal by activated carbon and its possible substitute Biochar, is comprehensively scanned and summed up, in view of increasing the circularity in water treatments. CBZ adsorption onto activated carbon and biochar is analyzed considering several aspects, such as physicochemical characteristics of the adsorbents, operational conditions of the adsorption processes and adsorption kinetics and isotherms models. WWTPs usually show almost no removal of CBZ (even negative), whereas removal is witnessed in drinking water treatment plants through advanced treatments (even &gt;90%). Among these, adsorption is considered one of the preferable methods, being economical and easier to operate. Adsorption capacity of CBZ is influenced by the characteristics of the adsorbent precursors, pyrolysis temperature and modification or activation processes. Among operational conditions, pH shows low influence on the process, as CBZ has no charge in most pH ranges. Differently, increasing temperature and rotational speed favor the adsorption of CBZ. The presence of other micro-contaminants and organic matter decreases the CBZ adsorption due to competition effects. These results, however, concern mainly laboratory-scale studies, hence, full-scale investigations are recommended to take into account the complexity of the real conditions.</t>
  </si>
  <si>
    <t>Yu, Wu &amp; Chang, 2013: Aug 2010 &amp; Feb 2011</t>
  </si>
  <si>
    <t>Yu, Wu &amp; Chang, 2013: Riverside, CA</t>
  </si>
  <si>
    <t>Sustainability</t>
  </si>
  <si>
    <t>https://doi.org/10.3390/su132111760</t>
  </si>
  <si>
    <t>Drugs of Abuse in Wastewater: Indicators of Sewage Contamination of Forester Creek, California and a Tool for Estimating Drug Consumption Rates in the Local Community</t>
  </si>
  <si>
    <t>Serious questions have been raised about the environmental and health impacts of pharmaceuticals in our nations water resources. As the use of illicit drugs continues to grow, it is important to understand their source, levels, and fate in our urban waters. In this study, amphetamine, methamphetamine, cocaine and benzoylecgonine (BE), the metabolite of cocaine, were detected and quantitated in raw composite wastewater influent samples from the Ray Stoyer Water Recycling Facility and Forester Creek in Santee, California. Solid phase extraction and analysis by LC-MS/MS were used to detect and quantitate the illicit drug residues in wastewater with 100% frequency. Mean concentrations were 1.03 ± 0.27, 9.02 ± 3.32, 1.70 ± 0.80, and 0.36 ± 0.09 µg/L for amphetamine, methamphetamine, BE, and cocaine respectively. Back-calculations of per-capita community drug consumption rates were then estimated and yielded values for amphetamine, methamphetamine and cocaine at 590.99, 5396.57, and 750.62 mg/d/1,000 people, respectively. Notably, methamphetamine per-capita consumption rates determined in the present study were the highest rates ever reported by this “sewage epidemiology” method for the U.S. and Europe. Nonparametric testing by Spearman Rank Correlation showed significant (p&lt;0.05) positive correlations (.0480-.0783) between the illicit drugs and traditional chemical markers (caffeine and sucralose) of sewage, with the exception of cocaine and sucralose. The results of the study suggest that illicit drugs, particularly BE, a metabolite unique to human excretion, should be considered an excellent chemical indicator of human sewage contamination of surface waters.</t>
  </si>
  <si>
    <t>Sep 2018-Jan 2019</t>
  </si>
  <si>
    <t>Dianne Zarate Pelley</t>
  </si>
  <si>
    <t>San Diego State University ProQuest Dissertations &amp; Theses</t>
  </si>
  <si>
    <t>San Diego State University (master's thesis)</t>
  </si>
  <si>
    <t>San Diego, CA</t>
  </si>
  <si>
    <t>https://www.proquest.com/docview/2316439467?pq-origsite=gscholar&amp;fromopenview=true&amp;sourcetype=Dissertations%20&amp;%20Theses</t>
  </si>
  <si>
    <t>Occurrence and Fate of Drugs of Abuse in Sewage</t>
  </si>
  <si>
    <t>Drugs of abuse are an emerging class of micropollutants of concern due to their high global consumption, their discharge into the environment, and their highly psychoactive nature that may pose risks to aquatic life. They have been detected in sewage and in surface waters worldwide but less is known about their presence in U.S. (United States) waters despite the high consumption of drugs in the country. A comprehensive understanding of their stability in sewer systems is critical in pollution prevention and control, and in wastewater-based surveillance (WBE) of community drug use. The overall goal of this research was to establish the occurrence of drugs of abuse in sewage and investigate their fate in sewers. The study was framed in the context of the U.S. Northeast region, which has among the highest drug use and drug-related death rates in the U.S. To achieve this goal, this research first developed and validated an analytical method, based on chromatography-mass spectrometry, to detect 13 target drug analytes in wastewater. The analytes of interest included six opioids: morphine, codeine, hydrocodone, methadone and it main metabolite EDDP, and fentanyl; and seven stimulants: cocaine and its main metabolite benzoylecgonine, methamphetamine, amphetamine, MDMA, MDEA and MDA. These drugs were selected based on their high consumption and reported frequent detection in wastewater systems. The developed method is rapid and has high sensitivity and recovery efficiency for all target drugs. Next, the sewage drug levels at 3 wastewater treatment plants (WWTPs) in the U.S. Northeast were monitored over 24 months to establish the spatio-temporal drug occurrence patterns in the service areas. All target drugs were detected at 100% efficiency in WWTPs, except for MDA which was detected at 93% efficiency in WWTP-2. Sewage drug concentrations varied temporally across and within the WWTPs at statistically significant levels. Then, WBE was applied to monitor drug use patterns in a small rural university town in the U.S. Northeast. Drug use trends varied over weekend/weekdays, monthly, seasonally, and pre-and during COVID-19 pandemic. On a mass basis, estimated average per capita drug consumption was highest for cocaine, morphine, and amphetamine, and lowest for MDMA, MDEA, and hydrocodone. Furthermore, the estimated fentanyl use was higher than reports for other rural areas. Findings also identify changing drug use trends over the pandemic period. Finally, the individual contributions of physical and biochemical processes to in-sewer drug stability were evaluated using 48-hr batch degradation tests. Results indicate that pseudo-first order kinetics describe the degradation of drugs in both wastewater and wastewater-biofilm microcosms. Amphetamine was most stable in any wastewater system. Abiotic chemical transformation played a major role in the degradation of morphine, fentanyl, and cocaine in wastewater. Fentanyl removal from wastewater was also influenced by biofilm sorption. Research outcomes contribute to the global data on the occurrence of drugs in U.S. water systems. Findings from the degradation studies provide fundamental understanding of the stability and degradation of drugs of abuse in sewers, which could improve estimation models for WBE community drug use surveillance.</t>
  </si>
  <si>
    <t>June &amp; Aug 2018</t>
  </si>
  <si>
    <t>Table II-1, Table III-1</t>
  </si>
  <si>
    <t>Jiayue Luo</t>
  </si>
  <si>
    <t>University of Massachusetts Lowell ProQuest Dissertations &amp; Theses</t>
  </si>
  <si>
    <t>University of Massachusetts Lowell</t>
  </si>
  <si>
    <t>23, 35, 103-108</t>
  </si>
  <si>
    <t>Lowell, MA</t>
  </si>
  <si>
    <t>https://www.proquest.com/docview/2582806509?pq-origsite=gscholar&amp;fromopenview=true&amp;sourcetype=Dissertations%20&amp;%20Theses</t>
  </si>
  <si>
    <t>Nicholas Bishop and Tammy Jones-Lepp and Miranda Margetts and Jordan Sykes and David Alvarez and Deborah E. Keil </t>
  </si>
  <si>
    <t>Kathryn R. Hayden and Matthew Jones and Kyle R. Elkin and Michael J. Shreve and William Irvin Clees, II and Shirley Clark and Michael L. Mashtare and Tamie L. Veith and Herschel A. Elliott and John E. Watson and Justin Silverman and Thomas L. Richard and Andrew F. Read and Heather E. Preisendanz</t>
  </si>
  <si>
    <t>Maria Virginia Prieto Riquelme, Emily Garner, Suraj Gupta, Jake Metch, Ni Zhu, Matthew F. Blair, Gustavo Arango-Argoty, Ayella Maile-Moskowitz, An-dong Li, Carl-Fredrik Flach, Diana S. Aga, Indumathi M. Nami, D.G. Joakim Larsson, Helmut Bürgmann, Tong Zhang, Amy Pruden, Peter J. Vikesland</t>
  </si>
  <si>
    <t>Rowena Mañez Briones</t>
  </si>
  <si>
    <t>María Alejandra Décima, Simone Marzeddu, Margherita Barchiesi, Camilla Di Marcantonio, Agostina Chiavola, Maria Rosaria Boni</t>
  </si>
  <si>
    <r>
      <t>The presence of pharmaceuticals and personal care products (PPCPs) in the environment is primarily the result of discharge of waste, including from onsite wastewater treatment systems (OWTSs) which are employed by 25% of homes in the United States. However, the occurrence and removal of PPCPs in OWTSs is not well understood, particularly given the large diversity in PPCP compounds as well as in OWTS designs. In this study, we monitored 26 different PPCPs in 13 full-scale nitrogen removing biofilters (NRBs), an innovative/alternative type of OWTS that utilizes an overlying sand layer and an underlying woodchip/sand layer to simultaneously remove nitrogen and other wastewater-derived contaminants. The specific objectives of this study were (i) to measure the occurrence of PPCPs in septic tank effluent (STE) that served as an influent to NRBs, (ii) to quantify PPCP removal in three types of NRB configurations (</t>
    </r>
    <r>
      <rPr>
        <i/>
        <sz val="12"/>
        <rFont val="Times New Roman"/>
        <family val="1"/>
      </rPr>
      <t>n</t>
    </r>
    <r>
      <rPr>
        <sz val="12"/>
        <rFont val="Times New Roman"/>
        <family val="1"/>
      </rPr>
      <t> = 13), and (iii) to evaluate PPCP removal with depth and environmental conditions in NRBs. Aqueous samples were taken during 42 separate sampling events during 2016 – 2019 and analyzed by liquid chromatography tandem mass spectrometry. Analysis of the STE samples yielded detection of 23 of the 26 PPCPs, with caffeine being the most abundant and frequently detected compound at 52,000 ng/L (range: 190 – 181,000 ng/L), followed by acetaminophen and paraxanthine at 47,500 ng/L (190 – 160,000 ng/L), and 34,300 ng/L (430 – 210,000 ng/L), respectively. Cimetidine, fenofibrate, and warfarin were the only compounds not detected. The average removal of PPCPs by NRBs ranged from 58% to &gt;99% for the various compounds. PPCP removal as a function of depth in the systems showed that 50 to &gt;99% of the observed removal was achieved within the top oxic layer (0 - 46 cm) of the NRBs for 19 analytes. Seven of the compounds had &gt;85% removal by the same depth. These results indicate that NRBs are effective at removing PPCPs and that a large portion of the removal is achieved within the oxic nitrifying layer of the NRBs. Overall, the removal of PPCPs in NRBs was comparable (</t>
    </r>
    <r>
      <rPr>
        <i/>
        <sz val="12"/>
        <rFont val="Times New Roman"/>
        <family val="1"/>
      </rPr>
      <t>n</t>
    </r>
    <r>
      <rPr>
        <sz val="12"/>
        <rFont val="Times New Roman"/>
        <family val="1"/>
      </rPr>
      <t> = 8) or better (</t>
    </r>
    <r>
      <rPr>
        <i/>
        <sz val="12"/>
        <rFont val="Times New Roman"/>
        <family val="1"/>
      </rPr>
      <t>n</t>
    </r>
    <r>
      <rPr>
        <sz val="12"/>
        <rFont val="Times New Roman"/>
        <family val="1"/>
      </rPr>
      <t> = 15) than that observed for conventional wastewater treatment plants.</t>
    </r>
  </si>
  <si>
    <r>
      <t>Z-drugs, benzodiazepines and ketamine are classes of psychotropic drugs prescribed for treating anxiety, sleep disorders and depression with known side effects including an elevated risk of addiction and substance misuse. These drugs have a strong potential for misuse, which has escalated over the years and was hypothesized here to have been exacerbated during the COVID-19 pandemic. Wastewater-based epidemiology (WBE) constitutes a fast, easy, and relatively inexpensive approach to epidemiological surveys for understanding the incidence and frequency of uses of these drugs. In this study, we analyzed wastewater (</t>
    </r>
    <r>
      <rPr>
        <i/>
        <sz val="12"/>
        <rFont val="Times New Roman"/>
        <family val="1"/>
      </rPr>
      <t>n</t>
    </r>
    <r>
      <rPr>
        <sz val="12"/>
        <rFont val="Times New Roman"/>
        <family val="1"/>
      </rPr>
      <t> = 376) from 50 cities across the United States and Mexico from July to October 2020 to estimate drug use rates during a pandemic event. Both time and flow proportional composite and grab samples of untreated municipal wastewater were analyzed using solid-phase extraction followed by liquid chromatography-tandem mass spectrometry to determine loadings of alprazolam, clonazepam, diazepam, ketamine, lorazepam, nordiazepam, temazepam, zolpidem, and zaleplon in raw wastewater. Simultaneously, prescription data of the aforementioned drugs were extracted from the Medicaid database from 2019 to 2021. Results showed high detection frequencies of ketamine (90 %), lorazepam (87 %), clonazepam (76 %) and temazepam (73 %) across both Mexico and United States and comparatively lower detection frequencies for zaleplon (22 %), zolpidem (9 %), nordiazepam (&lt;1 %), diazepam (&lt;1 %), and alprazolam (&lt;1 %) during the pandemic. Average mass consumption rates, estimated using WBE and reported in units of mg/day/1000 persons, ranged between 62 (temazepam) and 1100 (clonazepam) in the United States. Results obtained from the Medicaid database also showed a significant change (</t>
    </r>
    <r>
      <rPr>
        <i/>
        <sz val="12"/>
        <rFont val="Times New Roman"/>
        <family val="1"/>
      </rPr>
      <t>p</t>
    </r>
    <r>
      <rPr>
        <sz val="12"/>
        <rFont val="Times New Roman"/>
        <family val="1"/>
      </rPr>
      <t> &lt; 0.05) in the prescription volume between the first quarter of 2019 (before the pandemic) and the first quarter of 2021 (pandemic event) for alprazolam, clonazepam and lorazepam. Study results include the first detections of zaleplon and zolpidem in wastewater from North America.</t>
    </r>
  </si>
  <si>
    <r>
      <t>Widespread disposal of landfill leachate to municipal sewer infrastructure in the United States calls for an improved understanding of the relative organic-chemical contributions to the wastewater treatment plant (WWTP) waste stream and associated surface-water discharge to receptors in the environment. Landfill leachate, WWTP influent, and WWTP effluent samples were collected from three landfill-WWTP systems and compared with analogous influent and effluent samples from two WWTPs that did not receive leachate. Samples were analyzed for 73 per-/poly-fluoroalkyl substances (PFAS), 109 pharmaceuticals, and 21 hormones and related compounds. PFAS were detected more frequently in leachate (92%) than in influent (55%). Total PFAS concentrations in leachate (93100 ng L</t>
    </r>
    <r>
      <rPr>
        <vertAlign val="superscript"/>
        <sz val="12"/>
        <rFont val="Times New Roman"/>
        <family val="1"/>
      </rPr>
      <t>−1</t>
    </r>
    <r>
      <rPr>
        <sz val="12"/>
        <rFont val="Times New Roman"/>
        <family val="1"/>
      </rPr>
      <t>) were more than 10 times higher than in influent (6950 ng L</t>
    </r>
    <r>
      <rPr>
        <vertAlign val="superscript"/>
        <sz val="12"/>
        <rFont val="Times New Roman"/>
        <family val="1"/>
      </rPr>
      <t>−1</t>
    </r>
    <r>
      <rPr>
        <sz val="12"/>
        <rFont val="Times New Roman"/>
        <family val="1"/>
      </rPr>
      <t>) and effluent samples (3730 ng L</t>
    </r>
    <r>
      <rPr>
        <vertAlign val="superscript"/>
        <sz val="12"/>
        <rFont val="Times New Roman"/>
        <family val="1"/>
      </rPr>
      <t>−1</t>
    </r>
    <r>
      <rPr>
        <sz val="12"/>
        <rFont val="Times New Roman"/>
        <family val="1"/>
      </rPr>
      <t>). Concentrations of bisphenol A; the nonprescription pharmaceuticals cotinine, lidocaine, nicotine; and the prescription pharmaceuticals amphetamine, carisoprodol, pentoxifylline, and thiabendazole were an order of magnitude higher in landfill leachate than WWTP influent. Leachate load contributions for PFAS (0.78 to 31 g d</t>
    </r>
    <r>
      <rPr>
        <vertAlign val="superscript"/>
        <sz val="12"/>
        <rFont val="Times New Roman"/>
        <family val="1"/>
      </rPr>
      <t>−1</t>
    </r>
    <r>
      <rPr>
        <sz val="12"/>
        <rFont val="Times New Roman"/>
        <family val="1"/>
      </rPr>
      <t>), bisphenol A (0.97 to 8.3 g d</t>
    </r>
    <r>
      <rPr>
        <vertAlign val="superscript"/>
        <sz val="12"/>
        <rFont val="Times New Roman"/>
        <family val="1"/>
      </rPr>
      <t>−1</t>
    </r>
    <r>
      <rPr>
        <sz val="12"/>
        <rFont val="Times New Roman"/>
        <family val="1"/>
      </rPr>
      <t>), and nonprescription (2.0 to 3.1 g d</t>
    </r>
    <r>
      <rPr>
        <vertAlign val="superscript"/>
        <sz val="12"/>
        <rFont val="Times New Roman"/>
        <family val="1"/>
      </rPr>
      <t>−1</t>
    </r>
    <r>
      <rPr>
        <sz val="12"/>
        <rFont val="Times New Roman"/>
        <family val="1"/>
      </rPr>
      <t>) and prescription (0.48 to 2.5 g d</t>
    </r>
    <r>
      <rPr>
        <vertAlign val="superscript"/>
        <sz val="12"/>
        <rFont val="Times New Roman"/>
        <family val="1"/>
      </rPr>
      <t>−1</t>
    </r>
    <r>
      <rPr>
        <sz val="12"/>
        <rFont val="Times New Roman"/>
        <family val="1"/>
      </rPr>
      <t>) pharmaceuticals to WWTP influent were generally low (&lt;10 g d</t>
    </r>
    <r>
      <rPr>
        <vertAlign val="superscript"/>
        <sz val="12"/>
        <rFont val="Times New Roman"/>
        <family val="1"/>
      </rPr>
      <t>−1</t>
    </r>
    <r>
      <rPr>
        <sz val="12"/>
        <rFont val="Times New Roman"/>
        <family val="1"/>
      </rPr>
      <t>) for most compounds resulting from high influent-to-leachate volumetric ratios (0.983). No clear differences in concentrations were apparent between effluents from WWTPs receiving landfill leachate and those that did not receive landfill leachate.</t>
    </r>
  </si>
  <si>
    <r>
      <t>The aquatic environment has been recognized as a source of antibiotic resistance (AR) that factors into the One Health approach to combat AR. To provide much needed data on AR in the environment, a comprehensive survey of antibiotic-resistant bacteria (ARB), antibiotic resistance genes (ARGs), and antibiotic residues was conducted in a mixed-use watershed and wastewater treatment plants (WWTPs) within the watershed to evaluate these contaminants in surface water. A culture-based approach was used to determine prevalence and diversity of ARB in surface water. Low levels of AR </t>
    </r>
    <r>
      <rPr>
        <i/>
        <sz val="12"/>
        <rFont val="Times New Roman"/>
        <family val="1"/>
      </rPr>
      <t>Salmonella</t>
    </r>
    <r>
      <rPr>
        <sz val="12"/>
        <rFont val="Times New Roman"/>
        <family val="1"/>
      </rPr>
      <t> (9.6%) and </t>
    </r>
    <r>
      <rPr>
        <i/>
        <sz val="12"/>
        <rFont val="Times New Roman"/>
        <family val="1"/>
      </rPr>
      <t>Escherichia coli</t>
    </r>
    <r>
      <rPr>
        <sz val="12"/>
        <rFont val="Times New Roman"/>
        <family val="1"/>
      </rPr>
      <t> (6.5%) were detected, while all </t>
    </r>
    <r>
      <rPr>
        <i/>
        <sz val="12"/>
        <rFont val="Times New Roman"/>
        <family val="1"/>
      </rPr>
      <t>Enterococcus</t>
    </r>
    <r>
      <rPr>
        <sz val="12"/>
        <rFont val="Times New Roman"/>
        <family val="1"/>
      </rPr>
      <t> were resistant to at least one tested antibiotic. Fewer than 20% of extended-spectrum β-lactamase (ESBL)-producing </t>
    </r>
    <r>
      <rPr>
        <i/>
        <sz val="12"/>
        <rFont val="Times New Roman"/>
        <family val="1"/>
      </rPr>
      <t>Enterobacteriaceae</t>
    </r>
    <r>
      <rPr>
        <sz val="12"/>
        <rFont val="Times New Roman"/>
        <family val="1"/>
      </rPr>
      <t> (17.3%) and carbapenem-resistant </t>
    </r>
    <r>
      <rPr>
        <i/>
        <sz val="12"/>
        <rFont val="Times New Roman"/>
        <family val="1"/>
      </rPr>
      <t>Enterobacteriaceae</t>
    </r>
    <r>
      <rPr>
        <sz val="12"/>
        <rFont val="Times New Roman"/>
        <family val="1"/>
      </rPr>
      <t> (CRE) (7.7%) were recovered. Six ARGs were detected using qPCR, primarily the erythromycin-resistance gene, </t>
    </r>
    <r>
      <rPr>
        <i/>
        <sz val="12"/>
        <rFont val="Times New Roman"/>
        <family val="1"/>
      </rPr>
      <t>erm</t>
    </r>
    <r>
      <rPr>
        <sz val="12"/>
        <rFont val="Times New Roman"/>
        <family val="1"/>
      </rPr>
      <t>B. Of the 26 antibiotics measured, almost all water samples (98.7%) had detectable levels of antibiotics. Analysis of wastewater samples from three WWTPs showed that WWTPs did not completely remove AR contaminants. ARGs and antibiotics were detected in all the WWTP effluent discharges, indicating that WWTPs are the source of AR contaminants in receiving water. However, no significant difference in ARGs and antibiotics between the upstream and downstream water suggests that there are other sources of AR contamination. The widespread occurrence and abundance of medically important antibiotics, bacteria resistant to antibiotics used for human and veterinary purposes, and the genes associated with resistance to these antibiotics, may potentially pose risks to the local populations exposed to these water sources.</t>
    </r>
  </si>
  <si>
    <t>Putnam County Fair serving WRRF (Cookeville - only 1 WRRF in Cookeville, so same as previous Cookeville WRRF)</t>
  </si>
  <si>
    <t>No ID</t>
  </si>
  <si>
    <t>Long Island, NY</t>
  </si>
  <si>
    <r>
      <t>Reference Number</t>
    </r>
    <r>
      <rPr>
        <b/>
        <vertAlign val="superscript"/>
        <sz val="12"/>
        <color theme="1"/>
        <rFont val="Times New Roman"/>
        <family val="1"/>
      </rPr>
      <t>a</t>
    </r>
  </si>
  <si>
    <r>
      <t>WRRF_ID</t>
    </r>
    <r>
      <rPr>
        <b/>
        <vertAlign val="superscript"/>
        <sz val="12"/>
        <color theme="1"/>
        <rFont val="Times New Roman"/>
        <family val="1"/>
      </rPr>
      <t>b</t>
    </r>
  </si>
  <si>
    <r>
      <t>WRRF_reference_ID</t>
    </r>
    <r>
      <rPr>
        <b/>
        <vertAlign val="superscript"/>
        <sz val="12"/>
        <color theme="1"/>
        <rFont val="Times New Roman"/>
        <family val="1"/>
      </rPr>
      <t>c</t>
    </r>
  </si>
  <si>
    <r>
      <t>Reported_WRRF_capacity</t>
    </r>
    <r>
      <rPr>
        <b/>
        <vertAlign val="superscript"/>
        <sz val="12"/>
        <color theme="1"/>
        <rFont val="Times New Roman"/>
        <family val="1"/>
      </rPr>
      <t>d</t>
    </r>
  </si>
  <si>
    <r>
      <t>Population_served</t>
    </r>
    <r>
      <rPr>
        <b/>
        <vertAlign val="superscript"/>
        <sz val="12"/>
        <color theme="1"/>
        <rFont val="Times New Roman"/>
        <family val="1"/>
      </rPr>
      <t>e</t>
    </r>
  </si>
  <si>
    <r>
      <t>Units</t>
    </r>
    <r>
      <rPr>
        <b/>
        <vertAlign val="superscript"/>
        <sz val="12"/>
        <color theme="1"/>
        <rFont val="Times New Roman"/>
        <family val="1"/>
      </rPr>
      <t>f</t>
    </r>
  </si>
  <si>
    <r>
      <t>f</t>
    </r>
    <r>
      <rPr>
        <sz val="12"/>
        <color theme="1"/>
        <rFont val="Times New Roman"/>
        <family val="1"/>
      </rPr>
      <t>The units were all converted to ng/L upon collecting the measurements from the literature.</t>
    </r>
  </si>
  <si>
    <t>Model</t>
  </si>
  <si>
    <t>PharmFlush</t>
  </si>
  <si>
    <t>Penicillin v potassium</t>
  </si>
  <si>
    <t>240.54 - 263.53</t>
  </si>
  <si>
    <t>134.86 - 138.19</t>
  </si>
  <si>
    <t>0.46 - 0.49</t>
  </si>
  <si>
    <t>2.71 - 4.97</t>
  </si>
  <si>
    <t>4.09 - 4.39</t>
  </si>
  <si>
    <t>120.07 - 124.15</t>
  </si>
  <si>
    <t>44.78 - 47.06</t>
  </si>
  <si>
    <t>0.16 - 0.17</t>
  </si>
  <si>
    <t>3.81 - 3.89</t>
  </si>
  <si>
    <t>0 - 66.34</t>
  </si>
  <si>
    <t>97.26 - 106.58</t>
  </si>
  <si>
    <t>18.57 - 19.83</t>
  </si>
  <si>
    <t>2.92 - 3.69</t>
  </si>
  <si>
    <t>1.21 - 1.61</t>
  </si>
  <si>
    <t>6.46 - 6.55</t>
  </si>
  <si>
    <t>8.05 - 8.61</t>
  </si>
  <si>
    <t>0 - 0.02</t>
  </si>
  <si>
    <t>1.07 - 1.29</t>
  </si>
  <si>
    <t>3519.24 - 3526.45</t>
  </si>
  <si>
    <t>14.57 - 15.34</t>
  </si>
  <si>
    <t>228.34 - 282.71</t>
  </si>
  <si>
    <t>133.54 - 164.05</t>
  </si>
  <si>
    <t>14.67 - 16.01</t>
  </si>
  <si>
    <t>41.19 - 42.17</t>
  </si>
  <si>
    <t>27.63 - 31.47</t>
  </si>
  <si>
    <t>7.86 - 8.52</t>
  </si>
  <si>
    <t>23.05 - 23.82</t>
  </si>
  <si>
    <t>4.27 - 5.17</t>
  </si>
  <si>
    <t>67.33 - 72.9</t>
  </si>
  <si>
    <t>1562.13 - 1755.08</t>
  </si>
  <si>
    <t>27.63 - 27.86</t>
  </si>
  <si>
    <t>358.68 - 438.79</t>
  </si>
  <si>
    <t>286.35 - 286.41</t>
  </si>
  <si>
    <t>20056.73 - 20407.7</t>
  </si>
  <si>
    <t>152.76 - 177.85</t>
  </si>
  <si>
    <t>13.89 - 14.12</t>
  </si>
  <si>
    <t>39.99 - 40.94</t>
  </si>
  <si>
    <t>2.86 - 3.06</t>
  </si>
  <si>
    <t>2.69 - 3.23</t>
  </si>
  <si>
    <t>37.89 - 38.73</t>
  </si>
  <si>
    <t>16.12 - 16.38</t>
  </si>
  <si>
    <t>4.5 - 5.09</t>
  </si>
  <si>
    <t>17.17 - 18.64</t>
  </si>
  <si>
    <t>0.82 - 0.84</t>
  </si>
  <si>
    <t>65.54 - 71.97</t>
  </si>
  <si>
    <t>20.06 - 21.11</t>
  </si>
  <si>
    <t>0.67 - 0.73</t>
  </si>
  <si>
    <t>1.88 - 2.23</t>
  </si>
  <si>
    <t>12.54 - 13.07</t>
  </si>
  <si>
    <t>40.39 - 41.91</t>
  </si>
  <si>
    <t>60.33 - 61.5</t>
  </si>
  <si>
    <t>50.58 - 51.43</t>
  </si>
  <si>
    <t>129.47 - 133.95</t>
  </si>
  <si>
    <t>0 - 0.33</t>
  </si>
  <si>
    <t>47.06 - 50.65</t>
  </si>
  <si>
    <t>0.38 - 0.51</t>
  </si>
  <si>
    <t>0 - 0.18</t>
  </si>
  <si>
    <t>12.84 - 13.23</t>
  </si>
  <si>
    <t>39.69 - 43.64</t>
  </si>
  <si>
    <t>0.09 - 546559.36</t>
  </si>
  <si>
    <t>1468.21 - 6425.36</t>
  </si>
  <si>
    <t>3.69 - 206.42</t>
  </si>
  <si>
    <t>0.92 - 218.62</t>
  </si>
  <si>
    <t>2.17 - 49.35</t>
  </si>
  <si>
    <t>4.69 - 590.99</t>
  </si>
  <si>
    <t>0.69 - 173956.61</t>
  </si>
  <si>
    <t>0.21 - 420</t>
  </si>
  <si>
    <t>17.82 - 1148.49</t>
  </si>
  <si>
    <t>0.09 - 136.89</t>
  </si>
  <si>
    <t>1.04 - 33</t>
  </si>
  <si>
    <t>13.1 - 112.68</t>
  </si>
  <si>
    <t>1.68 - 401.97</t>
  </si>
  <si>
    <t>0.06 - 1819.88</t>
  </si>
  <si>
    <t>5.49 - 1198.47</t>
  </si>
  <si>
    <t>4.04 - 120.22</t>
  </si>
  <si>
    <t>1.19 - 106.8</t>
  </si>
  <si>
    <t>9.36 - 18</t>
  </si>
  <si>
    <t>111.75 - 741.87</t>
  </si>
  <si>
    <t>2.14 - 5.27</t>
  </si>
  <si>
    <t>12.35 - 26.79</t>
  </si>
  <si>
    <t>0.22 - 4.53</t>
  </si>
  <si>
    <t>5.59 - 22.97</t>
  </si>
  <si>
    <t>5.37 - 155.57</t>
  </si>
  <si>
    <t>32.96 - 4180.84</t>
  </si>
  <si>
    <t>0.59 - 34.14</t>
  </si>
  <si>
    <t>36.32 - 91.26</t>
  </si>
  <si>
    <t>5.93 - 9.25</t>
  </si>
  <si>
    <t>361.62 - 1139.18</t>
  </si>
  <si>
    <t>55.25 - 98.09</t>
  </si>
  <si>
    <t>1.54 - 186.24</t>
  </si>
  <si>
    <t>0.44 - 4.41</t>
  </si>
  <si>
    <t>0.18 - 57</t>
  </si>
  <si>
    <t>0.63 - 24.5</t>
  </si>
  <si>
    <t>2.54 - 11.76</t>
  </si>
  <si>
    <t>6.72 - 33.83</t>
  </si>
  <si>
    <t>28.25 - 42.22</t>
  </si>
  <si>
    <t>134.4 - 620.81</t>
  </si>
  <si>
    <t>144.03 - 363.17</t>
  </si>
  <si>
    <t>406.06 - 491.96</t>
  </si>
  <si>
    <t>0.54 - 8.82</t>
  </si>
  <si>
    <t>9.44 - 625.46</t>
  </si>
  <si>
    <t>2331.13 - 76980.19</t>
  </si>
  <si>
    <t>425.25 - 1533.4</t>
  </si>
  <si>
    <t>0.3 - 0.71</t>
  </si>
  <si>
    <t>33.69 - 471.19</t>
  </si>
  <si>
    <t>2.85 - 317.4</t>
  </si>
  <si>
    <t>4.69 - 43.77</t>
  </si>
  <si>
    <t>6.1 - 640624.19</t>
  </si>
  <si>
    <t>7.2 - 15</t>
  </si>
  <si>
    <t>0.03 - 261732.65</t>
  </si>
  <si>
    <t>0.12 - 238.25</t>
  </si>
  <si>
    <t>2.17 - 108.95</t>
  </si>
  <si>
    <t>5.9 - 30.95</t>
  </si>
  <si>
    <t>26.2 - 49.66</t>
  </si>
  <si>
    <t>13.22 - 455.98</t>
  </si>
  <si>
    <t>128.04 - 280.92</t>
  </si>
  <si>
    <t>1.07 - 810</t>
  </si>
  <si>
    <t>134.72 - 266.95</t>
  </si>
  <si>
    <t>3.56 - 2042.46</t>
  </si>
  <si>
    <t>2.66 - 381.8</t>
  </si>
  <si>
    <t>202.38 - 642.54</t>
  </si>
  <si>
    <t>0.03 - 18680.11</t>
  </si>
  <si>
    <t>0.89 - 149.3</t>
  </si>
  <si>
    <t>5.02 - 678.5</t>
  </si>
  <si>
    <t>17.57 - 77.29</t>
  </si>
  <si>
    <t>0.12 - 22352.19</t>
  </si>
  <si>
    <t>12.21 - 208.59</t>
  </si>
  <si>
    <t>7.2 - 28.18</t>
  </si>
  <si>
    <t>Bezafibrate</t>
  </si>
  <si>
    <t>Iopromide</t>
  </si>
  <si>
    <t>Roxithromycin</t>
  </si>
  <si>
    <t>Disopyramide</t>
  </si>
  <si>
    <t>Loxoprofen</t>
  </si>
  <si>
    <t>Phenacetin</t>
  </si>
  <si>
    <t>Salicylamide</t>
  </si>
  <si>
    <t>Salicylic acid</t>
  </si>
  <si>
    <t>Pirenzepine</t>
  </si>
  <si>
    <t>Sulpiride</t>
  </si>
  <si>
    <t>Sulfapyridine</t>
  </si>
  <si>
    <t>Thiamphenicol</t>
  </si>
  <si>
    <t>Bicalutamide</t>
  </si>
  <si>
    <t>Dipyridamole</t>
  </si>
  <si>
    <t>Amantadine</t>
  </si>
  <si>
    <t>Number of Measurements /
Reported Values</t>
  </si>
  <si>
    <t>Number of Pharmaceuticals</t>
  </si>
  <si>
    <t>He et al., 2020 PC</t>
  </si>
  <si>
    <t>Country</t>
  </si>
  <si>
    <t>Japan</t>
  </si>
  <si>
    <t>United Kingdom</t>
  </si>
  <si>
    <t>United States</t>
  </si>
  <si>
    <t>China</t>
  </si>
  <si>
    <t>Mefenamic acid</t>
  </si>
  <si>
    <t>Jagadeesan et al., 2023 PC</t>
  </si>
  <si>
    <t>Jagadeesan et al., 2023 MC</t>
  </si>
  <si>
    <t>0.9 - 2.14</t>
  </si>
  <si>
    <t>0.3 - 1.19</t>
  </si>
  <si>
    <t>0.86 - 1.28</t>
  </si>
  <si>
    <t>0.38 - 0.63</t>
  </si>
  <si>
    <t>0.1 - 0.23</t>
  </si>
  <si>
    <t>0.03 - 0.09</t>
  </si>
  <si>
    <t>0.29 - 0.57</t>
  </si>
  <si>
    <t>0.29 - 0.7</t>
  </si>
  <si>
    <t>Kostich et al., 2010 PC</t>
  </si>
  <si>
    <t>Kostich et al., 2010 MC</t>
  </si>
  <si>
    <t>Abacavir</t>
  </si>
  <si>
    <t>Adalimumab</t>
  </si>
  <si>
    <t>Aldendronate</t>
  </si>
  <si>
    <t>Atazanavir</t>
  </si>
  <si>
    <t>Azathioprine</t>
  </si>
  <si>
    <t>Benazapril</t>
  </si>
  <si>
    <t>Bevacizumab</t>
  </si>
  <si>
    <t>Butalbital</t>
  </si>
  <si>
    <t>Butorphanol</t>
  </si>
  <si>
    <t>Calcitriol</t>
  </si>
  <si>
    <t>Capecitabine</t>
  </si>
  <si>
    <t>Captopril</t>
  </si>
  <si>
    <t>Carbidopa</t>
  </si>
  <si>
    <t>Carboplatin</t>
  </si>
  <si>
    <t>Carisoprodol</t>
  </si>
  <si>
    <t>Caspofungin</t>
  </si>
  <si>
    <t>Cefaclor</t>
  </si>
  <si>
    <t>Cefadroxil</t>
  </si>
  <si>
    <t>Cefotaxime</t>
  </si>
  <si>
    <t>Cefprozil</t>
  </si>
  <si>
    <t>Ceftriaxone</t>
  </si>
  <si>
    <t>Cetuximab</t>
  </si>
  <si>
    <t>Chlordiazepoxide</t>
  </si>
  <si>
    <t>Chlorpheniramine polistirex</t>
  </si>
  <si>
    <t>Cilostazol</t>
  </si>
  <si>
    <t>Cimetidine</t>
  </si>
  <si>
    <t>Clomiphene</t>
  </si>
  <si>
    <t>Clorazepate</t>
  </si>
  <si>
    <t>Cloxacillin</t>
  </si>
  <si>
    <t>Clozapine</t>
  </si>
  <si>
    <t>Darbepoetin alfa</t>
  </si>
  <si>
    <t>Ottmar et al., 2010 PC</t>
  </si>
  <si>
    <t>Ottmar et al., 2010 MC</t>
  </si>
  <si>
    <t>0.01 - 0.11</t>
  </si>
  <si>
    <t>0.01 - 0.04</t>
  </si>
  <si>
    <t>0.36 - 0.44</t>
  </si>
  <si>
    <t>0.40 - 0.45</t>
  </si>
  <si>
    <t>Phenobarbitol</t>
  </si>
  <si>
    <t>0.41 - 0.88</t>
  </si>
  <si>
    <t>0.41 - 4.77</t>
  </si>
  <si>
    <t>Divalproex sodium</t>
  </si>
  <si>
    <t>Ottmar et al., 2013 PC</t>
  </si>
  <si>
    <t>Ottmar et al., 2013 MC</t>
  </si>
  <si>
    <t>Pang et al., 2024 PC</t>
  </si>
  <si>
    <t>Pang et al., 2024 MC</t>
  </si>
  <si>
    <t>1.93-2.58</t>
  </si>
  <si>
    <t>35.2 - 55.4</t>
  </si>
  <si>
    <t>1.45 - 6.83</t>
  </si>
  <si>
    <t>1.1 - 1.67</t>
  </si>
  <si>
    <t>1.13 - 1.59</t>
  </si>
  <si>
    <t>15.6 - 24.5</t>
  </si>
  <si>
    <t>2.04 - 2.49</t>
  </si>
  <si>
    <t>48.8 - 76.8</t>
  </si>
  <si>
    <t>2.09 - 7.61</t>
  </si>
  <si>
    <t>0.2 - 0.27</t>
  </si>
  <si>
    <t>3.53 - 3.9</t>
  </si>
  <si>
    <t>0.3 - 0.42</t>
  </si>
  <si>
    <t>0.09 - 0.34</t>
  </si>
  <si>
    <t>1.1 - 1.8</t>
  </si>
  <si>
    <t>0.44 - 2.39</t>
  </si>
  <si>
    <t>9.3 - 14.6</t>
  </si>
  <si>
    <t>2.83 - 5.66</t>
  </si>
  <si>
    <t>Norfloxacin</t>
  </si>
  <si>
    <t>Enrofloxacin</t>
  </si>
  <si>
    <t>Enoxacin</t>
  </si>
  <si>
    <t>Spiramycin</t>
  </si>
  <si>
    <t>Tetracycline</t>
  </si>
  <si>
    <t>Oxytetracycline</t>
  </si>
  <si>
    <t>Chlortetracycline</t>
  </si>
  <si>
    <t>Sulfadiazine</t>
  </si>
  <si>
    <t>Sulfadimethoxine</t>
  </si>
  <si>
    <t>Lincomycin</t>
  </si>
  <si>
    <t>Lopromide</t>
  </si>
  <si>
    <t>Antipyrine</t>
  </si>
  <si>
    <t>0.08 - 1</t>
  </si>
  <si>
    <t>0.77 - 0.85</t>
  </si>
  <si>
    <t>0.43 - 0.45</t>
  </si>
  <si>
    <t>0 - 0.01</t>
  </si>
  <si>
    <t>0 - 1760.8</t>
  </si>
  <si>
    <t>4.73 - 20.7</t>
  </si>
  <si>
    <t>0.01 - 0.66</t>
  </si>
  <si>
    <t>0.02 - 0.44</t>
  </si>
  <si>
    <t>0.01 - 0.16</t>
  </si>
  <si>
    <t>1.32 - 1.46</t>
  </si>
  <si>
    <t>0.01 - 590.99</t>
  </si>
  <si>
    <t>0.01 - 0.02</t>
  </si>
  <si>
    <t>0 - 560.42</t>
  </si>
  <si>
    <t>0.01 - 0.12</t>
  </si>
  <si>
    <t>0 - 420</t>
  </si>
  <si>
    <t>0.39 - 5</t>
  </si>
  <si>
    <t>0.22 - 3.7</t>
  </si>
  <si>
    <t>0.14 - 0.15</t>
  </si>
  <si>
    <t>0 - 0.44</t>
  </si>
  <si>
    <t>0.01 - 0.07</t>
  </si>
  <si>
    <t>0.04 - 0.36</t>
  </si>
  <si>
    <t>0 - 2.63</t>
  </si>
  <si>
    <t>0 - 1.29</t>
  </si>
  <si>
    <t>0.31 - 0.34</t>
  </si>
  <si>
    <t>0 - 5.86</t>
  </si>
  <si>
    <t>0.06 - 0.51</t>
  </si>
  <si>
    <t>0.05 - 3.86</t>
  </si>
  <si>
    <t>0.01 - 0.39</t>
  </si>
  <si>
    <t>0 - 0.07</t>
  </si>
  <si>
    <t>0.04 - 0.24</t>
  </si>
  <si>
    <t>0.02 - 0.04</t>
  </si>
  <si>
    <t>0.36 - 2.39</t>
  </si>
  <si>
    <t>0.04 - 0.09</t>
  </si>
  <si>
    <t>0 - 0.03</t>
  </si>
  <si>
    <t>11.34 - 11.36</t>
  </si>
  <si>
    <t>0.02 - 0.07</t>
  </si>
  <si>
    <t>0.05 - 0.6</t>
  </si>
  <si>
    <t>0.04 - 0.5</t>
  </si>
  <si>
    <t>0.55 - 11.53</t>
  </si>
  <si>
    <t>0.19 - 8.39</t>
  </si>
  <si>
    <t>0.43 - 0.53</t>
  </si>
  <si>
    <t>0 - 0.11</t>
  </si>
  <si>
    <t>0.12 - 0.29</t>
  </si>
  <si>
    <t>0.13 - 0.14</t>
  </si>
  <si>
    <t>0.02 - 0.03</t>
  </si>
  <si>
    <t>0.09 - 0.1</t>
  </si>
  <si>
    <t>1.17 - 3.67</t>
  </si>
  <si>
    <t>0.18 - 0.32</t>
  </si>
  <si>
    <t>0.04 - 0.82</t>
  </si>
  <si>
    <t>0.01 - 0.6</t>
  </si>
  <si>
    <t>0.01 - 0.21</t>
  </si>
  <si>
    <t>0 - 0.15</t>
  </si>
  <si>
    <t>0.02 - 0.05</t>
  </si>
  <si>
    <t>0.22 - 0.23</t>
  </si>
  <si>
    <t>5.03 - 5.65</t>
  </si>
  <si>
    <t>0.02 - 0.11</t>
  </si>
  <si>
    <t>0.09 - 0.14</t>
  </si>
  <si>
    <t>0.43 - 2</t>
  </si>
  <si>
    <t>1.16 - 1.41</t>
  </si>
  <si>
    <t>0.46 - 1.17</t>
  </si>
  <si>
    <t>1.31 - 1.58</t>
  </si>
  <si>
    <t>0.01 - 0.25</t>
  </si>
  <si>
    <t>0.03 - 2.02</t>
  </si>
  <si>
    <t>64.62 - 65.74</t>
  </si>
  <si>
    <t>7.51 - 248</t>
  </si>
  <si>
    <t>0.49 - 0.57</t>
  </si>
  <si>
    <t>1.37 - 4.94</t>
  </si>
  <si>
    <t>0.21 - 0.38</t>
  </si>
  <si>
    <t>0.13 - 1.67</t>
  </si>
  <si>
    <t>0.15 - 1.52</t>
  </si>
  <si>
    <t>0.01 - 0.13</t>
  </si>
  <si>
    <t>0.02 - 0.82</t>
  </si>
  <si>
    <t>0.01 - 0.14</t>
  </si>
  <si>
    <t>0.12 - 1.34</t>
  </si>
  <si>
    <t>0.02 - 2063.84</t>
  </si>
  <si>
    <t>0.01 - 0.03</t>
  </si>
  <si>
    <t>0 - 843.2</t>
  </si>
  <si>
    <t>0.03 - 0.62</t>
  </si>
  <si>
    <t>0 - 0.48</t>
  </si>
  <si>
    <t>0.01 - 0.35</t>
  </si>
  <si>
    <t>0.21 - 0.23</t>
  </si>
  <si>
    <t>0 - 0.1</t>
  </si>
  <si>
    <t>0.06 - 0.07</t>
  </si>
  <si>
    <t>0.08 - 0.16</t>
  </si>
  <si>
    <t>0.04 - 1.47</t>
  </si>
  <si>
    <t>0.82 - 1.81</t>
  </si>
  <si>
    <t>0.04 - 0.35</t>
  </si>
  <si>
    <t>0.01 - 810</t>
  </si>
  <si>
    <t>0.43 - 0.86</t>
  </si>
  <si>
    <t>0.12 - 1.65</t>
  </si>
  <si>
    <t>0.02 - 4.1</t>
  </si>
  <si>
    <t>0.01 - 1.23</t>
  </si>
  <si>
    <t>0.42 - 0.43</t>
  </si>
  <si>
    <t>0.65 - 2.07</t>
  </si>
  <si>
    <t>0 - 60.18</t>
  </si>
  <si>
    <t>0.02 - 0.48</t>
  </si>
  <si>
    <t>0.08 - 1.7</t>
  </si>
  <si>
    <t>0.02 - 1.36</t>
  </si>
  <si>
    <t>0.06 - 0.25</t>
  </si>
  <si>
    <t>0 - 72.01</t>
  </si>
  <si>
    <t>0.04 - 0.53</t>
  </si>
  <si>
    <t>0.11 - 0.67</t>
  </si>
  <si>
    <t>0.02 - 0.09</t>
  </si>
  <si>
    <r>
      <rPr>
        <b/>
        <sz val="12"/>
        <color theme="1"/>
        <rFont val="Times New Roman"/>
        <family val="1"/>
      </rPr>
      <t xml:space="preserve">Table S1. </t>
    </r>
    <r>
      <rPr>
        <sz val="12"/>
        <color theme="1"/>
        <rFont val="Times New Roman"/>
        <family val="1"/>
      </rPr>
      <t>All collected unchanged excretion percentages for all pharmaceutical administration routes including data URL and reasoning used to estimate excretion percentage if not directly reported.</t>
    </r>
  </si>
  <si>
    <t>enviPath Biodegradation Prediction (binary value)</t>
  </si>
  <si>
    <t>WRRF_ID</t>
  </si>
  <si>
    <t>Predicted Mass Load</t>
  </si>
  <si>
    <t>Reported Mass Load</t>
  </si>
  <si>
    <t>F</t>
  </si>
  <si>
    <t>G</t>
  </si>
  <si>
    <t>H</t>
  </si>
  <si>
    <t>I</t>
  </si>
  <si>
    <t>J</t>
  </si>
  <si>
    <t>Reported Mass Load &gt; 10 × Predicted Mass Load</t>
  </si>
  <si>
    <r>
      <t>A</t>
    </r>
    <r>
      <rPr>
        <vertAlign val="superscript"/>
        <sz val="12"/>
        <color theme="1"/>
        <rFont val="Times New Roman"/>
        <family val="1"/>
      </rPr>
      <t>a</t>
    </r>
  </si>
  <si>
    <r>
      <t>B</t>
    </r>
    <r>
      <rPr>
        <vertAlign val="superscript"/>
        <sz val="12"/>
        <color theme="1"/>
        <rFont val="Times New Roman"/>
        <family val="1"/>
      </rPr>
      <t>a</t>
    </r>
  </si>
  <si>
    <r>
      <t>C</t>
    </r>
    <r>
      <rPr>
        <vertAlign val="superscript"/>
        <sz val="12"/>
        <color theme="1"/>
        <rFont val="Times New Roman"/>
        <family val="1"/>
      </rPr>
      <t>a</t>
    </r>
  </si>
  <si>
    <r>
      <t>D</t>
    </r>
    <r>
      <rPr>
        <vertAlign val="superscript"/>
        <sz val="12"/>
        <color theme="1"/>
        <rFont val="Times New Roman"/>
        <family val="1"/>
      </rPr>
      <t>a</t>
    </r>
  </si>
  <si>
    <r>
      <t>E</t>
    </r>
    <r>
      <rPr>
        <vertAlign val="superscript"/>
        <sz val="12"/>
        <color theme="1"/>
        <rFont val="Times New Roman"/>
        <family val="1"/>
      </rPr>
      <t>b</t>
    </r>
  </si>
  <si>
    <r>
      <t>F</t>
    </r>
    <r>
      <rPr>
        <vertAlign val="superscript"/>
        <sz val="12"/>
        <color theme="1"/>
        <rFont val="Times New Roman"/>
        <family val="1"/>
      </rPr>
      <t>c</t>
    </r>
  </si>
  <si>
    <r>
      <t>G</t>
    </r>
    <r>
      <rPr>
        <vertAlign val="superscript"/>
        <sz val="12"/>
        <color theme="1"/>
        <rFont val="Times New Roman"/>
        <family val="1"/>
      </rPr>
      <t>c</t>
    </r>
  </si>
  <si>
    <r>
      <t>H</t>
    </r>
    <r>
      <rPr>
        <vertAlign val="superscript"/>
        <sz val="12"/>
        <color theme="1"/>
        <rFont val="Times New Roman"/>
        <family val="1"/>
      </rPr>
      <t>c</t>
    </r>
  </si>
  <si>
    <r>
      <t>I</t>
    </r>
    <r>
      <rPr>
        <vertAlign val="superscript"/>
        <sz val="12"/>
        <color theme="1"/>
        <rFont val="Times New Roman"/>
        <family val="1"/>
      </rPr>
      <t>c</t>
    </r>
  </si>
  <si>
    <r>
      <t>J</t>
    </r>
    <r>
      <rPr>
        <vertAlign val="superscript"/>
        <sz val="12"/>
        <color theme="1"/>
        <rFont val="Times New Roman"/>
        <family val="1"/>
      </rPr>
      <t>c</t>
    </r>
  </si>
  <si>
    <r>
      <t>a</t>
    </r>
    <r>
      <rPr>
        <sz val="12"/>
        <color theme="1"/>
        <rFont val="Times New Roman"/>
        <family val="1"/>
      </rPr>
      <t>WRRFs A-D are the same as WRRFs 3-6 from Reference 2 in Table S6. Predicted mass loads are computed using the flow capacity and population information for these WRRFs.</t>
    </r>
  </si>
  <si>
    <r>
      <t>c</t>
    </r>
    <r>
      <rPr>
        <sz val="12"/>
        <color theme="1"/>
        <rFont val="Times New Roman"/>
        <family val="1"/>
      </rPr>
      <t>WRRFs F-E are the same as WRRFs 36-40 from Reference 13 in Table S6. Predicted mass loads are computed using the flow capacity and population information for these WRRFs.</t>
    </r>
  </si>
  <si>
    <t>Predicted to Reported
Mass Load Ratio</t>
  </si>
  <si>
    <t>Log10 Predicted to Reported
Mass Load Ratio</t>
  </si>
  <si>
    <t>Absolute Log10 Predicted to Reported
Mass Load Ratio</t>
  </si>
  <si>
    <t>110,262 people</t>
  </si>
  <si>
    <r>
      <t xml:space="preserve">Table S4. </t>
    </r>
    <r>
      <rPr>
        <sz val="12"/>
        <color rgb="FF000000"/>
        <rFont val="Times New Roman"/>
        <family val="1"/>
      </rPr>
      <t>The PharmUse database. See Table S3 for units for each value.</t>
    </r>
    <r>
      <rPr>
        <b/>
        <sz val="12"/>
        <color rgb="FF000000"/>
        <rFont val="Times New Roman"/>
        <family val="1"/>
      </rPr>
      <t xml:space="preserve"> </t>
    </r>
  </si>
  <si>
    <t>No prescription ones found in Drugs@FDA database (over-the-counter only); unclear, so assuming 100%</t>
  </si>
  <si>
    <t>unclear exactly how much; 90% absorbed from gastrointestinal tract, 20% eliminated in feces but also has urinary excretion that's unspecified. Also, the 20% in the feces may be from either unabsorbed, metabolized, or unmetabolized allopurinol</t>
  </si>
  <si>
    <t xml:space="preserve">this link is the same as for the tablets, but intravenous excretion info also provided and listed as same as oral </t>
  </si>
  <si>
    <t>racemic mixture, but only R enantiomer levalbuterol specified as 46% unchanged; also only specified for intravenous route and mentions up to 100% urinary excretion</t>
  </si>
  <si>
    <t>capsule label includes intravenous data; 10% reported unchanged in urine</t>
  </si>
  <si>
    <t>1% reported unchanged in urine, fecal excretion mentioned to be as metabolites for oral, so assuming that here for intravenous as well</t>
  </si>
  <si>
    <t>80% absorbed for oral relative to intravenous dose (which has 100% bioavailability), so 20% unabsorbed and excreted unchanged in feces; 10% recovered in urine following intravenous dose, so 10% of 80% is 8% unchanged for oral; 28% unchanged excretion</t>
  </si>
  <si>
    <t>low systemic exposure is noted for ophthalmic route, excretion data only given for intravenous route which will not be the same</t>
  </si>
  <si>
    <t>no prescription loratadine listed, so used formats of discontinued &amp; over-the-counter forms; lists all excretion as in the form of metabolites</t>
  </si>
  <si>
    <t>absorbed into systemic circulation a reasonable amount, so similar pharmacokinetics apply to intravenous dose (0.1% reported unchanged in urine)</t>
  </si>
  <si>
    <t>up to 60% of intravenous dose is excreted unchanged</t>
  </si>
  <si>
    <t>none listed in Drugs@FDA database as prescription, so all other over-the-counter and discontinued formats listed; insufficent data on label, so assuming 80% absorption since ophthalmic</t>
  </si>
  <si>
    <t>(using the same label as for oral solution since intravenous excretion data is specified there): up to 90% excreted unchanged in urine, up to 10% excreted by biliary route (so up to 100% as conservative estimate)</t>
  </si>
  <si>
    <t>not specified for intravenous/intramuscular</t>
  </si>
  <si>
    <t>all radioactivity is reported to be excreted in urine or feces following intranasal dose; for intravenous dose, 63% excreted is from metabolites, so assuming up to 37% excreted unchanged for intranasal since incomplete absorption for nasal route relative to intravenous</t>
  </si>
  <si>
    <r>
      <t>technically not an FDA</t>
    </r>
    <r>
      <rPr>
        <vertAlign val="superscript"/>
        <sz val="12"/>
        <color theme="1"/>
        <rFont val="Times New Roman"/>
        <family val="1"/>
      </rPr>
      <t>b</t>
    </r>
    <r>
      <rPr>
        <sz val="12"/>
        <color theme="1"/>
        <rFont val="Times New Roman"/>
        <family val="1"/>
      </rPr>
      <t xml:space="preserve"> label, but a drug company's prescribing info documentation sheet; reports that benztropine is primarily excreted unchanged, so using 70% high unchanged excretion assumption</t>
    </r>
  </si>
  <si>
    <r>
      <t>Notes</t>
    </r>
    <r>
      <rPr>
        <b/>
        <vertAlign val="superscript"/>
        <sz val="12"/>
        <color theme="1"/>
        <rFont val="Times New Roman"/>
        <family val="1"/>
      </rPr>
      <t>a</t>
    </r>
  </si>
  <si>
    <r>
      <t>a</t>
    </r>
    <r>
      <rPr>
        <sz val="12"/>
        <color theme="1"/>
        <rFont val="Times New Roman"/>
        <family val="1"/>
      </rPr>
      <t>The Notes column includes specific notes and reasoning for how the excretion percentage was extracted and what assumptions were applied. See Text S2 for additional information on the assumptions mentioned herein. These notes are
provided so that readers can see how each excretion percentage was determined for each label.</t>
    </r>
  </si>
  <si>
    <r>
      <t>b</t>
    </r>
    <r>
      <rPr>
        <sz val="12"/>
        <color theme="1"/>
        <rFont val="Times New Roman"/>
        <family val="1"/>
      </rPr>
      <t>Food and Drug Administration</t>
    </r>
  </si>
  <si>
    <t>excretion data only provided following intravenous dose, so assuming 100% for safety</t>
  </si>
  <si>
    <t>72% of dose in urine, up to 50% of the urinary excretion is unchanged drug (.5*72 is 36%); this is for intravenous dose but epidural is comparable due to rapid absorption into bloodstream</t>
  </si>
  <si>
    <t>13% of dose is metabolized, so up to 87% is excreted unchanged (excretion percentage here is for intravenous dose, so using metabolism instead)</t>
  </si>
  <si>
    <t>1% reported unchanged in urine after intravenous dose, fecal can be up to 94.4% but extensive metabolism mentioned, so assuming 30% for low unchanged excretion</t>
  </si>
  <si>
    <r>
      <t>using over-the-counter label because there's no topical prescription in Drugs@FDA but there is for MEPS</t>
    </r>
    <r>
      <rPr>
        <vertAlign val="superscript"/>
        <sz val="12"/>
        <color theme="1"/>
        <rFont val="Times New Roman"/>
        <family val="1"/>
      </rPr>
      <t>c</t>
    </r>
    <r>
      <rPr>
        <sz val="12"/>
        <color theme="1"/>
        <rFont val="Times New Roman"/>
        <family val="1"/>
      </rPr>
      <t>; no pharmacokinetic data though, so assuming 100% (also could be up to 100% washoff)</t>
    </r>
  </si>
  <si>
    <r>
      <t>c</t>
    </r>
    <r>
      <rPr>
        <sz val="12"/>
        <color theme="1"/>
        <rFont val="Times New Roman"/>
        <family val="1"/>
      </rPr>
      <t>Medical Expenditure Panel Survey</t>
    </r>
  </si>
  <si>
    <t>excretion data only for intravenous dose, no plasma concentrations detected following intradermal injection; most conservative estimate of 100% made to be safe</t>
  </si>
  <si>
    <r>
      <t>no reliable FDA</t>
    </r>
    <r>
      <rPr>
        <vertAlign val="superscript"/>
        <sz val="12"/>
        <color theme="1"/>
        <rFont val="Times New Roman"/>
        <family val="1"/>
      </rPr>
      <t>b</t>
    </r>
    <r>
      <rPr>
        <sz val="12"/>
        <color theme="1"/>
        <rFont val="Times New Roman"/>
        <family val="1"/>
      </rPr>
      <t xml:space="preserve"> label available, assuming 100% to be safe, up to 100% from washoff</t>
    </r>
  </si>
  <si>
    <r>
      <rPr>
        <vertAlign val="superscript"/>
        <sz val="12"/>
        <color theme="1"/>
        <rFont val="Times New Roman"/>
        <family val="1"/>
      </rPr>
      <t>a</t>
    </r>
    <r>
      <rPr>
        <sz val="12"/>
        <color theme="1"/>
        <rFont val="Times New Roman"/>
        <family val="1"/>
      </rPr>
      <t xml:space="preserve">Distributed Structure-Searchable Toxicity Substance Identifier </t>
    </r>
  </si>
  <si>
    <r>
      <rPr>
        <vertAlign val="superscript"/>
        <sz val="12"/>
        <color theme="1"/>
        <rFont val="Times New Roman"/>
        <family val="1"/>
      </rPr>
      <t>b</t>
    </r>
    <r>
      <rPr>
        <sz val="12"/>
        <color theme="1"/>
        <rFont val="Times New Roman"/>
        <family val="1"/>
      </rPr>
      <t xml:space="preserve">Simplified Molecular Input Line Entry System </t>
    </r>
  </si>
  <si>
    <r>
      <rPr>
        <vertAlign val="superscript"/>
        <sz val="12"/>
        <color theme="1"/>
        <rFont val="Times New Roman"/>
        <family val="1"/>
      </rPr>
      <t>c</t>
    </r>
    <r>
      <rPr>
        <sz val="12"/>
        <color theme="1"/>
        <rFont val="Times New Roman"/>
        <family val="1"/>
      </rPr>
      <t>International Chemical Identifier Key</t>
    </r>
  </si>
  <si>
    <r>
      <rPr>
        <vertAlign val="superscript"/>
        <sz val="12"/>
        <color theme="1"/>
        <rFont val="Times New Roman"/>
        <family val="1"/>
      </rPr>
      <t>d</t>
    </r>
    <r>
      <rPr>
        <sz val="12"/>
        <color theme="1"/>
        <rFont val="Times New Roman"/>
        <family val="1"/>
      </rPr>
      <t>International Chemical Identifier String</t>
    </r>
  </si>
  <si>
    <r>
      <rPr>
        <vertAlign val="superscript"/>
        <sz val="12"/>
        <color theme="1"/>
        <rFont val="Times New Roman"/>
        <family val="1"/>
      </rPr>
      <t>e</t>
    </r>
    <r>
      <rPr>
        <sz val="12"/>
        <color theme="1"/>
        <rFont val="Times New Roman"/>
        <family val="1"/>
      </rPr>
      <t>LC50 denotes Lethal Concentration 50</t>
    </r>
  </si>
  <si>
    <r>
      <rPr>
        <vertAlign val="superscript"/>
        <sz val="12"/>
        <color theme="1"/>
        <rFont val="Times New Roman"/>
        <family val="1"/>
      </rPr>
      <t>f</t>
    </r>
    <r>
      <rPr>
        <sz val="12"/>
        <color theme="1"/>
        <rFont val="Times New Roman"/>
        <family val="1"/>
      </rPr>
      <t>NOEC denotes No Observed Effect Concentration</t>
    </r>
  </si>
  <si>
    <r>
      <t>g</t>
    </r>
    <r>
      <rPr>
        <sz val="12"/>
        <color theme="1"/>
        <rFont val="Times New Roman"/>
        <family val="1"/>
      </rPr>
      <t>log distribution ratio at pH = 5.5</t>
    </r>
  </si>
  <si>
    <r>
      <t>h</t>
    </r>
    <r>
      <rPr>
        <sz val="12"/>
        <color theme="1"/>
        <rFont val="Times New Roman"/>
        <family val="1"/>
      </rPr>
      <t>log distribution ratio at pH = 7.4</t>
    </r>
  </si>
  <si>
    <r>
      <t>i</t>
    </r>
    <r>
      <rPr>
        <sz val="12"/>
        <color theme="1"/>
        <rFont val="Times New Roman"/>
        <family val="1"/>
      </rPr>
      <t>log octanol-air partitioning coefficient</t>
    </r>
  </si>
  <si>
    <r>
      <t>j</t>
    </r>
    <r>
      <rPr>
        <sz val="12"/>
        <color theme="1"/>
        <rFont val="Times New Roman"/>
        <family val="1"/>
      </rPr>
      <t xml:space="preserve">log octanol-water partitioning coefficient </t>
    </r>
  </si>
  <si>
    <r>
      <t>k</t>
    </r>
    <r>
      <rPr>
        <sz val="12"/>
        <color theme="1"/>
        <rFont val="Times New Roman"/>
        <family val="1"/>
      </rPr>
      <t xml:space="preserve">Open (Quantitative) Structure-activity/property Relationship App </t>
    </r>
  </si>
  <si>
    <r>
      <rPr>
        <b/>
        <sz val="12"/>
        <color theme="1"/>
        <rFont val="Times New Roman"/>
        <family val="1"/>
      </rPr>
      <t xml:space="preserve">Table S6. </t>
    </r>
    <r>
      <rPr>
        <sz val="12"/>
        <color theme="1"/>
        <rFont val="Times New Roman"/>
        <family val="1"/>
      </rPr>
      <t>All collected data from the literature including water resource recovery facility (WRRF) and sampling details, reported concentrations, and calculated mass loads for 93 pharmaceuticals (ND = not detected). Notably, 909
 measurements are reported as ND and 54 mass loads are reported at 0 µg/capita/day. The remaining 1,224 measurements are eligible for comparison with predicted values.</t>
    </r>
  </si>
  <si>
    <r>
      <t>b</t>
    </r>
    <r>
      <rPr>
        <sz val="12"/>
        <rFont val="Times New Roman"/>
        <family val="1"/>
      </rPr>
      <t>water resource recovery facility</t>
    </r>
  </si>
  <si>
    <r>
      <t>d</t>
    </r>
    <r>
      <rPr>
        <sz val="12"/>
        <color theme="1"/>
        <rFont val="Times New Roman"/>
        <family val="1"/>
      </rPr>
      <t>The flow capacity of the WRRF may refer to the typical daily flow or design capacity of the plant. If the typical daily flow is reported, that is reported here. If not (and for most cases), the design capacity is reported. These values 
may come from the cited reference or the WRRF's website. In cases when the website is referenced, the URL is provided in Table S5. In limited cases, the capacity is calculated from the population served by multiplying by
310 L/capita/day, the average national daily wastewater production volume per capita in the United States (see Methods section).</t>
    </r>
  </si>
  <si>
    <r>
      <t>e</t>
    </r>
    <r>
      <rPr>
        <sz val="12"/>
        <color theme="1"/>
        <rFont val="Times New Roman"/>
        <family val="1"/>
      </rPr>
      <t>The population served by each WRRF is either reported (either in the referenced citation or the WRRF website (see footnote d)) or calculated from the WRRF capacity (L/d) by dividing by 310 L/capita/day, the average national
daily wastewater production volume per capita in the United States (see Methods section).</t>
    </r>
  </si>
  <si>
    <r>
      <t>b</t>
    </r>
    <r>
      <rPr>
        <sz val="12"/>
        <color theme="1"/>
        <rFont val="Times New Roman"/>
        <family val="1"/>
      </rPr>
      <t xml:space="preserve">WRRF E is the same as WRRF 11 from Reference 5 in Table S6. WRRF 11 has multiple measurements per pharmaceutical in Table S6; here, the median reported mass load for each pharmaceutical from Table S6 is used. Predicted
mass loads are computed using the flow capacity and population information for WRRF 11. </t>
    </r>
  </si>
  <si>
    <r>
      <rPr>
        <b/>
        <sz val="12"/>
        <color theme="1"/>
        <rFont val="Times New Roman"/>
        <family val="1"/>
      </rPr>
      <t xml:space="preserve">Table S2. </t>
    </r>
    <r>
      <rPr>
        <sz val="12"/>
        <color theme="1"/>
        <rFont val="Times New Roman"/>
        <family val="1"/>
      </rPr>
      <t>The drugs with at least one known excretion percentage. All excretion percentages refer to percentage of unchanged drug excreted. Known excretion percentages include those 
assigned through the assumptions described in Text S2. The data is organized primarily by descending order of excretion percentage but is also organized alphabetically by pharmaceutical and form.</t>
    </r>
  </si>
  <si>
    <r>
      <t>Excretion_percentage</t>
    </r>
    <r>
      <rPr>
        <b/>
        <vertAlign val="superscript"/>
        <sz val="12"/>
        <color theme="1"/>
        <rFont val="Times New Roman"/>
        <family val="1"/>
      </rPr>
      <t>1</t>
    </r>
  </si>
  <si>
    <r>
      <t>Average_Daily_Dosage</t>
    </r>
    <r>
      <rPr>
        <b/>
        <vertAlign val="superscript"/>
        <sz val="12"/>
        <color theme="1"/>
        <rFont val="Times New Roman"/>
        <family val="1"/>
      </rPr>
      <t>2</t>
    </r>
  </si>
  <si>
    <r>
      <t>Number_of_Prescriptions</t>
    </r>
    <r>
      <rPr>
        <b/>
        <vertAlign val="superscript"/>
        <sz val="12"/>
        <color theme="1"/>
        <rFont val="Times New Roman"/>
        <family val="1"/>
      </rPr>
      <t>2</t>
    </r>
  </si>
  <si>
    <r>
      <t>Average_Duration_per_Prescription</t>
    </r>
    <r>
      <rPr>
        <b/>
        <vertAlign val="superscript"/>
        <sz val="12"/>
        <color theme="1"/>
        <rFont val="Times New Roman"/>
        <family val="1"/>
      </rPr>
      <t>2</t>
    </r>
  </si>
  <si>
    <r>
      <t>DTXSID</t>
    </r>
    <r>
      <rPr>
        <b/>
        <vertAlign val="superscript"/>
        <sz val="12"/>
        <color theme="1"/>
        <rFont val="Times New Roman"/>
        <family val="1"/>
      </rPr>
      <t>a,3</t>
    </r>
  </si>
  <si>
    <r>
      <t>SMILES</t>
    </r>
    <r>
      <rPr>
        <b/>
        <vertAlign val="superscript"/>
        <sz val="12"/>
        <color theme="1"/>
        <rFont val="Times New Roman"/>
        <family val="1"/>
      </rPr>
      <t>b,3</t>
    </r>
  </si>
  <si>
    <r>
      <t>INCHIKEY</t>
    </r>
    <r>
      <rPr>
        <b/>
        <vertAlign val="superscript"/>
        <sz val="12"/>
        <color theme="1"/>
        <rFont val="Times New Roman"/>
        <family val="1"/>
      </rPr>
      <t>c,3</t>
    </r>
  </si>
  <si>
    <r>
      <t>INCHISTRING</t>
    </r>
    <r>
      <rPr>
        <b/>
        <vertAlign val="superscript"/>
        <sz val="12"/>
        <color theme="1"/>
        <rFont val="Times New Roman"/>
        <family val="1"/>
      </rPr>
      <t>d,3</t>
    </r>
  </si>
  <si>
    <r>
      <t>Molecular_Formula</t>
    </r>
    <r>
      <rPr>
        <b/>
        <vertAlign val="superscript"/>
        <sz val="12"/>
        <color theme="1"/>
        <rFont val="Times New Roman"/>
        <family val="1"/>
      </rPr>
      <t>3</t>
    </r>
  </si>
  <si>
    <r>
      <t>Molar_Mass</t>
    </r>
    <r>
      <rPr>
        <b/>
        <vertAlign val="superscript"/>
        <sz val="12"/>
        <color theme="1"/>
        <rFont val="Times New Roman"/>
        <family val="1"/>
      </rPr>
      <t>3</t>
    </r>
  </si>
  <si>
    <r>
      <t>Invertebrate_Median_LC50</t>
    </r>
    <r>
      <rPr>
        <b/>
        <vertAlign val="superscript"/>
        <sz val="12"/>
        <color theme="1"/>
        <rFont val="Times New Roman"/>
        <family val="1"/>
      </rPr>
      <t>e,3</t>
    </r>
  </si>
  <si>
    <r>
      <t>Plants_Algae_Median_LC50</t>
    </r>
    <r>
      <rPr>
        <b/>
        <vertAlign val="superscript"/>
        <sz val="12"/>
        <color theme="1"/>
        <rFont val="Times New Roman"/>
        <family val="1"/>
      </rPr>
      <t>3</t>
    </r>
  </si>
  <si>
    <r>
      <t>Vertebrate_Median_LC50</t>
    </r>
    <r>
      <rPr>
        <b/>
        <vertAlign val="superscript"/>
        <sz val="12"/>
        <color theme="1"/>
        <rFont val="Times New Roman"/>
        <family val="1"/>
      </rPr>
      <t>3</t>
    </r>
  </si>
  <si>
    <r>
      <t>Human_LC50</t>
    </r>
    <r>
      <rPr>
        <b/>
        <vertAlign val="superscript"/>
        <sz val="12"/>
        <color theme="1"/>
        <rFont val="Times New Roman"/>
        <family val="1"/>
      </rPr>
      <t>3</t>
    </r>
  </si>
  <si>
    <r>
      <t>Invertebrate_median_NOEC</t>
    </r>
    <r>
      <rPr>
        <b/>
        <vertAlign val="superscript"/>
        <sz val="12"/>
        <color theme="1"/>
        <rFont val="Times New Roman"/>
        <family val="1"/>
      </rPr>
      <t>f,3</t>
    </r>
  </si>
  <si>
    <r>
      <t>Plants_algae_median_NOEC</t>
    </r>
    <r>
      <rPr>
        <b/>
        <vertAlign val="superscript"/>
        <sz val="12"/>
        <color theme="1"/>
        <rFont val="Times New Roman"/>
        <family val="1"/>
      </rPr>
      <t>3</t>
    </r>
  </si>
  <si>
    <r>
      <t>Vertebrate_median_NOEC</t>
    </r>
    <r>
      <rPr>
        <b/>
        <vertAlign val="superscript"/>
        <sz val="12"/>
        <color theme="1"/>
        <rFont val="Times New Roman"/>
        <family val="1"/>
      </rPr>
      <t>3</t>
    </r>
  </si>
  <si>
    <r>
      <t>Human_NOEC</t>
    </r>
    <r>
      <rPr>
        <b/>
        <vertAlign val="superscript"/>
        <sz val="12"/>
        <color theme="1"/>
        <rFont val="Times New Roman"/>
        <family val="1"/>
      </rPr>
      <t>3</t>
    </r>
  </si>
  <si>
    <r>
      <t>Boiling_Point</t>
    </r>
    <r>
      <rPr>
        <b/>
        <vertAlign val="superscript"/>
        <sz val="12"/>
        <color theme="1"/>
        <rFont val="Times New Roman"/>
        <family val="1"/>
      </rPr>
      <t>3</t>
    </r>
  </si>
  <si>
    <r>
      <t>Density</t>
    </r>
    <r>
      <rPr>
        <b/>
        <vertAlign val="superscript"/>
        <sz val="12"/>
        <color theme="1"/>
        <rFont val="Times New Roman"/>
        <family val="1"/>
      </rPr>
      <t>3</t>
    </r>
  </si>
  <si>
    <r>
      <t>Flash_Point</t>
    </r>
    <r>
      <rPr>
        <b/>
        <vertAlign val="superscript"/>
        <sz val="12"/>
        <color theme="1"/>
        <rFont val="Times New Roman"/>
        <family val="1"/>
      </rPr>
      <t>3</t>
    </r>
  </si>
  <si>
    <r>
      <t>Henrys_Law</t>
    </r>
    <r>
      <rPr>
        <b/>
        <vertAlign val="superscript"/>
        <sz val="12"/>
        <color theme="1"/>
        <rFont val="Times New Roman"/>
        <family val="1"/>
      </rPr>
      <t>3</t>
    </r>
  </si>
  <si>
    <r>
      <t>Index_of_Refraction</t>
    </r>
    <r>
      <rPr>
        <b/>
        <vertAlign val="superscript"/>
        <sz val="12"/>
        <color theme="1"/>
        <rFont val="Times New Roman"/>
        <family val="1"/>
      </rPr>
      <t>3</t>
    </r>
  </si>
  <si>
    <r>
      <t>Liquid_Chromatography_Retention_Time</t>
    </r>
    <r>
      <rPr>
        <b/>
        <vertAlign val="superscript"/>
        <sz val="12"/>
        <color theme="1"/>
        <rFont val="Times New Roman"/>
        <family val="1"/>
      </rPr>
      <t>3</t>
    </r>
  </si>
  <si>
    <r>
      <t>LogD5.5</t>
    </r>
    <r>
      <rPr>
        <b/>
        <vertAlign val="superscript"/>
        <sz val="12"/>
        <color theme="1"/>
        <rFont val="Times New Roman"/>
        <family val="1"/>
      </rPr>
      <t>g,3</t>
    </r>
  </si>
  <si>
    <r>
      <t>LogD7.4</t>
    </r>
    <r>
      <rPr>
        <b/>
        <vertAlign val="superscript"/>
        <sz val="12"/>
        <color theme="1"/>
        <rFont val="Times New Roman"/>
        <family val="1"/>
      </rPr>
      <t>h,3</t>
    </r>
  </si>
  <si>
    <r>
      <t>LogKoa_Octanol_Air</t>
    </r>
    <r>
      <rPr>
        <b/>
        <vertAlign val="superscript"/>
        <sz val="12"/>
        <color theme="1"/>
        <rFont val="Times New Roman"/>
        <family val="1"/>
      </rPr>
      <t>i,3</t>
    </r>
  </si>
  <si>
    <r>
      <t>LogKow_Octanol_Water</t>
    </r>
    <r>
      <rPr>
        <b/>
        <vertAlign val="superscript"/>
        <sz val="12"/>
        <color theme="1"/>
        <rFont val="Times New Roman"/>
        <family val="1"/>
      </rPr>
      <t>j,3</t>
    </r>
  </si>
  <si>
    <r>
      <t>Melting_Point</t>
    </r>
    <r>
      <rPr>
        <b/>
        <vertAlign val="superscript"/>
        <sz val="12"/>
        <color theme="1"/>
        <rFont val="Times New Roman"/>
        <family val="1"/>
      </rPr>
      <t>3</t>
    </r>
  </si>
  <si>
    <r>
      <t>Molar_Refractivity</t>
    </r>
    <r>
      <rPr>
        <b/>
        <vertAlign val="superscript"/>
        <sz val="12"/>
        <color theme="1"/>
        <rFont val="Times New Roman"/>
        <family val="1"/>
      </rPr>
      <t>3</t>
    </r>
  </si>
  <si>
    <r>
      <t>Molar_volume</t>
    </r>
    <r>
      <rPr>
        <b/>
        <vertAlign val="superscript"/>
        <sz val="12"/>
        <color theme="1"/>
        <rFont val="Times New Roman"/>
        <family val="1"/>
      </rPr>
      <t>3</t>
    </r>
  </si>
  <si>
    <r>
      <t>pKa_Acidic_Apparent</t>
    </r>
    <r>
      <rPr>
        <b/>
        <vertAlign val="superscript"/>
        <sz val="12"/>
        <color theme="1"/>
        <rFont val="Times New Roman"/>
        <family val="1"/>
      </rPr>
      <t>3</t>
    </r>
  </si>
  <si>
    <r>
      <t>pKa_Basic_Apparent</t>
    </r>
    <r>
      <rPr>
        <b/>
        <vertAlign val="superscript"/>
        <sz val="12"/>
        <color theme="1"/>
        <rFont val="Times New Roman"/>
        <family val="1"/>
      </rPr>
      <t>3</t>
    </r>
  </si>
  <si>
    <r>
      <t>Polarizability</t>
    </r>
    <r>
      <rPr>
        <b/>
        <vertAlign val="superscript"/>
        <sz val="12"/>
        <color theme="1"/>
        <rFont val="Times New Roman"/>
        <family val="1"/>
      </rPr>
      <t>3</t>
    </r>
  </si>
  <si>
    <r>
      <t>OPERA_Biodegradation_Prediction</t>
    </r>
    <r>
      <rPr>
        <b/>
        <vertAlign val="superscript"/>
        <sz val="12"/>
        <color theme="1"/>
        <rFont val="Times New Roman"/>
        <family val="1"/>
      </rPr>
      <t>k,3</t>
    </r>
  </si>
  <si>
    <r>
      <t>Surface_Tension</t>
    </r>
    <r>
      <rPr>
        <b/>
        <vertAlign val="superscript"/>
        <sz val="12"/>
        <color theme="1"/>
        <rFont val="Times New Roman"/>
        <family val="1"/>
      </rPr>
      <t>3</t>
    </r>
  </si>
  <si>
    <r>
      <t>Thermal_Conductivity</t>
    </r>
    <r>
      <rPr>
        <b/>
        <vertAlign val="superscript"/>
        <sz val="12"/>
        <color theme="1"/>
        <rFont val="Times New Roman"/>
        <family val="1"/>
      </rPr>
      <t>3</t>
    </r>
  </si>
  <si>
    <r>
      <t>Vapor_Pressure</t>
    </r>
    <r>
      <rPr>
        <b/>
        <vertAlign val="superscript"/>
        <sz val="12"/>
        <color theme="1"/>
        <rFont val="Times New Roman"/>
        <family val="1"/>
      </rPr>
      <t>3</t>
    </r>
  </si>
  <si>
    <r>
      <t>Viscosity</t>
    </r>
    <r>
      <rPr>
        <b/>
        <vertAlign val="superscript"/>
        <sz val="12"/>
        <color theme="1"/>
        <rFont val="Times New Roman"/>
        <family val="1"/>
      </rPr>
      <t>3</t>
    </r>
  </si>
  <si>
    <r>
      <t>Water_Solubility</t>
    </r>
    <r>
      <rPr>
        <b/>
        <vertAlign val="superscript"/>
        <sz val="12"/>
        <color theme="1"/>
        <rFont val="Times New Roman"/>
        <family val="1"/>
      </rPr>
      <t>3</t>
    </r>
  </si>
  <si>
    <r>
      <t>EnviPath_Biodegradation_Prediction</t>
    </r>
    <r>
      <rPr>
        <b/>
        <vertAlign val="superscript"/>
        <sz val="12"/>
        <color theme="1"/>
        <rFont val="Times New Roman"/>
        <family val="1"/>
      </rPr>
      <t>4</t>
    </r>
  </si>
  <si>
    <r>
      <t>Hydrolyzes</t>
    </r>
    <r>
      <rPr>
        <b/>
        <vertAlign val="superscript"/>
        <sz val="12"/>
        <color theme="1"/>
        <rFont val="Times New Roman"/>
        <family val="1"/>
      </rPr>
      <t>5</t>
    </r>
  </si>
  <si>
    <r>
      <t>Administration_Route</t>
    </r>
    <r>
      <rPr>
        <b/>
        <vertAlign val="superscript"/>
        <sz val="12"/>
        <color theme="1"/>
        <rFont val="Times New Roman"/>
        <family val="1"/>
      </rPr>
      <t>1,2</t>
    </r>
  </si>
  <si>
    <r>
      <t>2</t>
    </r>
    <r>
      <rPr>
        <sz val="12"/>
        <color theme="1"/>
        <rFont val="Times New Roman"/>
        <family val="1"/>
      </rPr>
      <t>Agency for Healthcare Research &amp; Quality, &amp; U.S. Department of Health and Human Services. (2025). Medical Expenditure Panel Survey Public Use File Details. https://meps.ahrq.gov/mepsweb/data_stats/download_data_files.jsp</t>
    </r>
  </si>
  <si>
    <r>
      <t>1</t>
    </r>
    <r>
      <rPr>
        <sz val="12"/>
        <color theme="1"/>
        <rFont val="Times New Roman"/>
        <family val="1"/>
      </rPr>
      <t>U.S. Food &amp; Drug Administration. (n.d.). Drugs@FDA: FDA-Approved Drugs. Retrieved November 12, 2025, from https://www.accessdata.fda.gov/scripts/cder/daf/index.cfm</t>
    </r>
  </si>
  <si>
    <r>
      <t>3</t>
    </r>
    <r>
      <rPr>
        <sz val="12"/>
        <color theme="1"/>
        <rFont val="Times New Roman"/>
        <family val="1"/>
      </rPr>
      <t>U.S. Environmental Protection Agency. (2024, October 29). CompTox Chemicals Dashboard. https://comptox.epa.gov/dashboard/</t>
    </r>
  </si>
  <si>
    <t>Lettered Footnotes</t>
  </si>
  <si>
    <t>Numbered Footnotes</t>
  </si>
  <si>
    <r>
      <t>4</t>
    </r>
    <r>
      <rPr>
        <sz val="12"/>
        <color theme="1"/>
        <rFont val="Times New Roman"/>
        <family val="1"/>
      </rPr>
      <t>Eawag, &amp; The University of Auckland, C. of S. S. of C. S. M. L. G. (2025). enviPath: The Environmental Contaminant Biotransformation Pathway Resource. https://envipath.org/</t>
    </r>
  </si>
  <si>
    <r>
      <t>5</t>
    </r>
    <r>
      <rPr>
        <sz val="12"/>
        <color theme="1"/>
        <rFont val="Times New Roman"/>
        <family val="1"/>
      </rPr>
      <t>U.S. Environmental Protection Agency. (2017, January 17). CTS: Chemical Transformation Simulator. https://qed.epa.gov/cts/gentrans/input/</t>
    </r>
  </si>
  <si>
    <t>WRRF capacity and population directly reported in article in Methods section</t>
  </si>
  <si>
    <t>None</t>
  </si>
  <si>
    <r>
      <rPr>
        <vertAlign val="superscript"/>
        <sz val="12"/>
        <color theme="1"/>
        <rFont val="Times New Roman"/>
        <family val="1"/>
      </rPr>
      <t>a</t>
    </r>
    <r>
      <rPr>
        <sz val="12"/>
        <color theme="1"/>
        <rFont val="Times New Roman"/>
        <family val="1"/>
      </rPr>
      <t>The Data Notes column provides additional data curation notes from the authors such as abbreviations used in the specific article.</t>
    </r>
  </si>
  <si>
    <r>
      <rPr>
        <vertAlign val="superscript"/>
        <sz val="12"/>
        <color theme="1"/>
        <rFont val="Times New Roman"/>
        <family val="1"/>
      </rPr>
      <t>c</t>
    </r>
    <r>
      <rPr>
        <sz val="12"/>
        <color theme="1"/>
        <rFont val="Times New Roman"/>
        <family val="1"/>
      </rPr>
      <t>The WRRF Notes column provides details on how the flow capacity and population for each WRRF were determined as well as any additional important notes for the WRRFs in the article.</t>
    </r>
  </si>
  <si>
    <r>
      <t>d</t>
    </r>
    <r>
      <rPr>
        <sz val="12"/>
        <rFont val="Times New Roman"/>
        <family val="1"/>
      </rPr>
      <t>wastewater treatment plant (WRRF is used preferentially in this work, but some of the cited studies refer to their WRRFs as WWTPs)</t>
    </r>
  </si>
  <si>
    <r>
      <t>e</t>
    </r>
    <r>
      <rPr>
        <sz val="12"/>
        <rFont val="Times New Roman"/>
        <family val="1"/>
      </rPr>
      <t>millions of gallons per day</t>
    </r>
  </si>
  <si>
    <r>
      <t>f</t>
    </r>
    <r>
      <rPr>
        <sz val="12"/>
        <rFont val="Times New Roman"/>
        <family val="1"/>
      </rPr>
      <t>millions of liters per day</t>
    </r>
  </si>
  <si>
    <r>
      <t>g</t>
    </r>
    <r>
      <rPr>
        <sz val="12"/>
        <rFont val="Times New Roman"/>
        <family val="1"/>
      </rPr>
      <t>sewage treatment plant (WRRF is used preferentially in this work, but some of the cited studies refer to their WRRFs as STPs)</t>
    </r>
  </si>
  <si>
    <t xml:space="preserve">PTI is primary treatment influent (desired data), n.d. is not detected, units of ng/L </t>
  </si>
  <si>
    <r>
      <t>WRRF capacities directly reported in article in Methods section (WWTP</t>
    </r>
    <r>
      <rPr>
        <vertAlign val="superscript"/>
        <sz val="12"/>
        <rFont val="Times New Roman"/>
        <family val="1"/>
      </rPr>
      <t>d</t>
    </r>
    <r>
      <rPr>
        <sz val="12"/>
        <rFont val="Times New Roman"/>
        <family val="1"/>
      </rPr>
      <t xml:space="preserve"> 4-6 used average value of 1.2-5.5 MGD</t>
    </r>
    <r>
      <rPr>
        <vertAlign val="superscript"/>
        <sz val="12"/>
        <rFont val="Times New Roman"/>
        <family val="1"/>
      </rPr>
      <t>e</t>
    </r>
    <r>
      <rPr>
        <sz val="12"/>
        <rFont val="Times New Roman"/>
        <family val="1"/>
      </rPr>
      <t xml:space="preserve"> reported for this group of plants; WWTP 7 used average value of 40-60 MGD reported for this group of plants)</t>
    </r>
  </si>
  <si>
    <t xml:space="preserve">1st table has immediate analysis only (uses average across all time points that day, seems to be from 9/1 but not totally clear - listing it as 9/1), 2nd and 3rd tables only use immediate analysis, 4th table also only immediate analysis, units of ng/mL </t>
  </si>
  <si>
    <t>WRRF capacities provided (differ by date of sampling) and population served provided in reference on p 12 and p 20</t>
  </si>
  <si>
    <t>Plant 1 is Oshkosh Wastewater Treatment Plant and has 20 MGD flows (figured out WRRF name from map in Figure 2.1 &amp; comparison with Goolge Maps, Plant 1 size from https://dnr.wisconsin.gov/sites/default/files/topic/Wastewater/pn/OshkoshWWTF-FS.pdf); Plant 2 is Fond du Lac Regional Wastewater Treatment Plant &amp; Resource Recovery Facility and has 8-10 MGD flows (figured out WRRF name from map in Figure 2.1 &amp; comparison with Google Maps, Plant 2 size from https://www.fdl.wi.gov/wastewater/about-us/)</t>
  </si>
  <si>
    <t>Estimated data from graphs using automeris.io/wpd/ (WebPlotDigitizer). Assumed influent is displayed first first for boxplots (that was the trend for all cases where gray vs white boxes could be distinguished). If only the white effluent box is visible, assume not detected. If influent and effluent not distinguishable, assume it's influent for more conservative estimate. Fig 3.1a, 3.5, 3.6 have relevant information, but the scale on the graphs is too large to get accurate values from.</t>
  </si>
  <si>
    <t>Assuming INF is influent (or septic tank effluent); use M sites only (fed by sewershed, the others are from specific residences and are excluded)</t>
  </si>
  <si>
    <t>Massachusetts Alternative Septic System Test Center (MASSTC) facility is reported to be small since it is onsite treatment, so the first quartile for WRRF capacity of WRRFs in the US from the HydroWASTE database (https://essd.copernicus.org/articles/14/559/2022/) is used to estimate the capacity of a small WRRF in the US like MASSTC. This value is 302.832 m^3/d.</t>
  </si>
  <si>
    <t>WRRF capacity reported in reference in Methods section</t>
  </si>
  <si>
    <t xml:space="preserve">Table 2.4 is from other literature; Gushgari et al, Reynolds et al, &amp; Mahmoudi et al used; Centazzo et al was originally included but now excluded b/c samples from primary settling tank, not influent; other citations were not in the US; average value reported from Table 2.4; units all ng/L. Tables 4.2-4.4 excluded because not measured in influent but used for a degradation experiment </t>
  </si>
  <si>
    <t>Cookeville WRRF reported to have 14 MGD capacity (https://www.cookeville-tn.gov/268/Sewer-Treatment)</t>
  </si>
  <si>
    <t>Mentioned in reference 7, Table 2.8; but the data quality is better from the original study by Boles and Wells, included here</t>
  </si>
  <si>
    <t>Units are ng/L, Fig 2 replicates the data visually; reported the average for each pharmaceutical</t>
  </si>
  <si>
    <t>Averaged together the average flowrate and population served for all 10 WRRFs in study since the average concentrations across all 10 facilities is reported in Table S7; flow rates and population data included in Table S2</t>
  </si>
  <si>
    <t xml:space="preserve">Has data from many regions, US data extracted in Table S5, min/max/median/mean given depending on the study - use median if available, then mean, then max, then min to report the literature value
</t>
  </si>
  <si>
    <t>Oregon WRRF information: https://cleanwaterservices.org/our-water/treatment-process/durham/; New York WRRF information: https://www.nyc.gov/site/dep/water/wastewater-treatment-plants.page; Boulder WRRF information: https://bouldercolorado.gov/services/water-resource-recovery-program; Atlanta WRRF information in Methods section of this paper: https://www.researchgate.net/profile/Lokesh-Padhye/publication/261884693_Occurrence_and_Removal_of_PPCPs_in_Urban_Wastewater/links/545acc840cf2c46f664389bc/Occurrence-and-Removal-of-PPCPs-in-Urban-Wastewater.pdf; Tuscaloosa WRRF information under Site Description in this paper: https://ascelibrary.org/doi/10.1061/9780784412312.362; Albany, NY WRRF information in this paper under Methods: https://doi.org/10.1016/j.scitotenv.2015.01.098; Niagara WRRFs found by comparing map in Figure S1 of this paper: https://pubs.acs.org/doi/full/10.1021/acs.est.7b02912. For Niagara WRRF W1, the WRRF is the Town of Tonawanda Wastewater Treatment Plant (info here: https://www.tonawanda.ny.us/government/wastewater/42-wastewater-treatment.html); For Niagara WRRF W2, the WRRF is the Town of Amherst Wastewater Treatment Facility (info here: https://www.amherst.ny.us/content/departments.php?dept_id=dept_10&amp;div_id=div_15&amp;menu_id=menu_66); other measurements present for the US but could not verify plant size, so they are excluded here</t>
  </si>
  <si>
    <r>
      <t xml:space="preserve">Table S5. </t>
    </r>
    <r>
      <rPr>
        <sz val="12"/>
        <color theme="1"/>
        <rFont val="Times New Roman"/>
        <family val="1"/>
      </rPr>
      <t>Metadata for each citation in the Preferred Reporting Items for Systematic reviews and Meta-Analyses (PRISMA) literature search (the data collected in this literature search are available in Table S6).</t>
    </r>
  </si>
  <si>
    <t>3-2 is from summary across samples (used median value), 3-3 is seasonal (used mean value)</t>
  </si>
  <si>
    <r>
      <t>5.7-7.6 MLD</t>
    </r>
    <r>
      <rPr>
        <vertAlign val="superscript"/>
        <sz val="12"/>
        <rFont val="Times New Roman"/>
        <family val="1"/>
      </rPr>
      <t>f</t>
    </r>
    <r>
      <rPr>
        <sz val="12"/>
        <rFont val="Times New Roman"/>
        <family val="1"/>
      </rPr>
      <t xml:space="preserve"> reported during academic year (average of 6.65 MLD during year) reported on p 58</t>
    </r>
  </si>
  <si>
    <t>Used median first, then mean, then max, then min based on availability; Combines multiple studies; Oliveira et al, 2015 - only WRRF influent, hospital effluent excluded; Asimakopoulos et al excluded because could not verify WRRF size; Montgomery et al, 2021 provided mass load directly, so no conversion from concentration needed</t>
  </si>
  <si>
    <t>Oliveira et al, 2015: WRRF info reported in Methods section of the paper; Subedi &amp; Kannan, 2015: WRRF info reported in Methods section of the paper; Croft et al, 2020: WRRF info reported in Methods section of the paper; Montgomery et al, 2021: population exiting to sewer noted in Methods section of paper; Skees et al, 2018: WRRF info reported in Methods section of the paper</t>
  </si>
  <si>
    <t>WRRF capacity data reported in Figure 1</t>
  </si>
  <si>
    <t>Concentration in ng/L, E is estimated concentration with loss of precision (just used the number directly, but just to know that the precision isn't perfect on these numbers); used median influent values for WWTP A (other WRRFs only had 1 value reported)</t>
  </si>
  <si>
    <t xml:space="preserve">Data from Ottmar et al, 2012 </t>
  </si>
  <si>
    <t>Ottmar et al, 2012 notes that sampling was conducted at a medium-sized WWTP, so the 2nd quartile of WRRF capacity of WRRFs in the US from the HydroWASTE database (https://essd.copernicus.org/articles/14/559/2022/) was used to approximate a medium sized WRRF. This value is 1135.62 m^3/day.</t>
  </si>
  <si>
    <t>Some figures or tables in the data have summarized versions of the raw data in the appendix.</t>
  </si>
  <si>
    <t>WRRF capacity data on p 24, 25, 26, 28</t>
  </si>
  <si>
    <t>The values reported here are from Bisceglia et al, 2010. In Table 2, CLX is ciclopirox, TRB is terbinafine</t>
  </si>
  <si>
    <t>The WRRF is identified in the paper as the Back River WWTP; WRRF info from https://publicworks.baltimorecity.gov/pw-bureaus/water-wastewater/wastewater/back-river</t>
  </si>
  <si>
    <t>Data in Table SI-1 is from Lara-Martin et al, 2014 and Teerlink et al, 2012; had to exclude Teerlink et al, 2012 b/c range reported is too large</t>
  </si>
  <si>
    <r>
      <t>WRRF info for Stony Brook STP</t>
    </r>
    <r>
      <rPr>
        <vertAlign val="superscript"/>
        <sz val="12"/>
        <rFont val="Times New Roman"/>
        <family val="1"/>
      </rPr>
      <t>g</t>
    </r>
    <r>
      <rPr>
        <sz val="12"/>
        <rFont val="Times New Roman"/>
        <family val="1"/>
      </rPr>
      <t xml:space="preserve"> is reported in the Methods section of Lara-Martin et al, 2014</t>
    </r>
  </si>
  <si>
    <t>Using median reported values</t>
  </si>
  <si>
    <t>WRRF capacity and population served reported in Methods section</t>
  </si>
  <si>
    <t>Lots of data in Tables S8-S33 but all in image format and can't access without hand typing, Table S34 summarizes some of the data from these, so that is the table referenced in this search. The 2022-2023 Inf. Avg. column is the average influent concentration from Tables S8-S33 for grab samples only (sufficient for the purposes of this search without the composite sample concentrations).</t>
  </si>
  <si>
    <t>Fig 1 reports the average daily flow and sewershed population for each WRRF. Since averages across all grab samples are reported here, the reported daily flow and population values are the average for those sewersheds where grab samples were taken.</t>
  </si>
  <si>
    <t>Article reports that the WRRFs sampled had capacities between 2.6 and 66 MGD but no other info is given for each country, so the average for all WRRFs (34.3 MGD) was used to approximate flow capacity for the USA plants.</t>
  </si>
  <si>
    <t>Use USA1-P1 and USA2-P2 columns, units are ng/L.</t>
  </si>
  <si>
    <t>Skip quetiapine and aripiprazole (already included from reference 12); concentration column used (also could have used mass load column to get from reported g/d to ng/capita/day - but the results would be the same since population is provided for this study)</t>
  </si>
  <si>
    <t>Flow capacity and population reported in Methods section</t>
  </si>
  <si>
    <t>1 paper in review excluded b/c units of ng/mg creatinine; dropping Oliveira et al, 2015 because data is inconsistent between this cited reference and the original paper</t>
  </si>
  <si>
    <t>Skees et al, 2018 reports the WRRF information in the Methods section of the paper</t>
  </si>
  <si>
    <t>2 measurements excluded b/c not clear if in US or not (ERY for Evgenidou, Konstantinou, and Lambropoulou, 2015; PROP for Deblonde, Cossu-Leguille, &amp; Hartemann); Pharmacuetical Abbreviations: CBZ=carbamazepine, LID=lidocaine, CLA=clarithromycin, ERY=erythromycin, ATL=atenolol, PROP=propranolol; reported the average of the range reported in Table 2.4</t>
  </si>
  <si>
    <t>The 4 water systems' flow and population values are averaged across all 4 water systems since it is reported as a range in this cited paper</t>
  </si>
  <si>
    <t>Pharmaceuticals are: amoxicillin (Amo), amoxicillin/clavulanic acid (Amo/Cla), ampicillin (Amp), azithromycin (Azi),  cefazolin (Faz), cefepime (Fep), cefotaxime (Fot), cefotaxime/clavulanic acid (Fot/Cla), cefoxitin (Fox), cefpodoxime (Pod), ceftazidime (Taz), ceftazidime/clavulanic acid (Taz/Cla), ceftiofur (Tio), ceftriaxone (Axo), cephalothin (Cep), chloramphenicol (Chl), ciprofloxacin (Cip), daptomycin (Dap), erythromycin (Ery), gentamicin (Gen), imipenem (Imi), kanamycin (Kan), lincomycin (Lin), linezolid (Lnz), meropenem (Mer), methicillin (Met), nalidixic acid (Nal), nitrofurantoin (Nit), oxacillin (Oxa), penicillin (Pen), piperacillin/tazobactam (P/T4), synercid (Syn), streptomycin (Str), sulfamethoxazole (Smx), sulfisoxazole (Sul), tetracycline (Tet), tigecycline (Tig), trimethoprim (Tri), trimethoprim/sulfamethoxazole (Tri/Smx), tylosin (Tyl), and vancomycin (Van). 
Assume penicillin VK is the pencillin they mention to make the most conservative estimate of the penicillin VK concentration.</t>
  </si>
  <si>
    <t>WRRFs are identified as Cedar Creek, Middle Oconee and North Oconee in the reference; WRRF capacity info from: https://www.accgov.com/4472/ACC-Water-Reclamation-Facilities</t>
  </si>
  <si>
    <t>Took average of the reported concentration range in Table 2.1</t>
  </si>
  <si>
    <t>Averaged the flow data given in Appendix A Table A.1 for summer NE, winter NE, summer SW, winter SW (could not distinguish the two WRRFs since Table 2.1 reports influent concentration for both WRRFs together without specifying the season)</t>
  </si>
  <si>
    <t>Units are ng/L; N/S is not sampled</t>
  </si>
  <si>
    <t>WRRF capacity provided on p 13</t>
  </si>
  <si>
    <t>Data comes from Bhandari et al, 2008 (superscript a in Table 1)</t>
  </si>
  <si>
    <t>Average flow rate reported in Bhandari et al, 2008 is used since only the average concentration across all 4 WRRFs is provided in the cited reference (average of 30 MGD, 3 MGD, and 70 MGD (70 MGD is average of 60-80 MGD reported for 2 of the 4 WRRFs in the study) is 43.25 MGD)</t>
  </si>
  <si>
    <t>Don't use Blair et al, 2015 (sludge, not influent); don’t use Godfrey &amp; Woessner, 2007 (septic effluent, not WWTP influent); URL has previously broken, but data can be found at EPA, 2009: https://www.epa.gov/sites/default/files/2018-11/documents/occurrence-cec-wastewater-9-treatment-work.pdf#:~:text=Occurrence%20of%20Contaminants%20of%20Emerging%20Concern%20in,Publicly%20Owned%20Treatment%20Works%2C%20August%202009%2C%20EPA%2D821%2DR%2D09 and at Benotti &amp; Brownawell, 2007: https://pubs.acs.org/doi/10.1021/es0629965</t>
  </si>
  <si>
    <t>EPA, 2009 report has WRRF capacity data on p 8; Benotti &amp; Brownawell, 2007 samples are from the 26th Ward WRRF, which has a capacity of 85 MGD (https://www.nyc.gov/site/dep/water/wastewater-treatment-plants.page)</t>
  </si>
  <si>
    <t>Data from Skees et al, 2018, Kwon &amp; Rodriguez, 2014, Benotti &amp; Brownawell, 2007</t>
  </si>
  <si>
    <t>Skees et al, 2018 reports the WRRF information in the Methods section of the paper; Kwon &amp; Rodriguez, 2014 reported WRRFs in their Table 1 with capacities of 3.5, 10, and 47 MGD and with populations of 44,000, 26,000, and 299,000 people; because Table 3 in this cited reference only reports the average concentration across all 3 WRRFs, the average capacity (20.17 MGD) and average population (123,000 people) are used;  Benotti &amp; Brownawell, 2007 samples are from the 26th Ward WRRF, which has a capacity of 85 MGD (https://www.nyc.gov/site/dep/water/wastewater-treatment-plants.page)</t>
  </si>
  <si>
    <t>One value from Anjali &amp; Shanthakumar, 2019, which cited both Kwon &amp; Rodriguez, 2014 and Li, Zheng, &amp; Kelly, 2013 (see Table 3 in Anjali &amp; Shanthakumar, 2019 to get the links to Kwon &amp; Rodriguez, 2014 and Li, Zheng, &amp; Kelly, 2013)</t>
  </si>
  <si>
    <t>Kwon &amp; Rodriguez, 2014 reported WRRFs in their Table 1 with capacities of 3.5, 10, and 47 MGD and with populations of 44,000, 26,000, and 299,000 people; because Table 3 in this cited reference only reports the average concentration across all 3 WRRFs, the average capacity (20.17 MGD) and average population (123,000 people) are used; Li, Zheng, &amp; Kelly, 2013 reported use of 2 lagoons in primary treatment with 1 and 1.4 million gallon capacities, so the average of these (1.2 million) was used as the flow per day</t>
  </si>
  <si>
    <t>Excluding Subedi &amp; Kannan, 2015 because could not verify original values in original paper compared to values reported in this cited reference</t>
  </si>
  <si>
    <t>Yu, Wu &amp; Chang, 2013 had 5 WRRFs with their typical flow and population served reported in their Table 1; the Table 2 in this cited reference only has summary values (mean, median, etc) and so the flow and population for each of the 5 WRRFs is averaged to get 37.2 MLD and 148,000 people</t>
  </si>
  <si>
    <t>Population of service area in Table 1 on page 15 (some typical flows noted on p 14, but these seem to be for some related WRRFs, so population is used here to estimate flow)</t>
  </si>
  <si>
    <t>Used mean reported concentration; other tables like Table A5-1 are just permutations of the same measurements; Table II-1 is WWTP 2; Table III-1 is WWTP 1, 2, 3a, and 3b</t>
  </si>
  <si>
    <t>Average flow and population on p 29 - used these population values but deferred to the capacity values reported in Table III-1 on p 35 (particularly because the information on p 29 does not provide the different flow values for WWTP 3a vs 3b and Table III-1 does); there is some conflicting information between p 29 and p 35 with the capacities for 3a and 3b but it is unclear which is correct - the more specific info in the table is deferred to. 34.3% of the flow at WWTP 3 (assuming a total flow of 350 MGD as in Table III-1) is from WWTP 3a, so the population is calculated as 0.343*2300000 (value reported on p 29 for total population at WWTP 3). 65.7% of the flow at WWTP 3 (again assuming a total flow of 350 MGD) is from WWTP 3b, so the population is calculated as 0.657*2300000</t>
  </si>
  <si>
    <r>
      <t>Data Notes</t>
    </r>
    <r>
      <rPr>
        <b/>
        <vertAlign val="superscript"/>
        <sz val="12"/>
        <color theme="0"/>
        <rFont val="Times New Roman"/>
        <family val="1"/>
      </rPr>
      <t>a</t>
    </r>
  </si>
  <si>
    <r>
      <t>WRRF</t>
    </r>
    <r>
      <rPr>
        <b/>
        <vertAlign val="superscript"/>
        <sz val="12"/>
        <color theme="0"/>
        <rFont val="Times New Roman"/>
        <family val="1"/>
      </rPr>
      <t>b</t>
    </r>
    <r>
      <rPr>
        <b/>
        <sz val="12"/>
        <color theme="0"/>
        <rFont val="Times New Roman"/>
        <family val="1"/>
      </rPr>
      <t xml:space="preserve"> Notes</t>
    </r>
    <r>
      <rPr>
        <b/>
        <vertAlign val="superscript"/>
        <sz val="12"/>
        <color theme="0"/>
        <rFont val="Times New Roman"/>
        <family val="1"/>
      </rPr>
      <t>c</t>
    </r>
  </si>
  <si>
    <r>
      <t>b</t>
    </r>
    <r>
      <rPr>
        <sz val="12"/>
        <color theme="1"/>
        <rFont val="Times New Roman"/>
        <family val="1"/>
      </rPr>
      <t>ID identifying each unique WRRF, where each WRRF is considered unique if the reported WRRF capacity and/or population served are unique relative to the other WRRFs. The same WRRF may have different WRRF IDs if different capacities or populations are reported in the associated reference. WRRF
ID is an identifier generated for the first time in this table. WRRF reference ID (see footnote c) includes the identifier used in the individual references. These are not consistent through all references, hence the need for the WRRF ID variable in this study.</t>
    </r>
  </si>
  <si>
    <r>
      <rPr>
        <vertAlign val="superscript"/>
        <sz val="12"/>
        <color theme="1"/>
        <rFont val="Times New Roman"/>
        <family val="1"/>
      </rPr>
      <t>a</t>
    </r>
    <r>
      <rPr>
        <sz val="12"/>
        <color theme="1"/>
        <rFont val="Times New Roman"/>
        <family val="1"/>
      </rPr>
      <t>Number identifying the referenced article from the literature. Reference number in this table is the same as the reference number in Table S5.</t>
    </r>
  </si>
  <si>
    <r>
      <t>c</t>
    </r>
    <r>
      <rPr>
        <sz val="12"/>
        <color theme="1"/>
        <rFont val="Times New Roman"/>
        <family val="1"/>
      </rPr>
      <t>ID identifying the WRRF as it is described in the associated reference.</t>
    </r>
    <r>
      <rPr>
        <vertAlign val="superscript"/>
        <sz val="12"/>
        <color theme="1"/>
        <rFont val="Times New Roman"/>
        <family val="1"/>
      </rPr>
      <t xml:space="preserve"> </t>
    </r>
    <r>
      <rPr>
        <sz val="12"/>
        <color theme="1"/>
        <rFont val="Times New Roman"/>
        <family val="1"/>
      </rPr>
      <t>This is different from the WRRF_ID, which is the WRRF identifier used in this paper.</t>
    </r>
  </si>
  <si>
    <r>
      <t>a</t>
    </r>
    <r>
      <rPr>
        <sz val="12"/>
        <color rgb="FF000000"/>
        <rFont val="Times New Roman"/>
        <family val="1"/>
      </rPr>
      <t>predicted mass load in µg/capita/day</t>
    </r>
  </si>
  <si>
    <r>
      <rPr>
        <vertAlign val="superscript"/>
        <sz val="12"/>
        <color rgb="FF000000"/>
        <rFont val="Times New Roman"/>
        <family val="1"/>
      </rPr>
      <t>b</t>
    </r>
    <r>
      <rPr>
        <sz val="12"/>
        <color rgb="FF000000"/>
        <rFont val="Times New Roman"/>
        <family val="1"/>
      </rPr>
      <t>reported mass load in µg/capita/day</t>
    </r>
  </si>
  <si>
    <r>
      <rPr>
        <vertAlign val="superscript"/>
        <sz val="12"/>
        <color rgb="FF000000"/>
        <rFont val="Times New Roman"/>
        <family val="1"/>
      </rPr>
      <t>c</t>
    </r>
    <r>
      <rPr>
        <sz val="12"/>
        <color rgb="FF000000"/>
        <rFont val="Times New Roman"/>
        <family val="1"/>
      </rPr>
      <t>PC refers to predicted concentration in µg/L</t>
    </r>
  </si>
  <si>
    <r>
      <t>0.59</t>
    </r>
    <r>
      <rPr>
        <vertAlign val="superscript"/>
        <sz val="12"/>
        <color theme="1"/>
        <rFont val="Times New Roman"/>
        <family val="1"/>
      </rPr>
      <t>h</t>
    </r>
  </si>
  <si>
    <r>
      <t>23.34 - 25.77</t>
    </r>
    <r>
      <rPr>
        <vertAlign val="superscript"/>
        <sz val="12"/>
        <color theme="1"/>
        <rFont val="Times New Roman"/>
        <family val="1"/>
      </rPr>
      <t>g</t>
    </r>
  </si>
  <si>
    <r>
      <rPr>
        <vertAlign val="superscript"/>
        <sz val="12"/>
        <color rgb="FF000000"/>
        <rFont val="Times New Roman"/>
        <family val="1"/>
      </rPr>
      <t>d</t>
    </r>
    <r>
      <rPr>
        <sz val="12"/>
        <color rgb="FF000000"/>
        <rFont val="Times New Roman"/>
        <family val="1"/>
      </rPr>
      <t>RC refers to reported concentration in µg/L</t>
    </r>
  </si>
  <si>
    <r>
      <t>He et al., 2020 MC</t>
    </r>
    <r>
      <rPr>
        <b/>
        <vertAlign val="superscript"/>
        <sz val="12"/>
        <color theme="1"/>
        <rFont val="Times New Roman"/>
        <family val="1"/>
      </rPr>
      <t>e</t>
    </r>
  </si>
  <si>
    <r>
      <t>PharmFlush PML</t>
    </r>
    <r>
      <rPr>
        <b/>
        <vertAlign val="superscript"/>
        <sz val="12"/>
        <color theme="1"/>
        <rFont val="Times New Roman"/>
        <family val="1"/>
      </rPr>
      <t>a,f</t>
    </r>
  </si>
  <si>
    <r>
      <t>PharmFlush RML</t>
    </r>
    <r>
      <rPr>
        <b/>
        <vertAlign val="superscript"/>
        <sz val="12"/>
        <color theme="1"/>
        <rFont val="Times New Roman"/>
        <family val="1"/>
      </rPr>
      <t>b,f</t>
    </r>
  </si>
  <si>
    <r>
      <t>PharmFlush PC</t>
    </r>
    <r>
      <rPr>
        <b/>
        <vertAlign val="superscript"/>
        <sz val="12"/>
        <color theme="1"/>
        <rFont val="Times New Roman"/>
        <family val="1"/>
      </rPr>
      <t>c,f</t>
    </r>
  </si>
  <si>
    <r>
      <t>PharmFlush RC</t>
    </r>
    <r>
      <rPr>
        <b/>
        <vertAlign val="superscript"/>
        <sz val="12"/>
        <color theme="1"/>
        <rFont val="Times New Roman"/>
        <family val="1"/>
      </rPr>
      <t>d,f</t>
    </r>
  </si>
  <si>
    <r>
      <rPr>
        <vertAlign val="superscript"/>
        <sz val="12"/>
        <color rgb="FF000000"/>
        <rFont val="Times New Roman"/>
        <family val="1"/>
      </rPr>
      <t>e</t>
    </r>
    <r>
      <rPr>
        <sz val="12"/>
        <color rgb="FF000000"/>
        <rFont val="Times New Roman"/>
        <family val="1"/>
      </rPr>
      <t>MC refers to measured concentration in µg/L</t>
    </r>
  </si>
  <si>
    <r>
      <rPr>
        <vertAlign val="superscript"/>
        <sz val="12"/>
        <color rgb="FF000000"/>
        <rFont val="Times New Roman"/>
        <family val="1"/>
      </rPr>
      <t>f</t>
    </r>
    <r>
      <rPr>
        <sz val="12"/>
        <color rgb="FF000000"/>
        <rFont val="Times New Roman"/>
        <family val="1"/>
      </rPr>
      <t>PML and RML are only provided for the PharmFlush model since this is how the predicted to reported mass load ratio is computed. The other models use predicted to measured environmental concentration, so these are reported for these models.
PharmFlush predicted and reported concentrations are additionally provided for comparison with the other models.</t>
    </r>
  </si>
  <si>
    <r>
      <rPr>
        <b/>
        <sz val="12"/>
        <color theme="1"/>
        <rFont val="Times New Roman"/>
        <family val="1"/>
      </rPr>
      <t>Table S8.</t>
    </r>
    <r>
      <rPr>
        <sz val="12"/>
        <color theme="1"/>
        <rFont val="Times New Roman"/>
        <family val="1"/>
      </rPr>
      <t xml:space="preserve"> Comparison between PharmFlush predictions and predictions from similar models in the literature. Notably, only those pharmaceuticals with corresponding measured values are included here, and only those values above
detection limits are considered for each study. Blank rows for a given pharmaceutical indicate that the given study did not have predicted, measured, or both concentrations available.</t>
    </r>
  </si>
  <si>
    <r>
      <rPr>
        <vertAlign val="superscript"/>
        <sz val="12"/>
        <color rgb="FF000000"/>
        <rFont val="Times New Roman"/>
        <family val="1"/>
      </rPr>
      <t>g</t>
    </r>
    <r>
      <rPr>
        <sz val="12"/>
        <color rgb="FF000000"/>
        <rFont val="Times New Roman"/>
        <family val="1"/>
      </rPr>
      <t>Values are rounded to 2 decimal places, except when the first significant digit falls below this precision threshold.</t>
    </r>
  </si>
  <si>
    <r>
      <rPr>
        <vertAlign val="superscript"/>
        <sz val="12"/>
        <color rgb="FF000000"/>
        <rFont val="Times New Roman"/>
        <family val="1"/>
      </rPr>
      <t>h</t>
    </r>
    <r>
      <rPr>
        <sz val="12"/>
        <color rgb="FF000000"/>
        <rFont val="Times New Roman"/>
        <family val="1"/>
      </rPr>
      <t>Single values are provided in lieu of a range for single reported values the associated study.</t>
    </r>
  </si>
  <si>
    <r>
      <t xml:space="preserve">Table S3. </t>
    </r>
    <r>
      <rPr>
        <sz val="12"/>
        <color theme="1"/>
        <rFont val="Times New Roman"/>
        <family val="1"/>
      </rPr>
      <t>Metadata for the PharmUse database, version v1.0.0.</t>
    </r>
  </si>
  <si>
    <r>
      <t>a</t>
    </r>
    <r>
      <rPr>
        <sz val="12"/>
        <color theme="1"/>
        <rFont val="Times New Roman"/>
        <family val="1"/>
      </rPr>
      <t>MEPS refers to the 2020 Medical Expenditure Panel Survey Household Component</t>
    </r>
  </si>
  <si>
    <r>
      <t>MEPS</t>
    </r>
    <r>
      <rPr>
        <vertAlign val="superscript"/>
        <sz val="12"/>
        <color theme="1"/>
        <rFont val="Times New Roman"/>
        <family val="1"/>
      </rPr>
      <t>a</t>
    </r>
  </si>
  <si>
    <r>
      <t>Drugs@FDA</t>
    </r>
    <r>
      <rPr>
        <vertAlign val="superscript"/>
        <sz val="12"/>
        <color theme="1"/>
        <rFont val="Times New Roman"/>
        <family val="1"/>
      </rPr>
      <t>b</t>
    </r>
    <r>
      <rPr>
        <sz val="12"/>
        <color theme="1"/>
        <rFont val="Times New Roman"/>
        <family val="1"/>
      </rPr>
      <t xml:space="preserve"> and MEPS</t>
    </r>
  </si>
  <si>
    <r>
      <t>EPA CompTox</t>
    </r>
    <r>
      <rPr>
        <vertAlign val="superscript"/>
        <sz val="12"/>
        <color theme="1"/>
        <rFont val="Times New Roman"/>
        <family val="1"/>
      </rPr>
      <t>d</t>
    </r>
  </si>
  <si>
    <r>
      <t>SMILES</t>
    </r>
    <r>
      <rPr>
        <vertAlign val="superscript"/>
        <sz val="12"/>
        <color theme="1"/>
        <rFont val="Times New Roman"/>
        <family val="1"/>
      </rPr>
      <t>c</t>
    </r>
  </si>
  <si>
    <r>
      <t>InChI</t>
    </r>
    <r>
      <rPr>
        <vertAlign val="superscript"/>
        <sz val="12"/>
        <color theme="1"/>
        <rFont val="Times New Roman"/>
        <family val="1"/>
      </rPr>
      <t>e</t>
    </r>
    <r>
      <rPr>
        <sz val="12"/>
        <color theme="1"/>
        <rFont val="Times New Roman"/>
        <family val="1"/>
      </rPr>
      <t xml:space="preserve"> String</t>
    </r>
  </si>
  <si>
    <r>
      <t>DTXSID</t>
    </r>
    <r>
      <rPr>
        <vertAlign val="superscript"/>
        <sz val="12"/>
        <color theme="1"/>
        <rFont val="Times New Roman"/>
        <family val="1"/>
      </rPr>
      <t>f</t>
    </r>
  </si>
  <si>
    <r>
      <t>LogD5.5</t>
    </r>
    <r>
      <rPr>
        <vertAlign val="superscript"/>
        <sz val="12"/>
        <color theme="1"/>
        <rFont val="Times New Roman"/>
        <family val="1"/>
      </rPr>
      <t>g</t>
    </r>
    <r>
      <rPr>
        <sz val="12"/>
        <color theme="1"/>
        <rFont val="Times New Roman"/>
        <family val="1"/>
      </rPr>
      <t xml:space="preserve"> (unitless)</t>
    </r>
  </si>
  <si>
    <r>
      <t>LogD7.4</t>
    </r>
    <r>
      <rPr>
        <vertAlign val="superscript"/>
        <sz val="12"/>
        <color theme="1"/>
        <rFont val="Times New Roman"/>
        <family val="1"/>
      </rPr>
      <t>h</t>
    </r>
    <r>
      <rPr>
        <sz val="12"/>
        <color theme="1"/>
        <rFont val="Times New Roman"/>
        <family val="1"/>
      </rPr>
      <t xml:space="preserve"> (unitless)</t>
    </r>
  </si>
  <si>
    <r>
      <t>LogK</t>
    </r>
    <r>
      <rPr>
        <vertAlign val="subscript"/>
        <sz val="12"/>
        <color theme="1"/>
        <rFont val="Times New Roman"/>
        <family val="1"/>
      </rPr>
      <t>oa</t>
    </r>
    <r>
      <rPr>
        <vertAlign val="superscript"/>
        <sz val="12"/>
        <color theme="1"/>
        <rFont val="Times New Roman"/>
        <family val="1"/>
      </rPr>
      <t>i</t>
    </r>
    <r>
      <rPr>
        <sz val="12"/>
        <color theme="1"/>
        <rFont val="Times New Roman"/>
        <family val="1"/>
      </rPr>
      <t xml:space="preserve"> (unitless)</t>
    </r>
  </si>
  <si>
    <r>
      <t>LogK</t>
    </r>
    <r>
      <rPr>
        <vertAlign val="subscript"/>
        <sz val="12"/>
        <color theme="1"/>
        <rFont val="Times New Roman"/>
        <family val="1"/>
      </rPr>
      <t>ow</t>
    </r>
    <r>
      <rPr>
        <vertAlign val="superscript"/>
        <sz val="12"/>
        <color theme="1"/>
        <rFont val="Times New Roman"/>
        <family val="1"/>
      </rPr>
      <t>j</t>
    </r>
    <r>
      <rPr>
        <sz val="12"/>
        <color theme="1"/>
        <rFont val="Times New Roman"/>
        <family val="1"/>
      </rPr>
      <t xml:space="preserve"> (unitless)</t>
    </r>
  </si>
  <si>
    <r>
      <t>OPERA</t>
    </r>
    <r>
      <rPr>
        <vertAlign val="superscript"/>
        <sz val="12"/>
        <color theme="1"/>
        <rFont val="Times New Roman"/>
        <family val="1"/>
      </rPr>
      <t>k</t>
    </r>
    <r>
      <rPr>
        <sz val="12"/>
        <color theme="1"/>
        <rFont val="Times New Roman"/>
        <family val="1"/>
      </rPr>
      <t xml:space="preserve"> biodegradation prediction (binary value)</t>
    </r>
  </si>
  <si>
    <r>
      <t>Invertebrate Median LC50</t>
    </r>
    <r>
      <rPr>
        <vertAlign val="superscript"/>
        <sz val="12"/>
        <color theme="1"/>
        <rFont val="Times New Roman"/>
        <family val="1"/>
      </rPr>
      <t>l</t>
    </r>
    <r>
      <rPr>
        <sz val="12"/>
        <color theme="1"/>
        <rFont val="Times New Roman"/>
        <family val="1"/>
      </rPr>
      <t xml:space="preserve"> (μg/L)</t>
    </r>
  </si>
  <si>
    <r>
      <t>Invertebrate Median NOEC</t>
    </r>
    <r>
      <rPr>
        <vertAlign val="superscript"/>
        <sz val="12"/>
        <color theme="1"/>
        <rFont val="Times New Roman"/>
        <family val="1"/>
      </rPr>
      <t>m</t>
    </r>
    <r>
      <rPr>
        <sz val="12"/>
        <color theme="1"/>
        <rFont val="Times New Roman"/>
        <family val="1"/>
      </rPr>
      <t xml:space="preserve"> (μg/L)</t>
    </r>
  </si>
  <si>
    <r>
      <t>enviPath</t>
    </r>
    <r>
      <rPr>
        <vertAlign val="superscript"/>
        <sz val="12"/>
        <color theme="1"/>
        <rFont val="Times New Roman"/>
        <family val="1"/>
      </rPr>
      <t>n</t>
    </r>
  </si>
  <si>
    <r>
      <t>EPA Chemical Transformation Simulator</t>
    </r>
    <r>
      <rPr>
        <vertAlign val="superscript"/>
        <sz val="12"/>
        <color theme="1"/>
        <rFont val="Times New Roman"/>
        <family val="1"/>
      </rPr>
      <t>o</t>
    </r>
  </si>
  <si>
    <r>
      <rPr>
        <vertAlign val="superscript"/>
        <sz val="12"/>
        <color theme="1"/>
        <rFont val="Times New Roman"/>
        <family val="1"/>
      </rPr>
      <t>b</t>
    </r>
    <r>
      <rPr>
        <sz val="12"/>
        <color theme="1"/>
        <rFont val="Times New Roman"/>
        <family val="1"/>
      </rPr>
      <t>Drugs@FDA refers to a database curated by the FDA (Food and Drug Administration, notably sometimes supplemented by the DailyMed, Drugs.com, and manufacturer labels)</t>
    </r>
  </si>
  <si>
    <r>
      <t>c</t>
    </r>
    <r>
      <rPr>
        <sz val="12"/>
        <color theme="1"/>
        <rFont val="Times New Roman"/>
        <family val="1"/>
      </rPr>
      <t>Simplified Molecular Input Line Entry System</t>
    </r>
  </si>
  <si>
    <r>
      <rPr>
        <vertAlign val="superscript"/>
        <sz val="12"/>
        <color theme="1"/>
        <rFont val="Times New Roman"/>
        <family val="1"/>
      </rPr>
      <t>d</t>
    </r>
    <r>
      <rPr>
        <sz val="12"/>
        <color theme="1"/>
        <rFont val="Times New Roman"/>
        <family val="1"/>
      </rPr>
      <t>EPA CompTox refers to the EPA (Environmental Protection Agency) CompTox Chemicals Dashboard v2.4.1 and v2.6.0</t>
    </r>
  </si>
  <si>
    <r>
      <t>e</t>
    </r>
    <r>
      <rPr>
        <sz val="12"/>
        <color theme="1"/>
        <rFont val="Times New Roman"/>
        <family val="1"/>
      </rPr>
      <t xml:space="preserve">International Chemical Identifier </t>
    </r>
  </si>
  <si>
    <r>
      <t>f</t>
    </r>
    <r>
      <rPr>
        <sz val="12"/>
        <color theme="1"/>
        <rFont val="Times New Roman"/>
        <family val="1"/>
      </rPr>
      <t>Distributed Structure-Searchable Toxicity Substance Identifier</t>
    </r>
  </si>
  <si>
    <r>
      <t>l</t>
    </r>
    <r>
      <rPr>
        <sz val="12"/>
        <color theme="1"/>
        <rFont val="Times New Roman"/>
        <family val="1"/>
      </rPr>
      <t xml:space="preserve">Lethal Concentration 50 </t>
    </r>
  </si>
  <si>
    <r>
      <t>m</t>
    </r>
    <r>
      <rPr>
        <sz val="12"/>
        <color theme="1"/>
        <rFont val="Times New Roman"/>
        <family val="1"/>
      </rPr>
      <t>No Observed Effect Concentration</t>
    </r>
  </si>
  <si>
    <r>
      <t>n</t>
    </r>
    <r>
      <rPr>
        <sz val="12"/>
        <color theme="1"/>
        <rFont val="Times New Roman"/>
        <family val="1"/>
      </rPr>
      <t>enviPath refers to the enviPath AI-driven environmental contaminant biotransformation pathway prediction software v0.3.3</t>
    </r>
  </si>
  <si>
    <r>
      <t>o</t>
    </r>
    <r>
      <rPr>
        <sz val="12"/>
        <color theme="1"/>
        <rFont val="Times New Roman"/>
        <family val="1"/>
      </rPr>
      <t>EPA Chemical Transformation Simulator refers to the tool of the same name, version 3.1.3</t>
    </r>
  </si>
  <si>
    <r>
      <t>Percentage of measurements with
acceptable ratio</t>
    </r>
    <r>
      <rPr>
        <b/>
        <vertAlign val="superscript"/>
        <sz val="12"/>
        <color theme="1"/>
        <rFont val="Times New Roman"/>
        <family val="1"/>
      </rPr>
      <t>a</t>
    </r>
    <r>
      <rPr>
        <b/>
        <sz val="12"/>
        <color theme="1"/>
        <rFont val="Times New Roman"/>
        <family val="1"/>
      </rPr>
      <t xml:space="preserve"> (%)</t>
    </r>
  </si>
  <si>
    <r>
      <rPr>
        <vertAlign val="superscript"/>
        <sz val="12"/>
        <color theme="1"/>
        <rFont val="Times New Roman"/>
        <family val="1"/>
      </rPr>
      <t>a</t>
    </r>
    <r>
      <rPr>
        <sz val="12"/>
        <color theme="1"/>
        <rFont val="Times New Roman"/>
        <family val="1"/>
      </rPr>
      <t>Ratio is the predicted to measured environmental concentration ratio for non-PharmFlush models, and the predicted to reported mass load ratio for PharmFlush. Acceptable ratios are defined in Table 1 of the main manuscript.</t>
    </r>
  </si>
  <si>
    <r>
      <t>Percentage of pharmaceuticals</t>
    </r>
    <r>
      <rPr>
        <b/>
        <vertAlign val="superscript"/>
        <sz val="12"/>
        <color theme="1"/>
        <rFont val="Times New Roman"/>
        <family val="1"/>
      </rPr>
      <t>b</t>
    </r>
    <r>
      <rPr>
        <b/>
        <sz val="12"/>
        <color theme="1"/>
        <rFont val="Times New Roman"/>
        <family val="1"/>
      </rPr>
      <t xml:space="preserve"> with
acceptable ratio (%)</t>
    </r>
  </si>
  <si>
    <r>
      <t>b</t>
    </r>
    <r>
      <rPr>
        <sz val="12"/>
        <color theme="1"/>
        <rFont val="Times New Roman"/>
        <family val="1"/>
      </rPr>
      <t>Additionally, number of pharmaceuticals refers to the number of pharmaceuticals with measured/literature-reported values above the detection limit for comparison with the predicted values.</t>
    </r>
  </si>
  <si>
    <r>
      <t>c</t>
    </r>
    <r>
      <rPr>
        <sz val="12"/>
        <color theme="1"/>
        <rFont val="Times New Roman"/>
        <family val="1"/>
      </rPr>
      <t xml:space="preserve">Table S1 of He et al., 2020 contains the data used in Table S8. Triclosan is excluded from this analysis since it is found in personal care products and not typically administered as a pharmaceutical. It is excluded from PharmFlush
for the same reason. </t>
    </r>
  </si>
  <si>
    <r>
      <t>Jagadeesan et al., 2023</t>
    </r>
    <r>
      <rPr>
        <vertAlign val="superscript"/>
        <sz val="12"/>
        <color theme="1"/>
        <rFont val="Times New Roman"/>
        <family val="1"/>
      </rPr>
      <t>d</t>
    </r>
  </si>
  <si>
    <r>
      <t>Ottmar et al., 2010</t>
    </r>
    <r>
      <rPr>
        <vertAlign val="superscript"/>
        <sz val="12"/>
        <color theme="1"/>
        <rFont val="Times New Roman"/>
        <family val="1"/>
      </rPr>
      <t>f</t>
    </r>
  </si>
  <si>
    <r>
      <t>He et al., 2020</t>
    </r>
    <r>
      <rPr>
        <vertAlign val="superscript"/>
        <sz val="12"/>
        <color theme="1"/>
        <rFont val="Times New Roman"/>
        <family val="1"/>
      </rPr>
      <t>c,i</t>
    </r>
  </si>
  <si>
    <r>
      <t>Kostich et al., 2010</t>
    </r>
    <r>
      <rPr>
        <vertAlign val="superscript"/>
        <sz val="12"/>
        <color theme="1"/>
        <rFont val="Times New Roman"/>
        <family val="1"/>
      </rPr>
      <t>e,i</t>
    </r>
  </si>
  <si>
    <r>
      <t>Pang et al., 2024</t>
    </r>
    <r>
      <rPr>
        <vertAlign val="superscript"/>
        <sz val="12"/>
        <color theme="1"/>
        <rFont val="Times New Roman"/>
        <family val="1"/>
      </rPr>
      <t>h,i</t>
    </r>
  </si>
  <si>
    <r>
      <t>Ottmar et al., 2013</t>
    </r>
    <r>
      <rPr>
        <vertAlign val="superscript"/>
        <sz val="12"/>
        <color theme="1"/>
        <rFont val="Times New Roman"/>
        <family val="1"/>
      </rPr>
      <t>g,j</t>
    </r>
  </si>
  <si>
    <r>
      <t>d</t>
    </r>
    <r>
      <rPr>
        <sz val="12"/>
        <color theme="1"/>
        <rFont val="Times New Roman"/>
        <family val="1"/>
      </rPr>
      <t xml:space="preserve">Table 3 of Jagadeesan et al., 2023 contains the data used in Table S8. The average predicted and measured concentration are used to generate the ranges in Table S8. Additionally, predicted environmental concentration (PEC) 02 is
used over PEC 01 since other data is typically from a yearly scale (PEC 01 is from a monthly scale). </t>
    </r>
  </si>
  <si>
    <r>
      <t>e</t>
    </r>
    <r>
      <rPr>
        <sz val="12"/>
        <color theme="1"/>
        <rFont val="Times New Roman"/>
        <family val="1"/>
      </rPr>
      <t>Appendix D of Kostich et al., 2010 contains the data used in Table S8. Notably, the mPEC is the market-based predicted environmental concentration, and MEC is the measured environmental concentration as usual. The ratio 
provided in Appendix D is also reversed from the ratios used in other studies and must be adjusted for comparison with the others. The units are not clearly marked in Appendix 2, but are described to be ng/L throughout the manuscript.
That assumption is used in Table S8.</t>
    </r>
  </si>
  <si>
    <r>
      <t>f</t>
    </r>
    <r>
      <rPr>
        <sz val="12"/>
        <color theme="1"/>
        <rFont val="Times New Roman"/>
        <family val="1"/>
      </rPr>
      <t>Table 1 of Ottmar et al., 2010 contains the data used in Table S8. Valproic acid/Depakote is a synonym of divalproex sodium and is listed in Table S8 as such.</t>
    </r>
  </si>
  <si>
    <r>
      <t>g</t>
    </r>
    <r>
      <rPr>
        <sz val="12"/>
        <color theme="1"/>
        <rFont val="Times New Roman"/>
        <family val="1"/>
      </rPr>
      <t xml:space="preserve">Table 1 of Ottmar et al., 2013 contains the data used in Table S8. </t>
    </r>
  </si>
  <si>
    <r>
      <t>h</t>
    </r>
    <r>
      <rPr>
        <sz val="12"/>
        <color theme="1"/>
        <rFont val="Times New Roman"/>
        <family val="1"/>
      </rPr>
      <t>Table S1 of Pang et al., 2024 contains the data used in Table S8. Caffeine is excluded from this analysis since it has a large source from diet. It is excluded from PharmFlush for the same reason.</t>
    </r>
  </si>
  <si>
    <r>
      <rPr>
        <b/>
        <sz val="12"/>
        <color theme="1"/>
        <rFont val="Times New Roman"/>
        <family val="1"/>
      </rPr>
      <t>Table S7.</t>
    </r>
    <r>
      <rPr>
        <sz val="12"/>
        <color theme="1"/>
        <rFont val="Times New Roman"/>
        <family val="1"/>
      </rPr>
      <t xml:space="preserve"> Summary of PharmFlush accuracy and the accuracy of other cited models.</t>
    </r>
  </si>
  <si>
    <r>
      <t>j</t>
    </r>
    <r>
      <rPr>
        <sz val="12"/>
        <color theme="1"/>
        <rFont val="Times New Roman"/>
        <family val="1"/>
      </rPr>
      <t>Ottmar et al., 2013 exhibits the same trend as in footnote i by chance (i.e., 4 of 9 pharmaceuticals had an acceptable ratio value, and 8 of 18 measurements
had an acceptable ratio).</t>
    </r>
  </si>
  <si>
    <r>
      <t>i</t>
    </r>
    <r>
      <rPr>
        <sz val="12"/>
        <color theme="1"/>
        <rFont val="Times New Roman"/>
        <family val="1"/>
      </rPr>
      <t>The percentages of measurements and pharmaceuticals with acceptable ratios are equal for He et al., 2020, Kostich et al., 2010, and Pang et al., 2024 since average measured concentrations were used to compute the predicted to measured environmental concentration ratio for these studies.</t>
    </r>
  </si>
  <si>
    <r>
      <rPr>
        <b/>
        <sz val="12"/>
        <color theme="1"/>
        <rFont val="Times New Roman"/>
        <family val="1"/>
      </rPr>
      <t>Table S9</t>
    </r>
    <r>
      <rPr>
        <sz val="12"/>
        <color theme="1"/>
        <rFont val="Times New Roman"/>
        <family val="1"/>
      </rPr>
      <t>. PharmFlush-predicted average baseline molar concentrations for the 5 simulated sewershed sizes considered. The size with 110,262 people is the average sewershed size from the literature search. All units are mol/L.
Pharmaceuticals with missing values here (denoted by NA) are among the 9 pharmaceuticals</t>
    </r>
    <r>
      <rPr>
        <vertAlign val="superscript"/>
        <sz val="12"/>
        <color theme="1"/>
        <rFont val="Times New Roman"/>
        <family val="1"/>
      </rPr>
      <t>a</t>
    </r>
    <r>
      <rPr>
        <sz val="12"/>
        <color theme="1"/>
        <rFont val="Times New Roman"/>
        <family val="1"/>
      </rPr>
      <t xml:space="preserve"> for which molar masses are not available in CompTox.</t>
    </r>
  </si>
  <si>
    <r>
      <t>a</t>
    </r>
    <r>
      <rPr>
        <sz val="12"/>
        <color theme="1"/>
        <rFont val="Times New Roman"/>
        <family val="1"/>
      </rPr>
      <t>dulaglutide, senna, spinosad, ivermectin, povidone iodine, gentamicin, witch hazel, cadexomer iodine, and dexlansoprazole</t>
    </r>
  </si>
  <si>
    <r>
      <rPr>
        <b/>
        <sz val="12"/>
        <color theme="1"/>
        <rFont val="Times New Roman"/>
        <family val="1"/>
      </rPr>
      <t>Table S11.</t>
    </r>
    <r>
      <rPr>
        <sz val="12"/>
        <color theme="1"/>
        <rFont val="Times New Roman"/>
        <family val="1"/>
      </rPr>
      <t xml:space="preserve"> The water resource recovery facility (WRRF) profiles that were selected for the simulation in Figure 5 in the main manuscript.</t>
    </r>
  </si>
  <si>
    <r>
      <t>Table S10.</t>
    </r>
    <r>
      <rPr>
        <sz val="12"/>
        <color theme="1"/>
        <rFont val="Times New Roman"/>
        <family val="1"/>
      </rPr>
      <t xml:space="preserve"> Number of detections for each pharmaceutical in the ten simulated grab samples for each sewershed size in Figure 4. Simulated detection limit is 10</t>
    </r>
    <r>
      <rPr>
        <vertAlign val="superscript"/>
        <sz val="12"/>
        <color theme="1"/>
        <rFont val="Times New Roman"/>
        <family val="1"/>
      </rPr>
      <t>-8</t>
    </r>
    <r>
      <rPr>
        <sz val="12"/>
        <color theme="1"/>
        <rFont val="Times New Roman"/>
        <family val="1"/>
      </rPr>
      <t xml:space="preserve"> mol/L.</t>
    </r>
    <r>
      <rPr>
        <b/>
        <sz val="12"/>
        <color theme="1"/>
        <rFont val="Times New Roman"/>
        <family val="1"/>
      </rPr>
      <t xml:space="preserve"> </t>
    </r>
    <r>
      <rPr>
        <sz val="12"/>
        <color theme="1"/>
        <rFont val="Times New Roman"/>
        <family val="1"/>
      </rPr>
      <t>ND is not detected.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</si>
</sst>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family val="2"/>
    </font>
    <font>
      <b/>
      <sz val="12"/>
      <color theme="1"/>
      <name val="Times New Roman"/>
      <family val="1"/>
    </font>
    <font>
      <sz val="12"/>
      <color theme="1"/>
      <name val="Times New Roman"/>
      <family val="1"/>
    </font>
    <font>
      <i/>
      <vertAlign val="superscript"/>
      <sz val="12"/>
      <color theme="1"/>
      <name val="Times New Roman"/>
      <family val="1"/>
    </font>
    <font>
      <vertAlign val="superscript"/>
      <sz val="12"/>
      <color theme="1"/>
      <name val="Times New Roman"/>
      <family val="1"/>
    </font>
    <font>
      <vertAlign val="subscript"/>
      <sz val="12"/>
      <color theme="1"/>
      <name val="Times New Roman"/>
      <family val="1"/>
    </font>
    <font>
      <vertAlign val="superscript"/>
      <sz val="12"/>
      <color theme="1"/>
      <name val="Aptos Narrow"/>
      <family val="2"/>
    </font>
    <font>
      <sz val="12"/>
      <color theme="1"/>
      <name val="Aptos Narrow"/>
      <family val="2"/>
      <scheme val="minor"/>
    </font>
    <font>
      <u/>
      <sz val="11"/>
      <color theme="10"/>
      <name val="Aptos Narrow"/>
      <family val="2"/>
      <scheme val="minor"/>
    </font>
    <font>
      <b/>
      <sz val="12"/>
      <color rgb="FF000000"/>
      <name val="Times New Roman"/>
      <family val="1"/>
    </font>
    <font>
      <sz val="12"/>
      <color rgb="FF000000"/>
      <name val="Times New Roman"/>
      <family val="1"/>
    </font>
    <font>
      <sz val="12"/>
      <name val="Times New Roman"/>
      <family val="1"/>
    </font>
    <font>
      <u/>
      <sz val="12"/>
      <color theme="10"/>
      <name val="Times New Roman"/>
      <family val="1"/>
    </font>
    <font>
      <u/>
      <sz val="12"/>
      <name val="Times New Roman"/>
      <family val="1"/>
    </font>
    <font>
      <i/>
      <sz val="12"/>
      <name val="Times New Roman"/>
      <family val="1"/>
    </font>
    <font>
      <vertAlign val="superscript"/>
      <sz val="12"/>
      <name val="Times New Roman"/>
      <family val="1"/>
    </font>
    <font>
      <vertAlign val="superscript"/>
      <sz val="11"/>
      <color theme="1"/>
      <name val="Aptos Narrow"/>
      <family val="2"/>
      <scheme val="minor"/>
    </font>
    <font>
      <b/>
      <vertAlign val="superscript"/>
      <sz val="12"/>
      <color theme="1"/>
      <name val="Times New Roman"/>
      <family val="1"/>
    </font>
    <font>
      <sz val="12"/>
      <color rgb="FF1F1F1F"/>
      <name val="Times New Roman"/>
      <family val="1"/>
    </font>
    <font>
      <b/>
      <sz val="12"/>
      <color theme="0"/>
      <name val="Times New Roman"/>
      <family val="1"/>
    </font>
    <font>
      <b/>
      <vertAlign val="superscript"/>
      <sz val="12"/>
      <color theme="0"/>
      <name val="Times New Roman"/>
      <family val="1"/>
    </font>
    <font>
      <vertAlign val="superscript"/>
      <sz val="12"/>
      <color rgb="FF00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applyNumberFormat="0" applyFill="0" applyBorder="0" applyAlignment="0" applyProtection="0"/>
  </cellStyleXfs>
  <cellXfs count="73">
    <xf numFmtId="0" fontId="0" fillId="0" borderId="0" xfId="0"/>
    <xf numFmtId="0" fontId="18" fillId="0" borderId="0" xfId="0" applyFont="1" applyAlignment="1">
      <alignment vertical="center" wrapText="1"/>
    </xf>
    <xf numFmtId="0" fontId="19" fillId="0" borderId="0" xfId="0" applyFont="1" applyAlignment="1">
      <alignment vertical="center"/>
    </xf>
    <xf numFmtId="0" fontId="20" fillId="0" borderId="0" xfId="0" applyFont="1" applyAlignment="1">
      <alignment horizontal="center"/>
    </xf>
    <xf numFmtId="0" fontId="19" fillId="0" borderId="0" xfId="0" applyFont="1" applyAlignment="1">
      <alignment horizontal="center"/>
    </xf>
    <xf numFmtId="164" fontId="19" fillId="0" borderId="0" xfId="0" applyNumberFormat="1" applyFont="1" applyAlignment="1">
      <alignment horizontal="center"/>
    </xf>
    <xf numFmtId="164" fontId="20" fillId="0" borderId="0" xfId="0" applyNumberFormat="1" applyFont="1" applyAlignment="1">
      <alignment horizontal="center"/>
    </xf>
    <xf numFmtId="0" fontId="20" fillId="0" borderId="0" xfId="0" applyFont="1"/>
    <xf numFmtId="0" fontId="20" fillId="0" borderId="0" xfId="0" applyFont="1" applyAlignment="1">
      <alignment wrapText="1"/>
    </xf>
    <xf numFmtId="11" fontId="20" fillId="0" borderId="0" xfId="0" applyNumberFormat="1" applyFont="1"/>
    <xf numFmtId="14" fontId="20" fillId="0" borderId="0" xfId="0" applyNumberFormat="1" applyFont="1"/>
    <xf numFmtId="15" fontId="20" fillId="0" borderId="0" xfId="0" applyNumberFormat="1" applyFont="1"/>
    <xf numFmtId="0" fontId="16" fillId="0" borderId="0" xfId="0" applyFont="1" applyAlignment="1">
      <alignment horizontal="center"/>
    </xf>
    <xf numFmtId="164" fontId="20" fillId="0" borderId="0" xfId="0" applyNumberFormat="1" applyFont="1"/>
    <xf numFmtId="0" fontId="22" fillId="0" borderId="0" xfId="0" applyFont="1"/>
    <xf numFmtId="0" fontId="25" fillId="0" borderId="0" xfId="0" applyFont="1"/>
    <xf numFmtId="0" fontId="16" fillId="0" borderId="0" xfId="0" applyFont="1"/>
    <xf numFmtId="0" fontId="19" fillId="0" borderId="0" xfId="0" applyFont="1"/>
    <xf numFmtId="2" fontId="20" fillId="0" borderId="0" xfId="0" applyNumberFormat="1" applyFont="1"/>
    <xf numFmtId="17" fontId="20" fillId="0" borderId="0" xfId="0" applyNumberFormat="1" applyFont="1"/>
    <xf numFmtId="2" fontId="20" fillId="0" borderId="0" xfId="0" applyNumberFormat="1" applyFont="1" applyAlignment="1">
      <alignment horizontal="left" wrapText="1"/>
    </xf>
    <xf numFmtId="0" fontId="29" fillId="0" borderId="0" xfId="0" applyFont="1" applyAlignment="1">
      <alignment horizontal="center"/>
    </xf>
    <xf numFmtId="0" fontId="29" fillId="0" borderId="0" xfId="0" applyFont="1" applyAlignment="1">
      <alignment horizontal="center" vertical="center"/>
    </xf>
    <xf numFmtId="2" fontId="29" fillId="0" borderId="0" xfId="0" applyNumberFormat="1" applyFont="1" applyAlignment="1">
      <alignment horizontal="left" vertical="center"/>
    </xf>
    <xf numFmtId="0" fontId="29" fillId="0" borderId="0" xfId="0" applyFont="1"/>
    <xf numFmtId="2" fontId="29" fillId="0" borderId="0" xfId="0" applyNumberFormat="1" applyFont="1"/>
    <xf numFmtId="2" fontId="20" fillId="0" borderId="0" xfId="0" applyNumberFormat="1" applyFont="1" applyAlignment="1">
      <alignment horizontal="left" vertical="center"/>
    </xf>
    <xf numFmtId="0" fontId="20" fillId="0" borderId="0" xfId="0" applyFont="1" applyAlignment="1">
      <alignment horizontal="center" vertical="center"/>
    </xf>
    <xf numFmtId="0" fontId="30" fillId="0" borderId="0" xfId="42" applyFont="1"/>
    <xf numFmtId="0" fontId="29" fillId="0" borderId="0" xfId="0" applyFont="1" applyAlignment="1">
      <alignment vertical="center" wrapText="1"/>
    </xf>
    <xf numFmtId="0" fontId="29" fillId="0" borderId="0" xfId="0" applyFont="1" applyAlignment="1">
      <alignment wrapText="1"/>
    </xf>
    <xf numFmtId="0" fontId="31" fillId="0" borderId="0" xfId="42" applyFont="1"/>
    <xf numFmtId="17" fontId="29" fillId="0" borderId="0" xfId="0" applyNumberFormat="1" applyFont="1"/>
    <xf numFmtId="0" fontId="29" fillId="0" borderId="0" xfId="0" applyFont="1" applyAlignment="1">
      <alignment horizontal="justify" vertical="center" wrapText="1"/>
    </xf>
    <xf numFmtId="0" fontId="34" fillId="0" borderId="0" xfId="0" applyFont="1"/>
    <xf numFmtId="0" fontId="19" fillId="0" borderId="0" xfId="0" applyFont="1" applyAlignment="1">
      <alignment wrapText="1"/>
    </xf>
    <xf numFmtId="0" fontId="20" fillId="0" borderId="0" xfId="0" applyFont="1" applyAlignment="1">
      <alignment horizontal="left"/>
    </xf>
    <xf numFmtId="0" fontId="27" fillId="0" borderId="0" xfId="0" applyFont="1" applyAlignment="1">
      <alignment horizontal="left" vertical="center"/>
    </xf>
    <xf numFmtId="0" fontId="19" fillId="0" borderId="0" xfId="0" applyFont="1" applyAlignment="1">
      <alignment horizontal="left"/>
    </xf>
    <xf numFmtId="0" fontId="36" fillId="0" borderId="0" xfId="0" applyFont="1"/>
    <xf numFmtId="49" fontId="20" fillId="0" borderId="0" xfId="0" applyNumberFormat="1" applyFont="1"/>
    <xf numFmtId="0" fontId="19" fillId="0" borderId="10" xfId="0" applyFont="1" applyBorder="1"/>
    <xf numFmtId="0" fontId="28" fillId="0" borderId="0" xfId="0" applyFont="1" applyAlignment="1">
      <alignment horizontal="center" vertical="center"/>
    </xf>
    <xf numFmtId="2" fontId="20" fillId="0" borderId="0" xfId="0" applyNumberFormat="1" applyFont="1" applyAlignment="1">
      <alignment horizontal="right"/>
    </xf>
    <xf numFmtId="2" fontId="19" fillId="0" borderId="10" xfId="0" applyNumberFormat="1" applyFont="1" applyBorder="1"/>
    <xf numFmtId="2" fontId="20" fillId="0" borderId="0" xfId="0" applyNumberFormat="1" applyFont="1" applyAlignment="1">
      <alignment horizontal="right" vertical="center" wrapText="1"/>
    </xf>
    <xf numFmtId="2" fontId="20" fillId="0" borderId="11" xfId="0" applyNumberFormat="1" applyFont="1" applyBorder="1" applyAlignment="1">
      <alignment horizontal="right" vertical="center" wrapText="1"/>
    </xf>
    <xf numFmtId="164" fontId="19" fillId="0" borderId="0" xfId="0" applyNumberFormat="1" applyFont="1"/>
    <xf numFmtId="164" fontId="19" fillId="0" borderId="0" xfId="0" applyNumberFormat="1" applyFont="1" applyAlignment="1">
      <alignment wrapText="1"/>
    </xf>
    <xf numFmtId="2" fontId="19" fillId="0" borderId="0" xfId="0" applyNumberFormat="1" applyFont="1" applyAlignment="1">
      <alignment wrapText="1"/>
    </xf>
    <xf numFmtId="0" fontId="22" fillId="0" borderId="0" xfId="0" applyFont="1" applyAlignment="1">
      <alignment horizontal="left" vertical="center" wrapText="1"/>
    </xf>
    <xf numFmtId="0" fontId="0" fillId="0" borderId="0" xfId="0" applyAlignment="1">
      <alignment horizontal="left"/>
    </xf>
    <xf numFmtId="0" fontId="22" fillId="0" borderId="0" xfId="0" applyFont="1" applyAlignment="1">
      <alignment horizontal="left" vertical="center"/>
    </xf>
    <xf numFmtId="0" fontId="33" fillId="0" borderId="0" xfId="0" applyFont="1"/>
    <xf numFmtId="0" fontId="22" fillId="0" borderId="0" xfId="0" applyFont="1" applyAlignment="1">
      <alignment horizontal="left"/>
    </xf>
    <xf numFmtId="0" fontId="29" fillId="0" borderId="0" xfId="0" applyFont="1" applyAlignment="1">
      <alignment vertical="top" wrapText="1"/>
    </xf>
    <xf numFmtId="0" fontId="37" fillId="0" borderId="0" xfId="0" applyFont="1"/>
    <xf numFmtId="0" fontId="37" fillId="0" borderId="0" xfId="0" applyFont="1" applyAlignment="1">
      <alignment wrapText="1"/>
    </xf>
    <xf numFmtId="0" fontId="17" fillId="0" borderId="0" xfId="0" applyFont="1"/>
    <xf numFmtId="0" fontId="39" fillId="0" borderId="0" xfId="0" applyFont="1" applyAlignment="1">
      <alignment horizontal="left" vertical="center"/>
    </xf>
    <xf numFmtId="0" fontId="28" fillId="0" borderId="0" xfId="0" applyFont="1" applyAlignment="1">
      <alignment horizontal="left" vertical="center"/>
    </xf>
    <xf numFmtId="0" fontId="20" fillId="0" borderId="0" xfId="0" quotePrefix="1" applyFont="1"/>
    <xf numFmtId="0" fontId="20" fillId="0" borderId="0" xfId="0" applyFont="1" applyAlignment="1">
      <alignment horizontal="center" vertical="center" wrapText="1"/>
    </xf>
    <xf numFmtId="0" fontId="19" fillId="0" borderId="0" xfId="0" applyFont="1" applyAlignment="1">
      <alignment horizontal="center" vertical="center" wrapText="1"/>
    </xf>
    <xf numFmtId="164" fontId="22" fillId="0" borderId="0" xfId="0" applyNumberFormat="1" applyFont="1" applyAlignment="1">
      <alignment horizontal="left"/>
    </xf>
    <xf numFmtId="0" fontId="22" fillId="0" borderId="0" xfId="0" applyFont="1" applyAlignment="1">
      <alignment wrapText="1"/>
    </xf>
    <xf numFmtId="0" fontId="20" fillId="0" borderId="0" xfId="0" applyFont="1" applyAlignment="1">
      <alignment horizontal="left" wrapText="1"/>
    </xf>
    <xf numFmtId="0" fontId="19" fillId="0" borderId="0" xfId="0" applyFont="1" applyAlignment="1">
      <alignment horizontal="left" vertical="top" wrapText="1"/>
    </xf>
    <xf numFmtId="0" fontId="20" fillId="0" borderId="0" xfId="0" applyFont="1" applyAlignment="1">
      <alignment wrapText="1"/>
    </xf>
    <xf numFmtId="0" fontId="20" fillId="0" borderId="0" xfId="0" applyFont="1"/>
    <xf numFmtId="0" fontId="22" fillId="0" borderId="0" xfId="0" applyFont="1"/>
    <xf numFmtId="0" fontId="28" fillId="0" borderId="0" xfId="0" applyFont="1" applyAlignment="1">
      <alignment horizontal="left" vertical="center" wrapText="1"/>
    </xf>
    <xf numFmtId="164" fontId="20" fillId="0" borderId="0" xfId="0" applyNumberFormat="1" applyFont="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5">
    <dxf>
      <font>
        <b val="0"/>
        <i val="0"/>
        <strike val="0"/>
        <condense val="0"/>
        <extend val="0"/>
        <outline val="0"/>
        <shadow val="0"/>
        <u val="none"/>
        <vertAlign val="baseline"/>
        <sz val="12"/>
        <color theme="1"/>
        <name val="Times New Roman"/>
        <family val="1"/>
        <scheme val="none"/>
      </font>
      <numFmt numFmtId="15" formatCode="0.00E+00"/>
    </dxf>
    <dxf>
      <font>
        <b val="0"/>
        <i val="0"/>
        <strike val="0"/>
        <condense val="0"/>
        <extend val="0"/>
        <outline val="0"/>
        <shadow val="0"/>
        <u val="none"/>
        <vertAlign val="baseline"/>
        <sz val="12"/>
        <color theme="1"/>
        <name val="Times New Roman"/>
        <family val="1"/>
        <scheme val="none"/>
      </font>
      <numFmt numFmtId="15" formatCode="0.00E+00"/>
    </dxf>
    <dxf>
      <font>
        <b val="0"/>
        <i val="0"/>
        <strike val="0"/>
        <condense val="0"/>
        <extend val="0"/>
        <outline val="0"/>
        <shadow val="0"/>
        <u val="none"/>
        <vertAlign val="baseline"/>
        <sz val="12"/>
        <color theme="1"/>
        <name val="Times New Roman"/>
        <family val="1"/>
        <scheme val="none"/>
      </font>
      <numFmt numFmtId="15" formatCode="0.00E+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Times New Roman"/>
        <family val="1"/>
        <scheme val="none"/>
      </font>
      <numFmt numFmtId="15" formatCode="0.00E+00"/>
    </dxf>
    <dxf>
      <font>
        <b val="0"/>
        <i val="0"/>
        <strike val="0"/>
        <condense val="0"/>
        <extend val="0"/>
        <outline val="0"/>
        <shadow val="0"/>
        <u val="none"/>
        <vertAlign val="baseline"/>
        <sz val="12"/>
        <color theme="1"/>
        <name val="Times New Roman"/>
        <family val="1"/>
        <scheme val="none"/>
      </font>
      <numFmt numFmtId="15" formatCode="0.00E+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numFmt numFmtId="164" formatCode="0.000"/>
    </dxf>
    <dxf>
      <font>
        <b val="0"/>
        <i val="0"/>
        <strike val="0"/>
        <condense val="0"/>
        <extend val="0"/>
        <outline val="0"/>
        <shadow val="0"/>
        <u val="none"/>
        <vertAlign val="baseline"/>
        <sz val="12"/>
        <color theme="1"/>
        <name val="Times New Roman"/>
        <family val="1"/>
        <scheme val="none"/>
      </font>
      <numFmt numFmtId="164" formatCode="0.000"/>
    </dxf>
    <dxf>
      <font>
        <b val="0"/>
        <i val="0"/>
        <strike val="0"/>
        <condense val="0"/>
        <extend val="0"/>
        <outline val="0"/>
        <shadow val="0"/>
        <u val="none"/>
        <vertAlign val="baseline"/>
        <sz val="12"/>
        <color theme="1"/>
        <name val="Times New Roman"/>
        <family val="1"/>
        <scheme val="none"/>
      </font>
      <numFmt numFmtId="164" formatCode="0.000"/>
    </dxf>
    <dxf>
      <font>
        <b val="0"/>
        <i val="0"/>
        <strike val="0"/>
        <condense val="0"/>
        <extend val="0"/>
        <outline val="0"/>
        <shadow val="0"/>
        <u val="none"/>
        <vertAlign val="baseline"/>
        <sz val="12"/>
        <color theme="1"/>
        <name val="Times New Roman"/>
        <family val="1"/>
        <scheme val="none"/>
      </font>
      <numFmt numFmtId="164" formatCode="0.0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numFmt numFmtId="164" formatCode="0.00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border outline="0">
        <bottom style="thin">
          <color indexed="64"/>
        </bottom>
      </border>
    </dxf>
    <dxf>
      <font>
        <b/>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2" formatCode="0.00"/>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dxf>
    <dxf>
      <font>
        <b val="0"/>
        <i val="0"/>
        <strike val="0"/>
        <condense val="0"/>
        <extend val="0"/>
        <outline val="0"/>
        <shadow val="0"/>
        <u/>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i val="0"/>
        <strike val="0"/>
        <condense val="0"/>
        <extend val="0"/>
        <outline val="0"/>
        <shadow val="0"/>
        <u val="none"/>
        <vertAlign val="baseline"/>
        <sz val="12"/>
        <color theme="0"/>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5" formatCode="0.00E+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5" formatCode="0.00E+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5" formatCode="0.00E+0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border diagonalUp="0" diagonalDown="0" outline="0">
        <left style="double">
          <color rgb="FF000000"/>
        </left>
        <right style="medium">
          <color rgb="FF000000"/>
        </right>
        <top/>
        <bottom/>
      </border>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border diagonalUp="0" diagonalDown="0" outline="0">
        <left style="medium">
          <color rgb="FF000000"/>
        </left>
        <right style="double">
          <color rgb="FF000000"/>
        </right>
        <top/>
        <bottom style="medium">
          <color indexed="64"/>
        </bottom>
      </border>
    </dxf>
    <dxf>
      <border outline="0">
        <bottom style="medium">
          <color indexed="64"/>
        </bottom>
      </border>
    </dxf>
    <dxf>
      <border outline="0">
        <bottom style="medium">
          <color rgb="FF000000"/>
        </bottom>
      </border>
    </dxf>
    <dxf>
      <font>
        <b/>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14</xdr:row>
      <xdr:rowOff>0</xdr:rowOff>
    </xdr:from>
    <xdr:to>
      <xdr:col>2</xdr:col>
      <xdr:colOff>38100</xdr:colOff>
      <xdr:row>14</xdr:row>
      <xdr:rowOff>97155</xdr:rowOff>
    </xdr:to>
    <xdr:pic>
      <xdr:nvPicPr>
        <xdr:cNvPr id="2" name="Picture 1" descr="[thin space (1/6-em)]">
          <a:extLst>
            <a:ext uri="{FF2B5EF4-FFF2-40B4-BE49-F238E27FC236}">
              <a16:creationId xmlns:a16="http://schemas.microsoft.com/office/drawing/2014/main" id="{C1A45274-0971-40DD-AA91-8EB36D8DE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60369450"/>
          <a:ext cx="38100" cy="93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5606BF-54CE-49CA-92F9-630F29437008}" name="Table3" displayName="Table3" ref="A2:E527" totalsRowShown="0" headerRowDxfId="184" dataDxfId="183">
  <autoFilter ref="A2:E527" xr:uid="{3F5606BF-54CE-49CA-92F9-630F29437008}"/>
  <tableColumns count="5">
    <tableColumn id="1" xr3:uid="{2853B57D-FECA-4A0D-A8D4-49B4FEB59E63}" name="Pharmaceutical" dataDxfId="182"/>
    <tableColumn id="2" xr3:uid="{4AE137B6-005E-4EDD-B65C-08E8924915D1}" name="Administration Route" dataDxfId="181"/>
    <tableColumn id="3" xr3:uid="{61393D0F-5E62-4DEC-9898-D4AF05FC38ED}" name="Excretion (%)" dataDxfId="180"/>
    <tableColumn id="4" xr3:uid="{576D2884-EBD9-4955-8770-4BB403C3DE62}" name="Source" dataDxfId="179"/>
    <tableColumn id="5" xr3:uid="{CEF07EA9-B1CE-4479-8C71-A29CBA1EC91F}" name="Notesa" dataDxfId="1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F19D2B-2E3F-4AA9-B837-B1222D137B60}" name="Table4" displayName="Table4" ref="A2:C494" totalsRowShown="0" headerRowDxfId="177" dataDxfId="176">
  <autoFilter ref="A2:C494" xr:uid="{84F19D2B-2E3F-4AA9-B837-B1222D137B60}"/>
  <tableColumns count="3">
    <tableColumn id="1" xr3:uid="{C318A8A4-CE60-4454-9B66-B47B7B72421F}" name="Pharmaceutical" dataDxfId="175"/>
    <tableColumn id="2" xr3:uid="{C5851138-F557-44DA-AC72-FB66AFDB3DBC}" name="Form" dataDxfId="174"/>
    <tableColumn id="3" xr3:uid="{EF346172-5516-463E-B2B8-ADA473028127}" name="Excretion_percentage" dataDxfId="17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D31DD0-A674-4A60-821D-9CCACF847E13}" name="Table5" displayName="Table5" ref="A2:B46" totalsRowShown="0" headerRowDxfId="172" headerRowBorderDxfId="171" tableBorderDxfId="170">
  <autoFilter ref="A2:B46" xr:uid="{D0D31DD0-A674-4A60-821D-9CCACF847E13}"/>
  <tableColumns count="2">
    <tableColumn id="1" xr3:uid="{3E3E511D-34DB-4917-9DD6-85D2440155A1}" name="Data Element" dataDxfId="169"/>
    <tableColumn id="2" xr3:uid="{3F13A507-C4A7-47DE-B43F-0C416942F01B}" name="Source" dataDxfId="16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25E009-F37E-4E03-A518-586E9FDF419B}" name="Table6" displayName="Table6" ref="A2:AR367" totalsRowShown="0" headerRowDxfId="167" dataDxfId="166">
  <autoFilter ref="A2:AR367" xr:uid="{BB25E009-F37E-4E03-A518-586E9FDF419B}"/>
  <tableColumns count="44">
    <tableColumn id="1" xr3:uid="{051F725C-8F06-4C26-BF31-A85B061AF551}" name="Pharmaceutical" dataDxfId="165"/>
    <tableColumn id="2" xr3:uid="{F4CB95A1-C425-4CFA-8ABB-B5DA5D6613B6}" name="Administration_Route1,2" dataDxfId="164"/>
    <tableColumn id="3" xr3:uid="{713D9802-D82A-4451-9A0E-2CFEAE0B534F}" name="Excretion_percentage1" dataDxfId="163"/>
    <tableColumn id="4" xr3:uid="{263D971A-FE7C-441A-B19E-872B51382113}" name="Average_Daily_Dosage2" dataDxfId="162"/>
    <tableColumn id="5" xr3:uid="{984E9684-48DF-4FA7-9583-7B766E9CAD8F}" name="Number_of_Prescriptions2" dataDxfId="161"/>
    <tableColumn id="6" xr3:uid="{881A77C9-995E-4ADA-BC72-7091EA231A1B}" name="Average_Duration_per_Prescription2" dataDxfId="160"/>
    <tableColumn id="7" xr3:uid="{51AF2FA2-9BEB-4989-8898-362A9F785800}" name="DTXSIDa,3" dataDxfId="159"/>
    <tableColumn id="8" xr3:uid="{58A6D7EC-F2C6-47A2-8AC6-F1F4E7791C18}" name="SMILESb,3" dataDxfId="158"/>
    <tableColumn id="9" xr3:uid="{15BCE895-202C-43AB-9F1C-698E8E0C9C7A}" name="INCHIKEYc,3" dataDxfId="157"/>
    <tableColumn id="10" xr3:uid="{0E40D297-CE57-4482-9793-CAF6C3D598F9}" name="INCHISTRINGd,3" dataDxfId="156"/>
    <tableColumn id="11" xr3:uid="{FC1BC7E5-0871-45ED-8E1A-47CBCE3018B5}" name="Molecular_Formula3" dataDxfId="155"/>
    <tableColumn id="12" xr3:uid="{EA919D22-48CF-49FE-A6C9-1DE94762F9D3}" name="Molar_Mass3" dataDxfId="154"/>
    <tableColumn id="13" xr3:uid="{3E727DDE-80F3-427C-99E0-D989389706B7}" name="Invertebrate_Median_LC50e,3" dataDxfId="153"/>
    <tableColumn id="14" xr3:uid="{87ECA322-057C-4DBA-B974-7BAF2C92535B}" name="Plants_Algae_Median_LC503" dataDxfId="152"/>
    <tableColumn id="15" xr3:uid="{CEF104EF-AEFA-486D-BD7F-E155E2334E8B}" name="Vertebrate_Median_LC503" dataDxfId="151"/>
    <tableColumn id="16" xr3:uid="{BE58FA9C-1C97-465C-83E6-C1A6A5E1EE00}" name="Human_LC503" dataDxfId="150"/>
    <tableColumn id="17" xr3:uid="{E45A6FF3-D94A-4B2A-966A-DDACC65AA31C}" name="Invertebrate_median_NOECf,3" dataDxfId="149"/>
    <tableColumn id="18" xr3:uid="{9C6249B4-3261-454A-9D7F-F6969B5CB708}" name="Plants_algae_median_NOEC3" dataDxfId="148"/>
    <tableColumn id="19" xr3:uid="{270146AA-05E9-4B92-8B70-7175061B79C0}" name="Vertebrate_median_NOEC3" dataDxfId="147"/>
    <tableColumn id="20" xr3:uid="{DFFBDD79-EB45-40D6-9E72-3AEE0054340D}" name="Human_NOEC3" dataDxfId="146"/>
    <tableColumn id="21" xr3:uid="{A95D837A-AE43-498F-B024-5F5D080AA4B2}" name="Boiling_Point3" dataDxfId="145"/>
    <tableColumn id="22" xr3:uid="{74531AC9-2BF2-4797-9B7F-8E01AD5B2D23}" name="Density3" dataDxfId="144"/>
    <tableColumn id="23" xr3:uid="{EAD5C85B-79E5-4876-B40F-1480055B4FA5}" name="Flash_Point3" dataDxfId="143"/>
    <tableColumn id="24" xr3:uid="{2DA0F7A8-CBC6-4D6F-ADCE-BF4DE354BF90}" name="Henrys_Law3" dataDxfId="142"/>
    <tableColumn id="25" xr3:uid="{7033C108-8D61-48C3-AA31-4600E5E30BAA}" name="Index_of_Refraction3" dataDxfId="141"/>
    <tableColumn id="26" xr3:uid="{9EFEDD7F-A7BB-40CC-A8FB-BEE66CCE0300}" name="Liquid_Chromatography_Retention_Time3" dataDxfId="140"/>
    <tableColumn id="27" xr3:uid="{8B67288B-1261-4D0F-A5B5-39C3714D7BBB}" name="LogD5.5g,3" dataDxfId="139"/>
    <tableColumn id="28" xr3:uid="{99E6EE7C-C407-4774-87FB-BAF0E6E6C78E}" name="LogD7.4h,3" dataDxfId="138"/>
    <tableColumn id="29" xr3:uid="{3823D33E-DCED-4DC4-BB26-942465AC6B49}" name="LogKoa_Octanol_Airi,3" dataDxfId="137"/>
    <tableColumn id="30" xr3:uid="{FB577986-3EF7-4504-9750-94FA6F1D7DA5}" name="LogKow_Octanol_Waterj,3" dataDxfId="136"/>
    <tableColumn id="31" xr3:uid="{FF3365AB-8ADF-4764-8E79-573FF3E8D73F}" name="Melting_Point3" dataDxfId="135"/>
    <tableColumn id="32" xr3:uid="{800E34A0-3B98-41EC-BF9A-C9578D8F82F0}" name="Molar_Refractivity3" dataDxfId="134"/>
    <tableColumn id="33" xr3:uid="{52B2C4D2-76B2-4B66-B8D9-4545CEF1B2CE}" name="Molar_volume3" dataDxfId="133"/>
    <tableColumn id="34" xr3:uid="{4B87A3E2-8CF0-49FD-A607-7248C24A011A}" name="pKa_Acidic_Apparent3" dataDxfId="132"/>
    <tableColumn id="35" xr3:uid="{B4627F90-A24A-410C-BF80-CF4A2EEF7A67}" name="pKa_Basic_Apparent3" dataDxfId="131"/>
    <tableColumn id="36" xr3:uid="{E4AE095C-1B6E-4AA4-88FD-1CDD2BEAB4A1}" name="Polarizability3" dataDxfId="130"/>
    <tableColumn id="37" xr3:uid="{8F850486-92D0-4F1A-9C81-74A303E47C7D}" name="OPERA_Biodegradation_Predictionk,3" dataDxfId="129"/>
    <tableColumn id="38" xr3:uid="{F8A22725-67BA-4A7E-BA32-49493928860E}" name="Surface_Tension3" dataDxfId="128"/>
    <tableColumn id="39" xr3:uid="{195CA12E-A388-4C90-96F4-391897889CB8}" name="Thermal_Conductivity3" dataDxfId="127"/>
    <tableColumn id="40" xr3:uid="{F870E30A-310F-4672-91CC-E512837967DF}" name="Vapor_Pressure3" dataDxfId="126"/>
    <tableColumn id="41" xr3:uid="{13042579-26AD-4301-AA9F-0AFFE24D2B1A}" name="Viscosity3" dataDxfId="125"/>
    <tableColumn id="42" xr3:uid="{3E07A8D4-0909-45DC-9AE0-CE55B0822228}" name="Water_Solubility3" dataDxfId="124"/>
    <tableColumn id="43" xr3:uid="{D14FC9F5-48AC-466D-AC03-4C2A03A90C7C}" name="EnviPath_Biodegradation_Prediction4" dataDxfId="123"/>
    <tableColumn id="44" xr3:uid="{E0AB2573-A344-4CA1-A43D-F16CD354A7BA}" name="Hydrolyzes5" dataDxfId="1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371BBD-B698-464E-88B4-1AE08070DF1B}" name="Table1" displayName="Table1" ref="A2:S35" totalsRowShown="0" headerRowDxfId="121" dataDxfId="120">
  <autoFilter ref="A2:S35" xr:uid="{43371BBD-B698-464E-88B4-1AE08070DF1B}"/>
  <tableColumns count="19">
    <tableColumn id="1" xr3:uid="{5A29FB13-CDDC-47EF-9365-DB349C00B69F}" name="Reference" dataDxfId="119"/>
    <tableColumn id="2" xr3:uid="{934C3032-0750-44BA-9621-827EB1FD5CC0}" name="Title " dataDxfId="118"/>
    <tableColumn id="3" xr3:uid="{0BD793C2-2A23-41E8-8CFE-A004AFBD44C3}" name="Abstract" dataDxfId="117"/>
    <tableColumn id="4" xr3:uid="{0983AC14-E117-4069-A96F-D2129F6BFBA8}" name="Data Notesa" dataDxfId="116"/>
    <tableColumn id="5" xr3:uid="{DD739726-EDD6-48A2-BC48-8F5A670EC67C}" name="WRRFb Notesc" dataDxfId="115"/>
    <tableColumn id="6" xr3:uid="{66494E8A-00AF-4046-BBEE-95DBD1EE1283}" name="Sampling date" dataDxfId="114"/>
    <tableColumn id="7" xr3:uid="{170F16EB-7542-437A-B131-8E33421C4C10}" name="Sampling location" dataDxfId="113"/>
    <tableColumn id="8" xr3:uid="{23B4DD02-DA5C-4910-8528-D0090C4DB18D}" name="Table/Fig #" dataDxfId="112"/>
    <tableColumn id="9" xr3:uid="{15DB8235-FA64-43C1-A0E8-13461C61A6EC}" name="Authors" dataDxfId="111"/>
    <tableColumn id="10" xr3:uid="{EA421F08-AD62-4E39-A557-FCE9256DD513}" name="Editors" dataDxfId="110"/>
    <tableColumn id="11" xr3:uid="{3D433594-8AB6-4562-B19A-F85107F0E26D}" name="Journal" dataDxfId="109"/>
    <tableColumn id="12" xr3:uid="{0230A858-41A6-4A36-98D7-86D360754310}" name="Publisher" dataDxfId="108"/>
    <tableColumn id="13" xr3:uid="{53C55280-2580-447A-91D1-E4D807C04EDD}" name="University_x000a_(if thesis)" dataDxfId="107"/>
    <tableColumn id="14" xr3:uid="{DFFC9861-22F6-42FE-8954-2ED8A1C3B74F}" name="Year" dataDxfId="106"/>
    <tableColumn id="15" xr3:uid="{D7259CF5-9F91-457D-A00C-3637A88F9944}" name="Volume" dataDxfId="105"/>
    <tableColumn id="16" xr3:uid="{2F0498E2-6D9E-4687-A7F7-CFD77F64D404}" name="Edition" dataDxfId="104"/>
    <tableColumn id="17" xr3:uid="{7DF0E774-2E5F-4080-AB6E-88ECBDADD787}" name="Pages" dataDxfId="103"/>
    <tableColumn id="18" xr3:uid="{CA7C2589-B2D4-4DEE-9901-9E2CC7B7D00C}" name="Location of_x000a_publication" dataDxfId="102"/>
    <tableColumn id="19" xr3:uid="{3AB4DBB5-7B6B-4B19-948A-0EBB3FB35856}" name="DOI/URL" dataDxfId="101" dataCellStyle="Hyperli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0B8043-F1C8-4C9C-BCE2-CC2D7DFF4A6B}" name="Table7" displayName="Table7" ref="A2:N1901" totalsRowShown="0" headerRowDxfId="100" dataDxfId="99">
  <autoFilter ref="A2:N1901" xr:uid="{4D0B8043-F1C8-4C9C-BCE2-CC2D7DFF4A6B}"/>
  <tableColumns count="14">
    <tableColumn id="1" xr3:uid="{D4D6A5A3-4EE6-44DC-BD46-6B1DA691DC8A}" name="Pharmaceutical" dataDxfId="98"/>
    <tableColumn id="2" xr3:uid="{5AC70C66-1D87-4934-B603-C3AEAF2A8B57}" name="Reference Numbera" dataDxfId="97"/>
    <tableColumn id="3" xr3:uid="{E3406378-54C9-4906-A1C9-B6A6AD2A1F6C}" name="WRRF_IDb" dataDxfId="96"/>
    <tableColumn id="4" xr3:uid="{6C5CEBFB-B805-4C90-BF35-2063F9CB86CA}" name="WRRF_reference_IDc" dataDxfId="95"/>
    <tableColumn id="5" xr3:uid="{DA08A813-61A7-45A8-8650-A80E14BF0746}" name="Reported_WRRF_capacityd" dataDxfId="94"/>
    <tableColumn id="6" xr3:uid="{63115481-CA01-42B3-B1FC-3F3D6C6EC438}" name="WRRF_capacity_liters_per_day" dataDxfId="93">
      <calculatedColumnFormula>E3/3.78541</calculatedColumnFormula>
    </tableColumn>
    <tableColumn id="7" xr3:uid="{DE238E93-B217-485E-9378-9947B15F572D}" name="Population_servede" dataDxfId="92"/>
    <tableColumn id="8" xr3:uid="{B0ACC5CB-7649-4015-95AE-56CF645B3C42}" name="Sampling_date" dataDxfId="91"/>
    <tableColumn id="9" xr3:uid="{50B89815-9A5A-478C-B59F-DE88009926FC}" name="Sampling_location" dataDxfId="90"/>
    <tableColumn id="10" xr3:uid="{D406FD19-E904-4A26-9E28-6FB7CD1D3D67}" name="Sampling_type" dataDxfId="89"/>
    <tableColumn id="11" xr3:uid="{865AC736-0FC0-414B-914C-518B84720F79}" name="Concentration_reported" dataDxfId="88"/>
    <tableColumn id="12" xr3:uid="{1ACD1578-3E8A-4B92-8EC4-6FD07CEA8EEB}" name="Unitsf" dataDxfId="87"/>
    <tableColumn id="13" xr3:uid="{F1B425C3-87B4-4A08-A973-13B3210E291A}" name="Concentration_ug_per_liter" dataDxfId="86">
      <calculatedColumnFormula>IFERROR(K3/1000,"ND")</calculatedColumnFormula>
    </tableColumn>
    <tableColumn id="14" xr3:uid="{0C802C86-05ED-49E5-9E8A-88311248C317}" name="Mass_load_ug_per_capita_per_day" dataDxfId="85">
      <calculatedColumnFormula>IFERROR((M3*F3)/G3,"ND")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3D2FE9-EC7F-490B-9DCB-2BFA961E2785}" name="Table2" displayName="Table2" ref="A2:F9" totalsRowShown="0" headerRowDxfId="84" dataDxfId="83">
  <autoFilter ref="A2:F9" xr:uid="{BC3D2FE9-EC7F-490B-9DCB-2BFA961E2785}"/>
  <tableColumns count="6">
    <tableColumn id="1" xr3:uid="{42F21FFE-FCCF-467D-BFCF-550E3D22FB23}" name="Model" dataDxfId="82"/>
    <tableColumn id="2" xr3:uid="{F86F37E8-4B34-42A8-B525-3E793BB89737}" name="Country" dataDxfId="81"/>
    <tableColumn id="3" xr3:uid="{CFA4C6B4-70D9-4D5D-B0B7-1C81BBFC7435}" name="Number of Measurements /_x000a_Reported Values" dataDxfId="80"/>
    <tableColumn id="4" xr3:uid="{0B722E43-3CA0-4026-9023-6431D5E44A97}" name="Number of Pharmaceuticals" dataDxfId="79"/>
    <tableColumn id="5" xr3:uid="{DE342A15-3E9D-4462-B239-D0C8FCAB42E6}" name="Percentage of measurements with_x000a_acceptable ratioa (%)" dataDxfId="78"/>
    <tableColumn id="6" xr3:uid="{70DD6C64-4395-4D60-A417-CEA8CA01808B}" name="Percentage of pharmaceuticalsb with_x000a_acceptable ratio (%)" dataDxfId="7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45A11C-9D94-471C-86BC-D156EA24FBBD}" name="Table8" displayName="Table8" ref="A2:Q192" totalsRowShown="0" headerRowDxfId="76" dataDxfId="74" headerRowBorderDxfId="75">
  <autoFilter ref="A2:Q192" xr:uid="{2F45A11C-9D94-471C-86BC-D156EA24FBBD}"/>
  <tableColumns count="17">
    <tableColumn id="1" xr3:uid="{D84F6366-714E-4946-8206-F159CE109204}" name="Pharmaceutical" dataDxfId="73"/>
    <tableColumn id="2" xr3:uid="{73FC80D3-83F4-4816-B55E-D07ED4030797}" name="PharmFlush PMLa,f" dataDxfId="72"/>
    <tableColumn id="3" xr3:uid="{CBE830D2-5185-4A41-AA65-FA76C4C7CF78}" name="PharmFlush RMLb,f" dataDxfId="71"/>
    <tableColumn id="4" xr3:uid="{F89F6B7A-1578-41E1-9681-6C4B493DC039}" name="PharmFlush PCc,f" dataDxfId="70"/>
    <tableColumn id="5" xr3:uid="{96A44156-DA6A-4B8F-B450-D0E23027A022}" name="PharmFlush RCd,f" dataDxfId="69"/>
    <tableColumn id="6" xr3:uid="{2F59049B-749C-4BBF-BB5B-D932A01F36EF}" name="He et al., 2020 PC" dataDxfId="68"/>
    <tableColumn id="7" xr3:uid="{F9847992-B352-43EE-99AF-8067646939C2}" name="He et al., 2020 MCe" dataDxfId="67"/>
    <tableColumn id="8" xr3:uid="{DDA0807F-96BB-4C9D-8364-17476A949012}" name="Jagadeesan et al., 2023 PC" dataDxfId="66"/>
    <tableColumn id="9" xr3:uid="{BA7CF9FE-276E-4559-A879-F8512EB08096}" name="Jagadeesan et al., 2023 MC" dataDxfId="65"/>
    <tableColumn id="10" xr3:uid="{14AEEECE-F846-4427-9042-D92690F66C2B}" name="Kostich et al., 2010 PC" dataDxfId="64"/>
    <tableColumn id="11" xr3:uid="{F9550EF2-FC9E-4DF4-82BE-601177ADF859}" name="Kostich et al., 2010 MC" dataDxfId="63"/>
    <tableColumn id="12" xr3:uid="{4FAF7BDF-56B1-40BA-8AD7-0F677BBE29E2}" name="Ottmar et al., 2010 PC" dataDxfId="62"/>
    <tableColumn id="13" xr3:uid="{F9864A5B-D1EA-4D50-AB65-8E9AA689649D}" name="Ottmar et al., 2010 MC" dataDxfId="61"/>
    <tableColumn id="14" xr3:uid="{8D9756C0-468C-44B6-9DAE-C2F7CDE79D07}" name="Ottmar et al., 2013 PC" dataDxfId="60"/>
    <tableColumn id="15" xr3:uid="{AF29DAE2-1A6D-4DBE-8249-9BE2637A15EB}" name="Ottmar et al., 2013 MC" dataDxfId="59"/>
    <tableColumn id="16" xr3:uid="{FF77541B-E110-48E6-BFDA-E714E93B7977}" name="Pang et al., 2024 PC" dataDxfId="58"/>
    <tableColumn id="17" xr3:uid="{8D7D4D3B-6DAD-4885-9924-962370073FE4}" name="Pang et al., 2024 MC" dataDxfId="5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AC3531-E181-4E02-B82B-60DF959AE105}" name="Table9" displayName="Table9" ref="A2:F315" totalsRowShown="0" headerRowDxfId="56" dataDxfId="55">
  <autoFilter ref="A2:F315" xr:uid="{7BAC3531-E181-4E02-B82B-60DF959AE105}"/>
  <tableColumns count="6">
    <tableColumn id="1" xr3:uid="{4C27858F-81A9-4FBE-AEA5-D1346D75C55D}" name="Pharmaceutical" dataDxfId="54"/>
    <tableColumn id="2" xr3:uid="{F46C1543-313E-4986-88E4-00FEF975892F}" name="100 people" dataDxfId="37"/>
    <tableColumn id="3" xr3:uid="{3B65DFE5-CCA3-47D7-9EB7-8F944B9303B7}" name="1000 people" dataDxfId="36"/>
    <tableColumn id="4" xr3:uid="{1328A6BA-4DF1-4E71-B381-080838CBCFC5}" name="100,000 people" dataDxfId="2"/>
    <tableColumn id="5" xr3:uid="{19A83613-B1F5-4808-BF5E-857DA5DB2AD7}" name="110,262 people" dataDxfId="1"/>
    <tableColumn id="6" xr3:uid="{12CE41BC-30B8-49D4-8403-B4890F533F07}" name="1,000,000 people" dataDxfId="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70AA90C-7308-4601-91E8-8954AEECFA49}" name="Table11" displayName="Table11" ref="A2:E26" totalsRowShown="0" headerRowDxfId="53" dataDxfId="52">
  <autoFilter ref="A2:E26" xr:uid="{870AA90C-7308-4601-91E8-8954AEECFA49}"/>
  <tableColumns count="5">
    <tableColumn id="1" xr3:uid="{0CF06294-094C-4681-BBB5-9BA07468BF3A}" name="Pharmaceutical" dataDxfId="51"/>
    <tableColumn id="2" xr3:uid="{4ED17634-C750-4699-9199-DF0BB124192A}" name="100 people" dataDxfId="50"/>
    <tableColumn id="3" xr3:uid="{70EA6B87-C804-4A73-B9DE-735970978C03}" name="1,000 people" dataDxfId="49"/>
    <tableColumn id="4" xr3:uid="{8E7E481B-EED3-48B6-835C-8CBFDE3C3552}" name="100,000 people" dataDxfId="48"/>
    <tableColumn id="5" xr3:uid="{95960213-EB57-4276-9747-4C35C969D014}" name="1 million people" dataDxfId="4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ED4C2B-D1D2-4047-9B09-628AFA688207}" name="Table12" displayName="Table12" ref="A2:H592" totalsRowShown="0" dataDxfId="46">
  <autoFilter ref="A2:H592" xr:uid="{C4ED4C2B-D1D2-4047-9B09-628AFA688207}"/>
  <tableColumns count="8">
    <tableColumn id="1" xr3:uid="{B90EF6EB-EA26-436C-9E57-1FE0D95C6EF0}" name="Pharmaceutical" dataDxfId="45"/>
    <tableColumn id="2" xr3:uid="{D0402660-8F0F-4C4C-854F-76C8FF254653}" name="WRRF_ID" dataDxfId="44"/>
    <tableColumn id="3" xr3:uid="{6F8FCAF1-11AF-4798-B8A3-BB718C838B34}" name="Predicted Mass Load" dataDxfId="43"/>
    <tableColumn id="4" xr3:uid="{35879002-6D6C-4E2B-93B2-0702DA0A3D61}" name="Reported Mass Load" dataDxfId="42"/>
    <tableColumn id="5" xr3:uid="{EC1A60E5-A6CD-4DC5-9789-5A07C21BA5D3}" name="Predicted to Reported_x000a_Mass Load Ratio" dataDxfId="41"/>
    <tableColumn id="6" xr3:uid="{6ECE1420-9D5A-42E6-A6F0-B04A4F4C57C3}" name="Log10 Predicted to Reported_x000a_Mass Load Ratio" dataDxfId="40"/>
    <tableColumn id="7" xr3:uid="{4DABF1DA-13A1-4EB5-802B-A418C2C46C57}" name="Absolute Log10 Predicted to Reported_x000a_Mass Load Ratio" dataDxfId="39"/>
    <tableColumn id="8" xr3:uid="{8FF5C763-6CEE-43D6-86FF-F36C4C0A26C0}" name="Reported Mass Load &gt; 10 × Predicted Mass Load"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3" Type="http://schemas.openxmlformats.org/officeDocument/2006/relationships/hyperlink" Target="https://doi.org/10.1038/s41370-023-00613-2" TargetMode="External"/><Relationship Id="rId18" Type="http://schemas.openxmlformats.org/officeDocument/2006/relationships/hyperlink" Target="https://doi.org/10.3390/antibiotics12111586" TargetMode="External"/><Relationship Id="rId26" Type="http://schemas.openxmlformats.org/officeDocument/2006/relationships/hyperlink" Target="https://doi.org/10.1039/D0EW00045K" TargetMode="External"/><Relationship Id="rId3" Type="http://schemas.openxmlformats.org/officeDocument/2006/relationships/hyperlink" Target="https://www-sciencedirect-com.colorado.idm.oclc.org/author/12753795900/leon-p-barron" TargetMode="External"/><Relationship Id="rId21" Type="http://schemas.openxmlformats.org/officeDocument/2006/relationships/hyperlink" Target="https://doi.org/10.1007/978-3-030-95443-7_15" TargetMode="External"/><Relationship Id="rId34" Type="http://schemas.openxmlformats.org/officeDocument/2006/relationships/hyperlink" Target="https://www.proquest.com/docview/2582806509?pq-origsite=gscholar&amp;fromopenview=true&amp;sourcetype=Dissertations%20&amp;%20Theses" TargetMode="External"/><Relationship Id="rId7" Type="http://schemas.openxmlformats.org/officeDocument/2006/relationships/hyperlink" Target="https://www.proquest.com/dissertations-theses/description-community-drug-use-detection/docview/2488101332/se-2" TargetMode="External"/><Relationship Id="rId12" Type="http://schemas.openxmlformats.org/officeDocument/2006/relationships/hyperlink" Target="https://doi.org/10.1016/j.envpol.2020.115269" TargetMode="External"/><Relationship Id="rId17" Type="http://schemas.openxmlformats.org/officeDocument/2006/relationships/hyperlink" Target="https://doi.org/10.1016/j.chemosphere.2019.06.016" TargetMode="External"/><Relationship Id="rId25" Type="http://schemas.openxmlformats.org/officeDocument/2006/relationships/hyperlink" Target="https://www.proquest.com/docview/2432889212?pq-origsite=gscholar&amp;fromopenview=true&amp;sourcetype=Dissertations%20&amp;%20Theses" TargetMode="External"/><Relationship Id="rId33" Type="http://schemas.openxmlformats.org/officeDocument/2006/relationships/hyperlink" Target="https://www.proquest.com/docview/2316439467?pq-origsite=gscholar&amp;fromopenview=true&amp;sourcetype=Dissertations%20&amp;%20Theses" TargetMode="External"/><Relationship Id="rId2" Type="http://schemas.openxmlformats.org/officeDocument/2006/relationships/hyperlink" Target="https://doi.org/10.1039/C9EW00559E" TargetMode="External"/><Relationship Id="rId16" Type="http://schemas.openxmlformats.org/officeDocument/2006/relationships/hyperlink" Target="https://doi.org/10.1016/j.jhazmat.2019.121306" TargetMode="External"/><Relationship Id="rId20" Type="http://schemas.openxmlformats.org/officeDocument/2006/relationships/hyperlink" Target="https://doi.org/10.1007/978-3-030-95443-7_7" TargetMode="External"/><Relationship Id="rId29" Type="http://schemas.openxmlformats.org/officeDocument/2006/relationships/hyperlink" Target="https://researchspace.auckland.ac.nz/handle/2292/46342" TargetMode="External"/><Relationship Id="rId1" Type="http://schemas.openxmlformats.org/officeDocument/2006/relationships/hyperlink" Target="https://doi.org/10.1016/j.scitotenv.2020.140697" TargetMode="External"/><Relationship Id="rId6" Type="http://schemas.openxmlformats.org/officeDocument/2006/relationships/hyperlink" Target="https://dc.uwm.edu/etd/3347" TargetMode="External"/><Relationship Id="rId11" Type="http://schemas.openxmlformats.org/officeDocument/2006/relationships/hyperlink" Target="https://doi.org/10.1016/j.jhazmat.2023.133167" TargetMode="External"/><Relationship Id="rId24" Type="http://schemas.openxmlformats.org/officeDocument/2006/relationships/hyperlink" Target="https://doi.org/10.1016/j.envpol.2019.04.118" TargetMode="External"/><Relationship Id="rId32" Type="http://schemas.openxmlformats.org/officeDocument/2006/relationships/hyperlink" Target="https://www.proquest.com/docview/2676543923?pq-origsite=gscholar&amp;fromopenview=true&amp;sourcetype=Dissertations%20&amp;%20Theses" TargetMode="External"/><Relationship Id="rId5" Type="http://schemas.openxmlformats.org/officeDocument/2006/relationships/hyperlink" Target="http://rave.ohiolink.edu/etdc/view?acc_num=bgsu1679587644584407" TargetMode="External"/><Relationship Id="rId15" Type="http://schemas.openxmlformats.org/officeDocument/2006/relationships/hyperlink" Target="https://doi.org/10.1021/acs.est.1c08673" TargetMode="External"/><Relationship Id="rId23" Type="http://schemas.openxmlformats.org/officeDocument/2006/relationships/hyperlink" Target="https://doi.org/10.1002/jeq2.20398" TargetMode="External"/><Relationship Id="rId28" Type="http://schemas.openxmlformats.org/officeDocument/2006/relationships/hyperlink" Target="https://researchonline.gcu.ac.uk/en/studentTheses/the-influence-and-removal-of-pharmaceuticals-during-anaerobic-was" TargetMode="External"/><Relationship Id="rId36" Type="http://schemas.openxmlformats.org/officeDocument/2006/relationships/table" Target="../tables/table5.xml"/><Relationship Id="rId10" Type="http://schemas.openxmlformats.org/officeDocument/2006/relationships/hyperlink" Target="https://doi.org/10.1016/j.envpol.2023.121042" TargetMode="External"/><Relationship Id="rId19" Type="http://schemas.openxmlformats.org/officeDocument/2006/relationships/hyperlink" Target="https://doi.org/10.1016/j.envres.2022.114962" TargetMode="External"/><Relationship Id="rId31" Type="http://schemas.openxmlformats.org/officeDocument/2006/relationships/hyperlink" Target="https://www.proquest.com/docview/2211093582?pq-origsite=gscholar&amp;fromopenview=true&amp;sourcetype=Dissertations%20&amp;%20Theses" TargetMode="External"/><Relationship Id="rId4" Type="http://schemas.openxmlformats.org/officeDocument/2006/relationships/hyperlink" Target="https://doi.org/10.3808/jei.202200480" TargetMode="External"/><Relationship Id="rId9" Type="http://schemas.openxmlformats.org/officeDocument/2006/relationships/hyperlink" Target="https://doi.org/10.1016/j.scitotenv.2022.159351" TargetMode="External"/><Relationship Id="rId14" Type="http://schemas.openxmlformats.org/officeDocument/2006/relationships/hyperlink" Target="https://doi.org/10.1016/j.scitotenv.2023.168369" TargetMode="External"/><Relationship Id="rId22" Type="http://schemas.openxmlformats.org/officeDocument/2006/relationships/hyperlink" Target="https://doi.org/10.3390/su132111760" TargetMode="External"/><Relationship Id="rId27" Type="http://schemas.openxmlformats.org/officeDocument/2006/relationships/hyperlink" Target="https://doi.org/10.1016/j.watres.2021.117743" TargetMode="External"/><Relationship Id="rId30" Type="http://schemas.openxmlformats.org/officeDocument/2006/relationships/hyperlink" Target="https://www.ideals.illinois.edu/items/121213" TargetMode="External"/><Relationship Id="rId35" Type="http://schemas.openxmlformats.org/officeDocument/2006/relationships/drawing" Target="../drawings/drawing1.xml"/><Relationship Id="rId8" Type="http://schemas.openxmlformats.org/officeDocument/2006/relationships/hyperlink" Target="https://doi.org/10.1002/elps.201600271"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13F16-A5C3-470A-89CC-8DD84F5ADF4C}">
  <dimension ref="A1:E530"/>
  <sheetViews>
    <sheetView workbookViewId="0">
      <selection activeCell="A8" sqref="A8"/>
    </sheetView>
  </sheetViews>
  <sheetFormatPr defaultRowHeight="15.6" x14ac:dyDescent="0.3"/>
  <cols>
    <col min="1" max="1" width="22.88671875" style="7" customWidth="1"/>
    <col min="2" max="2" width="23.21875" style="7" customWidth="1"/>
    <col min="3" max="3" width="16" style="7" customWidth="1"/>
    <col min="4" max="4" width="9.33203125" style="7" customWidth="1"/>
    <col min="5" max="5" width="255.77734375" style="8" bestFit="1" customWidth="1"/>
    <col min="6" max="16384" width="8.88671875" style="7"/>
  </cols>
  <sheetData>
    <row r="1" spans="1:5" x14ac:dyDescent="0.3">
      <c r="A1" s="36" t="s">
        <v>3875</v>
      </c>
    </row>
    <row r="2" spans="1:5" s="17" customFormat="1" ht="18" x14ac:dyDescent="0.3">
      <c r="A2" s="17" t="s">
        <v>30</v>
      </c>
      <c r="B2" s="17" t="s">
        <v>2070</v>
      </c>
      <c r="C2" s="17" t="s">
        <v>2370</v>
      </c>
      <c r="D2" s="17" t="s">
        <v>1</v>
      </c>
      <c r="E2" s="35" t="s">
        <v>3919</v>
      </c>
    </row>
    <row r="3" spans="1:5" x14ac:dyDescent="0.3">
      <c r="A3" s="7" t="s">
        <v>31</v>
      </c>
      <c r="B3" s="7" t="s">
        <v>2371</v>
      </c>
      <c r="C3" s="7">
        <v>3</v>
      </c>
      <c r="D3" s="7" t="s">
        <v>2372</v>
      </c>
      <c r="E3" s="8" t="s">
        <v>2373</v>
      </c>
    </row>
    <row r="4" spans="1:5" x14ac:dyDescent="0.3">
      <c r="A4" s="7" t="s">
        <v>31</v>
      </c>
      <c r="B4" s="7" t="s">
        <v>2374</v>
      </c>
      <c r="C4" s="7">
        <v>3</v>
      </c>
      <c r="D4" s="7" t="s">
        <v>2375</v>
      </c>
      <c r="E4" s="8" t="s">
        <v>2373</v>
      </c>
    </row>
    <row r="5" spans="1:5" x14ac:dyDescent="0.3">
      <c r="A5" s="7" t="s">
        <v>38</v>
      </c>
      <c r="B5" s="7" t="s">
        <v>2371</v>
      </c>
      <c r="C5" s="7">
        <v>82</v>
      </c>
      <c r="D5" s="7" t="s">
        <v>2376</v>
      </c>
      <c r="E5" s="7" t="s">
        <v>2377</v>
      </c>
    </row>
    <row r="6" spans="1:5" x14ac:dyDescent="0.3">
      <c r="A6" s="7" t="s">
        <v>38</v>
      </c>
      <c r="B6" s="7" t="s">
        <v>2374</v>
      </c>
      <c r="C6" s="7">
        <v>86</v>
      </c>
      <c r="D6" s="7" t="s">
        <v>2378</v>
      </c>
      <c r="E6" s="8" t="s">
        <v>2379</v>
      </c>
    </row>
    <row r="7" spans="1:5" x14ac:dyDescent="0.3">
      <c r="A7" s="7" t="s">
        <v>44</v>
      </c>
      <c r="B7" s="7" t="s">
        <v>2374</v>
      </c>
      <c r="C7" s="7">
        <v>85</v>
      </c>
      <c r="D7" s="7" t="s">
        <v>2380</v>
      </c>
      <c r="E7" s="8" t="s">
        <v>2381</v>
      </c>
    </row>
    <row r="8" spans="1:5" x14ac:dyDescent="0.3">
      <c r="A8" s="7" t="s">
        <v>44</v>
      </c>
      <c r="B8" s="7" t="s">
        <v>2382</v>
      </c>
      <c r="C8" s="7">
        <v>85</v>
      </c>
      <c r="D8" s="7" t="s">
        <v>2383</v>
      </c>
      <c r="E8" s="8" t="s">
        <v>2384</v>
      </c>
    </row>
    <row r="9" spans="1:5" x14ac:dyDescent="0.3">
      <c r="A9" s="7" t="s">
        <v>44</v>
      </c>
      <c r="B9" s="7" t="s">
        <v>2385</v>
      </c>
      <c r="C9" s="7">
        <v>30</v>
      </c>
      <c r="D9" s="7" t="s">
        <v>2386</v>
      </c>
      <c r="E9" s="8" t="s">
        <v>2387</v>
      </c>
    </row>
    <row r="10" spans="1:5" x14ac:dyDescent="0.3">
      <c r="A10" s="7" t="s">
        <v>44</v>
      </c>
      <c r="B10" s="7" t="s">
        <v>2388</v>
      </c>
      <c r="C10" s="7">
        <v>80</v>
      </c>
      <c r="D10" s="7" t="s">
        <v>2389</v>
      </c>
      <c r="E10" s="8" t="s">
        <v>2390</v>
      </c>
    </row>
    <row r="11" spans="1:5" x14ac:dyDescent="0.3">
      <c r="A11" s="7" t="s">
        <v>50</v>
      </c>
      <c r="B11" s="7" t="s">
        <v>2374</v>
      </c>
      <c r="C11" s="7">
        <v>0</v>
      </c>
      <c r="D11" s="7" t="s">
        <v>2391</v>
      </c>
      <c r="E11" s="8" t="s">
        <v>2392</v>
      </c>
    </row>
    <row r="12" spans="1:5" x14ac:dyDescent="0.3">
      <c r="A12" s="7" t="s">
        <v>56</v>
      </c>
      <c r="B12" s="7" t="s">
        <v>2374</v>
      </c>
      <c r="C12" s="7">
        <v>60</v>
      </c>
      <c r="D12" s="7" t="s">
        <v>2393</v>
      </c>
      <c r="E12" s="8" t="s">
        <v>2394</v>
      </c>
    </row>
    <row r="13" spans="1:5" x14ac:dyDescent="0.3">
      <c r="A13" s="7" t="s">
        <v>62</v>
      </c>
      <c r="B13" s="7" t="s">
        <v>2374</v>
      </c>
      <c r="C13" s="7">
        <v>41</v>
      </c>
      <c r="D13" s="7" t="s">
        <v>2395</v>
      </c>
      <c r="E13" s="8" t="s">
        <v>2396</v>
      </c>
    </row>
    <row r="14" spans="1:5" x14ac:dyDescent="0.3">
      <c r="A14" s="7" t="s">
        <v>62</v>
      </c>
      <c r="B14" s="7" t="s">
        <v>2382</v>
      </c>
      <c r="C14" s="7">
        <v>24</v>
      </c>
      <c r="D14" s="7" t="s">
        <v>2397</v>
      </c>
      <c r="E14" s="8" t="s">
        <v>2398</v>
      </c>
    </row>
    <row r="15" spans="1:5" x14ac:dyDescent="0.3">
      <c r="A15" s="7" t="s">
        <v>68</v>
      </c>
      <c r="B15" s="7" t="s">
        <v>2374</v>
      </c>
      <c r="C15" s="7">
        <v>1</v>
      </c>
      <c r="D15" s="7" t="s">
        <v>2399</v>
      </c>
      <c r="E15" s="8" t="s">
        <v>2400</v>
      </c>
    </row>
    <row r="16" spans="1:5" x14ac:dyDescent="0.3">
      <c r="A16" s="7" t="s">
        <v>74</v>
      </c>
      <c r="B16" s="7" t="s">
        <v>2374</v>
      </c>
      <c r="C16" s="7">
        <v>30</v>
      </c>
      <c r="D16" s="7" t="s">
        <v>2401</v>
      </c>
      <c r="E16" s="8" t="s">
        <v>2402</v>
      </c>
    </row>
    <row r="17" spans="1:5" x14ac:dyDescent="0.3">
      <c r="A17" s="7" t="s">
        <v>74</v>
      </c>
      <c r="B17" s="7" t="s">
        <v>2382</v>
      </c>
      <c r="C17" s="7">
        <v>30</v>
      </c>
      <c r="D17" s="7" t="s">
        <v>2403</v>
      </c>
      <c r="E17" s="8" t="s">
        <v>2402</v>
      </c>
    </row>
    <row r="18" spans="1:5" x14ac:dyDescent="0.3">
      <c r="A18" s="7" t="s">
        <v>74</v>
      </c>
      <c r="B18" s="7" t="s">
        <v>2404</v>
      </c>
      <c r="C18" s="7">
        <v>30</v>
      </c>
      <c r="D18" s="7" t="s">
        <v>2403</v>
      </c>
      <c r="E18" s="8" t="s">
        <v>2402</v>
      </c>
    </row>
    <row r="19" spans="1:5" x14ac:dyDescent="0.3">
      <c r="A19" s="7" t="s">
        <v>80</v>
      </c>
      <c r="B19" s="7" t="s">
        <v>2374</v>
      </c>
      <c r="C19" s="7">
        <v>100</v>
      </c>
      <c r="D19" s="7" t="s">
        <v>2405</v>
      </c>
      <c r="E19" s="8" t="s">
        <v>2406</v>
      </c>
    </row>
    <row r="20" spans="1:5" x14ac:dyDescent="0.3">
      <c r="A20" s="7" t="s">
        <v>86</v>
      </c>
      <c r="B20" s="7" t="s">
        <v>2407</v>
      </c>
      <c r="C20" s="7">
        <v>100</v>
      </c>
      <c r="D20" s="7" t="s">
        <v>2408</v>
      </c>
      <c r="E20" s="8" t="s">
        <v>2409</v>
      </c>
    </row>
    <row r="21" spans="1:5" x14ac:dyDescent="0.3">
      <c r="A21" s="7" t="s">
        <v>86</v>
      </c>
      <c r="B21" s="7" t="s">
        <v>2410</v>
      </c>
      <c r="C21" s="7">
        <v>0.03</v>
      </c>
      <c r="D21" s="7" t="s">
        <v>2411</v>
      </c>
      <c r="E21" s="8" t="s">
        <v>2412</v>
      </c>
    </row>
    <row r="22" spans="1:5" x14ac:dyDescent="0.3">
      <c r="A22" s="7" t="s">
        <v>86</v>
      </c>
      <c r="B22" s="7" t="s">
        <v>2374</v>
      </c>
      <c r="C22" s="7">
        <v>99.5</v>
      </c>
      <c r="D22" s="7" t="s">
        <v>2413</v>
      </c>
      <c r="E22" s="8" t="s">
        <v>2414</v>
      </c>
    </row>
    <row r="23" spans="1:5" x14ac:dyDescent="0.3">
      <c r="A23" s="7" t="s">
        <v>92</v>
      </c>
      <c r="B23" s="7" t="s">
        <v>2374</v>
      </c>
      <c r="C23" s="7">
        <v>90</v>
      </c>
      <c r="D23" s="7" t="s">
        <v>2415</v>
      </c>
      <c r="E23" s="8" t="s">
        <v>2416</v>
      </c>
    </row>
    <row r="24" spans="1:5" x14ac:dyDescent="0.3">
      <c r="A24" s="7" t="s">
        <v>98</v>
      </c>
      <c r="B24" s="7" t="s">
        <v>2382</v>
      </c>
      <c r="C24" s="7">
        <v>85</v>
      </c>
      <c r="D24" s="7" t="s">
        <v>2417</v>
      </c>
      <c r="E24" s="8" t="s">
        <v>2418</v>
      </c>
    </row>
    <row r="25" spans="1:5" x14ac:dyDescent="0.3">
      <c r="A25" s="7" t="s">
        <v>98</v>
      </c>
      <c r="B25" s="7" t="s">
        <v>2404</v>
      </c>
      <c r="C25" s="7">
        <v>85</v>
      </c>
      <c r="D25" s="7" t="s">
        <v>2417</v>
      </c>
      <c r="E25" s="8" t="s">
        <v>2418</v>
      </c>
    </row>
    <row r="26" spans="1:5" x14ac:dyDescent="0.3">
      <c r="A26" s="7" t="s">
        <v>98</v>
      </c>
      <c r="B26" s="7" t="s">
        <v>2374</v>
      </c>
      <c r="C26" s="7">
        <v>70</v>
      </c>
      <c r="D26" s="7" t="s">
        <v>2419</v>
      </c>
      <c r="E26" s="8" t="s">
        <v>2420</v>
      </c>
    </row>
    <row r="27" spans="1:5" x14ac:dyDescent="0.3">
      <c r="A27" s="7" t="s">
        <v>104</v>
      </c>
      <c r="B27" s="7" t="s">
        <v>2374</v>
      </c>
      <c r="C27" s="7">
        <v>30</v>
      </c>
      <c r="D27" s="7" t="s">
        <v>2421</v>
      </c>
      <c r="E27" s="8" t="s">
        <v>2422</v>
      </c>
    </row>
    <row r="28" spans="1:5" x14ac:dyDescent="0.3">
      <c r="A28" s="7" t="s">
        <v>104</v>
      </c>
      <c r="B28" s="7" t="s">
        <v>2382</v>
      </c>
      <c r="C28" s="7">
        <v>12.7</v>
      </c>
      <c r="D28" s="7" t="s">
        <v>2423</v>
      </c>
      <c r="E28" s="8" t="s">
        <v>2424</v>
      </c>
    </row>
    <row r="29" spans="1:5" x14ac:dyDescent="0.3">
      <c r="A29" s="7" t="s">
        <v>110</v>
      </c>
      <c r="B29" s="7" t="s">
        <v>2382</v>
      </c>
      <c r="C29" s="7">
        <v>5</v>
      </c>
      <c r="D29" s="7" t="s">
        <v>2425</v>
      </c>
      <c r="E29" s="8" t="s">
        <v>2426</v>
      </c>
    </row>
    <row r="30" spans="1:5" x14ac:dyDescent="0.3">
      <c r="A30" s="7" t="s">
        <v>110</v>
      </c>
      <c r="B30" s="7" t="s">
        <v>2374</v>
      </c>
      <c r="C30" s="7">
        <v>9</v>
      </c>
      <c r="D30" s="7" t="s">
        <v>2427</v>
      </c>
      <c r="E30" s="8" t="s">
        <v>2428</v>
      </c>
    </row>
    <row r="31" spans="1:5" x14ac:dyDescent="0.3">
      <c r="A31" s="7" t="s">
        <v>116</v>
      </c>
      <c r="B31" s="7" t="s">
        <v>2374</v>
      </c>
      <c r="C31" s="7">
        <v>66</v>
      </c>
      <c r="D31" s="7" t="s">
        <v>2429</v>
      </c>
      <c r="E31" s="8" t="s">
        <v>2430</v>
      </c>
    </row>
    <row r="32" spans="1:5" x14ac:dyDescent="0.3">
      <c r="A32" s="7" t="s">
        <v>116</v>
      </c>
      <c r="B32" s="7" t="s">
        <v>2382</v>
      </c>
      <c r="C32" s="7">
        <v>66</v>
      </c>
      <c r="D32" s="7" t="s">
        <v>2431</v>
      </c>
      <c r="E32" s="8" t="s">
        <v>2430</v>
      </c>
    </row>
    <row r="33" spans="1:5" x14ac:dyDescent="0.3">
      <c r="A33" s="7" t="s">
        <v>122</v>
      </c>
      <c r="B33" s="7" t="s">
        <v>2432</v>
      </c>
      <c r="C33" s="7">
        <v>100</v>
      </c>
      <c r="D33" s="7" t="s">
        <v>2433</v>
      </c>
      <c r="E33" s="8" t="s">
        <v>2434</v>
      </c>
    </row>
    <row r="34" spans="1:5" x14ac:dyDescent="0.3">
      <c r="A34" s="7" t="s">
        <v>122</v>
      </c>
      <c r="B34" s="7" t="s">
        <v>2374</v>
      </c>
      <c r="C34" s="7">
        <v>5</v>
      </c>
      <c r="D34" s="7" t="s">
        <v>2435</v>
      </c>
      <c r="E34" s="8" t="s">
        <v>2426</v>
      </c>
    </row>
    <row r="35" spans="1:5" x14ac:dyDescent="0.3">
      <c r="A35" s="7" t="s">
        <v>122</v>
      </c>
      <c r="B35" s="7" t="s">
        <v>2382</v>
      </c>
      <c r="C35" s="7">
        <v>15</v>
      </c>
      <c r="D35" s="7" t="s">
        <v>2436</v>
      </c>
      <c r="E35" s="8" t="s">
        <v>2437</v>
      </c>
    </row>
    <row r="36" spans="1:5" x14ac:dyDescent="0.3">
      <c r="A36" s="7" t="s">
        <v>122</v>
      </c>
      <c r="B36" s="7" t="s">
        <v>2410</v>
      </c>
      <c r="C36" s="7">
        <v>80</v>
      </c>
      <c r="D36" s="7" t="s">
        <v>2438</v>
      </c>
      <c r="E36" s="8" t="s">
        <v>2390</v>
      </c>
    </row>
    <row r="37" spans="1:5" x14ac:dyDescent="0.3">
      <c r="A37" s="7" t="s">
        <v>128</v>
      </c>
      <c r="B37" s="7" t="s">
        <v>2374</v>
      </c>
      <c r="C37" s="7">
        <v>11</v>
      </c>
      <c r="D37" s="7" t="s">
        <v>2439</v>
      </c>
      <c r="E37" s="8" t="s">
        <v>2440</v>
      </c>
    </row>
    <row r="38" spans="1:5" x14ac:dyDescent="0.3">
      <c r="A38" s="7" t="s">
        <v>128</v>
      </c>
      <c r="B38" s="7" t="s">
        <v>2382</v>
      </c>
      <c r="C38" s="7">
        <v>11</v>
      </c>
      <c r="D38" s="7" t="s">
        <v>2439</v>
      </c>
      <c r="E38" s="8" t="s">
        <v>2440</v>
      </c>
    </row>
    <row r="39" spans="1:5" x14ac:dyDescent="0.3">
      <c r="A39" s="7" t="s">
        <v>134</v>
      </c>
      <c r="B39" s="7" t="s">
        <v>2374</v>
      </c>
      <c r="C39" s="7">
        <v>90</v>
      </c>
      <c r="D39" s="7" t="s">
        <v>2441</v>
      </c>
      <c r="E39" s="8" t="s">
        <v>2442</v>
      </c>
    </row>
    <row r="40" spans="1:5" x14ac:dyDescent="0.3">
      <c r="A40" s="7" t="s">
        <v>140</v>
      </c>
      <c r="B40" s="7" t="s">
        <v>2374</v>
      </c>
      <c r="C40" s="7">
        <v>5</v>
      </c>
      <c r="D40" s="7" t="s">
        <v>2443</v>
      </c>
      <c r="E40" s="8" t="s">
        <v>2444</v>
      </c>
    </row>
    <row r="41" spans="1:5" x14ac:dyDescent="0.3">
      <c r="A41" s="7" t="s">
        <v>146</v>
      </c>
      <c r="B41" s="7" t="s">
        <v>2374</v>
      </c>
      <c r="C41" s="7">
        <v>52.06</v>
      </c>
      <c r="D41" s="7" t="s">
        <v>2445</v>
      </c>
      <c r="E41" s="8" t="s">
        <v>2446</v>
      </c>
    </row>
    <row r="42" spans="1:5" x14ac:dyDescent="0.3">
      <c r="A42" s="7" t="s">
        <v>152</v>
      </c>
      <c r="B42" s="7" t="s">
        <v>2374</v>
      </c>
      <c r="C42" s="7">
        <v>5</v>
      </c>
      <c r="D42" s="7" t="s">
        <v>2447</v>
      </c>
      <c r="E42" s="8" t="s">
        <v>2448</v>
      </c>
    </row>
    <row r="43" spans="1:5" x14ac:dyDescent="0.3">
      <c r="A43" s="7" t="s">
        <v>158</v>
      </c>
      <c r="B43" s="7" t="s">
        <v>2374</v>
      </c>
      <c r="C43" s="7">
        <v>100</v>
      </c>
      <c r="D43" s="7" t="s">
        <v>2449</v>
      </c>
      <c r="E43" s="8" t="s">
        <v>2450</v>
      </c>
    </row>
    <row r="44" spans="1:5" x14ac:dyDescent="0.3">
      <c r="A44" s="7" t="s">
        <v>164</v>
      </c>
      <c r="B44" s="7" t="s">
        <v>2374</v>
      </c>
      <c r="C44" s="7">
        <v>0</v>
      </c>
      <c r="D44" s="7" t="s">
        <v>2451</v>
      </c>
      <c r="E44" s="8" t="s">
        <v>2452</v>
      </c>
    </row>
    <row r="45" spans="1:5" x14ac:dyDescent="0.3">
      <c r="A45" s="7" t="s">
        <v>170</v>
      </c>
      <c r="B45" s="7" t="s">
        <v>2374</v>
      </c>
      <c r="C45" s="7">
        <v>100</v>
      </c>
      <c r="D45" s="7" t="s">
        <v>2453</v>
      </c>
      <c r="E45" s="8" t="s">
        <v>3903</v>
      </c>
    </row>
    <row r="46" spans="1:5" x14ac:dyDescent="0.3">
      <c r="A46" s="7" t="s">
        <v>176</v>
      </c>
      <c r="B46" s="7" t="s">
        <v>2374</v>
      </c>
      <c r="C46" s="7">
        <v>8</v>
      </c>
      <c r="D46" s="7" t="s">
        <v>2454</v>
      </c>
      <c r="E46" s="8" t="s">
        <v>2455</v>
      </c>
    </row>
    <row r="47" spans="1:5" x14ac:dyDescent="0.3">
      <c r="A47" s="7" t="s">
        <v>182</v>
      </c>
      <c r="B47" s="7" t="s">
        <v>2374</v>
      </c>
      <c r="C47" s="7">
        <v>31</v>
      </c>
      <c r="D47" s="7" t="s">
        <v>2456</v>
      </c>
      <c r="E47" s="8" t="s">
        <v>2457</v>
      </c>
    </row>
    <row r="48" spans="1:5" x14ac:dyDescent="0.3">
      <c r="A48" s="7" t="s">
        <v>182</v>
      </c>
      <c r="B48" s="7" t="s">
        <v>2382</v>
      </c>
      <c r="C48" s="7">
        <v>31</v>
      </c>
      <c r="D48" s="7" t="s">
        <v>2458</v>
      </c>
      <c r="E48" s="8" t="s">
        <v>2459</v>
      </c>
    </row>
    <row r="49" spans="1:5" x14ac:dyDescent="0.3">
      <c r="A49" s="7" t="s">
        <v>182</v>
      </c>
      <c r="B49" s="7" t="s">
        <v>2432</v>
      </c>
      <c r="C49" s="7">
        <v>100</v>
      </c>
      <c r="D49" s="7" t="s">
        <v>2460</v>
      </c>
      <c r="E49" s="8" t="s">
        <v>2434</v>
      </c>
    </row>
    <row r="50" spans="1:5" x14ac:dyDescent="0.3">
      <c r="A50" s="7" t="s">
        <v>182</v>
      </c>
      <c r="B50" s="7" t="s">
        <v>2461</v>
      </c>
      <c r="C50" s="7">
        <v>30</v>
      </c>
      <c r="D50" s="7" t="s">
        <v>2462</v>
      </c>
      <c r="E50" s="8" t="s">
        <v>2463</v>
      </c>
    </row>
    <row r="51" spans="1:5" x14ac:dyDescent="0.3">
      <c r="A51" s="7" t="s">
        <v>188</v>
      </c>
      <c r="B51" s="7" t="s">
        <v>2374</v>
      </c>
      <c r="C51" s="7">
        <v>99</v>
      </c>
      <c r="D51" s="7" t="s">
        <v>2464</v>
      </c>
      <c r="E51" s="8" t="s">
        <v>2465</v>
      </c>
    </row>
    <row r="52" spans="1:5" x14ac:dyDescent="0.3">
      <c r="A52" s="7" t="s">
        <v>194</v>
      </c>
      <c r="B52" s="7" t="s">
        <v>2374</v>
      </c>
      <c r="C52" s="7">
        <v>3</v>
      </c>
      <c r="D52" s="7" t="s">
        <v>2466</v>
      </c>
      <c r="E52" s="8" t="s">
        <v>2467</v>
      </c>
    </row>
    <row r="53" spans="1:5" x14ac:dyDescent="0.3">
      <c r="A53" s="7" t="s">
        <v>200</v>
      </c>
      <c r="B53" s="7" t="s">
        <v>2374</v>
      </c>
      <c r="C53" s="7">
        <v>40</v>
      </c>
      <c r="D53" s="7" t="s">
        <v>2468</v>
      </c>
      <c r="E53" s="8" t="s">
        <v>2469</v>
      </c>
    </row>
    <row r="54" spans="1:5" x14ac:dyDescent="0.3">
      <c r="A54" s="7" t="s">
        <v>206</v>
      </c>
      <c r="B54" s="7" t="s">
        <v>2374</v>
      </c>
      <c r="C54" s="7">
        <v>6</v>
      </c>
      <c r="D54" s="7" t="s">
        <v>2470</v>
      </c>
      <c r="E54" s="8" t="s">
        <v>2471</v>
      </c>
    </row>
    <row r="55" spans="1:5" x14ac:dyDescent="0.3">
      <c r="A55" s="7" t="s">
        <v>212</v>
      </c>
      <c r="B55" s="7" t="s">
        <v>2374</v>
      </c>
      <c r="C55" s="7">
        <v>100</v>
      </c>
      <c r="D55" s="7" t="s">
        <v>2472</v>
      </c>
      <c r="E55" s="8" t="s">
        <v>2473</v>
      </c>
    </row>
    <row r="56" spans="1:5" x14ac:dyDescent="0.3">
      <c r="A56" s="7" t="s">
        <v>212</v>
      </c>
      <c r="B56" s="7" t="s">
        <v>2432</v>
      </c>
      <c r="C56" s="7">
        <v>100</v>
      </c>
      <c r="D56" s="7" t="s">
        <v>2474</v>
      </c>
      <c r="E56" s="8" t="s">
        <v>2475</v>
      </c>
    </row>
    <row r="57" spans="1:5" x14ac:dyDescent="0.3">
      <c r="A57" s="7" t="s">
        <v>212</v>
      </c>
      <c r="B57" s="7" t="s">
        <v>2382</v>
      </c>
      <c r="C57" s="7">
        <v>91</v>
      </c>
      <c r="D57" s="7" t="s">
        <v>2476</v>
      </c>
      <c r="E57" s="8" t="s">
        <v>2477</v>
      </c>
    </row>
    <row r="58" spans="1:5" x14ac:dyDescent="0.3">
      <c r="A58" s="7" t="s">
        <v>218</v>
      </c>
      <c r="B58" s="7" t="s">
        <v>2374</v>
      </c>
      <c r="C58" s="7">
        <v>18.399999999999999</v>
      </c>
      <c r="D58" s="7" t="s">
        <v>2478</v>
      </c>
      <c r="E58" s="8" t="s">
        <v>2479</v>
      </c>
    </row>
    <row r="59" spans="1:5" x14ac:dyDescent="0.3">
      <c r="A59" s="7" t="s">
        <v>224</v>
      </c>
      <c r="B59" s="7" t="s">
        <v>2461</v>
      </c>
      <c r="C59" s="7">
        <v>70</v>
      </c>
      <c r="D59" s="7" t="s">
        <v>2480</v>
      </c>
      <c r="E59" s="8" t="s">
        <v>2481</v>
      </c>
    </row>
    <row r="60" spans="1:5" x14ac:dyDescent="0.3">
      <c r="A60" s="7" t="s">
        <v>224</v>
      </c>
      <c r="B60" s="7" t="s">
        <v>2374</v>
      </c>
      <c r="C60" s="7">
        <v>13.6</v>
      </c>
      <c r="D60" s="7" t="s">
        <v>2482</v>
      </c>
      <c r="E60" s="8" t="s">
        <v>2483</v>
      </c>
    </row>
    <row r="61" spans="1:5" x14ac:dyDescent="0.3">
      <c r="A61" s="7" t="s">
        <v>224</v>
      </c>
      <c r="B61" s="7" t="s">
        <v>2382</v>
      </c>
      <c r="C61" s="7">
        <v>100</v>
      </c>
      <c r="D61" s="7" t="s">
        <v>2484</v>
      </c>
      <c r="E61" s="8" t="s">
        <v>2485</v>
      </c>
    </row>
    <row r="62" spans="1:5" x14ac:dyDescent="0.3">
      <c r="A62" s="7" t="s">
        <v>224</v>
      </c>
      <c r="B62" s="7" t="s">
        <v>2404</v>
      </c>
      <c r="C62" s="7">
        <v>100</v>
      </c>
      <c r="D62" s="7" t="s">
        <v>2484</v>
      </c>
      <c r="E62" s="8" t="s">
        <v>2485</v>
      </c>
    </row>
    <row r="63" spans="1:5" ht="31.2" x14ac:dyDescent="0.3">
      <c r="A63" s="7" t="s">
        <v>224</v>
      </c>
      <c r="B63" s="7" t="s">
        <v>2432</v>
      </c>
      <c r="C63" s="7">
        <v>100</v>
      </c>
      <c r="D63" s="7" t="s">
        <v>2486</v>
      </c>
      <c r="E63" s="8" t="s">
        <v>2487</v>
      </c>
    </row>
    <row r="64" spans="1:5" x14ac:dyDescent="0.3">
      <c r="A64" s="7" t="s">
        <v>230</v>
      </c>
      <c r="B64" s="7" t="s">
        <v>2382</v>
      </c>
      <c r="C64" s="7">
        <v>89</v>
      </c>
      <c r="D64" s="7" t="s">
        <v>2488</v>
      </c>
      <c r="E64" s="8" t="s">
        <v>2489</v>
      </c>
    </row>
    <row r="65" spans="1:5" x14ac:dyDescent="0.3">
      <c r="A65" s="7" t="s">
        <v>230</v>
      </c>
      <c r="B65" s="7" t="s">
        <v>2404</v>
      </c>
      <c r="C65" s="7">
        <v>89</v>
      </c>
      <c r="D65" s="7" t="s">
        <v>2488</v>
      </c>
      <c r="E65" s="8" t="s">
        <v>2489</v>
      </c>
    </row>
    <row r="66" spans="1:5" x14ac:dyDescent="0.3">
      <c r="A66" s="7" t="s">
        <v>230</v>
      </c>
      <c r="B66" s="7" t="s">
        <v>2374</v>
      </c>
      <c r="C66" s="7">
        <v>50</v>
      </c>
      <c r="D66" s="7" t="s">
        <v>2490</v>
      </c>
      <c r="E66" s="8" t="s">
        <v>2491</v>
      </c>
    </row>
    <row r="67" spans="1:5" x14ac:dyDescent="0.3">
      <c r="A67" s="7" t="s">
        <v>236</v>
      </c>
      <c r="B67" s="7" t="s">
        <v>2374</v>
      </c>
      <c r="C67" s="7">
        <v>17</v>
      </c>
      <c r="D67" s="7" t="s">
        <v>2492</v>
      </c>
      <c r="E67" s="8" t="s">
        <v>2493</v>
      </c>
    </row>
    <row r="68" spans="1:5" x14ac:dyDescent="0.3">
      <c r="A68" s="7" t="s">
        <v>242</v>
      </c>
      <c r="B68" s="7" t="s">
        <v>2382</v>
      </c>
      <c r="C68" s="7">
        <v>100</v>
      </c>
      <c r="D68" s="7" t="s">
        <v>2494</v>
      </c>
      <c r="E68" s="8" t="s">
        <v>2495</v>
      </c>
    </row>
    <row r="69" spans="1:5" x14ac:dyDescent="0.3">
      <c r="A69" s="7" t="s">
        <v>242</v>
      </c>
      <c r="B69" s="7" t="s">
        <v>2404</v>
      </c>
      <c r="C69" s="7">
        <v>100</v>
      </c>
      <c r="D69" s="7" t="s">
        <v>2494</v>
      </c>
      <c r="E69" s="8" t="s">
        <v>2495</v>
      </c>
    </row>
    <row r="70" spans="1:5" x14ac:dyDescent="0.3">
      <c r="A70" s="7" t="s">
        <v>248</v>
      </c>
      <c r="B70" s="7" t="s">
        <v>2374</v>
      </c>
      <c r="C70" s="7">
        <v>31</v>
      </c>
      <c r="D70" s="7" t="s">
        <v>2496</v>
      </c>
      <c r="E70" s="8" t="s">
        <v>2497</v>
      </c>
    </row>
    <row r="71" spans="1:5" x14ac:dyDescent="0.3">
      <c r="A71" s="7" t="s">
        <v>254</v>
      </c>
      <c r="B71" s="7" t="s">
        <v>2374</v>
      </c>
      <c r="C71" s="7">
        <v>6.5</v>
      </c>
      <c r="D71" s="7" t="s">
        <v>2498</v>
      </c>
      <c r="E71" s="8" t="s">
        <v>2499</v>
      </c>
    </row>
    <row r="72" spans="1:5" x14ac:dyDescent="0.3">
      <c r="A72" s="7" t="s">
        <v>260</v>
      </c>
      <c r="B72" s="7" t="s">
        <v>2410</v>
      </c>
      <c r="C72" s="7">
        <v>80</v>
      </c>
      <c r="D72" s="7" t="s">
        <v>2500</v>
      </c>
      <c r="E72" s="8" t="s">
        <v>2501</v>
      </c>
    </row>
    <row r="73" spans="1:5" x14ac:dyDescent="0.3">
      <c r="A73" s="7" t="s">
        <v>266</v>
      </c>
      <c r="B73" s="7" t="s">
        <v>2374</v>
      </c>
      <c r="C73" s="7">
        <v>91</v>
      </c>
      <c r="D73" s="7" t="s">
        <v>2502</v>
      </c>
      <c r="E73" s="8" t="s">
        <v>2503</v>
      </c>
    </row>
    <row r="74" spans="1:5" x14ac:dyDescent="0.3">
      <c r="A74" s="7" t="s">
        <v>266</v>
      </c>
      <c r="B74" s="7" t="s">
        <v>2410</v>
      </c>
      <c r="C74" s="7">
        <v>80</v>
      </c>
      <c r="D74" s="7" t="s">
        <v>2504</v>
      </c>
      <c r="E74" s="8" t="s">
        <v>2501</v>
      </c>
    </row>
    <row r="75" spans="1:5" x14ac:dyDescent="0.3">
      <c r="A75" s="7" t="s">
        <v>266</v>
      </c>
      <c r="B75" s="7" t="s">
        <v>2382</v>
      </c>
      <c r="C75" s="7">
        <v>91</v>
      </c>
      <c r="D75" s="7" t="s">
        <v>2502</v>
      </c>
      <c r="E75" s="8" t="s">
        <v>2503</v>
      </c>
    </row>
    <row r="76" spans="1:5" x14ac:dyDescent="0.3">
      <c r="A76" s="7" t="s">
        <v>272</v>
      </c>
      <c r="B76" s="7" t="s">
        <v>2505</v>
      </c>
      <c r="C76" s="7">
        <v>100</v>
      </c>
      <c r="D76" s="7" t="s">
        <v>2506</v>
      </c>
      <c r="E76" s="8" t="s">
        <v>2507</v>
      </c>
    </row>
    <row r="77" spans="1:5" x14ac:dyDescent="0.3">
      <c r="A77" s="7" t="s">
        <v>272</v>
      </c>
      <c r="B77" s="7" t="s">
        <v>2432</v>
      </c>
      <c r="C77" s="7">
        <v>100</v>
      </c>
      <c r="D77" s="7" t="s">
        <v>2508</v>
      </c>
      <c r="E77" s="8" t="s">
        <v>2434</v>
      </c>
    </row>
    <row r="78" spans="1:5" x14ac:dyDescent="0.3">
      <c r="A78" s="7" t="s">
        <v>272</v>
      </c>
      <c r="B78" s="7" t="s">
        <v>2410</v>
      </c>
      <c r="C78" s="7">
        <v>80</v>
      </c>
      <c r="D78" s="7" t="s">
        <v>2509</v>
      </c>
      <c r="E78" s="8" t="s">
        <v>2501</v>
      </c>
    </row>
    <row r="79" spans="1:5" x14ac:dyDescent="0.3">
      <c r="A79" s="7" t="s">
        <v>278</v>
      </c>
      <c r="B79" s="7" t="s">
        <v>2374</v>
      </c>
      <c r="C79" s="7">
        <v>65</v>
      </c>
      <c r="D79" s="7" t="s">
        <v>2510</v>
      </c>
      <c r="E79" s="8" t="s">
        <v>2511</v>
      </c>
    </row>
    <row r="80" spans="1:5" x14ac:dyDescent="0.3">
      <c r="A80" s="7" t="s">
        <v>284</v>
      </c>
      <c r="B80" s="7" t="s">
        <v>2374</v>
      </c>
      <c r="C80" s="7">
        <v>60</v>
      </c>
      <c r="D80" s="7" t="s">
        <v>2512</v>
      </c>
      <c r="E80" s="8" t="s">
        <v>2513</v>
      </c>
    </row>
    <row r="81" spans="1:5" x14ac:dyDescent="0.3">
      <c r="A81" s="7" t="s">
        <v>284</v>
      </c>
      <c r="B81" s="7" t="s">
        <v>2382</v>
      </c>
      <c r="C81" s="7">
        <v>60</v>
      </c>
      <c r="D81" s="7" t="s">
        <v>2514</v>
      </c>
      <c r="E81" s="8" t="s">
        <v>2513</v>
      </c>
    </row>
    <row r="82" spans="1:5" x14ac:dyDescent="0.3">
      <c r="A82" s="7" t="s">
        <v>290</v>
      </c>
      <c r="B82" s="7" t="s">
        <v>2374</v>
      </c>
      <c r="C82" s="7">
        <v>100</v>
      </c>
      <c r="D82" s="7" t="s">
        <v>2515</v>
      </c>
      <c r="E82" s="8" t="s">
        <v>2516</v>
      </c>
    </row>
    <row r="83" spans="1:5" ht="31.2" x14ac:dyDescent="0.3">
      <c r="A83" s="7" t="s">
        <v>296</v>
      </c>
      <c r="B83" s="7" t="s">
        <v>2374</v>
      </c>
      <c r="C83" s="7">
        <v>15</v>
      </c>
      <c r="D83" s="7" t="s">
        <v>2517</v>
      </c>
      <c r="E83" s="8" t="s">
        <v>2518</v>
      </c>
    </row>
    <row r="84" spans="1:5" x14ac:dyDescent="0.3">
      <c r="A84" s="7" t="s">
        <v>301</v>
      </c>
      <c r="B84" s="7" t="s">
        <v>2374</v>
      </c>
      <c r="C84" s="7">
        <v>30</v>
      </c>
      <c r="D84" s="7" t="s">
        <v>2519</v>
      </c>
      <c r="E84" s="8" t="s">
        <v>2520</v>
      </c>
    </row>
    <row r="85" spans="1:5" x14ac:dyDescent="0.3">
      <c r="A85" s="7" t="s">
        <v>307</v>
      </c>
      <c r="B85" s="7" t="s">
        <v>2374</v>
      </c>
      <c r="C85" s="7">
        <v>0</v>
      </c>
      <c r="D85" s="7" t="s">
        <v>2521</v>
      </c>
      <c r="E85" s="8" t="s">
        <v>2522</v>
      </c>
    </row>
    <row r="86" spans="1:5" x14ac:dyDescent="0.3">
      <c r="A86" s="7" t="s">
        <v>313</v>
      </c>
      <c r="B86" s="7" t="s">
        <v>2410</v>
      </c>
      <c r="C86" s="7">
        <v>0</v>
      </c>
      <c r="D86" s="7" t="s">
        <v>2523</v>
      </c>
      <c r="E86" s="8" t="s">
        <v>2524</v>
      </c>
    </row>
    <row r="87" spans="1:5" x14ac:dyDescent="0.3">
      <c r="A87" s="7" t="s">
        <v>313</v>
      </c>
      <c r="B87" s="7" t="s">
        <v>2382</v>
      </c>
      <c r="C87" s="7">
        <v>14</v>
      </c>
      <c r="D87" s="7" t="s">
        <v>2525</v>
      </c>
      <c r="E87" s="8" t="s">
        <v>2526</v>
      </c>
    </row>
    <row r="88" spans="1:5" x14ac:dyDescent="0.3">
      <c r="A88" s="7" t="s">
        <v>313</v>
      </c>
      <c r="B88" s="7" t="s">
        <v>2374</v>
      </c>
      <c r="C88" s="7">
        <v>76</v>
      </c>
      <c r="D88" s="7" t="s">
        <v>2527</v>
      </c>
      <c r="E88" s="8" t="s">
        <v>2528</v>
      </c>
    </row>
    <row r="89" spans="1:5" x14ac:dyDescent="0.3">
      <c r="A89" s="7" t="s">
        <v>319</v>
      </c>
      <c r="B89" s="7" t="s">
        <v>2374</v>
      </c>
      <c r="C89" s="7">
        <v>66.8</v>
      </c>
      <c r="D89" s="7" t="s">
        <v>2421</v>
      </c>
      <c r="E89" s="8" t="s">
        <v>2529</v>
      </c>
    </row>
    <row r="90" spans="1:5" x14ac:dyDescent="0.3">
      <c r="A90" s="7" t="s">
        <v>319</v>
      </c>
      <c r="B90" s="7" t="s">
        <v>2382</v>
      </c>
      <c r="C90" s="7">
        <v>42.4</v>
      </c>
      <c r="D90" s="7" t="s">
        <v>2423</v>
      </c>
      <c r="E90" s="8" t="s">
        <v>2530</v>
      </c>
    </row>
    <row r="91" spans="1:5" x14ac:dyDescent="0.3">
      <c r="A91" s="7" t="s">
        <v>319</v>
      </c>
      <c r="B91" s="7" t="s">
        <v>2410</v>
      </c>
      <c r="C91" s="7">
        <v>80</v>
      </c>
      <c r="D91" s="7" t="s">
        <v>2531</v>
      </c>
      <c r="E91" s="8" t="s">
        <v>2501</v>
      </c>
    </row>
    <row r="92" spans="1:5" x14ac:dyDescent="0.3">
      <c r="A92" s="7" t="s">
        <v>325</v>
      </c>
      <c r="B92" s="7" t="s">
        <v>2374</v>
      </c>
      <c r="C92" s="7">
        <v>30</v>
      </c>
      <c r="D92" s="7" t="s">
        <v>2532</v>
      </c>
      <c r="E92" s="8" t="s">
        <v>2533</v>
      </c>
    </row>
    <row r="93" spans="1:5" x14ac:dyDescent="0.3">
      <c r="A93" s="7" t="s">
        <v>331</v>
      </c>
      <c r="B93" s="7" t="s">
        <v>2410</v>
      </c>
      <c r="C93" s="7">
        <v>90</v>
      </c>
      <c r="D93" s="7" t="s">
        <v>2534</v>
      </c>
      <c r="E93" s="8" t="s">
        <v>2535</v>
      </c>
    </row>
    <row r="94" spans="1:5" x14ac:dyDescent="0.3">
      <c r="A94" s="7" t="s">
        <v>337</v>
      </c>
      <c r="B94" s="7" t="s">
        <v>2374</v>
      </c>
      <c r="C94" s="7">
        <v>90</v>
      </c>
      <c r="D94" s="7" t="s">
        <v>2536</v>
      </c>
      <c r="E94" s="8" t="s">
        <v>2537</v>
      </c>
    </row>
    <row r="95" spans="1:5" x14ac:dyDescent="0.3">
      <c r="A95" s="7" t="s">
        <v>343</v>
      </c>
      <c r="B95" s="7" t="s">
        <v>2382</v>
      </c>
      <c r="C95" s="7">
        <v>5</v>
      </c>
      <c r="D95" s="7" t="s">
        <v>2538</v>
      </c>
      <c r="E95" s="8" t="s">
        <v>2539</v>
      </c>
    </row>
    <row r="96" spans="1:5" x14ac:dyDescent="0.3">
      <c r="A96" s="7" t="s">
        <v>343</v>
      </c>
      <c r="B96" s="7" t="s">
        <v>2404</v>
      </c>
      <c r="C96" s="7">
        <v>5</v>
      </c>
      <c r="D96" s="7" t="s">
        <v>2538</v>
      </c>
      <c r="E96" s="8" t="s">
        <v>2539</v>
      </c>
    </row>
    <row r="97" spans="1:5" x14ac:dyDescent="0.3">
      <c r="A97" s="7" t="s">
        <v>343</v>
      </c>
      <c r="B97" s="7" t="s">
        <v>2374</v>
      </c>
      <c r="C97" s="7">
        <v>30</v>
      </c>
      <c r="D97" s="7" t="s">
        <v>2540</v>
      </c>
      <c r="E97" s="8" t="s">
        <v>2533</v>
      </c>
    </row>
    <row r="98" spans="1:5" x14ac:dyDescent="0.3">
      <c r="A98" s="7" t="s">
        <v>348</v>
      </c>
      <c r="B98" s="7" t="s">
        <v>2374</v>
      </c>
      <c r="C98" s="7">
        <v>35</v>
      </c>
      <c r="D98" s="7" t="s">
        <v>2541</v>
      </c>
      <c r="E98" s="8" t="s">
        <v>2542</v>
      </c>
    </row>
    <row r="99" spans="1:5" x14ac:dyDescent="0.3">
      <c r="A99" s="7" t="s">
        <v>354</v>
      </c>
      <c r="B99" s="7" t="s">
        <v>2374</v>
      </c>
      <c r="C99" s="7">
        <v>30</v>
      </c>
      <c r="D99" s="7" t="s">
        <v>2543</v>
      </c>
      <c r="E99" s="8" t="s">
        <v>2544</v>
      </c>
    </row>
    <row r="100" spans="1:5" x14ac:dyDescent="0.3">
      <c r="A100" s="7" t="s">
        <v>360</v>
      </c>
      <c r="B100" s="24" t="s">
        <v>2374</v>
      </c>
      <c r="C100" s="7">
        <v>0</v>
      </c>
      <c r="D100" s="7" t="s">
        <v>2545</v>
      </c>
      <c r="E100" s="8" t="s">
        <v>2546</v>
      </c>
    </row>
    <row r="101" spans="1:5" x14ac:dyDescent="0.3">
      <c r="A101" s="7" t="s">
        <v>360</v>
      </c>
      <c r="B101" s="24" t="s">
        <v>2410</v>
      </c>
      <c r="C101" s="7">
        <v>80</v>
      </c>
      <c r="D101" s="7" t="s">
        <v>2547</v>
      </c>
      <c r="E101" s="8" t="s">
        <v>2501</v>
      </c>
    </row>
    <row r="102" spans="1:5" x14ac:dyDescent="0.3">
      <c r="A102" s="7" t="s">
        <v>366</v>
      </c>
      <c r="B102" s="7" t="s">
        <v>2374</v>
      </c>
      <c r="C102" s="7">
        <v>93</v>
      </c>
      <c r="D102" s="7" t="s">
        <v>2548</v>
      </c>
      <c r="E102" s="8" t="s">
        <v>2549</v>
      </c>
    </row>
    <row r="103" spans="1:5" x14ac:dyDescent="0.3">
      <c r="A103" s="7" t="s">
        <v>372</v>
      </c>
      <c r="B103" s="7" t="s">
        <v>2374</v>
      </c>
      <c r="C103" s="7">
        <v>0.5</v>
      </c>
      <c r="D103" s="7" t="s">
        <v>2550</v>
      </c>
      <c r="E103" s="8" t="s">
        <v>2551</v>
      </c>
    </row>
    <row r="104" spans="1:5" x14ac:dyDescent="0.3">
      <c r="A104" s="7" t="s">
        <v>378</v>
      </c>
      <c r="B104" s="7" t="s">
        <v>2374</v>
      </c>
      <c r="C104" s="7">
        <v>3</v>
      </c>
      <c r="D104" s="7" t="s">
        <v>2552</v>
      </c>
      <c r="E104" s="8" t="s">
        <v>2553</v>
      </c>
    </row>
    <row r="105" spans="1:5" x14ac:dyDescent="0.3">
      <c r="A105" s="7" t="s">
        <v>384</v>
      </c>
      <c r="B105" s="7" t="s">
        <v>2374</v>
      </c>
      <c r="C105" s="7">
        <v>5</v>
      </c>
      <c r="D105" s="7" t="s">
        <v>2554</v>
      </c>
      <c r="E105" s="8" t="s">
        <v>2555</v>
      </c>
    </row>
    <row r="106" spans="1:5" x14ac:dyDescent="0.3">
      <c r="A106" s="7" t="s">
        <v>390</v>
      </c>
      <c r="B106" s="7" t="s">
        <v>2374</v>
      </c>
      <c r="C106" s="7">
        <v>50</v>
      </c>
      <c r="D106" s="7" t="s">
        <v>2556</v>
      </c>
      <c r="E106" s="8" t="s">
        <v>2557</v>
      </c>
    </row>
    <row r="107" spans="1:5" x14ac:dyDescent="0.3">
      <c r="A107" s="7" t="s">
        <v>396</v>
      </c>
      <c r="B107" s="7" t="s">
        <v>2374</v>
      </c>
      <c r="C107" s="7">
        <v>30</v>
      </c>
      <c r="D107" s="7" t="s">
        <v>2558</v>
      </c>
      <c r="E107" s="8" t="s">
        <v>2559</v>
      </c>
    </row>
    <row r="108" spans="1:5" x14ac:dyDescent="0.3">
      <c r="A108" s="7" t="s">
        <v>402</v>
      </c>
      <c r="B108" s="7" t="s">
        <v>2374</v>
      </c>
      <c r="C108" s="7">
        <v>1</v>
      </c>
      <c r="D108" s="7" t="s">
        <v>2560</v>
      </c>
      <c r="E108" s="8" t="s">
        <v>2561</v>
      </c>
    </row>
    <row r="109" spans="1:5" x14ac:dyDescent="0.3">
      <c r="A109" s="7" t="s">
        <v>402</v>
      </c>
      <c r="B109" s="7" t="s">
        <v>2382</v>
      </c>
      <c r="C109" s="7">
        <v>1</v>
      </c>
      <c r="D109" s="7" t="s">
        <v>2562</v>
      </c>
      <c r="E109" s="8" t="s">
        <v>2561</v>
      </c>
    </row>
    <row r="110" spans="1:5" x14ac:dyDescent="0.3">
      <c r="A110" s="7" t="s">
        <v>408</v>
      </c>
      <c r="B110" s="7" t="s">
        <v>2374</v>
      </c>
      <c r="C110" s="7">
        <v>100</v>
      </c>
      <c r="D110" s="7" t="s">
        <v>2563</v>
      </c>
      <c r="E110" s="8" t="s">
        <v>3904</v>
      </c>
    </row>
    <row r="111" spans="1:5" x14ac:dyDescent="0.3">
      <c r="A111" s="7" t="s">
        <v>408</v>
      </c>
      <c r="B111" s="7" t="s">
        <v>2382</v>
      </c>
      <c r="C111" s="7">
        <v>12</v>
      </c>
      <c r="D111" s="7" t="s">
        <v>2564</v>
      </c>
      <c r="E111" s="8" t="s">
        <v>2565</v>
      </c>
    </row>
    <row r="112" spans="1:5" x14ac:dyDescent="0.3">
      <c r="A112" s="7" t="s">
        <v>414</v>
      </c>
      <c r="B112" s="7" t="s">
        <v>2374</v>
      </c>
      <c r="C112" s="7">
        <v>12</v>
      </c>
      <c r="D112" s="7" t="s">
        <v>2566</v>
      </c>
      <c r="E112" s="8" t="s">
        <v>2567</v>
      </c>
    </row>
    <row r="113" spans="1:5" x14ac:dyDescent="0.3">
      <c r="A113" s="7" t="s">
        <v>420</v>
      </c>
      <c r="B113" s="7" t="s">
        <v>2374</v>
      </c>
      <c r="C113" s="7">
        <v>4</v>
      </c>
      <c r="D113" s="7" t="s">
        <v>2568</v>
      </c>
      <c r="E113" s="8" t="s">
        <v>2569</v>
      </c>
    </row>
    <row r="114" spans="1:5" x14ac:dyDescent="0.3">
      <c r="A114" s="7" t="s">
        <v>420</v>
      </c>
      <c r="B114" s="7" t="s">
        <v>2382</v>
      </c>
      <c r="C114" s="7">
        <v>4</v>
      </c>
      <c r="D114" s="7" t="s">
        <v>2570</v>
      </c>
      <c r="E114" s="8" t="s">
        <v>2571</v>
      </c>
    </row>
    <row r="115" spans="1:5" x14ac:dyDescent="0.3">
      <c r="A115" s="7" t="s">
        <v>426</v>
      </c>
      <c r="B115" s="7" t="s">
        <v>2374</v>
      </c>
      <c r="C115" s="7">
        <v>96</v>
      </c>
      <c r="D115" s="7" t="s">
        <v>2572</v>
      </c>
      <c r="E115" s="8" t="s">
        <v>2573</v>
      </c>
    </row>
    <row r="116" spans="1:5" x14ac:dyDescent="0.3">
      <c r="A116" s="7" t="s">
        <v>432</v>
      </c>
      <c r="B116" s="7" t="s">
        <v>2374</v>
      </c>
      <c r="C116" s="7">
        <v>11</v>
      </c>
      <c r="D116" s="7" t="s">
        <v>2574</v>
      </c>
      <c r="E116" s="8" t="s">
        <v>2575</v>
      </c>
    </row>
    <row r="117" spans="1:5" x14ac:dyDescent="0.3">
      <c r="A117" s="7" t="s">
        <v>438</v>
      </c>
      <c r="B117" s="7" t="s">
        <v>2374</v>
      </c>
      <c r="C117" s="7">
        <v>42.5</v>
      </c>
      <c r="D117" s="7" t="s">
        <v>2576</v>
      </c>
      <c r="E117" s="8" t="s">
        <v>2577</v>
      </c>
    </row>
    <row r="118" spans="1:5" x14ac:dyDescent="0.3">
      <c r="A118" s="7" t="s">
        <v>444</v>
      </c>
      <c r="B118" s="7" t="s">
        <v>2374</v>
      </c>
      <c r="C118" s="7">
        <v>30</v>
      </c>
      <c r="D118" s="7" t="s">
        <v>2578</v>
      </c>
      <c r="E118" s="8" t="s">
        <v>2579</v>
      </c>
    </row>
    <row r="119" spans="1:5" x14ac:dyDescent="0.3">
      <c r="A119" s="7" t="s">
        <v>444</v>
      </c>
      <c r="B119" s="7" t="s">
        <v>2382</v>
      </c>
      <c r="C119" s="7">
        <v>30</v>
      </c>
      <c r="D119" s="7" t="s">
        <v>2580</v>
      </c>
      <c r="E119" s="8" t="s">
        <v>2581</v>
      </c>
    </row>
    <row r="120" spans="1:5" x14ac:dyDescent="0.3">
      <c r="A120" s="7" t="s">
        <v>450</v>
      </c>
      <c r="B120" s="7" t="s">
        <v>2374</v>
      </c>
      <c r="C120" s="7">
        <v>100</v>
      </c>
      <c r="D120" s="7" t="s">
        <v>2582</v>
      </c>
      <c r="E120" s="8" t="s">
        <v>2583</v>
      </c>
    </row>
    <row r="121" spans="1:5" x14ac:dyDescent="0.3">
      <c r="A121" s="7" t="s">
        <v>456</v>
      </c>
      <c r="B121" s="7" t="s">
        <v>2374</v>
      </c>
      <c r="C121" s="7">
        <v>95</v>
      </c>
      <c r="D121" s="7" t="s">
        <v>2584</v>
      </c>
      <c r="E121" s="8" t="s">
        <v>2585</v>
      </c>
    </row>
    <row r="122" spans="1:5" x14ac:dyDescent="0.3">
      <c r="A122" s="7" t="s">
        <v>462</v>
      </c>
      <c r="B122" s="7" t="s">
        <v>2374</v>
      </c>
      <c r="C122" s="7">
        <v>3</v>
      </c>
      <c r="D122" s="7" t="s">
        <v>2586</v>
      </c>
      <c r="E122" s="8" t="s">
        <v>2587</v>
      </c>
    </row>
    <row r="123" spans="1:5" x14ac:dyDescent="0.3">
      <c r="A123" s="7" t="s">
        <v>462</v>
      </c>
      <c r="B123" s="7" t="s">
        <v>2410</v>
      </c>
      <c r="C123" s="7">
        <v>80</v>
      </c>
      <c r="D123" s="7" t="s">
        <v>2588</v>
      </c>
      <c r="E123" s="8" t="s">
        <v>2501</v>
      </c>
    </row>
    <row r="124" spans="1:5" x14ac:dyDescent="0.3">
      <c r="A124" s="7" t="s">
        <v>468</v>
      </c>
      <c r="B124" s="7" t="s">
        <v>2374</v>
      </c>
      <c r="C124" s="7">
        <v>100</v>
      </c>
      <c r="D124" s="7" t="s">
        <v>2589</v>
      </c>
      <c r="E124" s="8" t="s">
        <v>2590</v>
      </c>
    </row>
    <row r="125" spans="1:5" x14ac:dyDescent="0.3">
      <c r="A125" s="7" t="s">
        <v>468</v>
      </c>
      <c r="B125" s="7" t="s">
        <v>2382</v>
      </c>
      <c r="C125" s="7">
        <v>100</v>
      </c>
      <c r="D125" s="7" t="s">
        <v>2591</v>
      </c>
      <c r="E125" s="8" t="s">
        <v>2590</v>
      </c>
    </row>
    <row r="126" spans="1:5" x14ac:dyDescent="0.3">
      <c r="A126" s="7" t="s">
        <v>474</v>
      </c>
      <c r="B126" s="7" t="s">
        <v>2371</v>
      </c>
      <c r="C126" s="7">
        <v>100</v>
      </c>
      <c r="D126" s="7" t="s">
        <v>2592</v>
      </c>
      <c r="E126" s="8" t="s">
        <v>2593</v>
      </c>
    </row>
    <row r="127" spans="1:5" x14ac:dyDescent="0.3">
      <c r="A127" s="7" t="s">
        <v>474</v>
      </c>
      <c r="B127" s="7" t="s">
        <v>2374</v>
      </c>
      <c r="C127" s="7">
        <v>100</v>
      </c>
      <c r="D127" s="7" t="s">
        <v>2594</v>
      </c>
      <c r="E127" s="8" t="s">
        <v>2595</v>
      </c>
    </row>
    <row r="128" spans="1:5" x14ac:dyDescent="0.3">
      <c r="A128" s="7" t="s">
        <v>474</v>
      </c>
      <c r="B128" s="7" t="s">
        <v>2385</v>
      </c>
      <c r="C128" s="7">
        <v>30</v>
      </c>
      <c r="D128" s="7" t="s">
        <v>2596</v>
      </c>
      <c r="E128" s="8" t="s">
        <v>2597</v>
      </c>
    </row>
    <row r="129" spans="1:5" ht="31.2" x14ac:dyDescent="0.3">
      <c r="A129" s="7" t="s">
        <v>480</v>
      </c>
      <c r="B129" s="7" t="s">
        <v>2374</v>
      </c>
      <c r="C129" s="7">
        <v>79</v>
      </c>
      <c r="D129" s="7" t="s">
        <v>2598</v>
      </c>
      <c r="E129" s="8" t="s">
        <v>2599</v>
      </c>
    </row>
    <row r="130" spans="1:5" x14ac:dyDescent="0.3">
      <c r="A130" s="7" t="s">
        <v>486</v>
      </c>
      <c r="B130" s="7" t="s">
        <v>2374</v>
      </c>
      <c r="C130" s="7">
        <v>30</v>
      </c>
      <c r="D130" s="7" t="s">
        <v>2600</v>
      </c>
      <c r="E130" s="8" t="s">
        <v>2422</v>
      </c>
    </row>
    <row r="131" spans="1:5" x14ac:dyDescent="0.3">
      <c r="A131" s="7" t="s">
        <v>492</v>
      </c>
      <c r="B131" s="7" t="s">
        <v>2374</v>
      </c>
      <c r="C131" s="7">
        <v>59</v>
      </c>
      <c r="D131" s="7" t="s">
        <v>2601</v>
      </c>
      <c r="E131" s="8" t="s">
        <v>2602</v>
      </c>
    </row>
    <row r="132" spans="1:5" x14ac:dyDescent="0.3">
      <c r="A132" s="7" t="s">
        <v>498</v>
      </c>
      <c r="B132" s="7" t="s">
        <v>2374</v>
      </c>
      <c r="C132" s="7">
        <v>35</v>
      </c>
      <c r="D132" s="7" t="s">
        <v>2603</v>
      </c>
      <c r="E132" s="8" t="s">
        <v>2604</v>
      </c>
    </row>
    <row r="133" spans="1:5" x14ac:dyDescent="0.3">
      <c r="A133" s="7" t="s">
        <v>504</v>
      </c>
      <c r="B133" s="7" t="s">
        <v>2432</v>
      </c>
      <c r="C133" s="7">
        <v>100</v>
      </c>
      <c r="D133" s="7" t="s">
        <v>2605</v>
      </c>
      <c r="E133" s="8" t="s">
        <v>2434</v>
      </c>
    </row>
    <row r="134" spans="1:5" x14ac:dyDescent="0.3">
      <c r="A134" s="7" t="s">
        <v>504</v>
      </c>
      <c r="B134" s="7" t="s">
        <v>2606</v>
      </c>
      <c r="C134" s="7">
        <v>1</v>
      </c>
      <c r="D134" s="7" t="s">
        <v>2607</v>
      </c>
      <c r="E134" s="8" t="s">
        <v>2608</v>
      </c>
    </row>
    <row r="135" spans="1:5" x14ac:dyDescent="0.3">
      <c r="A135" s="7" t="s">
        <v>504</v>
      </c>
      <c r="B135" s="7" t="s">
        <v>2382</v>
      </c>
      <c r="C135" s="7">
        <v>100</v>
      </c>
      <c r="D135" s="7" t="s">
        <v>2609</v>
      </c>
      <c r="E135" s="8" t="s">
        <v>2516</v>
      </c>
    </row>
    <row r="136" spans="1:5" x14ac:dyDescent="0.3">
      <c r="A136" s="7" t="s">
        <v>504</v>
      </c>
      <c r="B136" s="7" t="s">
        <v>2374</v>
      </c>
      <c r="C136" s="7">
        <v>50</v>
      </c>
      <c r="D136" s="7" t="s">
        <v>2610</v>
      </c>
      <c r="E136" s="8" t="s">
        <v>2611</v>
      </c>
    </row>
    <row r="137" spans="1:5" x14ac:dyDescent="0.3">
      <c r="A137" s="7" t="s">
        <v>510</v>
      </c>
      <c r="B137" s="7" t="s">
        <v>2374</v>
      </c>
      <c r="C137" s="7">
        <v>5</v>
      </c>
      <c r="D137" s="7" t="s">
        <v>2612</v>
      </c>
      <c r="E137" s="8" t="s">
        <v>2426</v>
      </c>
    </row>
    <row r="138" spans="1:5" x14ac:dyDescent="0.3">
      <c r="A138" s="7" t="s">
        <v>516</v>
      </c>
      <c r="B138" s="7" t="s">
        <v>2374</v>
      </c>
      <c r="C138" s="7">
        <v>25</v>
      </c>
      <c r="D138" s="7" t="s">
        <v>2613</v>
      </c>
      <c r="E138" s="8" t="s">
        <v>2614</v>
      </c>
    </row>
    <row r="139" spans="1:5" x14ac:dyDescent="0.3">
      <c r="A139" s="24" t="s">
        <v>522</v>
      </c>
      <c r="B139" s="24" t="s">
        <v>2505</v>
      </c>
      <c r="C139" s="24">
        <v>77.2</v>
      </c>
      <c r="D139" s="24" t="s">
        <v>2615</v>
      </c>
      <c r="E139" s="30" t="s">
        <v>2616</v>
      </c>
    </row>
    <row r="140" spans="1:5" x14ac:dyDescent="0.3">
      <c r="A140" s="7" t="s">
        <v>528</v>
      </c>
      <c r="B140" s="7" t="s">
        <v>2374</v>
      </c>
      <c r="C140" s="7">
        <v>100</v>
      </c>
      <c r="D140" s="7" t="s">
        <v>2617</v>
      </c>
      <c r="E140" s="8" t="s">
        <v>2618</v>
      </c>
    </row>
    <row r="141" spans="1:5" x14ac:dyDescent="0.3">
      <c r="A141" s="7" t="s">
        <v>528</v>
      </c>
      <c r="B141" s="7" t="s">
        <v>2382</v>
      </c>
      <c r="C141" s="7">
        <v>100</v>
      </c>
      <c r="D141" s="7" t="s">
        <v>2619</v>
      </c>
      <c r="E141" s="8" t="s">
        <v>2620</v>
      </c>
    </row>
    <row r="142" spans="1:5" x14ac:dyDescent="0.3">
      <c r="A142" s="7" t="s">
        <v>534</v>
      </c>
      <c r="B142" s="7" t="s">
        <v>2374</v>
      </c>
      <c r="C142" s="7">
        <v>25</v>
      </c>
      <c r="D142" s="7" t="s">
        <v>2621</v>
      </c>
      <c r="E142" s="8" t="s">
        <v>2622</v>
      </c>
    </row>
    <row r="143" spans="1:5" x14ac:dyDescent="0.3">
      <c r="A143" s="7" t="s">
        <v>540</v>
      </c>
      <c r="B143" s="7" t="s">
        <v>2374</v>
      </c>
      <c r="C143" s="7">
        <v>25</v>
      </c>
      <c r="D143" s="7" t="s">
        <v>2623</v>
      </c>
      <c r="E143" s="8" t="s">
        <v>2624</v>
      </c>
    </row>
    <row r="144" spans="1:5" x14ac:dyDescent="0.3">
      <c r="A144" s="7" t="s">
        <v>546</v>
      </c>
      <c r="B144" s="7" t="s">
        <v>2374</v>
      </c>
      <c r="C144" s="7">
        <v>45</v>
      </c>
      <c r="D144" s="7" t="s">
        <v>2625</v>
      </c>
      <c r="E144" s="8" t="s">
        <v>2626</v>
      </c>
    </row>
    <row r="145" spans="1:5" x14ac:dyDescent="0.3">
      <c r="A145" s="7" t="s">
        <v>546</v>
      </c>
      <c r="B145" s="7" t="s">
        <v>2410</v>
      </c>
      <c r="C145" s="7">
        <v>80</v>
      </c>
      <c r="D145" s="7" t="s">
        <v>2627</v>
      </c>
      <c r="E145" s="8" t="s">
        <v>2501</v>
      </c>
    </row>
    <row r="146" spans="1:5" x14ac:dyDescent="0.3">
      <c r="A146" s="7" t="s">
        <v>546</v>
      </c>
      <c r="B146" s="7" t="s">
        <v>2382</v>
      </c>
      <c r="C146" s="7">
        <v>45</v>
      </c>
      <c r="D146" s="7" t="s">
        <v>2625</v>
      </c>
      <c r="E146" s="8" t="s">
        <v>3905</v>
      </c>
    </row>
    <row r="147" spans="1:5" x14ac:dyDescent="0.3">
      <c r="A147" s="7" t="s">
        <v>552</v>
      </c>
      <c r="B147" s="7" t="s">
        <v>2374</v>
      </c>
      <c r="C147" s="7">
        <v>30</v>
      </c>
      <c r="D147" s="7" t="s">
        <v>2628</v>
      </c>
      <c r="E147" s="8" t="s">
        <v>2629</v>
      </c>
    </row>
    <row r="148" spans="1:5" x14ac:dyDescent="0.3">
      <c r="A148" s="7" t="s">
        <v>552</v>
      </c>
      <c r="B148" s="7" t="s">
        <v>2382</v>
      </c>
      <c r="C148" s="7">
        <v>100</v>
      </c>
      <c r="D148" s="7" t="s">
        <v>2630</v>
      </c>
      <c r="E148" s="8" t="s">
        <v>2631</v>
      </c>
    </row>
    <row r="149" spans="1:5" x14ac:dyDescent="0.3">
      <c r="A149" s="7" t="s">
        <v>552</v>
      </c>
      <c r="B149" s="7" t="s">
        <v>2404</v>
      </c>
      <c r="C149" s="7">
        <v>100</v>
      </c>
      <c r="D149" s="7" t="s">
        <v>2630</v>
      </c>
      <c r="E149" s="8" t="s">
        <v>2631</v>
      </c>
    </row>
    <row r="150" spans="1:5" x14ac:dyDescent="0.3">
      <c r="A150" s="7" t="s">
        <v>558</v>
      </c>
      <c r="B150" s="7" t="s">
        <v>2410</v>
      </c>
      <c r="C150" s="7">
        <v>80</v>
      </c>
      <c r="D150" s="7" t="s">
        <v>2632</v>
      </c>
      <c r="E150" s="8" t="s">
        <v>2633</v>
      </c>
    </row>
    <row r="151" spans="1:5" x14ac:dyDescent="0.3">
      <c r="A151" s="7" t="s">
        <v>558</v>
      </c>
      <c r="B151" s="7" t="s">
        <v>2374</v>
      </c>
      <c r="C151" s="7">
        <v>88</v>
      </c>
      <c r="D151" s="7" t="s">
        <v>2634</v>
      </c>
      <c r="E151" s="8" t="s">
        <v>2635</v>
      </c>
    </row>
    <row r="152" spans="1:5" x14ac:dyDescent="0.3">
      <c r="A152" s="7" t="s">
        <v>558</v>
      </c>
      <c r="B152" s="7" t="s">
        <v>2385</v>
      </c>
      <c r="C152" s="7">
        <v>30</v>
      </c>
      <c r="D152" s="7" t="s">
        <v>2636</v>
      </c>
      <c r="E152" s="8" t="s">
        <v>2637</v>
      </c>
    </row>
    <row r="153" spans="1:5" x14ac:dyDescent="0.3">
      <c r="A153" s="7" t="s">
        <v>563</v>
      </c>
      <c r="B153" s="7" t="s">
        <v>2374</v>
      </c>
      <c r="C153" s="7">
        <v>26</v>
      </c>
      <c r="D153" s="7" t="s">
        <v>2638</v>
      </c>
      <c r="E153" s="8" t="s">
        <v>2639</v>
      </c>
    </row>
    <row r="154" spans="1:5" x14ac:dyDescent="0.3">
      <c r="A154" s="7" t="s">
        <v>569</v>
      </c>
      <c r="B154" s="7" t="s">
        <v>2374</v>
      </c>
      <c r="C154" s="7">
        <v>36</v>
      </c>
      <c r="D154" s="7" t="s">
        <v>2640</v>
      </c>
      <c r="E154" s="8" t="s">
        <v>2641</v>
      </c>
    </row>
    <row r="155" spans="1:5" x14ac:dyDescent="0.3">
      <c r="A155" s="7" t="s">
        <v>569</v>
      </c>
      <c r="B155" s="7" t="s">
        <v>2410</v>
      </c>
      <c r="C155" s="7">
        <v>0</v>
      </c>
      <c r="D155" s="7" t="s">
        <v>2642</v>
      </c>
      <c r="E155" s="8" t="s">
        <v>2643</v>
      </c>
    </row>
    <row r="156" spans="1:5" x14ac:dyDescent="0.3">
      <c r="A156" s="7" t="s">
        <v>569</v>
      </c>
      <c r="B156" s="7" t="s">
        <v>2432</v>
      </c>
      <c r="C156" s="7">
        <v>100</v>
      </c>
      <c r="D156" s="7" t="s">
        <v>2644</v>
      </c>
      <c r="E156" s="8" t="s">
        <v>2645</v>
      </c>
    </row>
    <row r="157" spans="1:5" x14ac:dyDescent="0.3">
      <c r="A157" s="7" t="s">
        <v>575</v>
      </c>
      <c r="B157" s="7" t="s">
        <v>2374</v>
      </c>
      <c r="C157" s="7">
        <v>70</v>
      </c>
      <c r="D157" s="7" t="s">
        <v>2646</v>
      </c>
      <c r="E157" s="8" t="s">
        <v>2647</v>
      </c>
    </row>
    <row r="158" spans="1:5" x14ac:dyDescent="0.3">
      <c r="A158" s="7" t="s">
        <v>581</v>
      </c>
      <c r="B158" s="7" t="s">
        <v>2410</v>
      </c>
      <c r="C158" s="7">
        <v>0</v>
      </c>
      <c r="D158" s="7" t="s">
        <v>2648</v>
      </c>
      <c r="E158" s="8" t="s">
        <v>2649</v>
      </c>
    </row>
    <row r="159" spans="1:5" x14ac:dyDescent="0.3">
      <c r="A159" s="7" t="s">
        <v>587</v>
      </c>
      <c r="B159" s="7" t="s">
        <v>2374</v>
      </c>
      <c r="C159" s="7">
        <v>27.5</v>
      </c>
      <c r="D159" s="7" t="s">
        <v>2650</v>
      </c>
      <c r="E159" s="8" t="s">
        <v>2651</v>
      </c>
    </row>
    <row r="160" spans="1:5" x14ac:dyDescent="0.3">
      <c r="A160" s="7" t="s">
        <v>587</v>
      </c>
      <c r="B160" s="7" t="s">
        <v>2371</v>
      </c>
      <c r="C160" s="7">
        <v>24.75</v>
      </c>
      <c r="D160" s="7" t="s">
        <v>2652</v>
      </c>
      <c r="E160" s="8" t="s">
        <v>2653</v>
      </c>
    </row>
    <row r="161" spans="1:5" x14ac:dyDescent="0.3">
      <c r="A161" s="7" t="s">
        <v>587</v>
      </c>
      <c r="B161" s="7" t="s">
        <v>2382</v>
      </c>
      <c r="C161" s="7">
        <v>100</v>
      </c>
      <c r="D161" s="7" t="s">
        <v>2654</v>
      </c>
      <c r="E161" s="8" t="s">
        <v>2655</v>
      </c>
    </row>
    <row r="162" spans="1:5" x14ac:dyDescent="0.3">
      <c r="A162" s="7" t="s">
        <v>593</v>
      </c>
      <c r="B162" s="7" t="s">
        <v>2374</v>
      </c>
      <c r="C162" s="7">
        <v>92</v>
      </c>
      <c r="D162" s="7" t="s">
        <v>2656</v>
      </c>
      <c r="E162" s="8" t="s">
        <v>2657</v>
      </c>
    </row>
    <row r="163" spans="1:5" x14ac:dyDescent="0.3">
      <c r="A163" s="7" t="s">
        <v>599</v>
      </c>
      <c r="B163" s="7" t="s">
        <v>2374</v>
      </c>
      <c r="C163" s="7">
        <v>1</v>
      </c>
      <c r="D163" s="7" t="s">
        <v>2658</v>
      </c>
      <c r="E163" s="8" t="s">
        <v>2659</v>
      </c>
    </row>
    <row r="164" spans="1:5" x14ac:dyDescent="0.3">
      <c r="A164" s="7" t="s">
        <v>605</v>
      </c>
      <c r="B164" s="7" t="s">
        <v>2374</v>
      </c>
      <c r="C164" s="7">
        <v>100</v>
      </c>
      <c r="D164" s="28" t="s">
        <v>2660</v>
      </c>
      <c r="E164" s="8" t="s">
        <v>2661</v>
      </c>
    </row>
    <row r="165" spans="1:5" x14ac:dyDescent="0.3">
      <c r="A165" s="7" t="s">
        <v>611</v>
      </c>
      <c r="B165" s="7" t="s">
        <v>2374</v>
      </c>
      <c r="C165" s="7">
        <v>80</v>
      </c>
      <c r="D165" s="7" t="s">
        <v>2662</v>
      </c>
      <c r="E165" s="8" t="s">
        <v>2663</v>
      </c>
    </row>
    <row r="166" spans="1:5" x14ac:dyDescent="0.3">
      <c r="A166" s="7" t="s">
        <v>611</v>
      </c>
      <c r="B166" s="7" t="s">
        <v>2382</v>
      </c>
      <c r="C166" s="7">
        <v>80</v>
      </c>
      <c r="D166" s="7" t="s">
        <v>2662</v>
      </c>
      <c r="E166" s="8" t="s">
        <v>2663</v>
      </c>
    </row>
    <row r="167" spans="1:5" x14ac:dyDescent="0.3">
      <c r="A167" s="7" t="s">
        <v>617</v>
      </c>
      <c r="B167" s="7" t="s">
        <v>2382</v>
      </c>
      <c r="C167" s="7">
        <v>30</v>
      </c>
      <c r="D167" s="7" t="s">
        <v>2664</v>
      </c>
      <c r="E167" s="8" t="s">
        <v>2665</v>
      </c>
    </row>
    <row r="168" spans="1:5" x14ac:dyDescent="0.3">
      <c r="A168" s="7" t="s">
        <v>617</v>
      </c>
      <c r="B168" s="7" t="s">
        <v>2374</v>
      </c>
      <c r="C168" s="7">
        <v>30</v>
      </c>
      <c r="D168" s="7" t="s">
        <v>2664</v>
      </c>
      <c r="E168" s="8" t="s">
        <v>2665</v>
      </c>
    </row>
    <row r="169" spans="1:5" x14ac:dyDescent="0.3">
      <c r="A169" s="7" t="s">
        <v>617</v>
      </c>
      <c r="B169" s="7" t="s">
        <v>2410</v>
      </c>
      <c r="C169" s="7">
        <v>0</v>
      </c>
      <c r="D169" s="7" t="s">
        <v>2666</v>
      </c>
      <c r="E169" s="8" t="s">
        <v>2667</v>
      </c>
    </row>
    <row r="170" spans="1:5" x14ac:dyDescent="0.3">
      <c r="A170" s="7" t="s">
        <v>623</v>
      </c>
      <c r="B170" s="7" t="s">
        <v>2374</v>
      </c>
      <c r="C170" s="7">
        <v>14</v>
      </c>
      <c r="D170" s="7" t="s">
        <v>2668</v>
      </c>
      <c r="E170" s="8" t="s">
        <v>2669</v>
      </c>
    </row>
    <row r="171" spans="1:5" x14ac:dyDescent="0.3">
      <c r="A171" s="7" t="s">
        <v>629</v>
      </c>
      <c r="B171" s="7" t="s">
        <v>2407</v>
      </c>
      <c r="C171" s="7">
        <v>100</v>
      </c>
      <c r="D171" s="7" t="s">
        <v>2670</v>
      </c>
      <c r="E171" s="8" t="s">
        <v>2671</v>
      </c>
    </row>
    <row r="172" spans="1:5" x14ac:dyDescent="0.3">
      <c r="A172" s="7" t="s">
        <v>629</v>
      </c>
      <c r="B172" s="7" t="s">
        <v>2410</v>
      </c>
      <c r="C172" s="7">
        <v>80</v>
      </c>
      <c r="D172" s="7" t="s">
        <v>2672</v>
      </c>
      <c r="E172" s="8" t="s">
        <v>2673</v>
      </c>
    </row>
    <row r="173" spans="1:5" x14ac:dyDescent="0.3">
      <c r="A173" s="7" t="s">
        <v>629</v>
      </c>
      <c r="B173" s="7" t="s">
        <v>2382</v>
      </c>
      <c r="C173" s="7">
        <v>92</v>
      </c>
      <c r="D173" s="7" t="s">
        <v>2674</v>
      </c>
      <c r="E173" s="8" t="s">
        <v>2675</v>
      </c>
    </row>
    <row r="174" spans="1:5" x14ac:dyDescent="0.3">
      <c r="A174" s="7" t="s">
        <v>635</v>
      </c>
      <c r="B174" s="7" t="s">
        <v>2374</v>
      </c>
      <c r="C174" s="7">
        <v>5</v>
      </c>
      <c r="D174" s="7" t="s">
        <v>2676</v>
      </c>
      <c r="E174" s="8" t="s">
        <v>2677</v>
      </c>
    </row>
    <row r="175" spans="1:5" x14ac:dyDescent="0.3">
      <c r="A175" s="7" t="s">
        <v>635</v>
      </c>
      <c r="B175" s="7" t="s">
        <v>2404</v>
      </c>
      <c r="C175" s="7">
        <v>5</v>
      </c>
      <c r="D175" s="7" t="s">
        <v>2676</v>
      </c>
      <c r="E175" s="8" t="s">
        <v>2678</v>
      </c>
    </row>
    <row r="176" spans="1:5" x14ac:dyDescent="0.3">
      <c r="A176" s="7" t="s">
        <v>641</v>
      </c>
      <c r="B176" s="7" t="s">
        <v>2407</v>
      </c>
      <c r="C176" s="7">
        <v>100</v>
      </c>
      <c r="D176" s="7" t="s">
        <v>2679</v>
      </c>
      <c r="E176" s="8" t="s">
        <v>3906</v>
      </c>
    </row>
    <row r="177" spans="1:5" x14ac:dyDescent="0.3">
      <c r="A177" s="7" t="s">
        <v>641</v>
      </c>
      <c r="B177" s="7" t="s">
        <v>2374</v>
      </c>
      <c r="C177" s="7">
        <v>44</v>
      </c>
      <c r="D177" s="7" t="s">
        <v>2680</v>
      </c>
      <c r="E177" s="8" t="s">
        <v>2681</v>
      </c>
    </row>
    <row r="178" spans="1:5" x14ac:dyDescent="0.3">
      <c r="A178" s="7" t="s">
        <v>647</v>
      </c>
      <c r="B178" s="7" t="s">
        <v>2505</v>
      </c>
      <c r="C178" s="7">
        <v>40</v>
      </c>
      <c r="D178" s="7" t="s">
        <v>2682</v>
      </c>
      <c r="E178" s="8" t="s">
        <v>2683</v>
      </c>
    </row>
    <row r="179" spans="1:5" x14ac:dyDescent="0.3">
      <c r="A179" s="7" t="s">
        <v>647</v>
      </c>
      <c r="B179" s="7" t="s">
        <v>2410</v>
      </c>
      <c r="C179" s="7">
        <v>80</v>
      </c>
      <c r="D179" s="7" t="s">
        <v>2684</v>
      </c>
      <c r="E179" s="8" t="s">
        <v>2673</v>
      </c>
    </row>
    <row r="180" spans="1:5" x14ac:dyDescent="0.3">
      <c r="A180" s="7" t="s">
        <v>653</v>
      </c>
      <c r="B180" s="7" t="s">
        <v>2371</v>
      </c>
      <c r="C180" s="7">
        <v>100</v>
      </c>
      <c r="D180" s="7" t="s">
        <v>2685</v>
      </c>
      <c r="E180" s="8" t="s">
        <v>2495</v>
      </c>
    </row>
    <row r="181" spans="1:5" x14ac:dyDescent="0.3">
      <c r="A181" s="7" t="s">
        <v>653</v>
      </c>
      <c r="B181" s="7" t="s">
        <v>2374</v>
      </c>
      <c r="C181" s="7">
        <v>100</v>
      </c>
      <c r="D181" s="7" t="s">
        <v>2685</v>
      </c>
      <c r="E181" s="8" t="s">
        <v>2495</v>
      </c>
    </row>
    <row r="182" spans="1:5" x14ac:dyDescent="0.3">
      <c r="A182" s="7" t="s">
        <v>653</v>
      </c>
      <c r="B182" s="7" t="s">
        <v>2382</v>
      </c>
      <c r="C182" s="7">
        <v>30</v>
      </c>
      <c r="D182" s="7" t="s">
        <v>2686</v>
      </c>
      <c r="E182" s="8" t="s">
        <v>3229</v>
      </c>
    </row>
    <row r="183" spans="1:5" x14ac:dyDescent="0.3">
      <c r="A183" s="7" t="s">
        <v>653</v>
      </c>
      <c r="B183" s="7" t="s">
        <v>2404</v>
      </c>
      <c r="C183" s="7">
        <v>30</v>
      </c>
      <c r="D183" s="7" t="s">
        <v>2686</v>
      </c>
      <c r="E183" s="8" t="s">
        <v>3229</v>
      </c>
    </row>
    <row r="184" spans="1:5" x14ac:dyDescent="0.3">
      <c r="A184" s="7" t="s">
        <v>659</v>
      </c>
      <c r="B184" s="7" t="s">
        <v>2374</v>
      </c>
      <c r="C184" s="7">
        <v>100</v>
      </c>
      <c r="D184" s="7" t="s">
        <v>2687</v>
      </c>
      <c r="E184" s="8" t="s">
        <v>2688</v>
      </c>
    </row>
    <row r="185" spans="1:5" x14ac:dyDescent="0.3">
      <c r="A185" s="7" t="s">
        <v>659</v>
      </c>
      <c r="B185" s="7" t="s">
        <v>2404</v>
      </c>
      <c r="C185" s="7">
        <v>100</v>
      </c>
      <c r="D185" s="7" t="s">
        <v>2689</v>
      </c>
      <c r="E185" s="8" t="s">
        <v>2688</v>
      </c>
    </row>
    <row r="186" spans="1:5" x14ac:dyDescent="0.3">
      <c r="A186" s="7" t="s">
        <v>665</v>
      </c>
      <c r="B186" s="7" t="s">
        <v>2410</v>
      </c>
      <c r="C186" s="7">
        <v>80</v>
      </c>
      <c r="D186" s="7" t="s">
        <v>2690</v>
      </c>
      <c r="E186" s="8" t="s">
        <v>2501</v>
      </c>
    </row>
    <row r="187" spans="1:5" x14ac:dyDescent="0.3">
      <c r="A187" s="7" t="s">
        <v>665</v>
      </c>
      <c r="B187" s="7" t="s">
        <v>2374</v>
      </c>
      <c r="C187" s="7">
        <v>66</v>
      </c>
      <c r="D187" s="7" t="s">
        <v>2691</v>
      </c>
      <c r="E187" s="8" t="s">
        <v>2692</v>
      </c>
    </row>
    <row r="188" spans="1:5" x14ac:dyDescent="0.3">
      <c r="A188" s="7" t="s">
        <v>665</v>
      </c>
      <c r="B188" s="7" t="s">
        <v>2382</v>
      </c>
      <c r="C188" s="7">
        <v>66</v>
      </c>
      <c r="D188" s="7" t="s">
        <v>2693</v>
      </c>
      <c r="E188" s="8" t="s">
        <v>2692</v>
      </c>
    </row>
    <row r="189" spans="1:5" x14ac:dyDescent="0.3">
      <c r="A189" s="7" t="s">
        <v>665</v>
      </c>
      <c r="B189" s="7" t="s">
        <v>2404</v>
      </c>
      <c r="C189" s="7">
        <v>66</v>
      </c>
      <c r="D189" s="7" t="s">
        <v>2693</v>
      </c>
      <c r="E189" s="8" t="s">
        <v>2692</v>
      </c>
    </row>
    <row r="190" spans="1:5" x14ac:dyDescent="0.3">
      <c r="A190" s="7" t="s">
        <v>665</v>
      </c>
      <c r="B190" s="7" t="s">
        <v>2694</v>
      </c>
      <c r="C190" s="7">
        <v>30</v>
      </c>
      <c r="D190" s="7" t="s">
        <v>2695</v>
      </c>
      <c r="E190" s="8" t="s">
        <v>2696</v>
      </c>
    </row>
    <row r="191" spans="1:5" x14ac:dyDescent="0.3">
      <c r="A191" s="7" t="s">
        <v>665</v>
      </c>
      <c r="B191" s="7" t="s">
        <v>2505</v>
      </c>
      <c r="C191" s="7">
        <v>66</v>
      </c>
      <c r="D191" s="7" t="s">
        <v>2697</v>
      </c>
      <c r="E191" s="8" t="s">
        <v>2692</v>
      </c>
    </row>
    <row r="192" spans="1:5" x14ac:dyDescent="0.3">
      <c r="A192" s="7" t="s">
        <v>671</v>
      </c>
      <c r="B192" s="7" t="s">
        <v>2410</v>
      </c>
      <c r="C192" s="7">
        <v>80</v>
      </c>
      <c r="D192" s="7" t="s">
        <v>2698</v>
      </c>
      <c r="E192" s="8" t="s">
        <v>2501</v>
      </c>
    </row>
    <row r="193" spans="1:5" x14ac:dyDescent="0.3">
      <c r="A193" s="7" t="s">
        <v>671</v>
      </c>
      <c r="B193" s="7" t="s">
        <v>2374</v>
      </c>
      <c r="C193" s="7">
        <v>60</v>
      </c>
      <c r="D193" s="7" t="s">
        <v>2699</v>
      </c>
      <c r="E193" s="8" t="s">
        <v>2700</v>
      </c>
    </row>
    <row r="194" spans="1:5" x14ac:dyDescent="0.3">
      <c r="A194" s="7" t="s">
        <v>677</v>
      </c>
      <c r="B194" s="7" t="s">
        <v>2374</v>
      </c>
      <c r="C194" s="7">
        <v>30</v>
      </c>
      <c r="D194" s="7" t="s">
        <v>2701</v>
      </c>
      <c r="E194" s="8" t="s">
        <v>2702</v>
      </c>
    </row>
    <row r="195" spans="1:5" x14ac:dyDescent="0.3">
      <c r="A195" s="7" t="s">
        <v>683</v>
      </c>
      <c r="B195" s="7" t="s">
        <v>2374</v>
      </c>
      <c r="C195" s="7">
        <v>1</v>
      </c>
      <c r="D195" s="7" t="s">
        <v>2703</v>
      </c>
      <c r="E195" s="8" t="s">
        <v>2704</v>
      </c>
    </row>
    <row r="196" spans="1:5" x14ac:dyDescent="0.3">
      <c r="A196" s="7" t="s">
        <v>683</v>
      </c>
      <c r="B196" s="7" t="s">
        <v>2382</v>
      </c>
      <c r="C196" s="7">
        <v>30</v>
      </c>
      <c r="D196" s="7" t="s">
        <v>2705</v>
      </c>
      <c r="E196" s="8" t="s">
        <v>2706</v>
      </c>
    </row>
    <row r="197" spans="1:5" x14ac:dyDescent="0.3">
      <c r="A197" s="7" t="s">
        <v>689</v>
      </c>
      <c r="B197" s="7" t="s">
        <v>2374</v>
      </c>
      <c r="C197" s="7">
        <v>5</v>
      </c>
      <c r="D197" s="7" t="s">
        <v>2707</v>
      </c>
      <c r="E197" s="8" t="s">
        <v>2426</v>
      </c>
    </row>
    <row r="198" spans="1:5" x14ac:dyDescent="0.3">
      <c r="A198" s="7" t="s">
        <v>689</v>
      </c>
      <c r="B198" s="7" t="s">
        <v>2382</v>
      </c>
      <c r="C198" s="7">
        <v>10</v>
      </c>
      <c r="D198" s="7" t="s">
        <v>2707</v>
      </c>
      <c r="E198" s="8" t="s">
        <v>3907</v>
      </c>
    </row>
    <row r="199" spans="1:5" x14ac:dyDescent="0.3">
      <c r="A199" s="7" t="s">
        <v>695</v>
      </c>
      <c r="B199" s="7" t="s">
        <v>2374</v>
      </c>
      <c r="C199" s="7">
        <v>64</v>
      </c>
      <c r="D199" s="7" t="s">
        <v>2708</v>
      </c>
      <c r="E199" s="8" t="s">
        <v>2709</v>
      </c>
    </row>
    <row r="200" spans="1:5" x14ac:dyDescent="0.3">
      <c r="A200" s="7" t="s">
        <v>701</v>
      </c>
      <c r="B200" s="7" t="s">
        <v>2374</v>
      </c>
      <c r="C200" s="7">
        <v>89</v>
      </c>
      <c r="D200" s="7" t="s">
        <v>2710</v>
      </c>
      <c r="E200" s="8" t="s">
        <v>2711</v>
      </c>
    </row>
    <row r="201" spans="1:5" x14ac:dyDescent="0.3">
      <c r="A201" s="7" t="s">
        <v>707</v>
      </c>
      <c r="B201" s="7" t="s">
        <v>2374</v>
      </c>
      <c r="C201" s="7">
        <v>0.1</v>
      </c>
      <c r="D201" s="7" t="s">
        <v>2712</v>
      </c>
      <c r="E201" s="8" t="s">
        <v>2713</v>
      </c>
    </row>
    <row r="202" spans="1:5" x14ac:dyDescent="0.3">
      <c r="A202" s="7" t="s">
        <v>713</v>
      </c>
      <c r="B202" s="7" t="s">
        <v>2374</v>
      </c>
      <c r="C202" s="7">
        <v>45</v>
      </c>
      <c r="D202" s="7" t="s">
        <v>2714</v>
      </c>
      <c r="E202" s="8" t="s">
        <v>2715</v>
      </c>
    </row>
    <row r="203" spans="1:5" x14ac:dyDescent="0.3">
      <c r="A203" s="7" t="s">
        <v>718</v>
      </c>
      <c r="B203" s="7" t="s">
        <v>2374</v>
      </c>
      <c r="C203" s="7">
        <v>47.6</v>
      </c>
      <c r="D203" s="7" t="s">
        <v>2716</v>
      </c>
      <c r="E203" s="8" t="s">
        <v>2717</v>
      </c>
    </row>
    <row r="204" spans="1:5" x14ac:dyDescent="0.3">
      <c r="A204" s="7" t="s">
        <v>719</v>
      </c>
      <c r="B204" s="7" t="s">
        <v>2374</v>
      </c>
      <c r="C204" s="7">
        <v>100</v>
      </c>
      <c r="D204" s="7" t="s">
        <v>2718</v>
      </c>
      <c r="E204" s="8" t="s">
        <v>2719</v>
      </c>
    </row>
    <row r="205" spans="1:5" x14ac:dyDescent="0.3">
      <c r="A205" s="7" t="s">
        <v>725</v>
      </c>
      <c r="B205" s="7" t="s">
        <v>2374</v>
      </c>
      <c r="C205" s="7">
        <v>97.49</v>
      </c>
      <c r="D205" s="7" t="s">
        <v>2720</v>
      </c>
      <c r="E205" s="8" t="s">
        <v>2721</v>
      </c>
    </row>
    <row r="206" spans="1:5" x14ac:dyDescent="0.3">
      <c r="A206" s="7" t="s">
        <v>731</v>
      </c>
      <c r="B206" s="7" t="s">
        <v>2382</v>
      </c>
      <c r="C206" s="7">
        <v>22</v>
      </c>
      <c r="D206" s="7" t="s">
        <v>2722</v>
      </c>
      <c r="E206" s="8" t="s">
        <v>2723</v>
      </c>
    </row>
    <row r="207" spans="1:5" x14ac:dyDescent="0.3">
      <c r="A207" s="7" t="s">
        <v>731</v>
      </c>
      <c r="B207" s="7" t="s">
        <v>2404</v>
      </c>
      <c r="C207" s="7">
        <v>22</v>
      </c>
      <c r="D207" s="7" t="s">
        <v>2724</v>
      </c>
      <c r="E207" s="8" t="s">
        <v>2723</v>
      </c>
    </row>
    <row r="208" spans="1:5" x14ac:dyDescent="0.3">
      <c r="A208" s="7" t="s">
        <v>731</v>
      </c>
      <c r="B208" s="7" t="s">
        <v>2725</v>
      </c>
      <c r="C208" s="7">
        <v>22</v>
      </c>
      <c r="D208" s="7" t="s">
        <v>2722</v>
      </c>
      <c r="E208" s="8" t="s">
        <v>2726</v>
      </c>
    </row>
    <row r="209" spans="1:5" x14ac:dyDescent="0.3">
      <c r="A209" s="7" t="s">
        <v>731</v>
      </c>
      <c r="B209" s="7" t="s">
        <v>2727</v>
      </c>
      <c r="C209" s="7">
        <v>22</v>
      </c>
      <c r="D209" s="7" t="s">
        <v>2722</v>
      </c>
      <c r="E209" s="8" t="s">
        <v>2728</v>
      </c>
    </row>
    <row r="210" spans="1:5" x14ac:dyDescent="0.3">
      <c r="A210" s="7" t="s">
        <v>731</v>
      </c>
      <c r="B210" s="7" t="s">
        <v>2374</v>
      </c>
      <c r="C210" s="7">
        <v>20</v>
      </c>
      <c r="D210" s="7" t="s">
        <v>2729</v>
      </c>
      <c r="E210" s="8" t="s">
        <v>2730</v>
      </c>
    </row>
    <row r="211" spans="1:5" x14ac:dyDescent="0.3">
      <c r="A211" s="7" t="s">
        <v>737</v>
      </c>
      <c r="B211" s="7" t="s">
        <v>2374</v>
      </c>
      <c r="C211" s="7">
        <v>41</v>
      </c>
      <c r="D211" s="7" t="s">
        <v>2731</v>
      </c>
      <c r="E211" s="8" t="s">
        <v>2732</v>
      </c>
    </row>
    <row r="212" spans="1:5" x14ac:dyDescent="0.3">
      <c r="A212" s="7" t="s">
        <v>743</v>
      </c>
      <c r="B212" s="7" t="s">
        <v>2374</v>
      </c>
      <c r="C212" s="7">
        <v>21</v>
      </c>
      <c r="D212" s="7" t="s">
        <v>2733</v>
      </c>
      <c r="E212" s="8" t="s">
        <v>2734</v>
      </c>
    </row>
    <row r="213" spans="1:5" x14ac:dyDescent="0.3">
      <c r="A213" s="7" t="s">
        <v>749</v>
      </c>
      <c r="B213" s="7" t="s">
        <v>2374</v>
      </c>
      <c r="C213" s="7">
        <v>87.9</v>
      </c>
      <c r="D213" s="7" t="s">
        <v>2735</v>
      </c>
      <c r="E213" s="8" t="s">
        <v>2736</v>
      </c>
    </row>
    <row r="214" spans="1:5" x14ac:dyDescent="0.3">
      <c r="A214" s="7" t="s">
        <v>749</v>
      </c>
      <c r="B214" s="7" t="s">
        <v>2404</v>
      </c>
      <c r="C214" s="7">
        <v>87.9</v>
      </c>
      <c r="D214" s="7" t="s">
        <v>2735</v>
      </c>
      <c r="E214" s="8" t="s">
        <v>2736</v>
      </c>
    </row>
    <row r="215" spans="1:5" x14ac:dyDescent="0.3">
      <c r="A215" s="7" t="s">
        <v>755</v>
      </c>
      <c r="B215" s="7" t="s">
        <v>2374</v>
      </c>
      <c r="C215" s="7">
        <v>1</v>
      </c>
      <c r="D215" s="7" t="s">
        <v>2737</v>
      </c>
      <c r="E215" s="8" t="s">
        <v>2738</v>
      </c>
    </row>
    <row r="216" spans="1:5" x14ac:dyDescent="0.3">
      <c r="A216" s="7" t="s">
        <v>761</v>
      </c>
      <c r="B216" s="7" t="s">
        <v>2374</v>
      </c>
      <c r="C216" s="7">
        <v>100</v>
      </c>
      <c r="D216" s="7" t="s">
        <v>2739</v>
      </c>
      <c r="E216" s="8" t="s">
        <v>2740</v>
      </c>
    </row>
    <row r="217" spans="1:5" x14ac:dyDescent="0.3">
      <c r="A217" s="7" t="s">
        <v>767</v>
      </c>
      <c r="B217" s="7" t="s">
        <v>2374</v>
      </c>
      <c r="C217" s="7">
        <v>59</v>
      </c>
      <c r="D217" s="7" t="s">
        <v>2741</v>
      </c>
      <c r="E217" s="8" t="s">
        <v>2742</v>
      </c>
    </row>
    <row r="218" spans="1:5" x14ac:dyDescent="0.3">
      <c r="A218" s="7" t="s">
        <v>773</v>
      </c>
      <c r="B218" s="7" t="s">
        <v>2374</v>
      </c>
      <c r="C218" s="7">
        <v>30</v>
      </c>
      <c r="D218" s="7" t="s">
        <v>2743</v>
      </c>
      <c r="E218" s="8" t="s">
        <v>2744</v>
      </c>
    </row>
    <row r="219" spans="1:5" x14ac:dyDescent="0.3">
      <c r="A219" s="7" t="s">
        <v>779</v>
      </c>
      <c r="B219" s="7" t="s">
        <v>2374</v>
      </c>
      <c r="C219" s="7">
        <v>3</v>
      </c>
      <c r="D219" s="7" t="s">
        <v>2745</v>
      </c>
      <c r="E219" s="8" t="s">
        <v>2746</v>
      </c>
    </row>
    <row r="220" spans="1:5" x14ac:dyDescent="0.3">
      <c r="A220" s="7" t="s">
        <v>785</v>
      </c>
      <c r="B220" s="7" t="s">
        <v>2374</v>
      </c>
      <c r="C220" s="7">
        <v>3</v>
      </c>
      <c r="D220" s="7" t="s">
        <v>2747</v>
      </c>
      <c r="E220" s="8" t="s">
        <v>2553</v>
      </c>
    </row>
    <row r="221" spans="1:5" x14ac:dyDescent="0.3">
      <c r="A221" s="7" t="s">
        <v>790</v>
      </c>
      <c r="B221" s="7" t="s">
        <v>2374</v>
      </c>
      <c r="C221" s="7">
        <v>10</v>
      </c>
      <c r="D221" s="7" t="s">
        <v>2748</v>
      </c>
      <c r="E221" s="8" t="s">
        <v>2749</v>
      </c>
    </row>
    <row r="222" spans="1:5" x14ac:dyDescent="0.3">
      <c r="A222" s="7" t="s">
        <v>796</v>
      </c>
      <c r="B222" s="7" t="s">
        <v>2374</v>
      </c>
      <c r="C222" s="7">
        <v>18</v>
      </c>
      <c r="D222" s="7" t="s">
        <v>2750</v>
      </c>
      <c r="E222" s="8" t="s">
        <v>2751</v>
      </c>
    </row>
    <row r="223" spans="1:5" x14ac:dyDescent="0.3">
      <c r="A223" s="7" t="s">
        <v>796</v>
      </c>
      <c r="B223" s="7" t="s">
        <v>2382</v>
      </c>
      <c r="C223" s="7">
        <v>18</v>
      </c>
      <c r="D223" s="7" t="s">
        <v>2752</v>
      </c>
      <c r="E223" s="8" t="s">
        <v>2751</v>
      </c>
    </row>
    <row r="224" spans="1:5" x14ac:dyDescent="0.3">
      <c r="A224" s="7" t="s">
        <v>802</v>
      </c>
      <c r="B224" s="7" t="s">
        <v>2374</v>
      </c>
      <c r="C224" s="7">
        <v>100</v>
      </c>
      <c r="D224" s="7" t="s">
        <v>2753</v>
      </c>
      <c r="E224" s="8" t="s">
        <v>2688</v>
      </c>
    </row>
    <row r="225" spans="1:5" x14ac:dyDescent="0.3">
      <c r="A225" s="7" t="s">
        <v>808</v>
      </c>
      <c r="B225" s="7" t="s">
        <v>2374</v>
      </c>
      <c r="C225" s="7">
        <v>35</v>
      </c>
      <c r="D225" s="7" t="s">
        <v>2754</v>
      </c>
      <c r="E225" s="8" t="s">
        <v>2755</v>
      </c>
    </row>
    <row r="226" spans="1:5" x14ac:dyDescent="0.3">
      <c r="A226" s="7" t="s">
        <v>814</v>
      </c>
      <c r="B226" s="7" t="s">
        <v>2374</v>
      </c>
      <c r="C226" s="7">
        <v>2</v>
      </c>
      <c r="D226" s="7" t="s">
        <v>2756</v>
      </c>
      <c r="E226" s="8" t="s">
        <v>2757</v>
      </c>
    </row>
    <row r="227" spans="1:5" x14ac:dyDescent="0.3">
      <c r="A227" s="7" t="s">
        <v>814</v>
      </c>
      <c r="B227" s="7" t="s">
        <v>2404</v>
      </c>
      <c r="C227" s="7">
        <v>30</v>
      </c>
      <c r="D227" s="7" t="s">
        <v>2758</v>
      </c>
      <c r="E227" s="8" t="s">
        <v>2759</v>
      </c>
    </row>
    <row r="228" spans="1:5" x14ac:dyDescent="0.3">
      <c r="A228" s="7" t="s">
        <v>820</v>
      </c>
      <c r="B228" s="7" t="s">
        <v>2374</v>
      </c>
      <c r="C228" s="7">
        <v>2.2999999999999998</v>
      </c>
      <c r="D228" s="7" t="s">
        <v>2760</v>
      </c>
      <c r="E228" s="8" t="s">
        <v>2761</v>
      </c>
    </row>
    <row r="229" spans="1:5" x14ac:dyDescent="0.3">
      <c r="A229" s="7" t="s">
        <v>826</v>
      </c>
      <c r="B229" s="7" t="s">
        <v>2374</v>
      </c>
      <c r="C229" s="7">
        <v>30</v>
      </c>
      <c r="D229" s="7" t="s">
        <v>2762</v>
      </c>
      <c r="E229" s="8" t="s">
        <v>2763</v>
      </c>
    </row>
    <row r="230" spans="1:5" x14ac:dyDescent="0.3">
      <c r="A230" s="7" t="s">
        <v>826</v>
      </c>
      <c r="B230" s="7" t="s">
        <v>2382</v>
      </c>
      <c r="C230" s="7">
        <v>70</v>
      </c>
      <c r="D230" s="7" t="s">
        <v>2764</v>
      </c>
      <c r="E230" s="8" t="s">
        <v>2765</v>
      </c>
    </row>
    <row r="231" spans="1:5" ht="31.2" x14ac:dyDescent="0.3">
      <c r="A231" s="7" t="s">
        <v>832</v>
      </c>
      <c r="B231" s="7" t="s">
        <v>2766</v>
      </c>
      <c r="C231" s="7">
        <v>70</v>
      </c>
      <c r="D231" s="7" t="s">
        <v>2767</v>
      </c>
      <c r="E231" s="8" t="s">
        <v>2768</v>
      </c>
    </row>
    <row r="232" spans="1:5" x14ac:dyDescent="0.3">
      <c r="A232" s="7" t="s">
        <v>832</v>
      </c>
      <c r="B232" s="7" t="s">
        <v>2374</v>
      </c>
      <c r="C232" s="7">
        <v>100</v>
      </c>
      <c r="D232" s="7" t="s">
        <v>2769</v>
      </c>
      <c r="E232" s="8" t="s">
        <v>2770</v>
      </c>
    </row>
    <row r="233" spans="1:5" x14ac:dyDescent="0.3">
      <c r="A233" s="7" t="s">
        <v>838</v>
      </c>
      <c r="B233" s="7" t="s">
        <v>2374</v>
      </c>
      <c r="C233" s="7">
        <v>1</v>
      </c>
      <c r="D233" s="7" t="s">
        <v>2771</v>
      </c>
      <c r="E233" s="8" t="s">
        <v>2772</v>
      </c>
    </row>
    <row r="234" spans="1:5" x14ac:dyDescent="0.3">
      <c r="A234" s="7" t="s">
        <v>838</v>
      </c>
      <c r="B234" s="7" t="s">
        <v>2382</v>
      </c>
      <c r="C234" s="7">
        <v>1</v>
      </c>
      <c r="D234" s="7" t="s">
        <v>2773</v>
      </c>
      <c r="E234" s="8" t="s">
        <v>3908</v>
      </c>
    </row>
    <row r="235" spans="1:5" x14ac:dyDescent="0.3">
      <c r="A235" s="7" t="s">
        <v>844</v>
      </c>
      <c r="B235" s="7" t="s">
        <v>2432</v>
      </c>
      <c r="C235" s="7">
        <v>100</v>
      </c>
      <c r="D235" s="7" t="s">
        <v>2774</v>
      </c>
      <c r="E235" s="8" t="s">
        <v>2434</v>
      </c>
    </row>
    <row r="236" spans="1:5" x14ac:dyDescent="0.3">
      <c r="A236" s="7" t="s">
        <v>844</v>
      </c>
      <c r="B236" s="7" t="s">
        <v>2374</v>
      </c>
      <c r="C236" s="7">
        <v>14</v>
      </c>
      <c r="D236" s="7" t="s">
        <v>2775</v>
      </c>
      <c r="E236" s="8" t="s">
        <v>2776</v>
      </c>
    </row>
    <row r="237" spans="1:5" x14ac:dyDescent="0.3">
      <c r="A237" s="7" t="s">
        <v>844</v>
      </c>
      <c r="B237" s="7" t="s">
        <v>2410</v>
      </c>
      <c r="C237" s="7">
        <v>80</v>
      </c>
      <c r="D237" s="7" t="s">
        <v>2777</v>
      </c>
      <c r="E237" s="8" t="s">
        <v>2501</v>
      </c>
    </row>
    <row r="238" spans="1:5" x14ac:dyDescent="0.3">
      <c r="A238" s="7" t="s">
        <v>844</v>
      </c>
      <c r="B238" s="7" t="s">
        <v>2385</v>
      </c>
      <c r="C238" s="7">
        <v>30</v>
      </c>
      <c r="D238" s="7" t="s">
        <v>2778</v>
      </c>
      <c r="E238" s="8" t="s">
        <v>2779</v>
      </c>
    </row>
    <row r="239" spans="1:5" x14ac:dyDescent="0.3">
      <c r="A239" s="7" t="s">
        <v>844</v>
      </c>
      <c r="B239" s="7" t="s">
        <v>2371</v>
      </c>
      <c r="C239" s="7">
        <v>100</v>
      </c>
      <c r="D239" s="7" t="s">
        <v>2780</v>
      </c>
      <c r="E239" s="8" t="s">
        <v>2781</v>
      </c>
    </row>
    <row r="240" spans="1:5" x14ac:dyDescent="0.3">
      <c r="A240" s="7" t="s">
        <v>844</v>
      </c>
      <c r="B240" s="7" t="s">
        <v>2382</v>
      </c>
      <c r="C240" s="7">
        <v>100</v>
      </c>
      <c r="D240" s="7" t="s">
        <v>2782</v>
      </c>
      <c r="E240" s="8" t="s">
        <v>2688</v>
      </c>
    </row>
    <row r="241" spans="1:5" x14ac:dyDescent="0.3">
      <c r="A241" s="7" t="s">
        <v>844</v>
      </c>
      <c r="B241" s="7" t="s">
        <v>2404</v>
      </c>
      <c r="C241" s="7">
        <v>100</v>
      </c>
      <c r="D241" s="7" t="s">
        <v>2782</v>
      </c>
      <c r="E241" s="8" t="s">
        <v>2688</v>
      </c>
    </row>
    <row r="242" spans="1:5" x14ac:dyDescent="0.3">
      <c r="A242" s="7" t="s">
        <v>850</v>
      </c>
      <c r="B242" s="7" t="s">
        <v>2374</v>
      </c>
      <c r="C242" s="7">
        <v>40</v>
      </c>
      <c r="D242" s="7" t="s">
        <v>2783</v>
      </c>
      <c r="E242" s="8" t="s">
        <v>2784</v>
      </c>
    </row>
    <row r="243" spans="1:5" x14ac:dyDescent="0.3">
      <c r="A243" s="7" t="s">
        <v>850</v>
      </c>
      <c r="B243" s="7" t="s">
        <v>2785</v>
      </c>
      <c r="C243" s="7">
        <v>100</v>
      </c>
      <c r="D243" s="7" t="s">
        <v>2786</v>
      </c>
      <c r="E243" s="8" t="s">
        <v>2787</v>
      </c>
    </row>
    <row r="244" spans="1:5" x14ac:dyDescent="0.3">
      <c r="A244" s="7" t="s">
        <v>856</v>
      </c>
      <c r="B244" s="7" t="s">
        <v>2374</v>
      </c>
      <c r="C244" s="7">
        <v>3</v>
      </c>
      <c r="D244" s="7" t="s">
        <v>2788</v>
      </c>
      <c r="E244" s="8" t="s">
        <v>2789</v>
      </c>
    </row>
    <row r="245" spans="1:5" x14ac:dyDescent="0.3">
      <c r="A245" s="7" t="s">
        <v>856</v>
      </c>
      <c r="B245" s="7" t="s">
        <v>2432</v>
      </c>
      <c r="C245" s="7">
        <v>100</v>
      </c>
      <c r="D245" s="7" t="s">
        <v>2790</v>
      </c>
      <c r="E245" s="8" t="s">
        <v>2434</v>
      </c>
    </row>
    <row r="246" spans="1:5" x14ac:dyDescent="0.3">
      <c r="A246" s="7" t="s">
        <v>862</v>
      </c>
      <c r="B246" s="7" t="s">
        <v>2374</v>
      </c>
      <c r="C246" s="7">
        <v>3</v>
      </c>
      <c r="D246" s="7" t="s">
        <v>2791</v>
      </c>
      <c r="E246" s="8" t="s">
        <v>2792</v>
      </c>
    </row>
    <row r="247" spans="1:5" x14ac:dyDescent="0.3">
      <c r="A247" s="7" t="s">
        <v>862</v>
      </c>
      <c r="B247" s="7" t="s">
        <v>2766</v>
      </c>
      <c r="C247" s="7">
        <v>26</v>
      </c>
      <c r="D247" s="7" t="s">
        <v>2793</v>
      </c>
      <c r="E247" s="8" t="s">
        <v>2794</v>
      </c>
    </row>
    <row r="248" spans="1:5" x14ac:dyDescent="0.3">
      <c r="A248" s="7" t="s">
        <v>862</v>
      </c>
      <c r="B248" s="7" t="s">
        <v>2505</v>
      </c>
      <c r="C248" s="7">
        <v>3</v>
      </c>
      <c r="D248" s="7" t="s">
        <v>2795</v>
      </c>
      <c r="E248" s="8" t="s">
        <v>2587</v>
      </c>
    </row>
    <row r="249" spans="1:5" x14ac:dyDescent="0.3">
      <c r="A249" s="7" t="s">
        <v>868</v>
      </c>
      <c r="B249" s="7" t="s">
        <v>2374</v>
      </c>
      <c r="C249" s="7">
        <v>25</v>
      </c>
      <c r="D249" s="7" t="s">
        <v>2796</v>
      </c>
      <c r="E249" s="8" t="s">
        <v>2797</v>
      </c>
    </row>
    <row r="250" spans="1:5" x14ac:dyDescent="0.3">
      <c r="A250" s="7" t="s">
        <v>874</v>
      </c>
      <c r="B250" s="7" t="s">
        <v>2374</v>
      </c>
      <c r="C250" s="7">
        <v>80</v>
      </c>
      <c r="D250" s="7" t="s">
        <v>2798</v>
      </c>
      <c r="E250" s="8" t="s">
        <v>2799</v>
      </c>
    </row>
    <row r="251" spans="1:5" x14ac:dyDescent="0.3">
      <c r="A251" s="7" t="s">
        <v>880</v>
      </c>
      <c r="B251" s="7" t="s">
        <v>2374</v>
      </c>
      <c r="C251" s="7">
        <v>0</v>
      </c>
      <c r="D251" s="7" t="s">
        <v>2800</v>
      </c>
      <c r="E251" s="8" t="s">
        <v>2801</v>
      </c>
    </row>
    <row r="252" spans="1:5" x14ac:dyDescent="0.3">
      <c r="A252" s="7" t="s">
        <v>880</v>
      </c>
      <c r="B252" s="7" t="s">
        <v>2382</v>
      </c>
      <c r="C252" s="7">
        <v>0</v>
      </c>
      <c r="D252" s="7" t="s">
        <v>2802</v>
      </c>
      <c r="E252" s="8" t="s">
        <v>2801</v>
      </c>
    </row>
    <row r="253" spans="1:5" x14ac:dyDescent="0.3">
      <c r="A253" s="7" t="s">
        <v>886</v>
      </c>
      <c r="B253" s="7" t="s">
        <v>2410</v>
      </c>
      <c r="C253" s="7">
        <v>80</v>
      </c>
      <c r="D253" s="7" t="s">
        <v>2803</v>
      </c>
      <c r="E253" s="8" t="s">
        <v>2804</v>
      </c>
    </row>
    <row r="254" spans="1:5" x14ac:dyDescent="0.3">
      <c r="A254" s="7" t="s">
        <v>886</v>
      </c>
      <c r="B254" s="7" t="s">
        <v>2432</v>
      </c>
      <c r="C254" s="7">
        <v>100</v>
      </c>
      <c r="D254" s="7" t="s">
        <v>2805</v>
      </c>
      <c r="E254" s="8" t="s">
        <v>2806</v>
      </c>
    </row>
    <row r="255" spans="1:5" x14ac:dyDescent="0.3">
      <c r="A255" s="7" t="s">
        <v>892</v>
      </c>
      <c r="B255" s="7" t="s">
        <v>2374</v>
      </c>
      <c r="C255" s="7">
        <v>90</v>
      </c>
      <c r="D255" s="7" t="s">
        <v>2807</v>
      </c>
      <c r="E255" s="8" t="s">
        <v>2808</v>
      </c>
    </row>
    <row r="256" spans="1:5" x14ac:dyDescent="0.3">
      <c r="A256" s="7" t="s">
        <v>898</v>
      </c>
      <c r="B256" s="7" t="s">
        <v>2407</v>
      </c>
      <c r="C256" s="7">
        <v>100</v>
      </c>
      <c r="D256" s="7" t="s">
        <v>2809</v>
      </c>
      <c r="E256" s="8" t="s">
        <v>2810</v>
      </c>
    </row>
    <row r="257" spans="1:5" x14ac:dyDescent="0.3">
      <c r="A257" s="7" t="s">
        <v>898</v>
      </c>
      <c r="B257" s="7" t="s">
        <v>2505</v>
      </c>
      <c r="C257" s="7">
        <v>100</v>
      </c>
      <c r="D257" s="7" t="s">
        <v>2811</v>
      </c>
      <c r="E257" s="8" t="s">
        <v>2812</v>
      </c>
    </row>
    <row r="258" spans="1:5" x14ac:dyDescent="0.3">
      <c r="A258" s="7" t="s">
        <v>904</v>
      </c>
      <c r="B258" s="7" t="s">
        <v>2374</v>
      </c>
      <c r="C258" s="7">
        <v>85</v>
      </c>
      <c r="D258" s="7" t="s">
        <v>2813</v>
      </c>
      <c r="E258" s="8" t="s">
        <v>2814</v>
      </c>
    </row>
    <row r="259" spans="1:5" x14ac:dyDescent="0.3">
      <c r="A259" s="7" t="s">
        <v>904</v>
      </c>
      <c r="B259" s="7" t="s">
        <v>2725</v>
      </c>
      <c r="C259" s="7">
        <v>30</v>
      </c>
      <c r="D259" s="7" t="s">
        <v>2815</v>
      </c>
      <c r="E259" s="8" t="s">
        <v>2816</v>
      </c>
    </row>
    <row r="260" spans="1:5" x14ac:dyDescent="0.3">
      <c r="A260" s="7" t="s">
        <v>910</v>
      </c>
      <c r="B260" s="7" t="s">
        <v>2374</v>
      </c>
      <c r="C260" s="7">
        <v>30</v>
      </c>
      <c r="D260" s="7" t="s">
        <v>2817</v>
      </c>
      <c r="E260" s="8" t="s">
        <v>2818</v>
      </c>
    </row>
    <row r="261" spans="1:5" x14ac:dyDescent="0.3">
      <c r="A261" s="7" t="s">
        <v>916</v>
      </c>
      <c r="B261" s="7" t="s">
        <v>2374</v>
      </c>
      <c r="C261" s="7">
        <v>30</v>
      </c>
      <c r="D261" s="7" t="s">
        <v>2819</v>
      </c>
      <c r="E261" s="8" t="s">
        <v>2818</v>
      </c>
    </row>
    <row r="262" spans="1:5" x14ac:dyDescent="0.3">
      <c r="A262" s="7" t="s">
        <v>922</v>
      </c>
      <c r="B262" s="7" t="s">
        <v>2374</v>
      </c>
      <c r="C262" s="7">
        <v>24</v>
      </c>
      <c r="D262" s="7" t="s">
        <v>2820</v>
      </c>
      <c r="E262" s="8" t="s">
        <v>2821</v>
      </c>
    </row>
    <row r="263" spans="1:5" x14ac:dyDescent="0.3">
      <c r="A263" s="7" t="s">
        <v>927</v>
      </c>
      <c r="B263" s="7" t="s">
        <v>2374</v>
      </c>
      <c r="C263" s="7">
        <v>62</v>
      </c>
      <c r="D263" s="7" t="s">
        <v>2822</v>
      </c>
      <c r="E263" s="8" t="s">
        <v>2823</v>
      </c>
    </row>
    <row r="264" spans="1:5" x14ac:dyDescent="0.3">
      <c r="A264" s="7" t="s">
        <v>933</v>
      </c>
      <c r="B264" s="7" t="s">
        <v>2374</v>
      </c>
      <c r="C264" s="7">
        <v>30</v>
      </c>
      <c r="D264" s="7" t="s">
        <v>2824</v>
      </c>
      <c r="E264" s="8" t="s">
        <v>2825</v>
      </c>
    </row>
    <row r="265" spans="1:5" x14ac:dyDescent="0.3">
      <c r="A265" s="7" t="s">
        <v>939</v>
      </c>
      <c r="B265" s="7" t="s">
        <v>2374</v>
      </c>
      <c r="C265" s="7">
        <v>21</v>
      </c>
      <c r="D265" s="7" t="s">
        <v>2826</v>
      </c>
      <c r="E265" s="8" t="s">
        <v>2827</v>
      </c>
    </row>
    <row r="266" spans="1:5" x14ac:dyDescent="0.3">
      <c r="A266" s="7" t="s">
        <v>945</v>
      </c>
      <c r="B266" s="7" t="s">
        <v>2374</v>
      </c>
      <c r="C266" s="7">
        <v>30</v>
      </c>
      <c r="D266" s="7" t="s">
        <v>2828</v>
      </c>
      <c r="E266" s="8" t="s">
        <v>2829</v>
      </c>
    </row>
    <row r="267" spans="1:5" x14ac:dyDescent="0.3">
      <c r="A267" s="7" t="s">
        <v>951</v>
      </c>
      <c r="B267" s="7" t="s">
        <v>2374</v>
      </c>
      <c r="C267" s="7">
        <v>30</v>
      </c>
      <c r="D267" s="7" t="s">
        <v>2830</v>
      </c>
      <c r="E267" s="8" t="s">
        <v>2829</v>
      </c>
    </row>
    <row r="268" spans="1:5" x14ac:dyDescent="0.3">
      <c r="A268" s="7" t="s">
        <v>957</v>
      </c>
      <c r="B268" s="7" t="s">
        <v>2374</v>
      </c>
      <c r="C268" s="7">
        <v>28</v>
      </c>
      <c r="D268" s="7" t="s">
        <v>2831</v>
      </c>
      <c r="E268" s="8" t="s">
        <v>3909</v>
      </c>
    </row>
    <row r="269" spans="1:5" x14ac:dyDescent="0.3">
      <c r="A269" s="7" t="s">
        <v>963</v>
      </c>
      <c r="B269" s="7" t="s">
        <v>2505</v>
      </c>
      <c r="C269" s="7">
        <v>47</v>
      </c>
      <c r="D269" s="7" t="s">
        <v>2832</v>
      </c>
      <c r="E269" s="8" t="s">
        <v>2833</v>
      </c>
    </row>
    <row r="270" spans="1:5" x14ac:dyDescent="0.3">
      <c r="A270" s="7" t="s">
        <v>963</v>
      </c>
      <c r="B270" s="7" t="s">
        <v>2382</v>
      </c>
      <c r="C270" s="7">
        <v>100</v>
      </c>
      <c r="D270" s="7" t="s">
        <v>2834</v>
      </c>
      <c r="E270" s="8" t="s">
        <v>2835</v>
      </c>
    </row>
    <row r="271" spans="1:5" x14ac:dyDescent="0.3">
      <c r="A271" s="7" t="s">
        <v>963</v>
      </c>
      <c r="B271" s="7" t="s">
        <v>2404</v>
      </c>
      <c r="C271" s="7">
        <v>100</v>
      </c>
      <c r="D271" s="7" t="s">
        <v>2834</v>
      </c>
      <c r="E271" s="8" t="s">
        <v>2835</v>
      </c>
    </row>
    <row r="272" spans="1:5" x14ac:dyDescent="0.3">
      <c r="A272" s="7" t="s">
        <v>963</v>
      </c>
      <c r="B272" s="7" t="s">
        <v>2374</v>
      </c>
      <c r="C272" s="7">
        <v>78</v>
      </c>
      <c r="D272" s="7" t="s">
        <v>2836</v>
      </c>
      <c r="E272" s="8" t="s">
        <v>2837</v>
      </c>
    </row>
    <row r="273" spans="1:5" x14ac:dyDescent="0.3">
      <c r="A273" s="7" t="s">
        <v>969</v>
      </c>
      <c r="B273" s="7" t="s">
        <v>2374</v>
      </c>
      <c r="C273" s="7">
        <v>1</v>
      </c>
      <c r="D273" s="7" t="s">
        <v>2838</v>
      </c>
      <c r="E273" s="8" t="s">
        <v>2704</v>
      </c>
    </row>
    <row r="274" spans="1:5" x14ac:dyDescent="0.3">
      <c r="A274" s="7" t="s">
        <v>975</v>
      </c>
      <c r="B274" s="7" t="s">
        <v>2374</v>
      </c>
      <c r="C274" s="7">
        <v>93</v>
      </c>
      <c r="D274" s="7" t="s">
        <v>2839</v>
      </c>
      <c r="E274" s="8" t="s">
        <v>2840</v>
      </c>
    </row>
    <row r="275" spans="1:5" x14ac:dyDescent="0.3">
      <c r="A275" s="7" t="s">
        <v>981</v>
      </c>
      <c r="B275" s="7" t="s">
        <v>2374</v>
      </c>
      <c r="C275" s="7">
        <v>100</v>
      </c>
      <c r="D275" s="7" t="s">
        <v>2841</v>
      </c>
      <c r="E275" s="8" t="s">
        <v>2842</v>
      </c>
    </row>
    <row r="276" spans="1:5" x14ac:dyDescent="0.3">
      <c r="A276" s="7" t="s">
        <v>987</v>
      </c>
      <c r="B276" s="7" t="s">
        <v>2371</v>
      </c>
      <c r="C276" s="7">
        <v>100</v>
      </c>
      <c r="D276" s="7" t="s">
        <v>2843</v>
      </c>
      <c r="E276" s="8" t="s">
        <v>2688</v>
      </c>
    </row>
    <row r="277" spans="1:5" x14ac:dyDescent="0.3">
      <c r="A277" s="7" t="s">
        <v>987</v>
      </c>
      <c r="B277" s="7" t="s">
        <v>2382</v>
      </c>
      <c r="C277" s="7">
        <v>100</v>
      </c>
      <c r="D277" s="7" t="s">
        <v>2844</v>
      </c>
      <c r="E277" s="8" t="s">
        <v>2688</v>
      </c>
    </row>
    <row r="278" spans="1:5" x14ac:dyDescent="0.3">
      <c r="A278" s="7" t="s">
        <v>987</v>
      </c>
      <c r="B278" s="7" t="s">
        <v>2404</v>
      </c>
      <c r="C278" s="7">
        <v>100</v>
      </c>
      <c r="D278" s="7" t="s">
        <v>2844</v>
      </c>
      <c r="E278" s="8" t="s">
        <v>2688</v>
      </c>
    </row>
    <row r="279" spans="1:5" x14ac:dyDescent="0.3">
      <c r="A279" s="7" t="s">
        <v>987</v>
      </c>
      <c r="B279" s="7" t="s">
        <v>2374</v>
      </c>
      <c r="C279" s="7">
        <v>100</v>
      </c>
      <c r="D279" s="7" t="s">
        <v>2845</v>
      </c>
      <c r="E279" s="8" t="s">
        <v>2688</v>
      </c>
    </row>
    <row r="280" spans="1:5" x14ac:dyDescent="0.3">
      <c r="A280" s="7" t="s">
        <v>993</v>
      </c>
      <c r="B280" s="7" t="s">
        <v>2374</v>
      </c>
      <c r="C280" s="7">
        <v>100</v>
      </c>
      <c r="D280" s="7" t="s">
        <v>2846</v>
      </c>
      <c r="E280" s="8" t="s">
        <v>2847</v>
      </c>
    </row>
    <row r="281" spans="1:5" x14ac:dyDescent="0.3">
      <c r="A281" s="7" t="s">
        <v>999</v>
      </c>
      <c r="B281" s="7" t="s">
        <v>2374</v>
      </c>
      <c r="C281" s="7">
        <v>2</v>
      </c>
      <c r="D281" s="7" t="s">
        <v>2848</v>
      </c>
      <c r="E281" s="8" t="s">
        <v>2849</v>
      </c>
    </row>
    <row r="282" spans="1:5" x14ac:dyDescent="0.3">
      <c r="A282" s="7" t="s">
        <v>1005</v>
      </c>
      <c r="B282" s="7" t="s">
        <v>2374</v>
      </c>
      <c r="C282" s="7">
        <v>100</v>
      </c>
      <c r="D282" s="7" t="s">
        <v>2850</v>
      </c>
      <c r="E282" s="8" t="s">
        <v>2688</v>
      </c>
    </row>
    <row r="283" spans="1:5" x14ac:dyDescent="0.3">
      <c r="A283" s="7" t="s">
        <v>1006</v>
      </c>
      <c r="B283" s="7" t="s">
        <v>2374</v>
      </c>
      <c r="C283" s="7">
        <v>51</v>
      </c>
      <c r="D283" s="7" t="s">
        <v>2851</v>
      </c>
      <c r="E283" s="8" t="s">
        <v>2852</v>
      </c>
    </row>
    <row r="284" spans="1:5" x14ac:dyDescent="0.3">
      <c r="A284" s="7" t="s">
        <v>1012</v>
      </c>
      <c r="B284" s="7" t="s">
        <v>2374</v>
      </c>
      <c r="C284" s="7">
        <v>30</v>
      </c>
      <c r="D284" s="7" t="s">
        <v>2853</v>
      </c>
      <c r="E284" s="8" t="s">
        <v>2854</v>
      </c>
    </row>
    <row r="285" spans="1:5" x14ac:dyDescent="0.3">
      <c r="A285" s="7" t="s">
        <v>1018</v>
      </c>
      <c r="B285" s="7" t="s">
        <v>2374</v>
      </c>
      <c r="C285" s="7">
        <v>70</v>
      </c>
      <c r="D285" s="7" t="s">
        <v>2855</v>
      </c>
      <c r="E285" s="8" t="s">
        <v>2856</v>
      </c>
    </row>
    <row r="286" spans="1:5" x14ac:dyDescent="0.3">
      <c r="A286" s="7" t="s">
        <v>1024</v>
      </c>
      <c r="B286" s="7" t="s">
        <v>2374</v>
      </c>
      <c r="C286" s="7">
        <v>30</v>
      </c>
      <c r="D286" s="7" t="s">
        <v>2857</v>
      </c>
      <c r="E286" s="8" t="s">
        <v>2858</v>
      </c>
    </row>
    <row r="287" spans="1:5" x14ac:dyDescent="0.3">
      <c r="A287" s="7" t="s">
        <v>1030</v>
      </c>
      <c r="B287" s="7" t="s">
        <v>2374</v>
      </c>
      <c r="C287" s="7">
        <v>50</v>
      </c>
      <c r="D287" s="7" t="s">
        <v>2859</v>
      </c>
      <c r="E287" s="8" t="s">
        <v>2860</v>
      </c>
    </row>
    <row r="288" spans="1:5" x14ac:dyDescent="0.3">
      <c r="A288" s="7" t="s">
        <v>1036</v>
      </c>
      <c r="B288" s="7" t="s">
        <v>2374</v>
      </c>
      <c r="C288" s="7">
        <v>30</v>
      </c>
      <c r="D288" s="7" t="s">
        <v>2861</v>
      </c>
      <c r="E288" s="8" t="s">
        <v>2862</v>
      </c>
    </row>
    <row r="289" spans="1:5" x14ac:dyDescent="0.3">
      <c r="A289" s="7" t="s">
        <v>1042</v>
      </c>
      <c r="B289" s="7" t="s">
        <v>2374</v>
      </c>
      <c r="C289" s="7">
        <v>71</v>
      </c>
      <c r="D289" s="7" t="s">
        <v>2863</v>
      </c>
      <c r="E289" s="8" t="s">
        <v>2864</v>
      </c>
    </row>
    <row r="290" spans="1:5" x14ac:dyDescent="0.3">
      <c r="A290" s="7" t="s">
        <v>1048</v>
      </c>
      <c r="B290" s="7" t="s">
        <v>2374</v>
      </c>
      <c r="C290" s="7">
        <v>3</v>
      </c>
      <c r="D290" s="7" t="s">
        <v>2865</v>
      </c>
      <c r="E290" s="8" t="s">
        <v>2866</v>
      </c>
    </row>
    <row r="291" spans="1:5" x14ac:dyDescent="0.3">
      <c r="A291" s="7" t="s">
        <v>1054</v>
      </c>
      <c r="B291" s="7" t="s">
        <v>2374</v>
      </c>
      <c r="C291" s="7">
        <v>95</v>
      </c>
      <c r="D291" s="7" t="s">
        <v>2867</v>
      </c>
      <c r="E291" s="8" t="s">
        <v>2868</v>
      </c>
    </row>
    <row r="292" spans="1:5" x14ac:dyDescent="0.3">
      <c r="A292" s="7" t="s">
        <v>1060</v>
      </c>
      <c r="B292" s="7" t="s">
        <v>2374</v>
      </c>
      <c r="C292" s="7">
        <v>0</v>
      </c>
      <c r="D292" s="7" t="s">
        <v>2869</v>
      </c>
      <c r="E292" s="8" t="s">
        <v>2870</v>
      </c>
    </row>
    <row r="293" spans="1:5" x14ac:dyDescent="0.3">
      <c r="A293" s="7" t="s">
        <v>1066</v>
      </c>
      <c r="B293" s="7" t="s">
        <v>2505</v>
      </c>
      <c r="C293" s="7">
        <v>67.5</v>
      </c>
      <c r="D293" s="7" t="s">
        <v>2871</v>
      </c>
      <c r="E293" s="8" t="s">
        <v>2872</v>
      </c>
    </row>
    <row r="294" spans="1:5" x14ac:dyDescent="0.3">
      <c r="A294" s="7" t="s">
        <v>1072</v>
      </c>
      <c r="B294" s="7" t="s">
        <v>2374</v>
      </c>
      <c r="C294" s="7">
        <v>30</v>
      </c>
      <c r="D294" s="7" t="s">
        <v>2873</v>
      </c>
      <c r="E294" s="8" t="s">
        <v>2874</v>
      </c>
    </row>
    <row r="295" spans="1:5" x14ac:dyDescent="0.3">
      <c r="A295" s="7" t="s">
        <v>1078</v>
      </c>
      <c r="B295" s="7" t="s">
        <v>2374</v>
      </c>
      <c r="C295" s="7">
        <v>5</v>
      </c>
      <c r="D295" s="7" t="s">
        <v>2875</v>
      </c>
      <c r="E295" s="8" t="s">
        <v>2876</v>
      </c>
    </row>
    <row r="296" spans="1:5" ht="31.2" x14ac:dyDescent="0.3">
      <c r="A296" s="7" t="s">
        <v>1084</v>
      </c>
      <c r="B296" s="7" t="s">
        <v>2374</v>
      </c>
      <c r="C296" s="7">
        <v>68.400000000000006</v>
      </c>
      <c r="D296" s="7" t="s">
        <v>2877</v>
      </c>
      <c r="E296" s="8" t="s">
        <v>2878</v>
      </c>
    </row>
    <row r="297" spans="1:5" x14ac:dyDescent="0.3">
      <c r="A297" s="7" t="s">
        <v>1090</v>
      </c>
      <c r="B297" s="7" t="s">
        <v>2374</v>
      </c>
      <c r="C297" s="7">
        <v>100</v>
      </c>
      <c r="D297" s="7" t="s">
        <v>2879</v>
      </c>
      <c r="E297" s="8" t="s">
        <v>2880</v>
      </c>
    </row>
    <row r="298" spans="1:5" x14ac:dyDescent="0.3">
      <c r="A298" s="7" t="s">
        <v>1096</v>
      </c>
      <c r="B298" s="7" t="s">
        <v>2374</v>
      </c>
      <c r="C298" s="7">
        <v>43</v>
      </c>
      <c r="D298" s="7" t="s">
        <v>2881</v>
      </c>
      <c r="E298" s="8" t="s">
        <v>2882</v>
      </c>
    </row>
    <row r="299" spans="1:5" x14ac:dyDescent="0.3">
      <c r="A299" s="7" t="s">
        <v>1102</v>
      </c>
      <c r="B299" s="7" t="s">
        <v>2374</v>
      </c>
      <c r="C299" s="7">
        <v>0</v>
      </c>
      <c r="D299" s="7" t="s">
        <v>2883</v>
      </c>
      <c r="E299" s="8" t="s">
        <v>2870</v>
      </c>
    </row>
    <row r="300" spans="1:5" x14ac:dyDescent="0.3">
      <c r="A300" s="7" t="s">
        <v>1108</v>
      </c>
      <c r="B300" s="7" t="s">
        <v>2371</v>
      </c>
      <c r="C300" s="7">
        <v>30</v>
      </c>
      <c r="D300" s="7" t="s">
        <v>2884</v>
      </c>
      <c r="E300" s="8" t="s">
        <v>2885</v>
      </c>
    </row>
    <row r="301" spans="1:5" x14ac:dyDescent="0.3">
      <c r="A301" s="7" t="s">
        <v>1108</v>
      </c>
      <c r="B301" s="7" t="s">
        <v>2382</v>
      </c>
      <c r="C301" s="7">
        <v>100</v>
      </c>
      <c r="D301" s="7" t="s">
        <v>2886</v>
      </c>
      <c r="E301" s="8" t="s">
        <v>2688</v>
      </c>
    </row>
    <row r="302" spans="1:5" x14ac:dyDescent="0.3">
      <c r="A302" s="7" t="s">
        <v>1108</v>
      </c>
      <c r="B302" s="7" t="s">
        <v>2404</v>
      </c>
      <c r="C302" s="7">
        <v>100</v>
      </c>
      <c r="D302" s="7" t="s">
        <v>2886</v>
      </c>
      <c r="E302" s="8" t="s">
        <v>2688</v>
      </c>
    </row>
    <row r="303" spans="1:5" x14ac:dyDescent="0.3">
      <c r="A303" s="7" t="s">
        <v>1108</v>
      </c>
      <c r="B303" s="7" t="s">
        <v>2374</v>
      </c>
      <c r="C303" s="7">
        <v>30</v>
      </c>
      <c r="D303" s="7" t="s">
        <v>2887</v>
      </c>
      <c r="E303" s="8" t="s">
        <v>2888</v>
      </c>
    </row>
    <row r="304" spans="1:5" x14ac:dyDescent="0.3">
      <c r="A304" s="7" t="s">
        <v>1108</v>
      </c>
      <c r="B304" s="7" t="s">
        <v>2505</v>
      </c>
      <c r="C304" s="7">
        <v>30</v>
      </c>
      <c r="D304" s="7" t="s">
        <v>2889</v>
      </c>
      <c r="E304" s="8" t="s">
        <v>2885</v>
      </c>
    </row>
    <row r="305" spans="1:5" x14ac:dyDescent="0.3">
      <c r="A305" s="7" t="s">
        <v>1114</v>
      </c>
      <c r="B305" s="7" t="s">
        <v>2374</v>
      </c>
      <c r="C305" s="7">
        <v>48</v>
      </c>
      <c r="D305" s="7" t="s">
        <v>2890</v>
      </c>
      <c r="E305" s="8" t="s">
        <v>2891</v>
      </c>
    </row>
    <row r="306" spans="1:5" ht="31.2" x14ac:dyDescent="0.3">
      <c r="A306" s="7" t="s">
        <v>1120</v>
      </c>
      <c r="B306" s="7" t="s">
        <v>2374</v>
      </c>
      <c r="C306" s="7">
        <v>11.4</v>
      </c>
      <c r="D306" s="7" t="s">
        <v>2892</v>
      </c>
      <c r="E306" s="8" t="s">
        <v>2893</v>
      </c>
    </row>
    <row r="307" spans="1:5" x14ac:dyDescent="0.3">
      <c r="A307" s="7" t="s">
        <v>1125</v>
      </c>
      <c r="B307" s="7" t="s">
        <v>2374</v>
      </c>
      <c r="C307" s="7">
        <v>30</v>
      </c>
      <c r="D307" s="7" t="s">
        <v>2894</v>
      </c>
      <c r="E307" s="8" t="s">
        <v>2895</v>
      </c>
    </row>
    <row r="308" spans="1:5" x14ac:dyDescent="0.3">
      <c r="A308" s="7" t="s">
        <v>1131</v>
      </c>
      <c r="B308" s="7" t="s">
        <v>2374</v>
      </c>
      <c r="C308" s="7">
        <v>37.5</v>
      </c>
      <c r="D308" s="7" t="s">
        <v>2896</v>
      </c>
      <c r="E308" s="8" t="s">
        <v>2897</v>
      </c>
    </row>
    <row r="309" spans="1:5" x14ac:dyDescent="0.3">
      <c r="A309" s="7" t="s">
        <v>1137</v>
      </c>
      <c r="B309" s="7" t="s">
        <v>2374</v>
      </c>
      <c r="C309" s="7">
        <v>90</v>
      </c>
      <c r="D309" s="7" t="s">
        <v>2898</v>
      </c>
      <c r="E309" s="8" t="s">
        <v>2899</v>
      </c>
    </row>
    <row r="310" spans="1:5" x14ac:dyDescent="0.3">
      <c r="A310" s="7" t="s">
        <v>1143</v>
      </c>
      <c r="B310" s="7" t="s">
        <v>2374</v>
      </c>
      <c r="C310" s="7">
        <v>30</v>
      </c>
      <c r="D310" s="7" t="s">
        <v>2900</v>
      </c>
      <c r="E310" s="8" t="s">
        <v>2901</v>
      </c>
    </row>
    <row r="311" spans="1:5" x14ac:dyDescent="0.3">
      <c r="A311" s="7" t="s">
        <v>1149</v>
      </c>
      <c r="B311" s="7" t="s">
        <v>2374</v>
      </c>
      <c r="C311" s="7">
        <v>1</v>
      </c>
      <c r="D311" s="7" t="s">
        <v>2902</v>
      </c>
      <c r="E311" s="8" t="s">
        <v>2903</v>
      </c>
    </row>
    <row r="312" spans="1:5" x14ac:dyDescent="0.3">
      <c r="A312" s="7" t="s">
        <v>1155</v>
      </c>
      <c r="B312" s="7" t="s">
        <v>2374</v>
      </c>
      <c r="C312" s="7">
        <v>8</v>
      </c>
      <c r="D312" s="7" t="s">
        <v>2904</v>
      </c>
      <c r="E312" s="8" t="s">
        <v>2905</v>
      </c>
    </row>
    <row r="313" spans="1:5" x14ac:dyDescent="0.3">
      <c r="A313" s="7" t="s">
        <v>1160</v>
      </c>
      <c r="B313" s="7" t="s">
        <v>2374</v>
      </c>
      <c r="C313" s="7">
        <v>5</v>
      </c>
      <c r="D313" s="7" t="s">
        <v>2906</v>
      </c>
      <c r="E313" s="8" t="s">
        <v>2426</v>
      </c>
    </row>
    <row r="314" spans="1:5" x14ac:dyDescent="0.3">
      <c r="A314" s="7" t="s">
        <v>1160</v>
      </c>
      <c r="B314" s="7" t="s">
        <v>2382</v>
      </c>
      <c r="C314" s="7">
        <v>5</v>
      </c>
      <c r="D314" s="7" t="s">
        <v>2907</v>
      </c>
      <c r="E314" s="8" t="s">
        <v>2426</v>
      </c>
    </row>
    <row r="315" spans="1:5" x14ac:dyDescent="0.3">
      <c r="A315" s="7" t="s">
        <v>1160</v>
      </c>
      <c r="B315" s="7" t="s">
        <v>2404</v>
      </c>
      <c r="C315" s="7">
        <v>5</v>
      </c>
      <c r="D315" s="7" t="s">
        <v>2907</v>
      </c>
      <c r="E315" s="8" t="s">
        <v>2426</v>
      </c>
    </row>
    <row r="316" spans="1:5" x14ac:dyDescent="0.3">
      <c r="A316" s="7" t="s">
        <v>1166</v>
      </c>
      <c r="B316" s="7" t="s">
        <v>2374</v>
      </c>
      <c r="C316" s="7">
        <v>60</v>
      </c>
      <c r="D316" s="7" t="s">
        <v>2908</v>
      </c>
      <c r="E316" s="8" t="s">
        <v>2909</v>
      </c>
    </row>
    <row r="317" spans="1:5" x14ac:dyDescent="0.3">
      <c r="A317" s="7" t="s">
        <v>1172</v>
      </c>
      <c r="B317" s="7" t="s">
        <v>2382</v>
      </c>
      <c r="C317" s="7">
        <v>5</v>
      </c>
      <c r="D317" s="7" t="s">
        <v>2910</v>
      </c>
      <c r="E317" s="8" t="s">
        <v>2911</v>
      </c>
    </row>
    <row r="318" spans="1:5" x14ac:dyDescent="0.3">
      <c r="A318" s="7" t="s">
        <v>1172</v>
      </c>
      <c r="B318" s="7" t="s">
        <v>2404</v>
      </c>
      <c r="C318" s="7">
        <v>5</v>
      </c>
      <c r="D318" s="7" t="s">
        <v>2910</v>
      </c>
      <c r="E318" s="8" t="s">
        <v>2911</v>
      </c>
    </row>
    <row r="319" spans="1:5" x14ac:dyDescent="0.3">
      <c r="A319" s="7" t="s">
        <v>1172</v>
      </c>
      <c r="B319" s="7" t="s">
        <v>2766</v>
      </c>
      <c r="C319" s="7">
        <v>5</v>
      </c>
      <c r="D319" s="7" t="s">
        <v>2910</v>
      </c>
      <c r="E319" s="8" t="s">
        <v>2911</v>
      </c>
    </row>
    <row r="320" spans="1:5" x14ac:dyDescent="0.3">
      <c r="A320" s="7" t="s">
        <v>1172</v>
      </c>
      <c r="B320" s="7" t="s">
        <v>2374</v>
      </c>
      <c r="C320" s="7">
        <v>8</v>
      </c>
      <c r="D320" s="7" t="s">
        <v>2912</v>
      </c>
      <c r="E320" s="8" t="s">
        <v>2913</v>
      </c>
    </row>
    <row r="321" spans="1:5" x14ac:dyDescent="0.3">
      <c r="A321" s="7" t="s">
        <v>1177</v>
      </c>
      <c r="B321" s="7" t="s">
        <v>2374</v>
      </c>
      <c r="C321" s="7">
        <v>2.1</v>
      </c>
      <c r="D321" s="7" t="s">
        <v>2914</v>
      </c>
      <c r="E321" s="8" t="s">
        <v>2915</v>
      </c>
    </row>
    <row r="322" spans="1:5" x14ac:dyDescent="0.3">
      <c r="A322" s="7" t="s">
        <v>1177</v>
      </c>
      <c r="B322" s="7" t="s">
        <v>2382</v>
      </c>
      <c r="C322" s="7">
        <v>2.1</v>
      </c>
      <c r="D322" s="7" t="s">
        <v>2916</v>
      </c>
      <c r="E322" s="8" t="s">
        <v>2915</v>
      </c>
    </row>
    <row r="323" spans="1:5" x14ac:dyDescent="0.3">
      <c r="A323" s="7" t="s">
        <v>1177</v>
      </c>
      <c r="B323" s="7" t="s">
        <v>2917</v>
      </c>
      <c r="C323" s="7">
        <v>2.1</v>
      </c>
      <c r="D323" s="7" t="s">
        <v>2918</v>
      </c>
      <c r="E323" s="8" t="s">
        <v>2919</v>
      </c>
    </row>
    <row r="324" spans="1:5" x14ac:dyDescent="0.3">
      <c r="A324" s="7" t="s">
        <v>1183</v>
      </c>
      <c r="B324" s="7" t="s">
        <v>2410</v>
      </c>
      <c r="C324" s="7">
        <v>30</v>
      </c>
      <c r="D324" s="7" t="s">
        <v>2920</v>
      </c>
      <c r="E324" s="8" t="s">
        <v>3910</v>
      </c>
    </row>
    <row r="325" spans="1:5" x14ac:dyDescent="0.3">
      <c r="A325" s="7" t="s">
        <v>1189</v>
      </c>
      <c r="B325" s="7" t="s">
        <v>2374</v>
      </c>
      <c r="C325" s="7">
        <v>10</v>
      </c>
      <c r="D325" s="7" t="s">
        <v>2921</v>
      </c>
      <c r="E325" s="8" t="s">
        <v>2922</v>
      </c>
    </row>
    <row r="326" spans="1:5" x14ac:dyDescent="0.3">
      <c r="A326" s="7" t="s">
        <v>1195</v>
      </c>
      <c r="B326" s="7" t="s">
        <v>2374</v>
      </c>
      <c r="C326" s="7">
        <v>35.299999999999997</v>
      </c>
      <c r="D326" s="7" t="s">
        <v>2923</v>
      </c>
      <c r="E326" s="8" t="s">
        <v>2924</v>
      </c>
    </row>
    <row r="327" spans="1:5" x14ac:dyDescent="0.3">
      <c r="A327" s="7" t="s">
        <v>1196</v>
      </c>
      <c r="B327" s="7" t="s">
        <v>2374</v>
      </c>
      <c r="C327" s="7">
        <v>37</v>
      </c>
      <c r="D327" s="7" t="s">
        <v>2925</v>
      </c>
      <c r="E327" s="8" t="s">
        <v>2926</v>
      </c>
    </row>
    <row r="328" spans="1:5" x14ac:dyDescent="0.3">
      <c r="A328" s="7" t="s">
        <v>1196</v>
      </c>
      <c r="B328" s="7" t="s">
        <v>2404</v>
      </c>
      <c r="C328" s="7">
        <v>37</v>
      </c>
      <c r="D328" s="7" t="s">
        <v>2927</v>
      </c>
      <c r="E328" s="8" t="s">
        <v>2928</v>
      </c>
    </row>
    <row r="329" spans="1:5" x14ac:dyDescent="0.3">
      <c r="A329" s="7" t="s">
        <v>1202</v>
      </c>
      <c r="B329" s="7" t="s">
        <v>2374</v>
      </c>
      <c r="C329" s="7">
        <v>80</v>
      </c>
      <c r="D329" s="7" t="s">
        <v>2929</v>
      </c>
      <c r="E329" s="8" t="s">
        <v>2930</v>
      </c>
    </row>
    <row r="330" spans="1:5" x14ac:dyDescent="0.3">
      <c r="A330" s="7" t="s">
        <v>1208</v>
      </c>
      <c r="B330" s="7" t="s">
        <v>2374</v>
      </c>
      <c r="C330" s="7">
        <v>0</v>
      </c>
      <c r="D330" s="7" t="s">
        <v>2931</v>
      </c>
      <c r="E330" s="8" t="s">
        <v>3911</v>
      </c>
    </row>
    <row r="331" spans="1:5" x14ac:dyDescent="0.3">
      <c r="A331" s="7" t="s">
        <v>1214</v>
      </c>
      <c r="B331" s="7" t="s">
        <v>2374</v>
      </c>
      <c r="C331" s="7">
        <v>100</v>
      </c>
      <c r="D331" s="7" t="s">
        <v>2932</v>
      </c>
      <c r="E331" s="8" t="s">
        <v>2507</v>
      </c>
    </row>
    <row r="332" spans="1:5" x14ac:dyDescent="0.3">
      <c r="A332" s="7" t="s">
        <v>1220</v>
      </c>
      <c r="B332" s="7" t="s">
        <v>2382</v>
      </c>
      <c r="C332" s="7">
        <v>100</v>
      </c>
      <c r="D332" s="7" t="s">
        <v>2933</v>
      </c>
      <c r="E332" s="8" t="s">
        <v>2507</v>
      </c>
    </row>
    <row r="333" spans="1:5" x14ac:dyDescent="0.3">
      <c r="A333" s="7" t="s">
        <v>1220</v>
      </c>
      <c r="B333" s="7" t="s">
        <v>2404</v>
      </c>
      <c r="C333" s="7">
        <v>100</v>
      </c>
      <c r="D333" s="7" t="s">
        <v>2933</v>
      </c>
      <c r="E333" s="8" t="s">
        <v>2507</v>
      </c>
    </row>
    <row r="334" spans="1:5" x14ac:dyDescent="0.3">
      <c r="A334" s="7" t="s">
        <v>1220</v>
      </c>
      <c r="B334" s="7" t="s">
        <v>2374</v>
      </c>
      <c r="C334" s="7">
        <v>100</v>
      </c>
      <c r="D334" s="7" t="s">
        <v>2934</v>
      </c>
      <c r="E334" s="8" t="s">
        <v>2507</v>
      </c>
    </row>
    <row r="335" spans="1:5" x14ac:dyDescent="0.3">
      <c r="A335" s="7" t="s">
        <v>1226</v>
      </c>
      <c r="B335" s="7" t="s">
        <v>2374</v>
      </c>
      <c r="C335" s="7">
        <v>100</v>
      </c>
      <c r="D335" s="7" t="s">
        <v>2935</v>
      </c>
      <c r="E335" s="8" t="s">
        <v>2936</v>
      </c>
    </row>
    <row r="336" spans="1:5" x14ac:dyDescent="0.3">
      <c r="A336" s="7" t="s">
        <v>1232</v>
      </c>
      <c r="B336" s="7" t="s">
        <v>2374</v>
      </c>
      <c r="C336" s="7">
        <v>71</v>
      </c>
      <c r="D336" s="7" t="s">
        <v>2937</v>
      </c>
      <c r="E336" s="8" t="s">
        <v>2938</v>
      </c>
    </row>
    <row r="337" spans="1:5" x14ac:dyDescent="0.3">
      <c r="A337" s="7" t="s">
        <v>1238</v>
      </c>
      <c r="B337" s="7" t="s">
        <v>2374</v>
      </c>
      <c r="C337" s="7">
        <v>0.1</v>
      </c>
      <c r="D337" s="7" t="s">
        <v>2939</v>
      </c>
      <c r="E337" s="8" t="s">
        <v>2940</v>
      </c>
    </row>
    <row r="338" spans="1:5" x14ac:dyDescent="0.3">
      <c r="A338" s="7" t="s">
        <v>1238</v>
      </c>
      <c r="B338" s="7" t="s">
        <v>2785</v>
      </c>
      <c r="C338" s="7">
        <v>0.1</v>
      </c>
      <c r="D338" s="7" t="s">
        <v>2941</v>
      </c>
      <c r="E338" s="8" t="s">
        <v>3912</v>
      </c>
    </row>
    <row r="339" spans="1:5" x14ac:dyDescent="0.3">
      <c r="A339" s="7" t="s">
        <v>1244</v>
      </c>
      <c r="B339" s="7" t="s">
        <v>2374</v>
      </c>
      <c r="C339" s="7">
        <v>17</v>
      </c>
      <c r="D339" s="7" t="s">
        <v>2942</v>
      </c>
      <c r="E339" s="8" t="s">
        <v>2943</v>
      </c>
    </row>
    <row r="340" spans="1:5" x14ac:dyDescent="0.3">
      <c r="A340" s="7" t="s">
        <v>1250</v>
      </c>
      <c r="B340" s="7" t="s">
        <v>2374</v>
      </c>
      <c r="C340" s="7">
        <v>19</v>
      </c>
      <c r="D340" s="7" t="s">
        <v>2944</v>
      </c>
      <c r="E340" s="8" t="s">
        <v>2945</v>
      </c>
    </row>
    <row r="341" spans="1:5" x14ac:dyDescent="0.3">
      <c r="A341" s="7" t="s">
        <v>1250</v>
      </c>
      <c r="B341" s="7" t="s">
        <v>2404</v>
      </c>
      <c r="C341" s="7">
        <v>100</v>
      </c>
      <c r="D341" s="7" t="s">
        <v>2946</v>
      </c>
      <c r="E341" s="8" t="s">
        <v>2936</v>
      </c>
    </row>
    <row r="342" spans="1:5" x14ac:dyDescent="0.3">
      <c r="A342" s="7" t="s">
        <v>1256</v>
      </c>
      <c r="B342" s="7" t="s">
        <v>2374</v>
      </c>
      <c r="C342" s="7">
        <v>30</v>
      </c>
      <c r="D342" s="7" t="s">
        <v>2947</v>
      </c>
      <c r="E342" s="8" t="s">
        <v>2948</v>
      </c>
    </row>
    <row r="343" spans="1:5" x14ac:dyDescent="0.3">
      <c r="A343" s="7" t="s">
        <v>1262</v>
      </c>
      <c r="B343" s="7" t="s">
        <v>2374</v>
      </c>
      <c r="C343" s="7">
        <v>26</v>
      </c>
      <c r="D343" s="7" t="s">
        <v>2949</v>
      </c>
      <c r="E343" s="8" t="s">
        <v>2950</v>
      </c>
    </row>
    <row r="344" spans="1:5" x14ac:dyDescent="0.3">
      <c r="A344" s="7" t="s">
        <v>1268</v>
      </c>
      <c r="B344" s="7" t="s">
        <v>2374</v>
      </c>
      <c r="C344" s="7">
        <v>60</v>
      </c>
      <c r="D344" s="7" t="s">
        <v>2951</v>
      </c>
      <c r="E344" s="8" t="s">
        <v>2952</v>
      </c>
    </row>
    <row r="345" spans="1:5" x14ac:dyDescent="0.3">
      <c r="A345" s="7" t="s">
        <v>1268</v>
      </c>
      <c r="B345" s="7" t="s">
        <v>2382</v>
      </c>
      <c r="C345" s="7">
        <v>60</v>
      </c>
      <c r="D345" s="7" t="s">
        <v>2953</v>
      </c>
      <c r="E345" s="8" t="s">
        <v>2952</v>
      </c>
    </row>
    <row r="346" spans="1:5" x14ac:dyDescent="0.3">
      <c r="A346" s="7" t="s">
        <v>1268</v>
      </c>
      <c r="B346" s="7" t="s">
        <v>2410</v>
      </c>
      <c r="C346" s="7">
        <v>80</v>
      </c>
      <c r="D346" s="7" t="s">
        <v>2954</v>
      </c>
      <c r="E346" s="8" t="s">
        <v>2501</v>
      </c>
    </row>
    <row r="347" spans="1:5" x14ac:dyDescent="0.3">
      <c r="A347" s="7" t="s">
        <v>1273</v>
      </c>
      <c r="B347" s="7" t="s">
        <v>2374</v>
      </c>
      <c r="C347" s="7">
        <v>0</v>
      </c>
      <c r="D347" s="7" t="s">
        <v>2955</v>
      </c>
      <c r="E347" s="8" t="s">
        <v>2956</v>
      </c>
    </row>
    <row r="348" spans="1:5" x14ac:dyDescent="0.3">
      <c r="A348" s="7" t="s">
        <v>1279</v>
      </c>
      <c r="B348" s="7" t="s">
        <v>2374</v>
      </c>
      <c r="C348" s="7">
        <v>75</v>
      </c>
      <c r="D348" s="7" t="s">
        <v>2957</v>
      </c>
      <c r="E348" s="8" t="s">
        <v>2958</v>
      </c>
    </row>
    <row r="349" spans="1:5" x14ac:dyDescent="0.3">
      <c r="A349" s="7" t="s">
        <v>1285</v>
      </c>
      <c r="B349" s="7" t="s">
        <v>2374</v>
      </c>
      <c r="C349" s="7">
        <v>5.7</v>
      </c>
      <c r="D349" s="7" t="s">
        <v>2959</v>
      </c>
      <c r="E349" s="8" t="s">
        <v>2960</v>
      </c>
    </row>
    <row r="350" spans="1:5" x14ac:dyDescent="0.3">
      <c r="A350" s="7" t="s">
        <v>1291</v>
      </c>
      <c r="B350" s="7" t="s">
        <v>2374</v>
      </c>
      <c r="C350" s="7">
        <v>5</v>
      </c>
      <c r="D350" s="7" t="s">
        <v>2961</v>
      </c>
      <c r="E350" s="8" t="s">
        <v>2911</v>
      </c>
    </row>
    <row r="351" spans="1:5" x14ac:dyDescent="0.3">
      <c r="A351" s="7" t="s">
        <v>1297</v>
      </c>
      <c r="B351" s="7" t="s">
        <v>2385</v>
      </c>
      <c r="C351" s="7">
        <v>30</v>
      </c>
      <c r="D351" s="7" t="s">
        <v>2962</v>
      </c>
      <c r="E351" s="8" t="s">
        <v>2963</v>
      </c>
    </row>
    <row r="352" spans="1:5" x14ac:dyDescent="0.3">
      <c r="A352" s="7" t="s">
        <v>1297</v>
      </c>
      <c r="B352" s="7" t="s">
        <v>2374</v>
      </c>
      <c r="C352" s="7">
        <v>100</v>
      </c>
      <c r="D352" s="7" t="s">
        <v>2964</v>
      </c>
      <c r="E352" s="8" t="s">
        <v>2965</v>
      </c>
    </row>
    <row r="353" spans="1:5" x14ac:dyDescent="0.3">
      <c r="A353" s="7" t="s">
        <v>1297</v>
      </c>
      <c r="B353" s="7" t="s">
        <v>2382</v>
      </c>
      <c r="C353" s="7">
        <v>100</v>
      </c>
      <c r="D353" s="7" t="s">
        <v>2966</v>
      </c>
      <c r="E353" s="8" t="s">
        <v>2965</v>
      </c>
    </row>
    <row r="354" spans="1:5" x14ac:dyDescent="0.3">
      <c r="A354" s="7" t="s">
        <v>1297</v>
      </c>
      <c r="B354" s="7" t="s">
        <v>2404</v>
      </c>
      <c r="C354" s="7">
        <v>100</v>
      </c>
      <c r="D354" s="7" t="s">
        <v>2966</v>
      </c>
      <c r="E354" s="8" t="s">
        <v>2965</v>
      </c>
    </row>
    <row r="355" spans="1:5" x14ac:dyDescent="0.3">
      <c r="A355" s="7" t="s">
        <v>1297</v>
      </c>
      <c r="B355" s="7" t="s">
        <v>2967</v>
      </c>
      <c r="C355" s="7">
        <v>100</v>
      </c>
      <c r="D355" s="7" t="s">
        <v>2966</v>
      </c>
      <c r="E355" s="8" t="s">
        <v>2965</v>
      </c>
    </row>
    <row r="356" spans="1:5" x14ac:dyDescent="0.3">
      <c r="A356" s="7" t="s">
        <v>1297</v>
      </c>
      <c r="B356" s="7" t="s">
        <v>2968</v>
      </c>
      <c r="C356" s="7">
        <v>100</v>
      </c>
      <c r="D356" s="7" t="s">
        <v>2966</v>
      </c>
      <c r="E356" s="8" t="s">
        <v>2965</v>
      </c>
    </row>
    <row r="357" spans="1:5" x14ac:dyDescent="0.3">
      <c r="A357" s="7" t="s">
        <v>1297</v>
      </c>
      <c r="B357" s="7" t="s">
        <v>2969</v>
      </c>
      <c r="C357" s="7">
        <v>100</v>
      </c>
      <c r="D357" s="7" t="s">
        <v>2966</v>
      </c>
      <c r="E357" s="8" t="s">
        <v>2965</v>
      </c>
    </row>
    <row r="358" spans="1:5" x14ac:dyDescent="0.3">
      <c r="A358" s="7" t="s">
        <v>1297</v>
      </c>
      <c r="B358" s="7" t="s">
        <v>2410</v>
      </c>
      <c r="C358" s="7">
        <v>30</v>
      </c>
      <c r="D358" s="7" t="s">
        <v>2970</v>
      </c>
      <c r="E358" s="8" t="s">
        <v>2971</v>
      </c>
    </row>
    <row r="359" spans="1:5" x14ac:dyDescent="0.3">
      <c r="A359" s="7" t="s">
        <v>1303</v>
      </c>
      <c r="B359" s="7" t="s">
        <v>2374</v>
      </c>
      <c r="C359" s="7">
        <v>0</v>
      </c>
      <c r="D359" s="7" t="s">
        <v>2972</v>
      </c>
      <c r="E359" s="8" t="s">
        <v>2973</v>
      </c>
    </row>
    <row r="360" spans="1:5" x14ac:dyDescent="0.3">
      <c r="A360" s="7" t="s">
        <v>1309</v>
      </c>
      <c r="B360" s="7" t="s">
        <v>2374</v>
      </c>
      <c r="C360" s="7">
        <v>0.5</v>
      </c>
      <c r="D360" s="7" t="s">
        <v>2974</v>
      </c>
      <c r="E360" s="8" t="s">
        <v>2551</v>
      </c>
    </row>
    <row r="361" spans="1:5" x14ac:dyDescent="0.3">
      <c r="A361" s="7" t="s">
        <v>1315</v>
      </c>
      <c r="B361" s="7" t="s">
        <v>2785</v>
      </c>
      <c r="C361" s="7">
        <v>32</v>
      </c>
      <c r="D361" s="7" t="s">
        <v>2975</v>
      </c>
      <c r="E361" s="8" t="s">
        <v>2976</v>
      </c>
    </row>
    <row r="362" spans="1:5" x14ac:dyDescent="0.3">
      <c r="A362" s="7" t="s">
        <v>1315</v>
      </c>
      <c r="B362" s="7" t="s">
        <v>2374</v>
      </c>
      <c r="C362" s="7">
        <v>32</v>
      </c>
      <c r="D362" s="7" t="s">
        <v>2977</v>
      </c>
      <c r="E362" s="8" t="s">
        <v>2976</v>
      </c>
    </row>
    <row r="363" spans="1:5" x14ac:dyDescent="0.3">
      <c r="A363" s="7" t="s">
        <v>1321</v>
      </c>
      <c r="B363" s="7" t="s">
        <v>2374</v>
      </c>
      <c r="C363" s="7">
        <v>50</v>
      </c>
      <c r="D363" s="7" t="s">
        <v>2978</v>
      </c>
      <c r="E363" s="8" t="s">
        <v>2979</v>
      </c>
    </row>
    <row r="364" spans="1:5" x14ac:dyDescent="0.3">
      <c r="A364" s="7" t="s">
        <v>1327</v>
      </c>
      <c r="B364" s="7" t="s">
        <v>2980</v>
      </c>
      <c r="C364" s="7">
        <v>34</v>
      </c>
      <c r="D364" s="7" t="s">
        <v>2981</v>
      </c>
      <c r="E364" s="8" t="s">
        <v>2982</v>
      </c>
    </row>
    <row r="365" spans="1:5" x14ac:dyDescent="0.3">
      <c r="A365" s="7" t="s">
        <v>1327</v>
      </c>
      <c r="B365" s="7" t="s">
        <v>2766</v>
      </c>
      <c r="C365" s="7">
        <v>34</v>
      </c>
      <c r="D365" s="7" t="s">
        <v>2983</v>
      </c>
      <c r="E365" s="8" t="s">
        <v>2982</v>
      </c>
    </row>
    <row r="366" spans="1:5" x14ac:dyDescent="0.3">
      <c r="A366" s="7" t="s">
        <v>1327</v>
      </c>
      <c r="B366" s="7" t="s">
        <v>2785</v>
      </c>
      <c r="C366" s="7">
        <v>97</v>
      </c>
      <c r="D366" s="7" t="s">
        <v>2984</v>
      </c>
      <c r="E366" s="8" t="s">
        <v>2985</v>
      </c>
    </row>
    <row r="367" spans="1:5" x14ac:dyDescent="0.3">
      <c r="A367" s="7" t="s">
        <v>1327</v>
      </c>
      <c r="B367" s="7" t="s">
        <v>2382</v>
      </c>
      <c r="C367" s="7">
        <v>100</v>
      </c>
      <c r="D367" s="7" t="s">
        <v>2986</v>
      </c>
      <c r="E367" s="8" t="s">
        <v>2987</v>
      </c>
    </row>
    <row r="368" spans="1:5" x14ac:dyDescent="0.3">
      <c r="A368" s="7" t="s">
        <v>1327</v>
      </c>
      <c r="B368" s="7" t="s">
        <v>2404</v>
      </c>
      <c r="C368" s="7">
        <v>100</v>
      </c>
      <c r="D368" s="7" t="s">
        <v>2986</v>
      </c>
      <c r="E368" s="8" t="s">
        <v>2987</v>
      </c>
    </row>
    <row r="369" spans="1:5" x14ac:dyDescent="0.3">
      <c r="A369" s="7" t="s">
        <v>1327</v>
      </c>
      <c r="B369" s="7" t="s">
        <v>2988</v>
      </c>
      <c r="C369" s="7">
        <v>34</v>
      </c>
      <c r="D369" s="7" t="s">
        <v>2989</v>
      </c>
      <c r="E369" s="8" t="s">
        <v>2982</v>
      </c>
    </row>
    <row r="370" spans="1:5" x14ac:dyDescent="0.3">
      <c r="A370" s="7" t="s">
        <v>1333</v>
      </c>
      <c r="B370" s="7" t="s">
        <v>2374</v>
      </c>
      <c r="C370" s="7">
        <v>42</v>
      </c>
      <c r="D370" s="7" t="s">
        <v>2990</v>
      </c>
      <c r="E370" s="8" t="s">
        <v>2991</v>
      </c>
    </row>
    <row r="371" spans="1:5" x14ac:dyDescent="0.3">
      <c r="A371" s="7" t="s">
        <v>1339</v>
      </c>
      <c r="B371" s="7" t="s">
        <v>2404</v>
      </c>
      <c r="C371" s="7">
        <v>100</v>
      </c>
      <c r="D371" s="7" t="s">
        <v>2992</v>
      </c>
      <c r="E371" s="8" t="s">
        <v>2661</v>
      </c>
    </row>
    <row r="372" spans="1:5" x14ac:dyDescent="0.3">
      <c r="A372" s="7" t="s">
        <v>1339</v>
      </c>
      <c r="B372" s="7" t="s">
        <v>2374</v>
      </c>
      <c r="C372" s="7">
        <v>100</v>
      </c>
      <c r="D372" s="7" t="s">
        <v>2993</v>
      </c>
      <c r="E372" s="8" t="s">
        <v>2661</v>
      </c>
    </row>
    <row r="373" spans="1:5" x14ac:dyDescent="0.3">
      <c r="A373" s="7" t="s">
        <v>1345</v>
      </c>
      <c r="B373" s="7" t="s">
        <v>2374</v>
      </c>
      <c r="C373" s="7">
        <v>99.76</v>
      </c>
      <c r="D373" s="7" t="s">
        <v>2994</v>
      </c>
      <c r="E373" s="8" t="s">
        <v>2995</v>
      </c>
    </row>
    <row r="374" spans="1:5" x14ac:dyDescent="0.3">
      <c r="A374" s="7" t="s">
        <v>1345</v>
      </c>
      <c r="B374" s="7" t="s">
        <v>2382</v>
      </c>
      <c r="C374" s="7">
        <v>60</v>
      </c>
      <c r="D374" s="7" t="s">
        <v>2996</v>
      </c>
      <c r="E374" s="8" t="s">
        <v>3913</v>
      </c>
    </row>
    <row r="375" spans="1:5" x14ac:dyDescent="0.3">
      <c r="A375" s="7" t="s">
        <v>1351</v>
      </c>
      <c r="B375" s="7" t="s">
        <v>2374</v>
      </c>
      <c r="C375" s="7">
        <v>100</v>
      </c>
      <c r="D375" s="7" t="s">
        <v>2997</v>
      </c>
      <c r="E375" s="8" t="s">
        <v>2965</v>
      </c>
    </row>
    <row r="376" spans="1:5" x14ac:dyDescent="0.3">
      <c r="A376" s="7" t="s">
        <v>1357</v>
      </c>
      <c r="B376" s="7" t="s">
        <v>2374</v>
      </c>
      <c r="C376" s="7">
        <v>10</v>
      </c>
      <c r="D376" s="7" t="s">
        <v>2998</v>
      </c>
      <c r="E376" s="8" t="s">
        <v>2999</v>
      </c>
    </row>
    <row r="377" spans="1:5" x14ac:dyDescent="0.3">
      <c r="A377" s="7" t="s">
        <v>1363</v>
      </c>
      <c r="B377" s="7" t="s">
        <v>2374</v>
      </c>
      <c r="C377" s="7">
        <v>0</v>
      </c>
      <c r="D377" s="7" t="s">
        <v>3000</v>
      </c>
      <c r="E377" s="8" t="s">
        <v>3001</v>
      </c>
    </row>
    <row r="378" spans="1:5" x14ac:dyDescent="0.3">
      <c r="A378" s="7" t="s">
        <v>1369</v>
      </c>
      <c r="B378" s="7" t="s">
        <v>2374</v>
      </c>
      <c r="C378" s="7">
        <v>38</v>
      </c>
      <c r="D378" s="7" t="s">
        <v>3002</v>
      </c>
      <c r="E378" s="8" t="s">
        <v>3003</v>
      </c>
    </row>
    <row r="379" spans="1:5" x14ac:dyDescent="0.3">
      <c r="A379" s="7" t="s">
        <v>1375</v>
      </c>
      <c r="B379" s="7" t="s">
        <v>2410</v>
      </c>
      <c r="C379" s="7">
        <v>0</v>
      </c>
      <c r="D379" s="7" t="s">
        <v>3004</v>
      </c>
      <c r="E379" s="8" t="s">
        <v>3005</v>
      </c>
    </row>
    <row r="380" spans="1:5" x14ac:dyDescent="0.3">
      <c r="A380" s="7" t="s">
        <v>1381</v>
      </c>
      <c r="B380" s="7" t="s">
        <v>2766</v>
      </c>
      <c r="C380" s="7">
        <v>0</v>
      </c>
      <c r="D380" s="7" t="s">
        <v>3006</v>
      </c>
      <c r="E380" s="8" t="s">
        <v>3007</v>
      </c>
    </row>
    <row r="381" spans="1:5" x14ac:dyDescent="0.3">
      <c r="A381" s="7" t="s">
        <v>1387</v>
      </c>
      <c r="B381" s="7" t="s">
        <v>2374</v>
      </c>
      <c r="C381" s="7">
        <v>30</v>
      </c>
      <c r="D381" s="7" t="s">
        <v>3008</v>
      </c>
      <c r="E381" s="8" t="s">
        <v>3009</v>
      </c>
    </row>
    <row r="382" spans="1:5" x14ac:dyDescent="0.3">
      <c r="A382" s="7" t="s">
        <v>1393</v>
      </c>
      <c r="B382" s="7" t="s">
        <v>2374</v>
      </c>
      <c r="C382" s="7">
        <v>1</v>
      </c>
      <c r="D382" s="7" t="s">
        <v>3010</v>
      </c>
      <c r="E382" s="8" t="s">
        <v>3011</v>
      </c>
    </row>
    <row r="383" spans="1:5" x14ac:dyDescent="0.3">
      <c r="A383" s="7" t="s">
        <v>1399</v>
      </c>
      <c r="B383" s="7" t="s">
        <v>2374</v>
      </c>
      <c r="C383" s="7">
        <v>0</v>
      </c>
      <c r="D383" s="7" t="s">
        <v>3012</v>
      </c>
      <c r="E383" s="8" t="s">
        <v>2956</v>
      </c>
    </row>
    <row r="384" spans="1:5" x14ac:dyDescent="0.3">
      <c r="A384" s="7" t="s">
        <v>1405</v>
      </c>
      <c r="B384" s="7" t="s">
        <v>2374</v>
      </c>
      <c r="C384" s="7">
        <v>86</v>
      </c>
      <c r="D384" s="7" t="s">
        <v>3013</v>
      </c>
      <c r="E384" s="8" t="s">
        <v>3014</v>
      </c>
    </row>
    <row r="385" spans="1:5" x14ac:dyDescent="0.3">
      <c r="A385" s="7" t="s">
        <v>1410</v>
      </c>
      <c r="B385" s="7" t="s">
        <v>2374</v>
      </c>
      <c r="C385" s="7">
        <v>0</v>
      </c>
      <c r="D385" s="7" t="s">
        <v>3015</v>
      </c>
      <c r="E385" s="8" t="s">
        <v>3016</v>
      </c>
    </row>
    <row r="386" spans="1:5" x14ac:dyDescent="0.3">
      <c r="A386" s="7" t="s">
        <v>1416</v>
      </c>
      <c r="B386" s="7" t="s">
        <v>2374</v>
      </c>
      <c r="C386" s="7">
        <v>90</v>
      </c>
      <c r="D386" s="7" t="s">
        <v>3017</v>
      </c>
      <c r="E386" s="8" t="s">
        <v>3018</v>
      </c>
    </row>
    <row r="387" spans="1:5" x14ac:dyDescent="0.3">
      <c r="A387" s="7" t="s">
        <v>1422</v>
      </c>
      <c r="B387" s="7" t="s">
        <v>2404</v>
      </c>
      <c r="C387" s="7">
        <v>30</v>
      </c>
      <c r="D387" s="7" t="s">
        <v>3019</v>
      </c>
      <c r="E387" s="8" t="s">
        <v>2874</v>
      </c>
    </row>
    <row r="388" spans="1:5" x14ac:dyDescent="0.3">
      <c r="A388" s="7" t="s">
        <v>1422</v>
      </c>
      <c r="B388" s="7" t="s">
        <v>2374</v>
      </c>
      <c r="C388" s="7">
        <v>30</v>
      </c>
      <c r="D388" s="7" t="s">
        <v>3020</v>
      </c>
      <c r="E388" s="8" t="s">
        <v>2874</v>
      </c>
    </row>
    <row r="389" spans="1:5" x14ac:dyDescent="0.3">
      <c r="A389" s="7" t="s">
        <v>1428</v>
      </c>
      <c r="B389" s="7" t="s">
        <v>2374</v>
      </c>
      <c r="C389" s="7">
        <v>30</v>
      </c>
      <c r="D389" s="7" t="s">
        <v>2900</v>
      </c>
      <c r="E389" s="8" t="s">
        <v>3021</v>
      </c>
    </row>
    <row r="390" spans="1:5" x14ac:dyDescent="0.3">
      <c r="A390" s="7" t="s">
        <v>1434</v>
      </c>
      <c r="B390" s="7" t="s">
        <v>2410</v>
      </c>
      <c r="C390" s="7">
        <v>80</v>
      </c>
      <c r="D390" s="7" t="s">
        <v>3022</v>
      </c>
      <c r="E390" s="8" t="s">
        <v>3914</v>
      </c>
    </row>
    <row r="391" spans="1:5" x14ac:dyDescent="0.3">
      <c r="A391" s="7" t="s">
        <v>1440</v>
      </c>
      <c r="B391" s="7" t="s">
        <v>2374</v>
      </c>
      <c r="C391" s="7">
        <v>2.5</v>
      </c>
      <c r="D391" s="7" t="s">
        <v>3023</v>
      </c>
      <c r="E391" s="8" t="s">
        <v>3024</v>
      </c>
    </row>
    <row r="392" spans="1:5" x14ac:dyDescent="0.3">
      <c r="A392" s="7" t="s">
        <v>1446</v>
      </c>
      <c r="B392" s="7" t="s">
        <v>2374</v>
      </c>
      <c r="C392" s="7">
        <v>5.8</v>
      </c>
      <c r="D392" s="7" t="s">
        <v>3025</v>
      </c>
      <c r="E392" s="8" t="s">
        <v>3026</v>
      </c>
    </row>
    <row r="393" spans="1:5" x14ac:dyDescent="0.3">
      <c r="A393" s="7" t="s">
        <v>1452</v>
      </c>
      <c r="B393" s="7" t="s">
        <v>2374</v>
      </c>
      <c r="C393" s="7">
        <v>100</v>
      </c>
      <c r="D393" s="7" t="s">
        <v>3027</v>
      </c>
      <c r="E393" s="8" t="s">
        <v>3028</v>
      </c>
    </row>
    <row r="394" spans="1:5" x14ac:dyDescent="0.3">
      <c r="A394" s="7" t="s">
        <v>1452</v>
      </c>
      <c r="B394" s="7" t="s">
        <v>2382</v>
      </c>
      <c r="C394" s="7">
        <v>100</v>
      </c>
      <c r="D394" s="7" t="s">
        <v>3027</v>
      </c>
      <c r="E394" s="8" t="s">
        <v>3915</v>
      </c>
    </row>
    <row r="395" spans="1:5" x14ac:dyDescent="0.3">
      <c r="A395" s="7" t="s">
        <v>1458</v>
      </c>
      <c r="B395" s="7" t="s">
        <v>2374</v>
      </c>
      <c r="C395" s="7">
        <v>30</v>
      </c>
      <c r="D395" s="7" t="s">
        <v>3029</v>
      </c>
      <c r="E395" s="8" t="s">
        <v>3030</v>
      </c>
    </row>
    <row r="396" spans="1:5" x14ac:dyDescent="0.3">
      <c r="A396" s="7" t="s">
        <v>1464</v>
      </c>
      <c r="B396" s="7" t="s">
        <v>2374</v>
      </c>
      <c r="C396" s="7">
        <v>6</v>
      </c>
      <c r="D396" s="7" t="s">
        <v>3031</v>
      </c>
      <c r="E396" s="8" t="s">
        <v>3032</v>
      </c>
    </row>
    <row r="397" spans="1:5" x14ac:dyDescent="0.3">
      <c r="A397" s="7" t="s">
        <v>1470</v>
      </c>
      <c r="B397" s="7" t="s">
        <v>2766</v>
      </c>
      <c r="C397" s="7">
        <v>30</v>
      </c>
      <c r="D397" s="7" t="s">
        <v>3033</v>
      </c>
      <c r="E397" s="8" t="s">
        <v>3030</v>
      </c>
    </row>
    <row r="398" spans="1:5" x14ac:dyDescent="0.3">
      <c r="A398" s="7" t="s">
        <v>1470</v>
      </c>
      <c r="B398" s="7" t="s">
        <v>2374</v>
      </c>
      <c r="C398" s="7">
        <v>30</v>
      </c>
      <c r="D398" s="7" t="s">
        <v>3034</v>
      </c>
      <c r="E398" s="8" t="s">
        <v>3030</v>
      </c>
    </row>
    <row r="399" spans="1:5" x14ac:dyDescent="0.3">
      <c r="A399" s="7" t="s">
        <v>1470</v>
      </c>
      <c r="B399" s="7" t="s">
        <v>2404</v>
      </c>
      <c r="C399" s="7">
        <v>30</v>
      </c>
      <c r="D399" s="7" t="s">
        <v>3035</v>
      </c>
      <c r="E399" s="8" t="s">
        <v>3030</v>
      </c>
    </row>
    <row r="400" spans="1:5" x14ac:dyDescent="0.3">
      <c r="A400" s="7" t="s">
        <v>1476</v>
      </c>
      <c r="B400" s="7" t="s">
        <v>2374</v>
      </c>
      <c r="C400" s="7">
        <v>10</v>
      </c>
      <c r="D400" s="7" t="s">
        <v>3036</v>
      </c>
      <c r="E400" s="8" t="s">
        <v>2999</v>
      </c>
    </row>
    <row r="401" spans="1:5" x14ac:dyDescent="0.3">
      <c r="A401" s="7" t="s">
        <v>1482</v>
      </c>
      <c r="B401" s="7" t="s">
        <v>2374</v>
      </c>
      <c r="C401" s="7">
        <v>94</v>
      </c>
      <c r="D401" s="7" t="s">
        <v>3037</v>
      </c>
      <c r="E401" s="8" t="s">
        <v>3038</v>
      </c>
    </row>
    <row r="402" spans="1:5" x14ac:dyDescent="0.3">
      <c r="A402" s="7" t="s">
        <v>1488</v>
      </c>
      <c r="B402" s="7" t="s">
        <v>2374</v>
      </c>
      <c r="C402" s="7">
        <v>47</v>
      </c>
      <c r="D402" s="7" t="s">
        <v>3039</v>
      </c>
      <c r="E402" s="8" t="s">
        <v>3040</v>
      </c>
    </row>
    <row r="403" spans="1:5" x14ac:dyDescent="0.3">
      <c r="A403" s="7" t="s">
        <v>1488</v>
      </c>
      <c r="B403" s="7" t="s">
        <v>2382</v>
      </c>
      <c r="C403" s="7">
        <v>100</v>
      </c>
      <c r="D403" s="7" t="s">
        <v>3041</v>
      </c>
      <c r="E403" s="8" t="s">
        <v>3916</v>
      </c>
    </row>
    <row r="404" spans="1:5" x14ac:dyDescent="0.3">
      <c r="A404" s="7" t="s">
        <v>1488</v>
      </c>
      <c r="B404" s="7" t="s">
        <v>2404</v>
      </c>
      <c r="C404" s="7">
        <v>100</v>
      </c>
      <c r="D404" s="7" t="s">
        <v>3041</v>
      </c>
      <c r="E404" s="8" t="s">
        <v>3916</v>
      </c>
    </row>
    <row r="405" spans="1:5" x14ac:dyDescent="0.3">
      <c r="A405" s="7" t="s">
        <v>1494</v>
      </c>
      <c r="B405" s="7" t="s">
        <v>2374</v>
      </c>
      <c r="C405" s="7">
        <v>75</v>
      </c>
      <c r="D405" s="7" t="s">
        <v>3042</v>
      </c>
      <c r="E405" s="8" t="s">
        <v>3043</v>
      </c>
    </row>
    <row r="406" spans="1:5" x14ac:dyDescent="0.3">
      <c r="A406" s="7" t="s">
        <v>1500</v>
      </c>
      <c r="B406" s="7" t="s">
        <v>2407</v>
      </c>
      <c r="C406" s="7">
        <v>0</v>
      </c>
      <c r="D406" s="7" t="s">
        <v>3044</v>
      </c>
      <c r="E406" s="8" t="s">
        <v>3045</v>
      </c>
    </row>
    <row r="407" spans="1:5" x14ac:dyDescent="0.3">
      <c r="A407" s="7" t="s">
        <v>1500</v>
      </c>
      <c r="B407" s="7" t="s">
        <v>2505</v>
      </c>
      <c r="C407" s="7">
        <v>37</v>
      </c>
      <c r="D407" s="7" t="s">
        <v>3046</v>
      </c>
      <c r="E407" s="8" t="s">
        <v>3917</v>
      </c>
    </row>
    <row r="408" spans="1:5" x14ac:dyDescent="0.3">
      <c r="A408" s="7" t="s">
        <v>1500</v>
      </c>
      <c r="B408" s="7" t="s">
        <v>2374</v>
      </c>
      <c r="C408" s="7">
        <v>0</v>
      </c>
      <c r="D408" s="7" t="s">
        <v>3047</v>
      </c>
      <c r="E408" s="8" t="s">
        <v>3048</v>
      </c>
    </row>
    <row r="409" spans="1:5" x14ac:dyDescent="0.3">
      <c r="A409" s="7" t="s">
        <v>1500</v>
      </c>
      <c r="B409" s="7" t="s">
        <v>2371</v>
      </c>
      <c r="C409" s="7">
        <v>100</v>
      </c>
      <c r="D409" s="7" t="s">
        <v>3049</v>
      </c>
      <c r="E409" s="8" t="s">
        <v>3050</v>
      </c>
    </row>
    <row r="410" spans="1:5" x14ac:dyDescent="0.3">
      <c r="A410" s="7" t="s">
        <v>1506</v>
      </c>
      <c r="B410" s="7" t="s">
        <v>2505</v>
      </c>
      <c r="C410" s="7">
        <v>92</v>
      </c>
      <c r="D410" s="7" t="s">
        <v>3051</v>
      </c>
      <c r="E410" s="8" t="s">
        <v>3052</v>
      </c>
    </row>
    <row r="411" spans="1:5" x14ac:dyDescent="0.3">
      <c r="A411" s="7" t="s">
        <v>1506</v>
      </c>
      <c r="B411" s="7" t="s">
        <v>2374</v>
      </c>
      <c r="C411" s="7">
        <v>92</v>
      </c>
      <c r="D411" s="7" t="s">
        <v>3053</v>
      </c>
      <c r="E411" s="8" t="s">
        <v>3052</v>
      </c>
    </row>
    <row r="412" spans="1:5" x14ac:dyDescent="0.3">
      <c r="A412" s="7" t="s">
        <v>1512</v>
      </c>
      <c r="B412" s="7" t="s">
        <v>2374</v>
      </c>
      <c r="C412" s="7">
        <v>100</v>
      </c>
      <c r="D412" s="7" t="s">
        <v>3054</v>
      </c>
      <c r="E412" s="8" t="s">
        <v>2688</v>
      </c>
    </row>
    <row r="413" spans="1:5" x14ac:dyDescent="0.3">
      <c r="A413" s="7" t="s">
        <v>1518</v>
      </c>
      <c r="B413" s="7" t="s">
        <v>2374</v>
      </c>
      <c r="C413" s="7">
        <v>10</v>
      </c>
      <c r="D413" s="7" t="s">
        <v>3055</v>
      </c>
      <c r="E413" s="8" t="s">
        <v>3056</v>
      </c>
    </row>
    <row r="414" spans="1:5" x14ac:dyDescent="0.3">
      <c r="A414" s="7" t="s">
        <v>1523</v>
      </c>
      <c r="B414" s="7" t="s">
        <v>2374</v>
      </c>
      <c r="C414" s="7">
        <v>2</v>
      </c>
      <c r="D414" s="7" t="s">
        <v>3057</v>
      </c>
      <c r="E414" s="8" t="s">
        <v>2849</v>
      </c>
    </row>
    <row r="415" spans="1:5" x14ac:dyDescent="0.3">
      <c r="A415" s="7" t="s">
        <v>1529</v>
      </c>
      <c r="B415" s="7" t="s">
        <v>2374</v>
      </c>
      <c r="C415" s="7">
        <v>0.3</v>
      </c>
      <c r="D415" s="7" t="s">
        <v>3058</v>
      </c>
      <c r="E415" s="8" t="s">
        <v>3059</v>
      </c>
    </row>
    <row r="416" spans="1:5" x14ac:dyDescent="0.3">
      <c r="A416" s="7" t="s">
        <v>1529</v>
      </c>
      <c r="B416" s="7" t="s">
        <v>2382</v>
      </c>
      <c r="C416" s="7">
        <v>100</v>
      </c>
      <c r="D416" s="7" t="s">
        <v>3058</v>
      </c>
      <c r="E416" s="8" t="s">
        <v>3060</v>
      </c>
    </row>
    <row r="417" spans="1:5" x14ac:dyDescent="0.3">
      <c r="A417" s="7" t="s">
        <v>1529</v>
      </c>
      <c r="B417" s="7" t="s">
        <v>2404</v>
      </c>
      <c r="C417" s="7">
        <v>100</v>
      </c>
      <c r="D417" s="7" t="s">
        <v>3058</v>
      </c>
      <c r="E417" s="8" t="s">
        <v>3060</v>
      </c>
    </row>
    <row r="418" spans="1:5" ht="18.600000000000001" x14ac:dyDescent="0.3">
      <c r="A418" s="7" t="s">
        <v>1535</v>
      </c>
      <c r="B418" s="7" t="s">
        <v>2374</v>
      </c>
      <c r="C418" s="7">
        <v>70</v>
      </c>
      <c r="D418" s="7" t="s">
        <v>3061</v>
      </c>
      <c r="E418" s="8" t="s">
        <v>3918</v>
      </c>
    </row>
    <row r="419" spans="1:5" x14ac:dyDescent="0.3">
      <c r="A419" s="7" t="s">
        <v>1535</v>
      </c>
      <c r="B419" s="7" t="s">
        <v>2382</v>
      </c>
      <c r="C419" s="7">
        <v>100</v>
      </c>
      <c r="D419" s="7" t="s">
        <v>3062</v>
      </c>
      <c r="E419" s="8" t="s">
        <v>2965</v>
      </c>
    </row>
    <row r="420" spans="1:5" x14ac:dyDescent="0.3">
      <c r="A420" s="7" t="s">
        <v>1535</v>
      </c>
      <c r="B420" s="7" t="s">
        <v>2404</v>
      </c>
      <c r="C420" s="7">
        <v>100</v>
      </c>
      <c r="D420" s="7" t="s">
        <v>3062</v>
      </c>
      <c r="E420" s="8" t="s">
        <v>2965</v>
      </c>
    </row>
    <row r="421" spans="1:5" x14ac:dyDescent="0.3">
      <c r="A421" s="7" t="s">
        <v>1541</v>
      </c>
      <c r="B421" s="7" t="s">
        <v>2407</v>
      </c>
      <c r="C421" s="7">
        <v>100</v>
      </c>
      <c r="D421" s="7" t="s">
        <v>3063</v>
      </c>
      <c r="E421" s="8" t="s">
        <v>3064</v>
      </c>
    </row>
    <row r="422" spans="1:5" x14ac:dyDescent="0.3">
      <c r="A422" s="7" t="s">
        <v>1546</v>
      </c>
      <c r="B422" s="7" t="s">
        <v>2374</v>
      </c>
      <c r="C422" s="7">
        <v>30</v>
      </c>
      <c r="D422" s="7" t="s">
        <v>3065</v>
      </c>
      <c r="E422" s="8" t="s">
        <v>3030</v>
      </c>
    </row>
    <row r="423" spans="1:5" x14ac:dyDescent="0.3">
      <c r="A423" s="7" t="s">
        <v>1552</v>
      </c>
      <c r="B423" s="7" t="s">
        <v>2374</v>
      </c>
      <c r="C423" s="7">
        <v>75</v>
      </c>
      <c r="D423" s="7" t="s">
        <v>3066</v>
      </c>
      <c r="E423" s="8" t="s">
        <v>3067</v>
      </c>
    </row>
    <row r="424" spans="1:5" x14ac:dyDescent="0.3">
      <c r="A424" s="7" t="s">
        <v>1558</v>
      </c>
      <c r="B424" s="7" t="s">
        <v>2374</v>
      </c>
      <c r="C424" s="7">
        <v>38</v>
      </c>
      <c r="D424" s="7" t="s">
        <v>3068</v>
      </c>
      <c r="E424" s="8" t="s">
        <v>3069</v>
      </c>
    </row>
    <row r="425" spans="1:5" x14ac:dyDescent="0.3">
      <c r="A425" s="7" t="s">
        <v>1558</v>
      </c>
      <c r="B425" s="7" t="s">
        <v>2785</v>
      </c>
      <c r="C425" s="7">
        <v>100</v>
      </c>
      <c r="D425" s="7" t="s">
        <v>3070</v>
      </c>
      <c r="E425" s="8" t="s">
        <v>3071</v>
      </c>
    </row>
    <row r="426" spans="1:5" x14ac:dyDescent="0.3">
      <c r="A426" s="7" t="s">
        <v>1563</v>
      </c>
      <c r="B426" s="7" t="s">
        <v>2374</v>
      </c>
      <c r="C426" s="7">
        <v>30</v>
      </c>
      <c r="D426" s="7" t="s">
        <v>3072</v>
      </c>
      <c r="E426" s="8" t="s">
        <v>3073</v>
      </c>
    </row>
    <row r="427" spans="1:5" x14ac:dyDescent="0.3">
      <c r="A427" s="7" t="s">
        <v>1563</v>
      </c>
      <c r="B427" s="7" t="s">
        <v>2785</v>
      </c>
      <c r="C427" s="7">
        <v>30</v>
      </c>
      <c r="D427" s="7" t="s">
        <v>3074</v>
      </c>
      <c r="E427" s="8" t="s">
        <v>3073</v>
      </c>
    </row>
    <row r="428" spans="1:5" x14ac:dyDescent="0.3">
      <c r="A428" s="7" t="s">
        <v>1563</v>
      </c>
      <c r="B428" s="7" t="s">
        <v>3075</v>
      </c>
      <c r="C428" s="7">
        <v>30</v>
      </c>
      <c r="D428" s="7" t="s">
        <v>3076</v>
      </c>
      <c r="E428" s="8" t="s">
        <v>3073</v>
      </c>
    </row>
    <row r="429" spans="1:5" x14ac:dyDescent="0.3">
      <c r="A429" s="7" t="s">
        <v>1569</v>
      </c>
      <c r="B429" s="7" t="s">
        <v>2374</v>
      </c>
      <c r="C429" s="7">
        <v>30</v>
      </c>
      <c r="D429" s="7" t="s">
        <v>3077</v>
      </c>
      <c r="E429" s="8" t="s">
        <v>3073</v>
      </c>
    </row>
    <row r="430" spans="1:5" x14ac:dyDescent="0.3">
      <c r="A430" s="7" t="s">
        <v>1569</v>
      </c>
      <c r="B430" s="7" t="s">
        <v>2785</v>
      </c>
      <c r="C430" s="7">
        <v>100</v>
      </c>
      <c r="D430" s="7" t="s">
        <v>3078</v>
      </c>
      <c r="E430" s="8" t="s">
        <v>2936</v>
      </c>
    </row>
    <row r="431" spans="1:5" x14ac:dyDescent="0.3">
      <c r="A431" s="7" t="s">
        <v>1575</v>
      </c>
      <c r="B431" s="7" t="s">
        <v>2785</v>
      </c>
      <c r="C431" s="7">
        <v>100</v>
      </c>
      <c r="D431" s="7" t="s">
        <v>3079</v>
      </c>
      <c r="E431" s="8" t="s">
        <v>2936</v>
      </c>
    </row>
    <row r="432" spans="1:5" x14ac:dyDescent="0.3">
      <c r="A432" s="7" t="s">
        <v>1575</v>
      </c>
      <c r="B432" s="7" t="s">
        <v>2382</v>
      </c>
      <c r="C432" s="7">
        <v>100</v>
      </c>
      <c r="D432" s="7" t="s">
        <v>3080</v>
      </c>
      <c r="E432" s="8" t="s">
        <v>2936</v>
      </c>
    </row>
    <row r="433" spans="1:5" x14ac:dyDescent="0.3">
      <c r="A433" s="7" t="s">
        <v>1575</v>
      </c>
      <c r="B433" s="7" t="s">
        <v>2988</v>
      </c>
      <c r="C433" s="7">
        <v>100</v>
      </c>
      <c r="D433" s="7" t="s">
        <v>3081</v>
      </c>
      <c r="E433" s="8" t="s">
        <v>2936</v>
      </c>
    </row>
    <row r="434" spans="1:5" x14ac:dyDescent="0.3">
      <c r="A434" s="7" t="s">
        <v>1575</v>
      </c>
      <c r="B434" s="7" t="s">
        <v>3082</v>
      </c>
      <c r="C434" s="7">
        <v>100</v>
      </c>
      <c r="D434" s="7" t="s">
        <v>3083</v>
      </c>
      <c r="E434" s="8" t="s">
        <v>2936</v>
      </c>
    </row>
    <row r="435" spans="1:5" x14ac:dyDescent="0.3">
      <c r="A435" s="7" t="s">
        <v>1581</v>
      </c>
      <c r="B435" s="7" t="s">
        <v>2374</v>
      </c>
      <c r="C435" s="7">
        <v>84</v>
      </c>
      <c r="D435" s="7" t="s">
        <v>3084</v>
      </c>
      <c r="E435" s="8" t="s">
        <v>3085</v>
      </c>
    </row>
    <row r="436" spans="1:5" x14ac:dyDescent="0.3">
      <c r="A436" s="7" t="s">
        <v>1587</v>
      </c>
      <c r="B436" s="7" t="s">
        <v>2410</v>
      </c>
      <c r="C436" s="7">
        <v>30</v>
      </c>
      <c r="D436" s="7" t="s">
        <v>3086</v>
      </c>
      <c r="E436" s="8" t="s">
        <v>3087</v>
      </c>
    </row>
    <row r="437" spans="1:5" x14ac:dyDescent="0.3">
      <c r="A437" s="7" t="s">
        <v>1593</v>
      </c>
      <c r="B437" s="7" t="s">
        <v>2374</v>
      </c>
      <c r="C437" s="7">
        <v>85</v>
      </c>
      <c r="D437" s="7" t="s">
        <v>3088</v>
      </c>
      <c r="E437" s="8" t="s">
        <v>3089</v>
      </c>
    </row>
    <row r="438" spans="1:5" x14ac:dyDescent="0.3">
      <c r="A438" s="7" t="s">
        <v>1599</v>
      </c>
      <c r="B438" s="7" t="s">
        <v>2374</v>
      </c>
      <c r="C438" s="7">
        <v>90</v>
      </c>
      <c r="D438" s="7" t="s">
        <v>3090</v>
      </c>
      <c r="E438" s="8" t="s">
        <v>3091</v>
      </c>
    </row>
    <row r="439" spans="1:5" x14ac:dyDescent="0.3">
      <c r="A439" s="7" t="s">
        <v>1605</v>
      </c>
      <c r="B439" s="7" t="s">
        <v>2407</v>
      </c>
      <c r="C439" s="7">
        <v>100</v>
      </c>
      <c r="D439" s="7" t="s">
        <v>3044</v>
      </c>
      <c r="E439" s="8" t="s">
        <v>3092</v>
      </c>
    </row>
    <row r="440" spans="1:5" x14ac:dyDescent="0.3">
      <c r="A440" s="7" t="s">
        <v>1611</v>
      </c>
      <c r="B440" s="7" t="s">
        <v>2407</v>
      </c>
      <c r="C440" s="7">
        <v>100</v>
      </c>
      <c r="D440" s="7" t="s">
        <v>3093</v>
      </c>
      <c r="E440" s="8" t="s">
        <v>3922</v>
      </c>
    </row>
    <row r="441" spans="1:5" x14ac:dyDescent="0.3">
      <c r="A441" s="7" t="s">
        <v>1611</v>
      </c>
      <c r="B441" s="7" t="s">
        <v>2505</v>
      </c>
      <c r="C441" s="7">
        <v>1</v>
      </c>
      <c r="D441" s="7" t="s">
        <v>3094</v>
      </c>
      <c r="E441" s="8" t="s">
        <v>3095</v>
      </c>
    </row>
    <row r="442" spans="1:5" x14ac:dyDescent="0.3">
      <c r="A442" s="7" t="s">
        <v>1617</v>
      </c>
      <c r="B442" s="7" t="s">
        <v>2374</v>
      </c>
      <c r="C442" s="7">
        <v>70</v>
      </c>
      <c r="D442" s="7" t="s">
        <v>3096</v>
      </c>
      <c r="E442" s="8" t="s">
        <v>3097</v>
      </c>
    </row>
    <row r="443" spans="1:5" x14ac:dyDescent="0.3">
      <c r="A443" s="7" t="s">
        <v>1617</v>
      </c>
      <c r="B443" s="7" t="s">
        <v>2988</v>
      </c>
      <c r="C443" s="7">
        <v>70</v>
      </c>
      <c r="D443" s="7" t="s">
        <v>3098</v>
      </c>
      <c r="E443" s="8" t="s">
        <v>3097</v>
      </c>
    </row>
    <row r="444" spans="1:5" x14ac:dyDescent="0.3">
      <c r="A444" s="7" t="s">
        <v>1623</v>
      </c>
      <c r="B444" s="7" t="s">
        <v>2410</v>
      </c>
      <c r="C444" s="7">
        <v>98</v>
      </c>
      <c r="D444" s="7" t="s">
        <v>3099</v>
      </c>
      <c r="E444" s="8" t="s">
        <v>3100</v>
      </c>
    </row>
    <row r="445" spans="1:5" x14ac:dyDescent="0.3">
      <c r="A445" s="7" t="s">
        <v>1629</v>
      </c>
      <c r="B445" s="7" t="s">
        <v>2410</v>
      </c>
      <c r="C445" s="7">
        <v>2</v>
      </c>
      <c r="D445" s="7" t="s">
        <v>3101</v>
      </c>
      <c r="E445" s="8" t="s">
        <v>2849</v>
      </c>
    </row>
    <row r="446" spans="1:5" x14ac:dyDescent="0.3">
      <c r="A446" s="7" t="s">
        <v>1635</v>
      </c>
      <c r="B446" s="7" t="s">
        <v>2766</v>
      </c>
      <c r="C446" s="7">
        <v>100</v>
      </c>
      <c r="D446" s="7" t="s">
        <v>3102</v>
      </c>
      <c r="E446" s="8" t="s">
        <v>3103</v>
      </c>
    </row>
    <row r="447" spans="1:5" x14ac:dyDescent="0.3">
      <c r="A447" s="7" t="s">
        <v>1635</v>
      </c>
      <c r="B447" s="7" t="s">
        <v>2374</v>
      </c>
      <c r="C447" s="7">
        <v>100</v>
      </c>
      <c r="D447" s="7" t="s">
        <v>3104</v>
      </c>
      <c r="E447" s="8" t="s">
        <v>3103</v>
      </c>
    </row>
    <row r="448" spans="1:5" x14ac:dyDescent="0.3">
      <c r="A448" s="7" t="s">
        <v>1641</v>
      </c>
      <c r="B448" s="7" t="s">
        <v>2374</v>
      </c>
      <c r="C448" s="7">
        <v>31</v>
      </c>
      <c r="D448" s="7" t="s">
        <v>3105</v>
      </c>
      <c r="E448" s="8" t="s">
        <v>3106</v>
      </c>
    </row>
    <row r="449" spans="1:5" x14ac:dyDescent="0.3">
      <c r="A449" s="7" t="s">
        <v>1647</v>
      </c>
      <c r="B449" s="7" t="s">
        <v>2407</v>
      </c>
      <c r="C449" s="7">
        <v>95</v>
      </c>
      <c r="D449" s="7" t="s">
        <v>3107</v>
      </c>
      <c r="E449" s="8" t="s">
        <v>3108</v>
      </c>
    </row>
    <row r="450" spans="1:5" x14ac:dyDescent="0.3">
      <c r="A450" s="7" t="s">
        <v>1647</v>
      </c>
      <c r="B450" s="7" t="s">
        <v>2505</v>
      </c>
      <c r="C450" s="7">
        <v>30</v>
      </c>
      <c r="D450" s="7" t="s">
        <v>3109</v>
      </c>
      <c r="E450" s="8" t="s">
        <v>3110</v>
      </c>
    </row>
    <row r="451" spans="1:5" x14ac:dyDescent="0.3">
      <c r="A451" s="7" t="s">
        <v>1647</v>
      </c>
      <c r="B451" s="7" t="s">
        <v>2432</v>
      </c>
      <c r="C451" s="7">
        <v>78</v>
      </c>
      <c r="D451" s="7" t="s">
        <v>3111</v>
      </c>
      <c r="E451" s="8" t="s">
        <v>3112</v>
      </c>
    </row>
    <row r="452" spans="1:5" x14ac:dyDescent="0.3">
      <c r="A452" s="7" t="s">
        <v>1653</v>
      </c>
      <c r="B452" s="7" t="s">
        <v>2374</v>
      </c>
      <c r="C452" s="7">
        <v>0</v>
      </c>
      <c r="D452" s="7" t="s">
        <v>3113</v>
      </c>
      <c r="E452" s="8" t="s">
        <v>3001</v>
      </c>
    </row>
    <row r="453" spans="1:5" x14ac:dyDescent="0.3">
      <c r="A453" s="7" t="s">
        <v>1653</v>
      </c>
      <c r="B453" s="7" t="s">
        <v>2461</v>
      </c>
      <c r="C453" s="7">
        <v>0</v>
      </c>
      <c r="D453" s="7" t="s">
        <v>3114</v>
      </c>
      <c r="E453" s="8" t="s">
        <v>3115</v>
      </c>
    </row>
    <row r="454" spans="1:5" x14ac:dyDescent="0.3">
      <c r="A454" s="7" t="s">
        <v>1653</v>
      </c>
      <c r="B454" s="7" t="s">
        <v>2785</v>
      </c>
      <c r="C454" s="7">
        <v>0</v>
      </c>
      <c r="D454" s="7" t="s">
        <v>3074</v>
      </c>
      <c r="E454" s="8" t="s">
        <v>3001</v>
      </c>
    </row>
    <row r="455" spans="1:5" x14ac:dyDescent="0.3">
      <c r="A455" s="7" t="s">
        <v>1659</v>
      </c>
      <c r="B455" s="7" t="s">
        <v>2785</v>
      </c>
      <c r="C455" s="7">
        <v>100</v>
      </c>
      <c r="D455" s="7" t="s">
        <v>3116</v>
      </c>
      <c r="E455" s="8" t="s">
        <v>3117</v>
      </c>
    </row>
    <row r="456" spans="1:5" x14ac:dyDescent="0.3">
      <c r="A456" s="7" t="s">
        <v>1659</v>
      </c>
      <c r="B456" s="7" t="s">
        <v>2727</v>
      </c>
      <c r="C456" s="7">
        <v>36</v>
      </c>
      <c r="D456" s="7" t="s">
        <v>3118</v>
      </c>
      <c r="E456" s="8" t="s">
        <v>3923</v>
      </c>
    </row>
    <row r="457" spans="1:5" x14ac:dyDescent="0.3">
      <c r="A457" s="7" t="s">
        <v>1659</v>
      </c>
      <c r="B457" s="7" t="s">
        <v>2374</v>
      </c>
      <c r="C457" s="7">
        <v>60</v>
      </c>
      <c r="D457" s="7" t="s">
        <v>3119</v>
      </c>
      <c r="E457" s="8" t="s">
        <v>3120</v>
      </c>
    </row>
    <row r="458" spans="1:5" x14ac:dyDescent="0.3">
      <c r="A458" s="7" t="s">
        <v>1665</v>
      </c>
      <c r="B458" s="7" t="s">
        <v>2374</v>
      </c>
      <c r="C458" s="7">
        <v>0</v>
      </c>
      <c r="D458" s="7" t="s">
        <v>3121</v>
      </c>
      <c r="E458" s="8" t="s">
        <v>3122</v>
      </c>
    </row>
    <row r="459" spans="1:5" x14ac:dyDescent="0.3">
      <c r="A459" s="7" t="s">
        <v>1671</v>
      </c>
      <c r="B459" s="7" t="s">
        <v>2374</v>
      </c>
      <c r="C459" s="7">
        <v>87</v>
      </c>
      <c r="D459" s="7" t="s">
        <v>3123</v>
      </c>
      <c r="E459" s="8" t="s">
        <v>3924</v>
      </c>
    </row>
    <row r="460" spans="1:5" x14ac:dyDescent="0.3">
      <c r="A460" s="7" t="s">
        <v>1671</v>
      </c>
      <c r="B460" s="7" t="s">
        <v>2382</v>
      </c>
      <c r="C460" s="7">
        <v>70</v>
      </c>
      <c r="D460" s="7" t="s">
        <v>3124</v>
      </c>
      <c r="E460" s="8" t="s">
        <v>3125</v>
      </c>
    </row>
    <row r="461" spans="1:5" x14ac:dyDescent="0.3">
      <c r="A461" s="7" t="s">
        <v>1671</v>
      </c>
      <c r="B461" s="7" t="s">
        <v>2404</v>
      </c>
      <c r="C461" s="7">
        <v>70</v>
      </c>
      <c r="D461" s="7" t="s">
        <v>3124</v>
      </c>
      <c r="E461" s="8" t="s">
        <v>3125</v>
      </c>
    </row>
    <row r="462" spans="1:5" x14ac:dyDescent="0.3">
      <c r="A462" s="7" t="s">
        <v>1677</v>
      </c>
      <c r="B462" s="7" t="s">
        <v>2766</v>
      </c>
      <c r="C462" s="7">
        <v>100</v>
      </c>
      <c r="D462" s="7" t="s">
        <v>3126</v>
      </c>
      <c r="E462" s="8" t="s">
        <v>2688</v>
      </c>
    </row>
    <row r="463" spans="1:5" x14ac:dyDescent="0.3">
      <c r="A463" s="7" t="s">
        <v>1678</v>
      </c>
      <c r="B463" s="7" t="s">
        <v>2407</v>
      </c>
      <c r="C463" s="7">
        <v>100</v>
      </c>
      <c r="D463" s="7" t="s">
        <v>3127</v>
      </c>
      <c r="E463" s="8" t="s">
        <v>3128</v>
      </c>
    </row>
    <row r="464" spans="1:5" x14ac:dyDescent="0.3">
      <c r="A464" s="7" t="s">
        <v>1684</v>
      </c>
      <c r="B464" s="7" t="s">
        <v>2407</v>
      </c>
      <c r="C464" s="7">
        <v>0</v>
      </c>
      <c r="D464" s="7" t="s">
        <v>3129</v>
      </c>
      <c r="E464" s="8" t="s">
        <v>3130</v>
      </c>
    </row>
    <row r="465" spans="1:5" x14ac:dyDescent="0.3">
      <c r="A465" s="7" t="s">
        <v>1689</v>
      </c>
      <c r="B465" s="7" t="s">
        <v>2967</v>
      </c>
      <c r="C465" s="7">
        <v>100</v>
      </c>
      <c r="D465" s="7" t="s">
        <v>3131</v>
      </c>
      <c r="E465" s="8" t="s">
        <v>2688</v>
      </c>
    </row>
    <row r="466" spans="1:5" x14ac:dyDescent="0.3">
      <c r="A466" s="7" t="s">
        <v>1689</v>
      </c>
      <c r="B466" s="7" t="s">
        <v>2969</v>
      </c>
      <c r="C466" s="7">
        <v>100</v>
      </c>
      <c r="D466" s="7" t="s">
        <v>3131</v>
      </c>
      <c r="E466" s="8" t="s">
        <v>2688</v>
      </c>
    </row>
    <row r="467" spans="1:5" x14ac:dyDescent="0.3">
      <c r="A467" s="7" t="s">
        <v>1689</v>
      </c>
      <c r="B467" s="7" t="s">
        <v>2606</v>
      </c>
      <c r="C467" s="7">
        <v>100</v>
      </c>
      <c r="D467" s="7" t="s">
        <v>3132</v>
      </c>
      <c r="E467" s="8" t="s">
        <v>3133</v>
      </c>
    </row>
    <row r="468" spans="1:5" x14ac:dyDescent="0.3">
      <c r="A468" s="7" t="s">
        <v>1689</v>
      </c>
      <c r="B468" s="7" t="s">
        <v>2432</v>
      </c>
      <c r="C468" s="7">
        <v>100</v>
      </c>
      <c r="D468" s="7" t="s">
        <v>3134</v>
      </c>
      <c r="E468" s="8" t="s">
        <v>3135</v>
      </c>
    </row>
    <row r="469" spans="1:5" x14ac:dyDescent="0.3">
      <c r="A469" s="7" t="s">
        <v>1689</v>
      </c>
      <c r="B469" s="7" t="s">
        <v>2410</v>
      </c>
      <c r="C469" s="7">
        <v>80</v>
      </c>
      <c r="D469" s="7" t="s">
        <v>3136</v>
      </c>
      <c r="E469" s="8" t="s">
        <v>2501</v>
      </c>
    </row>
    <row r="470" spans="1:5" x14ac:dyDescent="0.3">
      <c r="A470" s="7" t="s">
        <v>1695</v>
      </c>
      <c r="B470" s="7" t="s">
        <v>2505</v>
      </c>
      <c r="C470" s="7">
        <v>10</v>
      </c>
      <c r="D470" s="7" t="s">
        <v>3137</v>
      </c>
      <c r="E470" s="8" t="s">
        <v>3138</v>
      </c>
    </row>
    <row r="471" spans="1:5" x14ac:dyDescent="0.3">
      <c r="A471" s="7" t="s">
        <v>1695</v>
      </c>
      <c r="B471" s="7" t="s">
        <v>2407</v>
      </c>
      <c r="C471" s="7">
        <v>10</v>
      </c>
      <c r="D471" s="7" t="s">
        <v>3139</v>
      </c>
      <c r="E471" s="8" t="s">
        <v>3140</v>
      </c>
    </row>
    <row r="472" spans="1:5" x14ac:dyDescent="0.3">
      <c r="A472" s="7" t="s">
        <v>1701</v>
      </c>
      <c r="B472" s="7" t="s">
        <v>2407</v>
      </c>
      <c r="C472" s="7">
        <v>74</v>
      </c>
      <c r="D472" s="7" t="s">
        <v>3141</v>
      </c>
      <c r="E472" s="8" t="s">
        <v>3142</v>
      </c>
    </row>
    <row r="473" spans="1:5" x14ac:dyDescent="0.3">
      <c r="A473" s="7" t="s">
        <v>1701</v>
      </c>
      <c r="B473" s="7" t="s">
        <v>2432</v>
      </c>
      <c r="C473" s="7">
        <v>100</v>
      </c>
      <c r="D473" s="7" t="s">
        <v>3143</v>
      </c>
      <c r="E473" s="8" t="s">
        <v>3144</v>
      </c>
    </row>
    <row r="474" spans="1:5" x14ac:dyDescent="0.3">
      <c r="A474" s="7" t="s">
        <v>1701</v>
      </c>
      <c r="B474" s="7" t="s">
        <v>2505</v>
      </c>
      <c r="C474" s="7">
        <v>0</v>
      </c>
      <c r="D474" s="7" t="s">
        <v>3145</v>
      </c>
      <c r="E474" s="8" t="s">
        <v>3146</v>
      </c>
    </row>
    <row r="475" spans="1:5" x14ac:dyDescent="0.3">
      <c r="A475" s="7" t="s">
        <v>1701</v>
      </c>
      <c r="B475" s="7" t="s">
        <v>3147</v>
      </c>
      <c r="C475" s="7">
        <v>30</v>
      </c>
      <c r="D475" s="7" t="s">
        <v>3148</v>
      </c>
      <c r="E475" s="8" t="s">
        <v>3149</v>
      </c>
    </row>
    <row r="476" spans="1:5" x14ac:dyDescent="0.3">
      <c r="A476" s="7" t="s">
        <v>1707</v>
      </c>
      <c r="B476" s="7" t="s">
        <v>2407</v>
      </c>
      <c r="C476" s="7">
        <v>7</v>
      </c>
      <c r="D476" s="7" t="s">
        <v>3150</v>
      </c>
      <c r="E476" s="8" t="s">
        <v>3151</v>
      </c>
    </row>
    <row r="477" spans="1:5" x14ac:dyDescent="0.3">
      <c r="A477" s="7" t="s">
        <v>2159</v>
      </c>
      <c r="B477" s="7" t="s">
        <v>2432</v>
      </c>
      <c r="C477" s="7">
        <v>100</v>
      </c>
      <c r="D477" s="7" t="s">
        <v>3152</v>
      </c>
      <c r="E477" s="8" t="s">
        <v>3153</v>
      </c>
    </row>
    <row r="478" spans="1:5" x14ac:dyDescent="0.3">
      <c r="A478" s="7" t="s">
        <v>2165</v>
      </c>
      <c r="B478" s="7" t="s">
        <v>2432</v>
      </c>
      <c r="C478" s="7">
        <v>100</v>
      </c>
      <c r="D478" s="7" t="s">
        <v>3154</v>
      </c>
      <c r="E478" s="8" t="s">
        <v>3155</v>
      </c>
    </row>
    <row r="479" spans="1:5" x14ac:dyDescent="0.3">
      <c r="A479" s="7" t="s">
        <v>2165</v>
      </c>
      <c r="B479" s="7" t="s">
        <v>2382</v>
      </c>
      <c r="C479" s="7">
        <v>20</v>
      </c>
      <c r="D479" s="7" t="s">
        <v>3156</v>
      </c>
      <c r="E479" s="8" t="s">
        <v>3157</v>
      </c>
    </row>
    <row r="480" spans="1:5" x14ac:dyDescent="0.3">
      <c r="A480" s="7" t="s">
        <v>2109</v>
      </c>
      <c r="B480" s="7" t="s">
        <v>2432</v>
      </c>
      <c r="C480" s="7">
        <v>100</v>
      </c>
      <c r="D480" s="7" t="s">
        <v>3158</v>
      </c>
      <c r="E480" s="8" t="s">
        <v>3155</v>
      </c>
    </row>
    <row r="481" spans="1:5" x14ac:dyDescent="0.3">
      <c r="A481" s="7" t="s">
        <v>2128</v>
      </c>
      <c r="B481" s="7" t="s">
        <v>2410</v>
      </c>
      <c r="C481" s="7">
        <v>80</v>
      </c>
      <c r="D481" s="7" t="s">
        <v>3159</v>
      </c>
      <c r="E481" s="8" t="s">
        <v>3160</v>
      </c>
    </row>
    <row r="482" spans="1:5" x14ac:dyDescent="0.3">
      <c r="A482" s="7" t="s">
        <v>2128</v>
      </c>
      <c r="B482" s="7" t="s">
        <v>2432</v>
      </c>
      <c r="C482" s="7">
        <v>100</v>
      </c>
      <c r="D482" s="7" t="s">
        <v>3161</v>
      </c>
      <c r="E482" s="8" t="s">
        <v>3162</v>
      </c>
    </row>
    <row r="483" spans="1:5" x14ac:dyDescent="0.3">
      <c r="A483" s="7" t="s">
        <v>2217</v>
      </c>
      <c r="B483" s="7" t="s">
        <v>2432</v>
      </c>
      <c r="C483" s="7">
        <v>100</v>
      </c>
      <c r="D483" s="7" t="s">
        <v>3163</v>
      </c>
      <c r="E483" s="8" t="s">
        <v>3164</v>
      </c>
    </row>
    <row r="484" spans="1:5" x14ac:dyDescent="0.3">
      <c r="A484" s="7" t="s">
        <v>2223</v>
      </c>
      <c r="B484" s="7" t="s">
        <v>2432</v>
      </c>
      <c r="C484" s="7">
        <v>100</v>
      </c>
      <c r="D484" s="7" t="s">
        <v>3165</v>
      </c>
      <c r="E484" s="8" t="s">
        <v>3166</v>
      </c>
    </row>
    <row r="485" spans="1:5" x14ac:dyDescent="0.3">
      <c r="A485" s="7" t="s">
        <v>2231</v>
      </c>
      <c r="B485" s="7" t="s">
        <v>2374</v>
      </c>
      <c r="C485" s="7">
        <v>100</v>
      </c>
      <c r="D485" s="7" t="s">
        <v>3167</v>
      </c>
      <c r="E485" s="8" t="s">
        <v>3168</v>
      </c>
    </row>
    <row r="486" spans="1:5" x14ac:dyDescent="0.3">
      <c r="A486" s="7" t="s">
        <v>2231</v>
      </c>
      <c r="B486" s="7" t="s">
        <v>2382</v>
      </c>
      <c r="C486" s="7">
        <v>30</v>
      </c>
      <c r="D486" s="7" t="s">
        <v>3167</v>
      </c>
      <c r="E486" s="8" t="s">
        <v>3925</v>
      </c>
    </row>
    <row r="487" spans="1:5" x14ac:dyDescent="0.3">
      <c r="A487" s="7" t="s">
        <v>2231</v>
      </c>
      <c r="B487" s="7" t="s">
        <v>2432</v>
      </c>
      <c r="C487" s="7">
        <v>100</v>
      </c>
      <c r="D487" s="7" t="s">
        <v>3169</v>
      </c>
      <c r="E487" s="8" t="s">
        <v>3155</v>
      </c>
    </row>
    <row r="488" spans="1:5" x14ac:dyDescent="0.3">
      <c r="A488" s="7" t="s">
        <v>2115</v>
      </c>
      <c r="B488" s="7" t="s">
        <v>2374</v>
      </c>
      <c r="C488" s="7">
        <v>91</v>
      </c>
      <c r="D488" s="7" t="s">
        <v>3170</v>
      </c>
      <c r="E488" s="8" t="s">
        <v>3171</v>
      </c>
    </row>
    <row r="489" spans="1:5" ht="18.600000000000001" x14ac:dyDescent="0.3">
      <c r="A489" s="7" t="s">
        <v>2115</v>
      </c>
      <c r="B489" s="7" t="s">
        <v>2432</v>
      </c>
      <c r="C489" s="7">
        <v>100</v>
      </c>
      <c r="D489" s="7" t="s">
        <v>3172</v>
      </c>
      <c r="E489" s="8" t="s">
        <v>3926</v>
      </c>
    </row>
    <row r="490" spans="1:5" x14ac:dyDescent="0.3">
      <c r="A490" s="7" t="s">
        <v>2182</v>
      </c>
      <c r="B490" s="7" t="s">
        <v>2374</v>
      </c>
      <c r="C490" s="7">
        <v>63</v>
      </c>
      <c r="D490" s="7" t="s">
        <v>3173</v>
      </c>
      <c r="E490" s="8" t="s">
        <v>3174</v>
      </c>
    </row>
    <row r="491" spans="1:5" x14ac:dyDescent="0.3">
      <c r="A491" s="7" t="s">
        <v>2182</v>
      </c>
      <c r="B491" s="7" t="s">
        <v>2432</v>
      </c>
      <c r="C491" s="7">
        <v>100</v>
      </c>
      <c r="D491" s="7" t="s">
        <v>3175</v>
      </c>
      <c r="E491" s="8" t="s">
        <v>3176</v>
      </c>
    </row>
    <row r="492" spans="1:5" x14ac:dyDescent="0.3">
      <c r="A492" s="7" t="s">
        <v>2121</v>
      </c>
      <c r="B492" s="7" t="s">
        <v>2432</v>
      </c>
      <c r="C492" s="7">
        <v>100</v>
      </c>
      <c r="D492" s="7" t="s">
        <v>3177</v>
      </c>
      <c r="E492" s="8" t="s">
        <v>3178</v>
      </c>
    </row>
    <row r="493" spans="1:5" x14ac:dyDescent="0.3">
      <c r="A493" s="7" t="s">
        <v>2197</v>
      </c>
      <c r="B493" s="7" t="s">
        <v>2432</v>
      </c>
      <c r="C493" s="7">
        <v>100</v>
      </c>
      <c r="D493" s="7" t="s">
        <v>3179</v>
      </c>
      <c r="E493" s="8" t="s">
        <v>3180</v>
      </c>
    </row>
    <row r="494" spans="1:5" x14ac:dyDescent="0.3">
      <c r="A494" s="7" t="s">
        <v>2099</v>
      </c>
      <c r="B494" s="7" t="s">
        <v>2432</v>
      </c>
      <c r="C494" s="7">
        <v>100</v>
      </c>
      <c r="D494" s="7" t="s">
        <v>3181</v>
      </c>
      <c r="E494" s="8" t="s">
        <v>3182</v>
      </c>
    </row>
    <row r="495" spans="1:5" x14ac:dyDescent="0.3">
      <c r="A495" s="7" t="s">
        <v>2099</v>
      </c>
      <c r="B495" s="7" t="s">
        <v>2404</v>
      </c>
      <c r="C495" s="7">
        <v>100</v>
      </c>
      <c r="D495" s="7" t="s">
        <v>3183</v>
      </c>
      <c r="E495" s="8" t="s">
        <v>3184</v>
      </c>
    </row>
    <row r="496" spans="1:5" x14ac:dyDescent="0.3">
      <c r="A496" s="7" t="s">
        <v>2099</v>
      </c>
      <c r="B496" s="7" t="s">
        <v>2969</v>
      </c>
      <c r="C496" s="7">
        <v>100</v>
      </c>
      <c r="D496" s="7" t="s">
        <v>3183</v>
      </c>
      <c r="E496" s="8" t="s">
        <v>3184</v>
      </c>
    </row>
    <row r="497" spans="1:5" x14ac:dyDescent="0.3">
      <c r="A497" s="7" t="s">
        <v>2099</v>
      </c>
      <c r="B497" s="7" t="s">
        <v>2967</v>
      </c>
      <c r="C497" s="7">
        <v>100</v>
      </c>
      <c r="D497" s="7" t="s">
        <v>3183</v>
      </c>
      <c r="E497" s="8" t="s">
        <v>3184</v>
      </c>
    </row>
    <row r="498" spans="1:5" x14ac:dyDescent="0.3">
      <c r="A498" s="7" t="s">
        <v>2099</v>
      </c>
      <c r="B498" s="7" t="s">
        <v>2968</v>
      </c>
      <c r="C498" s="7">
        <v>100</v>
      </c>
      <c r="D498" s="7" t="s">
        <v>3183</v>
      </c>
      <c r="E498" s="8" t="s">
        <v>3184</v>
      </c>
    </row>
    <row r="499" spans="1:5" x14ac:dyDescent="0.3">
      <c r="A499" s="7" t="s">
        <v>2146</v>
      </c>
      <c r="B499" s="7" t="s">
        <v>2432</v>
      </c>
      <c r="C499" s="7">
        <v>100</v>
      </c>
      <c r="D499" s="7" t="s">
        <v>3185</v>
      </c>
      <c r="E499" s="8" t="s">
        <v>3186</v>
      </c>
    </row>
    <row r="500" spans="1:5" x14ac:dyDescent="0.3">
      <c r="A500" s="7" t="s">
        <v>2134</v>
      </c>
      <c r="B500" s="7" t="s">
        <v>2432</v>
      </c>
      <c r="C500" s="7">
        <v>100</v>
      </c>
      <c r="D500" s="7" t="s">
        <v>3187</v>
      </c>
      <c r="E500" s="8" t="s">
        <v>3155</v>
      </c>
    </row>
    <row r="501" spans="1:5" x14ac:dyDescent="0.3">
      <c r="A501" s="7" t="s">
        <v>2134</v>
      </c>
      <c r="B501" s="7" t="s">
        <v>2374</v>
      </c>
      <c r="C501" s="7">
        <v>100</v>
      </c>
      <c r="D501" s="7" t="s">
        <v>3188</v>
      </c>
      <c r="E501" s="8" t="s">
        <v>3189</v>
      </c>
    </row>
    <row r="502" spans="1:5" x14ac:dyDescent="0.3">
      <c r="A502" s="7" t="s">
        <v>2188</v>
      </c>
      <c r="B502" s="7" t="s">
        <v>2410</v>
      </c>
      <c r="C502" s="7">
        <v>10</v>
      </c>
      <c r="D502" s="7" t="s">
        <v>3190</v>
      </c>
      <c r="E502" s="8" t="s">
        <v>3191</v>
      </c>
    </row>
    <row r="503" spans="1:5" x14ac:dyDescent="0.3">
      <c r="A503" s="7" t="s">
        <v>2188</v>
      </c>
      <c r="B503" s="7" t="s">
        <v>2432</v>
      </c>
      <c r="C503" s="7">
        <v>100</v>
      </c>
      <c r="D503" s="7" t="s">
        <v>3192</v>
      </c>
      <c r="E503" s="8" t="s">
        <v>3193</v>
      </c>
    </row>
    <row r="504" spans="1:5" x14ac:dyDescent="0.3">
      <c r="A504" s="7" t="s">
        <v>2188</v>
      </c>
      <c r="B504" s="7" t="s">
        <v>2785</v>
      </c>
      <c r="C504" s="7">
        <v>5</v>
      </c>
      <c r="D504" s="7" t="s">
        <v>3194</v>
      </c>
      <c r="E504" s="8" t="s">
        <v>3195</v>
      </c>
    </row>
    <row r="505" spans="1:5" x14ac:dyDescent="0.3">
      <c r="A505" s="7" t="s">
        <v>2188</v>
      </c>
      <c r="B505" s="7" t="s">
        <v>2382</v>
      </c>
      <c r="C505" s="7">
        <v>10</v>
      </c>
      <c r="D505" s="7" t="s">
        <v>3196</v>
      </c>
      <c r="E505" s="8" t="s">
        <v>2999</v>
      </c>
    </row>
    <row r="506" spans="1:5" x14ac:dyDescent="0.3">
      <c r="A506" s="7" t="s">
        <v>2188</v>
      </c>
      <c r="B506" s="7" t="s">
        <v>2374</v>
      </c>
      <c r="C506" s="7">
        <v>10</v>
      </c>
      <c r="D506" s="7" t="s">
        <v>3197</v>
      </c>
      <c r="E506" s="8" t="s">
        <v>2999</v>
      </c>
    </row>
    <row r="507" spans="1:5" x14ac:dyDescent="0.3">
      <c r="A507" s="7" t="s">
        <v>2188</v>
      </c>
      <c r="B507" s="7" t="s">
        <v>2727</v>
      </c>
      <c r="C507" s="7">
        <v>10</v>
      </c>
      <c r="D507" s="7" t="s">
        <v>3198</v>
      </c>
      <c r="E507" s="8" t="s">
        <v>3199</v>
      </c>
    </row>
    <row r="508" spans="1:5" x14ac:dyDescent="0.3">
      <c r="A508" s="7" t="s">
        <v>2188</v>
      </c>
      <c r="B508" s="7" t="s">
        <v>2606</v>
      </c>
      <c r="C508" s="7">
        <v>100</v>
      </c>
      <c r="D508" s="7" t="s">
        <v>3200</v>
      </c>
      <c r="E508" s="8" t="s">
        <v>3201</v>
      </c>
    </row>
    <row r="509" spans="1:5" x14ac:dyDescent="0.3">
      <c r="A509" s="7" t="s">
        <v>2188</v>
      </c>
      <c r="B509" s="7" t="s">
        <v>3202</v>
      </c>
      <c r="C509" s="7">
        <v>100</v>
      </c>
      <c r="D509" s="7" t="s">
        <v>3203</v>
      </c>
      <c r="E509" s="8" t="s">
        <v>3928</v>
      </c>
    </row>
    <row r="510" spans="1:5" x14ac:dyDescent="0.3">
      <c r="A510" s="7" t="s">
        <v>2174</v>
      </c>
      <c r="B510" s="7" t="s">
        <v>2432</v>
      </c>
      <c r="C510" s="7">
        <v>100</v>
      </c>
      <c r="D510" s="7" t="s">
        <v>3204</v>
      </c>
      <c r="E510" s="8" t="s">
        <v>3205</v>
      </c>
    </row>
    <row r="511" spans="1:5" x14ac:dyDescent="0.3">
      <c r="A511" s="7" t="s">
        <v>2140</v>
      </c>
      <c r="B511" s="7" t="s">
        <v>2432</v>
      </c>
      <c r="C511" s="7">
        <v>100</v>
      </c>
      <c r="D511" s="7" t="s">
        <v>3206</v>
      </c>
      <c r="E511" s="8" t="s">
        <v>3205</v>
      </c>
    </row>
    <row r="512" spans="1:5" x14ac:dyDescent="0.3">
      <c r="A512" s="7" t="s">
        <v>2140</v>
      </c>
      <c r="B512" s="7" t="s">
        <v>2374</v>
      </c>
      <c r="C512" s="7">
        <v>15</v>
      </c>
      <c r="D512" s="7" t="s">
        <v>3207</v>
      </c>
      <c r="E512" s="8" t="s">
        <v>3208</v>
      </c>
    </row>
    <row r="513" spans="1:5" x14ac:dyDescent="0.3">
      <c r="A513" s="7" t="s">
        <v>2093</v>
      </c>
      <c r="B513" s="7" t="s">
        <v>2432</v>
      </c>
      <c r="C513" s="7">
        <v>100</v>
      </c>
      <c r="D513" s="7" t="s">
        <v>3209</v>
      </c>
      <c r="E513" s="8" t="s">
        <v>3205</v>
      </c>
    </row>
    <row r="514" spans="1:5" x14ac:dyDescent="0.3">
      <c r="A514" s="7" t="s">
        <v>2203</v>
      </c>
      <c r="B514" s="7" t="s">
        <v>2432</v>
      </c>
      <c r="C514" s="7">
        <v>100</v>
      </c>
      <c r="D514" s="7" t="s">
        <v>3210</v>
      </c>
      <c r="E514" s="8" t="s">
        <v>3211</v>
      </c>
    </row>
    <row r="515" spans="1:5" x14ac:dyDescent="0.3">
      <c r="A515" s="7" t="s">
        <v>2180</v>
      </c>
      <c r="B515" s="7" t="s">
        <v>2432</v>
      </c>
      <c r="C515" s="7">
        <v>100</v>
      </c>
      <c r="D515" s="7" t="s">
        <v>3212</v>
      </c>
      <c r="E515" s="8" t="s">
        <v>3205</v>
      </c>
    </row>
    <row r="516" spans="1:5" x14ac:dyDescent="0.3">
      <c r="A516" s="7" t="s">
        <v>2180</v>
      </c>
      <c r="B516" s="7" t="s">
        <v>2374</v>
      </c>
      <c r="C516" s="7">
        <v>100</v>
      </c>
      <c r="D516" s="7" t="s">
        <v>3213</v>
      </c>
      <c r="E516" s="8" t="s">
        <v>3133</v>
      </c>
    </row>
    <row r="517" spans="1:5" x14ac:dyDescent="0.3">
      <c r="A517" s="7" t="s">
        <v>2225</v>
      </c>
      <c r="B517" s="7" t="s">
        <v>2432</v>
      </c>
      <c r="C517" s="7">
        <v>96.33</v>
      </c>
      <c r="D517" s="7" t="s">
        <v>3214</v>
      </c>
      <c r="E517" s="8" t="s">
        <v>3215</v>
      </c>
    </row>
    <row r="518" spans="1:5" x14ac:dyDescent="0.3">
      <c r="A518" s="7" t="s">
        <v>2225</v>
      </c>
      <c r="B518" s="7" t="s">
        <v>2410</v>
      </c>
      <c r="C518" s="7">
        <v>80</v>
      </c>
      <c r="D518" s="7" t="s">
        <v>3216</v>
      </c>
      <c r="E518" s="8" t="s">
        <v>3217</v>
      </c>
    </row>
    <row r="519" spans="1:5" x14ac:dyDescent="0.3">
      <c r="A519" s="7" t="s">
        <v>2082</v>
      </c>
      <c r="B519" s="7" t="s">
        <v>2432</v>
      </c>
      <c r="C519" s="7">
        <v>100</v>
      </c>
      <c r="D519" s="7" t="s">
        <v>3218</v>
      </c>
      <c r="E519" s="8" t="s">
        <v>3155</v>
      </c>
    </row>
    <row r="520" spans="1:5" x14ac:dyDescent="0.3">
      <c r="A520" s="7" t="s">
        <v>2215</v>
      </c>
      <c r="B520" s="7" t="s">
        <v>2432</v>
      </c>
      <c r="C520" s="7">
        <v>100</v>
      </c>
      <c r="D520" s="7" t="s">
        <v>3219</v>
      </c>
      <c r="E520" s="8" t="s">
        <v>3220</v>
      </c>
    </row>
    <row r="521" spans="1:5" x14ac:dyDescent="0.3">
      <c r="A521" s="7" t="s">
        <v>2171</v>
      </c>
      <c r="B521" s="7" t="s">
        <v>2410</v>
      </c>
      <c r="C521" s="7">
        <v>80</v>
      </c>
      <c r="D521" s="7" t="s">
        <v>3221</v>
      </c>
      <c r="E521" s="8" t="s">
        <v>3217</v>
      </c>
    </row>
    <row r="522" spans="1:5" x14ac:dyDescent="0.3">
      <c r="A522" s="7" t="s">
        <v>2171</v>
      </c>
      <c r="B522" s="7" t="s">
        <v>2382</v>
      </c>
      <c r="C522" s="7">
        <v>99</v>
      </c>
      <c r="D522" s="7" t="s">
        <v>3222</v>
      </c>
      <c r="E522" s="8" t="s">
        <v>3223</v>
      </c>
    </row>
    <row r="523" spans="1:5" x14ac:dyDescent="0.3">
      <c r="A523" s="7" t="s">
        <v>2171</v>
      </c>
      <c r="B523" s="7" t="s">
        <v>2404</v>
      </c>
      <c r="C523" s="7">
        <v>99</v>
      </c>
      <c r="D523" s="7" t="s">
        <v>3222</v>
      </c>
      <c r="E523" s="8" t="s">
        <v>3223</v>
      </c>
    </row>
    <row r="524" spans="1:5" x14ac:dyDescent="0.3">
      <c r="A524" s="7" t="s">
        <v>2171</v>
      </c>
      <c r="B524" s="7" t="s">
        <v>2432</v>
      </c>
      <c r="C524" s="7">
        <v>100</v>
      </c>
      <c r="D524" s="7" t="s">
        <v>3224</v>
      </c>
      <c r="E524" s="8" t="s">
        <v>3205</v>
      </c>
    </row>
    <row r="525" spans="1:5" x14ac:dyDescent="0.3">
      <c r="A525" s="7" t="s">
        <v>2209</v>
      </c>
      <c r="B525" s="7" t="s">
        <v>2432</v>
      </c>
      <c r="C525" s="7">
        <v>100</v>
      </c>
      <c r="D525" s="7" t="s">
        <v>3225</v>
      </c>
      <c r="E525" s="8" t="s">
        <v>3205</v>
      </c>
    </row>
    <row r="526" spans="1:5" x14ac:dyDescent="0.3">
      <c r="A526" s="7" t="s">
        <v>2237</v>
      </c>
      <c r="B526" s="7" t="s">
        <v>2432</v>
      </c>
      <c r="C526" s="7">
        <v>100</v>
      </c>
      <c r="D526" s="7" t="s">
        <v>3226</v>
      </c>
      <c r="E526" s="8" t="s">
        <v>3227</v>
      </c>
    </row>
    <row r="527" spans="1:5" ht="18.600000000000001" x14ac:dyDescent="0.3">
      <c r="A527" s="7" t="s">
        <v>2107</v>
      </c>
      <c r="B527" s="7" t="s">
        <v>2432</v>
      </c>
      <c r="C527" s="7">
        <v>100</v>
      </c>
      <c r="D527" s="7" t="s">
        <v>3228</v>
      </c>
      <c r="E527" s="8" t="s">
        <v>3929</v>
      </c>
    </row>
    <row r="528" spans="1:5" s="65" customFormat="1" ht="33" customHeight="1" x14ac:dyDescent="0.3">
      <c r="A528" s="65" t="s">
        <v>3920</v>
      </c>
    </row>
    <row r="529" spans="1:1" ht="18.600000000000001" x14ac:dyDescent="0.3">
      <c r="A529" s="14" t="s">
        <v>3921</v>
      </c>
    </row>
    <row r="530" spans="1:1" ht="18.600000000000001" x14ac:dyDescent="0.3">
      <c r="A530" s="14" t="s">
        <v>3927</v>
      </c>
    </row>
  </sheetData>
  <mergeCells count="1">
    <mergeCell ref="A528:XFD52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BF38-5EEE-4CEF-8C6E-E73A7B0E2EF8}">
  <dimension ref="A1:C494"/>
  <sheetViews>
    <sheetView workbookViewId="0">
      <selection activeCell="B496" sqref="B496"/>
    </sheetView>
  </sheetViews>
  <sheetFormatPr defaultRowHeight="15.6" x14ac:dyDescent="0.3"/>
  <cols>
    <col min="1" max="1" width="21.5546875" style="7" bestFit="1" customWidth="1"/>
    <col min="2" max="2" width="18.5546875" style="7" bestFit="1" customWidth="1"/>
    <col min="3" max="3" width="23.21875" style="7" customWidth="1"/>
    <col min="4" max="16384" width="8.88671875" style="7"/>
  </cols>
  <sheetData>
    <row r="1" spans="1:3" s="66" customFormat="1" ht="31.2" customHeight="1" x14ac:dyDescent="0.3">
      <c r="A1" s="66" t="s">
        <v>3946</v>
      </c>
    </row>
    <row r="2" spans="1:3" s="17" customFormat="1" x14ac:dyDescent="0.3">
      <c r="A2" s="17" t="s">
        <v>30</v>
      </c>
      <c r="B2" s="17" t="s">
        <v>2069</v>
      </c>
      <c r="C2" s="17" t="s">
        <v>2078</v>
      </c>
    </row>
    <row r="3" spans="1:3" x14ac:dyDescent="0.3">
      <c r="A3" s="7" t="s">
        <v>212</v>
      </c>
      <c r="B3" s="7" t="s">
        <v>2374</v>
      </c>
      <c r="C3" s="7">
        <v>100</v>
      </c>
    </row>
    <row r="4" spans="1:3" x14ac:dyDescent="0.3">
      <c r="A4" s="7" t="s">
        <v>212</v>
      </c>
      <c r="B4" s="7" t="s">
        <v>2432</v>
      </c>
      <c r="C4" s="7">
        <v>100</v>
      </c>
    </row>
    <row r="5" spans="1:3" x14ac:dyDescent="0.3">
      <c r="A5" s="7" t="s">
        <v>2082</v>
      </c>
      <c r="B5" s="7" t="s">
        <v>2432</v>
      </c>
      <c r="C5" s="7">
        <v>100</v>
      </c>
    </row>
    <row r="6" spans="1:3" x14ac:dyDescent="0.3">
      <c r="A6" s="7" t="s">
        <v>641</v>
      </c>
      <c r="B6" s="7" t="s">
        <v>2407</v>
      </c>
      <c r="C6" s="7">
        <v>100</v>
      </c>
    </row>
    <row r="7" spans="1:3" x14ac:dyDescent="0.3">
      <c r="A7" s="7" t="s">
        <v>408</v>
      </c>
      <c r="B7" s="7" t="s">
        <v>2374</v>
      </c>
      <c r="C7" s="7">
        <v>100</v>
      </c>
    </row>
    <row r="8" spans="1:3" x14ac:dyDescent="0.3">
      <c r="A8" s="7" t="s">
        <v>1250</v>
      </c>
      <c r="B8" s="7" t="s">
        <v>2404</v>
      </c>
      <c r="C8" s="7">
        <v>100</v>
      </c>
    </row>
    <row r="9" spans="1:3" x14ac:dyDescent="0.3">
      <c r="A9" s="7" t="s">
        <v>761</v>
      </c>
      <c r="B9" s="7" t="s">
        <v>2374</v>
      </c>
      <c r="C9" s="7">
        <v>100</v>
      </c>
    </row>
    <row r="10" spans="1:3" x14ac:dyDescent="0.3">
      <c r="A10" s="7" t="s">
        <v>2093</v>
      </c>
      <c r="B10" s="7" t="s">
        <v>2432</v>
      </c>
      <c r="C10" s="7">
        <v>100</v>
      </c>
    </row>
    <row r="11" spans="1:3" x14ac:dyDescent="0.3">
      <c r="A11" s="7" t="s">
        <v>1535</v>
      </c>
      <c r="B11" s="7" t="s">
        <v>2404</v>
      </c>
      <c r="C11" s="7">
        <v>100</v>
      </c>
    </row>
    <row r="12" spans="1:3" x14ac:dyDescent="0.3">
      <c r="A12" s="7" t="s">
        <v>1535</v>
      </c>
      <c r="B12" s="7" t="s">
        <v>2382</v>
      </c>
      <c r="C12" s="7">
        <v>100</v>
      </c>
    </row>
    <row r="13" spans="1:3" x14ac:dyDescent="0.3">
      <c r="A13" s="7" t="s">
        <v>2099</v>
      </c>
      <c r="B13" s="7" t="s">
        <v>2967</v>
      </c>
      <c r="C13" s="7">
        <v>100</v>
      </c>
    </row>
    <row r="14" spans="1:3" x14ac:dyDescent="0.3">
      <c r="A14" s="7" t="s">
        <v>2099</v>
      </c>
      <c r="B14" s="7" t="s">
        <v>2969</v>
      </c>
      <c r="C14" s="7">
        <v>100</v>
      </c>
    </row>
    <row r="15" spans="1:3" x14ac:dyDescent="0.3">
      <c r="A15" s="7" t="s">
        <v>2099</v>
      </c>
      <c r="B15" s="7" t="s">
        <v>2404</v>
      </c>
      <c r="C15" s="7">
        <v>100</v>
      </c>
    </row>
    <row r="16" spans="1:3" x14ac:dyDescent="0.3">
      <c r="A16" s="7" t="s">
        <v>2099</v>
      </c>
      <c r="B16" s="7" t="s">
        <v>2968</v>
      </c>
      <c r="C16" s="7">
        <v>100</v>
      </c>
    </row>
    <row r="17" spans="1:3" x14ac:dyDescent="0.3">
      <c r="A17" s="7" t="s">
        <v>2099</v>
      </c>
      <c r="B17" s="7" t="s">
        <v>2432</v>
      </c>
      <c r="C17" s="7">
        <v>100</v>
      </c>
    </row>
    <row r="18" spans="1:3" x14ac:dyDescent="0.3">
      <c r="A18" s="7" t="s">
        <v>886</v>
      </c>
      <c r="B18" s="7" t="s">
        <v>2432</v>
      </c>
      <c r="C18" s="7">
        <v>100</v>
      </c>
    </row>
    <row r="19" spans="1:3" x14ac:dyDescent="0.3">
      <c r="A19" s="7" t="s">
        <v>1500</v>
      </c>
      <c r="B19" s="7" t="s">
        <v>2371</v>
      </c>
      <c r="C19" s="7">
        <v>100</v>
      </c>
    </row>
    <row r="20" spans="1:3" x14ac:dyDescent="0.3">
      <c r="A20" s="7" t="s">
        <v>1488</v>
      </c>
      <c r="B20" s="7" t="s">
        <v>2404</v>
      </c>
      <c r="C20" s="7">
        <v>100</v>
      </c>
    </row>
    <row r="21" spans="1:3" x14ac:dyDescent="0.3">
      <c r="A21" s="7" t="s">
        <v>1488</v>
      </c>
      <c r="B21" s="7" t="s">
        <v>2382</v>
      </c>
      <c r="C21" s="7">
        <v>100</v>
      </c>
    </row>
    <row r="22" spans="1:3" x14ac:dyDescent="0.3">
      <c r="A22" s="7" t="s">
        <v>1327</v>
      </c>
      <c r="B22" s="7" t="s">
        <v>2404</v>
      </c>
      <c r="C22" s="7">
        <v>100</v>
      </c>
    </row>
    <row r="23" spans="1:3" x14ac:dyDescent="0.3">
      <c r="A23" s="7" t="s">
        <v>1327</v>
      </c>
      <c r="B23" s="7" t="s">
        <v>2382</v>
      </c>
      <c r="C23" s="7">
        <v>100</v>
      </c>
    </row>
    <row r="24" spans="1:3" x14ac:dyDescent="0.3">
      <c r="A24" s="7" t="s">
        <v>2107</v>
      </c>
      <c r="B24" s="7" t="s">
        <v>2432</v>
      </c>
      <c r="C24" s="7">
        <v>100</v>
      </c>
    </row>
    <row r="25" spans="1:3" x14ac:dyDescent="0.3">
      <c r="A25" s="7" t="s">
        <v>2109</v>
      </c>
      <c r="B25" s="7" t="s">
        <v>2432</v>
      </c>
      <c r="C25" s="7">
        <v>100</v>
      </c>
    </row>
    <row r="26" spans="1:3" x14ac:dyDescent="0.3">
      <c r="A26" s="7" t="s">
        <v>2115</v>
      </c>
      <c r="B26" s="7" t="s">
        <v>2432</v>
      </c>
      <c r="C26" s="7">
        <v>100</v>
      </c>
    </row>
    <row r="27" spans="1:3" x14ac:dyDescent="0.3">
      <c r="A27" s="7" t="s">
        <v>1611</v>
      </c>
      <c r="B27" s="7" t="s">
        <v>2407</v>
      </c>
      <c r="C27" s="7">
        <v>100</v>
      </c>
    </row>
    <row r="28" spans="1:3" x14ac:dyDescent="0.3">
      <c r="A28" s="7" t="s">
        <v>2121</v>
      </c>
      <c r="B28" s="7" t="s">
        <v>2432</v>
      </c>
      <c r="C28" s="7">
        <v>100</v>
      </c>
    </row>
    <row r="29" spans="1:3" x14ac:dyDescent="0.3">
      <c r="A29" s="7" t="s">
        <v>224</v>
      </c>
      <c r="B29" s="7" t="s">
        <v>2404</v>
      </c>
      <c r="C29" s="7">
        <v>100</v>
      </c>
    </row>
    <row r="30" spans="1:3" x14ac:dyDescent="0.3">
      <c r="A30" s="7" t="s">
        <v>224</v>
      </c>
      <c r="B30" s="7" t="s">
        <v>2382</v>
      </c>
      <c r="C30" s="7">
        <v>100</v>
      </c>
    </row>
    <row r="31" spans="1:3" x14ac:dyDescent="0.3">
      <c r="A31" s="7" t="s">
        <v>224</v>
      </c>
      <c r="B31" s="7" t="s">
        <v>2432</v>
      </c>
      <c r="C31" s="7">
        <v>100</v>
      </c>
    </row>
    <row r="32" spans="1:3" x14ac:dyDescent="0.3">
      <c r="A32" s="7" t="s">
        <v>2128</v>
      </c>
      <c r="B32" s="7" t="s">
        <v>2432</v>
      </c>
      <c r="C32" s="7">
        <v>100</v>
      </c>
    </row>
    <row r="33" spans="1:3" x14ac:dyDescent="0.3">
      <c r="A33" s="7" t="s">
        <v>1659</v>
      </c>
      <c r="B33" s="7" t="s">
        <v>2785</v>
      </c>
      <c r="C33" s="7">
        <v>100</v>
      </c>
    </row>
    <row r="34" spans="1:3" x14ac:dyDescent="0.3">
      <c r="A34" s="7" t="s">
        <v>2134</v>
      </c>
      <c r="B34" s="7" t="s">
        <v>2374</v>
      </c>
      <c r="C34" s="7">
        <v>100</v>
      </c>
    </row>
    <row r="35" spans="1:3" x14ac:dyDescent="0.3">
      <c r="A35" s="7" t="s">
        <v>2134</v>
      </c>
      <c r="B35" s="7" t="s">
        <v>2432</v>
      </c>
      <c r="C35" s="7">
        <v>100</v>
      </c>
    </row>
    <row r="36" spans="1:3" x14ac:dyDescent="0.3">
      <c r="A36" s="7" t="s">
        <v>86</v>
      </c>
      <c r="B36" s="7" t="s">
        <v>2407</v>
      </c>
      <c r="C36" s="7">
        <v>100</v>
      </c>
    </row>
    <row r="37" spans="1:3" x14ac:dyDescent="0.3">
      <c r="A37" s="7" t="s">
        <v>2140</v>
      </c>
      <c r="B37" s="7" t="s">
        <v>2432</v>
      </c>
      <c r="C37" s="7">
        <v>100</v>
      </c>
    </row>
    <row r="38" spans="1:3" x14ac:dyDescent="0.3">
      <c r="A38" s="7" t="s">
        <v>2146</v>
      </c>
      <c r="B38" s="7" t="s">
        <v>2432</v>
      </c>
      <c r="C38" s="7">
        <v>100</v>
      </c>
    </row>
    <row r="39" spans="1:3" x14ac:dyDescent="0.3">
      <c r="A39" s="7" t="s">
        <v>1297</v>
      </c>
      <c r="B39" s="7" t="s">
        <v>2967</v>
      </c>
      <c r="C39" s="7">
        <v>100</v>
      </c>
    </row>
    <row r="40" spans="1:3" x14ac:dyDescent="0.3">
      <c r="A40" s="7" t="s">
        <v>1297</v>
      </c>
      <c r="B40" s="7" t="s">
        <v>2969</v>
      </c>
      <c r="C40" s="7">
        <v>100</v>
      </c>
    </row>
    <row r="41" spans="1:3" x14ac:dyDescent="0.3">
      <c r="A41" s="7" t="s">
        <v>1297</v>
      </c>
      <c r="B41" s="7" t="s">
        <v>2404</v>
      </c>
      <c r="C41" s="7">
        <v>100</v>
      </c>
    </row>
    <row r="42" spans="1:3" x14ac:dyDescent="0.3">
      <c r="A42" s="7" t="s">
        <v>1297</v>
      </c>
      <c r="B42" s="7" t="s">
        <v>2382</v>
      </c>
      <c r="C42" s="7">
        <v>100</v>
      </c>
    </row>
    <row r="43" spans="1:3" x14ac:dyDescent="0.3">
      <c r="A43" s="7" t="s">
        <v>1297</v>
      </c>
      <c r="B43" s="7" t="s">
        <v>2374</v>
      </c>
      <c r="C43" s="7">
        <v>100</v>
      </c>
    </row>
    <row r="44" spans="1:3" x14ac:dyDescent="0.3">
      <c r="A44" s="7" t="s">
        <v>1297</v>
      </c>
      <c r="B44" s="7" t="s">
        <v>2968</v>
      </c>
      <c r="C44" s="7">
        <v>100</v>
      </c>
    </row>
    <row r="45" spans="1:3" x14ac:dyDescent="0.3">
      <c r="A45" s="7" t="s">
        <v>1558</v>
      </c>
      <c r="B45" s="7" t="s">
        <v>2785</v>
      </c>
      <c r="C45" s="7">
        <v>100</v>
      </c>
    </row>
    <row r="46" spans="1:3" x14ac:dyDescent="0.3">
      <c r="A46" s="7" t="s">
        <v>1108</v>
      </c>
      <c r="B46" s="7" t="s">
        <v>2404</v>
      </c>
      <c r="C46" s="7">
        <v>100</v>
      </c>
    </row>
    <row r="47" spans="1:3" x14ac:dyDescent="0.3">
      <c r="A47" s="7" t="s">
        <v>1108</v>
      </c>
      <c r="B47" s="7" t="s">
        <v>2382</v>
      </c>
      <c r="C47" s="7">
        <v>100</v>
      </c>
    </row>
    <row r="48" spans="1:3" x14ac:dyDescent="0.3">
      <c r="A48" s="7" t="s">
        <v>569</v>
      </c>
      <c r="B48" s="7" t="s">
        <v>2432</v>
      </c>
      <c r="C48" s="7">
        <v>100</v>
      </c>
    </row>
    <row r="49" spans="1:3" x14ac:dyDescent="0.3">
      <c r="A49" s="7" t="s">
        <v>474</v>
      </c>
      <c r="B49" s="7" t="s">
        <v>2374</v>
      </c>
      <c r="C49" s="7">
        <v>100</v>
      </c>
    </row>
    <row r="50" spans="1:3" x14ac:dyDescent="0.3">
      <c r="A50" s="7" t="s">
        <v>474</v>
      </c>
      <c r="B50" s="7" t="s">
        <v>2371</v>
      </c>
      <c r="C50" s="7">
        <v>100</v>
      </c>
    </row>
    <row r="51" spans="1:3" x14ac:dyDescent="0.3">
      <c r="A51" s="7" t="s">
        <v>856</v>
      </c>
      <c r="B51" s="7" t="s">
        <v>2432</v>
      </c>
      <c r="C51" s="7">
        <v>100</v>
      </c>
    </row>
    <row r="52" spans="1:3" x14ac:dyDescent="0.3">
      <c r="A52" s="7" t="s">
        <v>528</v>
      </c>
      <c r="B52" s="7" t="s">
        <v>2382</v>
      </c>
      <c r="C52" s="7">
        <v>100</v>
      </c>
    </row>
    <row r="53" spans="1:3" x14ac:dyDescent="0.3">
      <c r="A53" s="7" t="s">
        <v>528</v>
      </c>
      <c r="B53" s="7" t="s">
        <v>2374</v>
      </c>
      <c r="C53" s="7">
        <v>100</v>
      </c>
    </row>
    <row r="54" spans="1:3" x14ac:dyDescent="0.3">
      <c r="A54" s="7" t="s">
        <v>122</v>
      </c>
      <c r="B54" s="7" t="s">
        <v>2432</v>
      </c>
      <c r="C54" s="7">
        <v>100</v>
      </c>
    </row>
    <row r="55" spans="1:3" x14ac:dyDescent="0.3">
      <c r="A55" s="7" t="s">
        <v>2159</v>
      </c>
      <c r="B55" s="7" t="s">
        <v>2432</v>
      </c>
      <c r="C55" s="7">
        <v>100</v>
      </c>
    </row>
    <row r="56" spans="1:3" x14ac:dyDescent="0.3">
      <c r="A56" s="7" t="s">
        <v>2165</v>
      </c>
      <c r="B56" s="7" t="s">
        <v>2432</v>
      </c>
      <c r="C56" s="7">
        <v>100</v>
      </c>
    </row>
    <row r="57" spans="1:3" x14ac:dyDescent="0.3">
      <c r="A57" s="7" t="s">
        <v>832</v>
      </c>
      <c r="B57" s="7" t="s">
        <v>2374</v>
      </c>
      <c r="C57" s="7">
        <v>100</v>
      </c>
    </row>
    <row r="58" spans="1:3" x14ac:dyDescent="0.3">
      <c r="A58" s="7" t="s">
        <v>2171</v>
      </c>
      <c r="B58" s="7" t="s">
        <v>2432</v>
      </c>
      <c r="C58" s="7">
        <v>100</v>
      </c>
    </row>
    <row r="59" spans="1:3" x14ac:dyDescent="0.3">
      <c r="A59" s="7" t="s">
        <v>552</v>
      </c>
      <c r="B59" s="7" t="s">
        <v>2404</v>
      </c>
      <c r="C59" s="7">
        <v>100</v>
      </c>
    </row>
    <row r="60" spans="1:3" x14ac:dyDescent="0.3">
      <c r="A60" s="7" t="s">
        <v>552</v>
      </c>
      <c r="B60" s="7" t="s">
        <v>2382</v>
      </c>
      <c r="C60" s="7">
        <v>100</v>
      </c>
    </row>
    <row r="61" spans="1:3" x14ac:dyDescent="0.3">
      <c r="A61" s="7" t="s">
        <v>844</v>
      </c>
      <c r="B61" s="7" t="s">
        <v>2404</v>
      </c>
      <c r="C61" s="7">
        <v>100</v>
      </c>
    </row>
    <row r="62" spans="1:3" x14ac:dyDescent="0.3">
      <c r="A62" s="7" t="s">
        <v>844</v>
      </c>
      <c r="B62" s="7" t="s">
        <v>2382</v>
      </c>
      <c r="C62" s="7">
        <v>100</v>
      </c>
    </row>
    <row r="63" spans="1:3" x14ac:dyDescent="0.3">
      <c r="A63" s="7" t="s">
        <v>844</v>
      </c>
      <c r="B63" s="7" t="s">
        <v>2371</v>
      </c>
      <c r="C63" s="7">
        <v>100</v>
      </c>
    </row>
    <row r="64" spans="1:3" x14ac:dyDescent="0.3">
      <c r="A64" s="7" t="s">
        <v>844</v>
      </c>
      <c r="B64" s="7" t="s">
        <v>2432</v>
      </c>
      <c r="C64" s="7">
        <v>100</v>
      </c>
    </row>
    <row r="65" spans="1:3" x14ac:dyDescent="0.3">
      <c r="A65" s="7" t="s">
        <v>2174</v>
      </c>
      <c r="B65" s="7" t="s">
        <v>2432</v>
      </c>
      <c r="C65" s="7">
        <v>100</v>
      </c>
    </row>
    <row r="66" spans="1:3" x14ac:dyDescent="0.3">
      <c r="A66" s="7" t="s">
        <v>587</v>
      </c>
      <c r="B66" s="7" t="s">
        <v>2382</v>
      </c>
      <c r="C66" s="7">
        <v>100</v>
      </c>
    </row>
    <row r="67" spans="1:3" x14ac:dyDescent="0.3">
      <c r="A67" s="7" t="s">
        <v>898</v>
      </c>
      <c r="B67" s="7" t="s">
        <v>2407</v>
      </c>
      <c r="C67" s="7">
        <v>100</v>
      </c>
    </row>
    <row r="68" spans="1:3" x14ac:dyDescent="0.3">
      <c r="A68" s="7" t="s">
        <v>898</v>
      </c>
      <c r="B68" s="7" t="s">
        <v>2505</v>
      </c>
      <c r="C68" s="7">
        <v>100</v>
      </c>
    </row>
    <row r="69" spans="1:3" x14ac:dyDescent="0.3">
      <c r="A69" s="7" t="s">
        <v>2180</v>
      </c>
      <c r="B69" s="7" t="s">
        <v>2374</v>
      </c>
      <c r="C69" s="7">
        <v>100</v>
      </c>
    </row>
    <row r="70" spans="1:3" x14ac:dyDescent="0.3">
      <c r="A70" s="7" t="s">
        <v>2180</v>
      </c>
      <c r="B70" s="7" t="s">
        <v>2432</v>
      </c>
      <c r="C70" s="7">
        <v>100</v>
      </c>
    </row>
    <row r="71" spans="1:3" x14ac:dyDescent="0.3">
      <c r="A71" s="7" t="s">
        <v>2182</v>
      </c>
      <c r="B71" s="7" t="s">
        <v>2432</v>
      </c>
      <c r="C71" s="7">
        <v>100</v>
      </c>
    </row>
    <row r="72" spans="1:3" x14ac:dyDescent="0.3">
      <c r="A72" s="7" t="s">
        <v>2188</v>
      </c>
      <c r="B72" s="7" t="s">
        <v>2606</v>
      </c>
      <c r="C72" s="7">
        <v>100</v>
      </c>
    </row>
    <row r="73" spans="1:3" x14ac:dyDescent="0.3">
      <c r="A73" s="7" t="s">
        <v>2188</v>
      </c>
      <c r="B73" s="7" t="s">
        <v>3202</v>
      </c>
      <c r="C73" s="7">
        <v>100</v>
      </c>
    </row>
    <row r="74" spans="1:3" x14ac:dyDescent="0.3">
      <c r="A74" s="7" t="s">
        <v>2188</v>
      </c>
      <c r="B74" s="7" t="s">
        <v>2432</v>
      </c>
      <c r="C74" s="7">
        <v>100</v>
      </c>
    </row>
    <row r="75" spans="1:3" x14ac:dyDescent="0.3">
      <c r="A75" s="7" t="s">
        <v>1090</v>
      </c>
      <c r="B75" s="7" t="s">
        <v>2374</v>
      </c>
      <c r="C75" s="7">
        <v>100</v>
      </c>
    </row>
    <row r="76" spans="1:3" x14ac:dyDescent="0.3">
      <c r="A76" s="7" t="s">
        <v>1529</v>
      </c>
      <c r="B76" s="7" t="s">
        <v>2404</v>
      </c>
      <c r="C76" s="7">
        <v>100</v>
      </c>
    </row>
    <row r="77" spans="1:3" x14ac:dyDescent="0.3">
      <c r="A77" s="7" t="s">
        <v>1529</v>
      </c>
      <c r="B77" s="7" t="s">
        <v>2382</v>
      </c>
      <c r="C77" s="7">
        <v>100</v>
      </c>
    </row>
    <row r="78" spans="1:3" x14ac:dyDescent="0.3">
      <c r="A78" s="7" t="s">
        <v>1452</v>
      </c>
      <c r="B78" s="7" t="s">
        <v>2382</v>
      </c>
      <c r="C78" s="7">
        <v>100</v>
      </c>
    </row>
    <row r="79" spans="1:3" x14ac:dyDescent="0.3">
      <c r="A79" s="7" t="s">
        <v>1452</v>
      </c>
      <c r="B79" s="7" t="s">
        <v>2374</v>
      </c>
      <c r="C79" s="7">
        <v>100</v>
      </c>
    </row>
    <row r="80" spans="1:3" x14ac:dyDescent="0.3">
      <c r="A80" s="7" t="s">
        <v>850</v>
      </c>
      <c r="B80" s="7" t="s">
        <v>2785</v>
      </c>
      <c r="C80" s="7">
        <v>100</v>
      </c>
    </row>
    <row r="81" spans="1:3" x14ac:dyDescent="0.3">
      <c r="A81" s="7" t="s">
        <v>963</v>
      </c>
      <c r="B81" s="7" t="s">
        <v>2404</v>
      </c>
      <c r="C81" s="7">
        <v>100</v>
      </c>
    </row>
    <row r="82" spans="1:3" x14ac:dyDescent="0.3">
      <c r="A82" s="7" t="s">
        <v>963</v>
      </c>
      <c r="B82" s="7" t="s">
        <v>2382</v>
      </c>
      <c r="C82" s="7">
        <v>100</v>
      </c>
    </row>
    <row r="83" spans="1:3" x14ac:dyDescent="0.3">
      <c r="A83" s="7" t="s">
        <v>182</v>
      </c>
      <c r="B83" s="7" t="s">
        <v>2432</v>
      </c>
      <c r="C83" s="7">
        <v>100</v>
      </c>
    </row>
    <row r="84" spans="1:3" x14ac:dyDescent="0.3">
      <c r="A84" s="7" t="s">
        <v>504</v>
      </c>
      <c r="B84" s="7" t="s">
        <v>2382</v>
      </c>
      <c r="C84" s="7">
        <v>100</v>
      </c>
    </row>
    <row r="85" spans="1:3" x14ac:dyDescent="0.3">
      <c r="A85" s="7" t="s">
        <v>504</v>
      </c>
      <c r="B85" s="7" t="s">
        <v>2432</v>
      </c>
      <c r="C85" s="7">
        <v>100</v>
      </c>
    </row>
    <row r="86" spans="1:3" x14ac:dyDescent="0.3">
      <c r="A86" s="7" t="s">
        <v>1701</v>
      </c>
      <c r="B86" s="7" t="s">
        <v>2432</v>
      </c>
      <c r="C86" s="7">
        <v>100</v>
      </c>
    </row>
    <row r="87" spans="1:3" x14ac:dyDescent="0.3">
      <c r="A87" s="7" t="s">
        <v>2197</v>
      </c>
      <c r="B87" s="7" t="s">
        <v>2432</v>
      </c>
      <c r="C87" s="7">
        <v>100</v>
      </c>
    </row>
    <row r="88" spans="1:3" x14ac:dyDescent="0.3">
      <c r="A88" s="7" t="s">
        <v>981</v>
      </c>
      <c r="B88" s="7" t="s">
        <v>2374</v>
      </c>
      <c r="C88" s="7">
        <v>100</v>
      </c>
    </row>
    <row r="89" spans="1:3" x14ac:dyDescent="0.3">
      <c r="A89" s="7" t="s">
        <v>1569</v>
      </c>
      <c r="B89" s="7" t="s">
        <v>2785</v>
      </c>
      <c r="C89" s="7">
        <v>100</v>
      </c>
    </row>
    <row r="90" spans="1:3" x14ac:dyDescent="0.3">
      <c r="A90" s="7" t="s">
        <v>993</v>
      </c>
      <c r="B90" s="7" t="s">
        <v>2374</v>
      </c>
      <c r="C90" s="7">
        <v>100</v>
      </c>
    </row>
    <row r="91" spans="1:3" x14ac:dyDescent="0.3">
      <c r="A91" s="7" t="s">
        <v>272</v>
      </c>
      <c r="B91" s="7" t="s">
        <v>2505</v>
      </c>
      <c r="C91" s="7">
        <v>100</v>
      </c>
    </row>
    <row r="92" spans="1:3" x14ac:dyDescent="0.3">
      <c r="A92" s="7" t="s">
        <v>272</v>
      </c>
      <c r="B92" s="7" t="s">
        <v>2432</v>
      </c>
      <c r="C92" s="7">
        <v>100</v>
      </c>
    </row>
    <row r="93" spans="1:3" x14ac:dyDescent="0.3">
      <c r="A93" s="7" t="s">
        <v>2203</v>
      </c>
      <c r="B93" s="7" t="s">
        <v>2432</v>
      </c>
      <c r="C93" s="7">
        <v>100</v>
      </c>
    </row>
    <row r="94" spans="1:3" x14ac:dyDescent="0.3">
      <c r="A94" s="7" t="s">
        <v>2209</v>
      </c>
      <c r="B94" s="7" t="s">
        <v>2432</v>
      </c>
      <c r="C94" s="7">
        <v>100</v>
      </c>
    </row>
    <row r="95" spans="1:3" x14ac:dyDescent="0.3">
      <c r="A95" s="7" t="s">
        <v>2215</v>
      </c>
      <c r="B95" s="7" t="s">
        <v>2432</v>
      </c>
      <c r="C95" s="7">
        <v>100</v>
      </c>
    </row>
    <row r="96" spans="1:3" x14ac:dyDescent="0.3">
      <c r="A96" s="7" t="s">
        <v>653</v>
      </c>
      <c r="B96" s="7" t="s">
        <v>2374</v>
      </c>
      <c r="C96" s="7">
        <v>100</v>
      </c>
    </row>
    <row r="97" spans="1:3" x14ac:dyDescent="0.3">
      <c r="A97" s="7" t="s">
        <v>653</v>
      </c>
      <c r="B97" s="7" t="s">
        <v>2371</v>
      </c>
      <c r="C97" s="7">
        <v>100</v>
      </c>
    </row>
    <row r="98" spans="1:3" x14ac:dyDescent="0.3">
      <c r="A98" s="7" t="s">
        <v>1635</v>
      </c>
      <c r="B98" s="7" t="s">
        <v>2374</v>
      </c>
      <c r="C98" s="7">
        <v>100</v>
      </c>
    </row>
    <row r="99" spans="1:3" x14ac:dyDescent="0.3">
      <c r="A99" s="7" t="s">
        <v>1635</v>
      </c>
      <c r="B99" s="7" t="s">
        <v>2766</v>
      </c>
      <c r="C99" s="7">
        <v>100</v>
      </c>
    </row>
    <row r="100" spans="1:3" x14ac:dyDescent="0.3">
      <c r="A100" s="7" t="s">
        <v>2217</v>
      </c>
      <c r="B100" s="7" t="s">
        <v>2432</v>
      </c>
      <c r="C100" s="7">
        <v>100</v>
      </c>
    </row>
    <row r="101" spans="1:3" x14ac:dyDescent="0.3">
      <c r="A101" s="7" t="s">
        <v>468</v>
      </c>
      <c r="B101" s="7" t="s">
        <v>2382</v>
      </c>
      <c r="C101" s="7">
        <v>100</v>
      </c>
    </row>
    <row r="102" spans="1:3" x14ac:dyDescent="0.3">
      <c r="A102" s="7" t="s">
        <v>468</v>
      </c>
      <c r="B102" s="7" t="s">
        <v>2374</v>
      </c>
      <c r="C102" s="7">
        <v>100</v>
      </c>
    </row>
    <row r="103" spans="1:3" x14ac:dyDescent="0.3">
      <c r="A103" s="7" t="s">
        <v>2223</v>
      </c>
      <c r="B103" s="7" t="s">
        <v>2432</v>
      </c>
      <c r="C103" s="7">
        <v>100</v>
      </c>
    </row>
    <row r="104" spans="1:3" x14ac:dyDescent="0.3">
      <c r="A104" s="7" t="s">
        <v>80</v>
      </c>
      <c r="B104" s="7" t="s">
        <v>2374</v>
      </c>
      <c r="C104" s="7">
        <v>100</v>
      </c>
    </row>
    <row r="105" spans="1:3" x14ac:dyDescent="0.3">
      <c r="A105" s="7" t="s">
        <v>2231</v>
      </c>
      <c r="B105" s="7" t="s">
        <v>2374</v>
      </c>
      <c r="C105" s="7">
        <v>100</v>
      </c>
    </row>
    <row r="106" spans="1:3" x14ac:dyDescent="0.3">
      <c r="A106" s="7" t="s">
        <v>2231</v>
      </c>
      <c r="B106" s="7" t="s">
        <v>2432</v>
      </c>
      <c r="C106" s="7">
        <v>100</v>
      </c>
    </row>
    <row r="107" spans="1:3" x14ac:dyDescent="0.3">
      <c r="A107" s="7" t="s">
        <v>629</v>
      </c>
      <c r="B107" s="7" t="s">
        <v>2407</v>
      </c>
      <c r="C107" s="7">
        <v>100</v>
      </c>
    </row>
    <row r="108" spans="1:3" x14ac:dyDescent="0.3">
      <c r="A108" s="7" t="s">
        <v>1689</v>
      </c>
      <c r="B108" s="7" t="s">
        <v>2606</v>
      </c>
      <c r="C108" s="7">
        <v>100</v>
      </c>
    </row>
    <row r="109" spans="1:3" x14ac:dyDescent="0.3">
      <c r="A109" s="7" t="s">
        <v>1689</v>
      </c>
      <c r="B109" s="7" t="s">
        <v>2967</v>
      </c>
      <c r="C109" s="7">
        <v>100</v>
      </c>
    </row>
    <row r="110" spans="1:3" x14ac:dyDescent="0.3">
      <c r="A110" s="7" t="s">
        <v>1689</v>
      </c>
      <c r="B110" s="7" t="s">
        <v>2969</v>
      </c>
      <c r="C110" s="7">
        <v>100</v>
      </c>
    </row>
    <row r="111" spans="1:3" x14ac:dyDescent="0.3">
      <c r="A111" s="7" t="s">
        <v>1689</v>
      </c>
      <c r="B111" s="7" t="s">
        <v>2432</v>
      </c>
      <c r="C111" s="7">
        <v>100</v>
      </c>
    </row>
    <row r="112" spans="1:3" x14ac:dyDescent="0.3">
      <c r="A112" s="7" t="s">
        <v>2237</v>
      </c>
      <c r="B112" s="7" t="s">
        <v>2432</v>
      </c>
      <c r="C112" s="7">
        <v>100</v>
      </c>
    </row>
    <row r="113" spans="1:3" x14ac:dyDescent="0.3">
      <c r="A113" s="7" t="s">
        <v>1345</v>
      </c>
      <c r="B113" s="7" t="s">
        <v>2374</v>
      </c>
      <c r="C113" s="7">
        <v>99.76</v>
      </c>
    </row>
    <row r="114" spans="1:3" x14ac:dyDescent="0.3">
      <c r="A114" s="7" t="s">
        <v>86</v>
      </c>
      <c r="B114" s="7" t="s">
        <v>2374</v>
      </c>
      <c r="C114" s="7">
        <v>99.5</v>
      </c>
    </row>
    <row r="115" spans="1:3" x14ac:dyDescent="0.3">
      <c r="A115" s="7" t="s">
        <v>188</v>
      </c>
      <c r="B115" s="7" t="s">
        <v>2374</v>
      </c>
      <c r="C115" s="7">
        <v>99</v>
      </c>
    </row>
    <row r="116" spans="1:3" x14ac:dyDescent="0.3">
      <c r="A116" s="7" t="s">
        <v>2171</v>
      </c>
      <c r="B116" s="7" t="s">
        <v>2404</v>
      </c>
      <c r="C116" s="7">
        <v>99</v>
      </c>
    </row>
    <row r="117" spans="1:3" x14ac:dyDescent="0.3">
      <c r="A117" s="7" t="s">
        <v>2171</v>
      </c>
      <c r="B117" s="7" t="s">
        <v>2382</v>
      </c>
      <c r="C117" s="7">
        <v>99</v>
      </c>
    </row>
    <row r="118" spans="1:3" x14ac:dyDescent="0.3">
      <c r="A118" s="7" t="s">
        <v>1623</v>
      </c>
      <c r="B118" s="7" t="s">
        <v>2410</v>
      </c>
      <c r="C118" s="7">
        <v>98</v>
      </c>
    </row>
    <row r="119" spans="1:3" x14ac:dyDescent="0.3">
      <c r="A119" s="7" t="s">
        <v>725</v>
      </c>
      <c r="B119" s="7" t="s">
        <v>2374</v>
      </c>
      <c r="C119" s="7">
        <v>97.49</v>
      </c>
    </row>
    <row r="120" spans="1:3" x14ac:dyDescent="0.3">
      <c r="A120" s="7" t="s">
        <v>1327</v>
      </c>
      <c r="B120" s="7" t="s">
        <v>2785</v>
      </c>
      <c r="C120" s="7">
        <v>97</v>
      </c>
    </row>
    <row r="121" spans="1:3" x14ac:dyDescent="0.3">
      <c r="A121" s="7" t="s">
        <v>2225</v>
      </c>
      <c r="B121" s="7" t="s">
        <v>2432</v>
      </c>
      <c r="C121" s="7">
        <v>96.33</v>
      </c>
    </row>
    <row r="122" spans="1:3" x14ac:dyDescent="0.3">
      <c r="A122" s="7" t="s">
        <v>426</v>
      </c>
      <c r="B122" s="7" t="s">
        <v>2374</v>
      </c>
      <c r="C122" s="7">
        <v>96</v>
      </c>
    </row>
    <row r="123" spans="1:3" x14ac:dyDescent="0.3">
      <c r="A123" s="7" t="s">
        <v>456</v>
      </c>
      <c r="B123" s="7" t="s">
        <v>2374</v>
      </c>
      <c r="C123" s="7">
        <v>95</v>
      </c>
    </row>
    <row r="124" spans="1:3" x14ac:dyDescent="0.3">
      <c r="A124" s="7" t="s">
        <v>1647</v>
      </c>
      <c r="B124" s="7" t="s">
        <v>2407</v>
      </c>
      <c r="C124" s="7">
        <v>95</v>
      </c>
    </row>
    <row r="125" spans="1:3" x14ac:dyDescent="0.3">
      <c r="A125" s="7" t="s">
        <v>1054</v>
      </c>
      <c r="B125" s="7" t="s">
        <v>2374</v>
      </c>
      <c r="C125" s="7">
        <v>95</v>
      </c>
    </row>
    <row r="126" spans="1:3" x14ac:dyDescent="0.3">
      <c r="A126" s="7" t="s">
        <v>1482</v>
      </c>
      <c r="B126" s="7" t="s">
        <v>2374</v>
      </c>
      <c r="C126" s="7">
        <v>94</v>
      </c>
    </row>
    <row r="127" spans="1:3" x14ac:dyDescent="0.3">
      <c r="A127" s="7" t="s">
        <v>366</v>
      </c>
      <c r="B127" s="7" t="s">
        <v>2374</v>
      </c>
      <c r="C127" s="7">
        <v>93</v>
      </c>
    </row>
    <row r="128" spans="1:3" x14ac:dyDescent="0.3">
      <c r="A128" s="7" t="s">
        <v>975</v>
      </c>
      <c r="B128" s="7" t="s">
        <v>2374</v>
      </c>
      <c r="C128" s="7">
        <v>93</v>
      </c>
    </row>
    <row r="129" spans="1:3" x14ac:dyDescent="0.3">
      <c r="A129" s="7" t="s">
        <v>593</v>
      </c>
      <c r="B129" s="7" t="s">
        <v>2374</v>
      </c>
      <c r="C129" s="7">
        <v>92</v>
      </c>
    </row>
    <row r="130" spans="1:3" x14ac:dyDescent="0.3">
      <c r="A130" s="7" t="s">
        <v>629</v>
      </c>
      <c r="B130" s="7" t="s">
        <v>2382</v>
      </c>
      <c r="C130" s="7">
        <v>92</v>
      </c>
    </row>
    <row r="131" spans="1:3" x14ac:dyDescent="0.3">
      <c r="A131" s="7" t="s">
        <v>1506</v>
      </c>
      <c r="B131" s="7" t="s">
        <v>2505</v>
      </c>
      <c r="C131" s="7">
        <v>92</v>
      </c>
    </row>
    <row r="132" spans="1:3" x14ac:dyDescent="0.3">
      <c r="A132" s="7" t="s">
        <v>1506</v>
      </c>
      <c r="B132" s="7" t="s">
        <v>2374</v>
      </c>
      <c r="C132" s="7">
        <v>92</v>
      </c>
    </row>
    <row r="133" spans="1:3" x14ac:dyDescent="0.3">
      <c r="A133" s="7" t="s">
        <v>212</v>
      </c>
      <c r="B133" s="7" t="s">
        <v>2382</v>
      </c>
      <c r="C133" s="7">
        <v>91</v>
      </c>
    </row>
    <row r="134" spans="1:3" x14ac:dyDescent="0.3">
      <c r="A134" s="7" t="s">
        <v>2115</v>
      </c>
      <c r="B134" s="7" t="s">
        <v>2374</v>
      </c>
      <c r="C134" s="7">
        <v>91</v>
      </c>
    </row>
    <row r="135" spans="1:3" x14ac:dyDescent="0.3">
      <c r="A135" s="7" t="s">
        <v>266</v>
      </c>
      <c r="B135" s="7" t="s">
        <v>2382</v>
      </c>
      <c r="C135" s="7">
        <v>91</v>
      </c>
    </row>
    <row r="136" spans="1:3" x14ac:dyDescent="0.3">
      <c r="A136" s="7" t="s">
        <v>266</v>
      </c>
      <c r="B136" s="7" t="s">
        <v>2374</v>
      </c>
      <c r="C136" s="7">
        <v>91</v>
      </c>
    </row>
    <row r="137" spans="1:3" x14ac:dyDescent="0.3">
      <c r="A137" s="7" t="s">
        <v>331</v>
      </c>
      <c r="B137" s="7" t="s">
        <v>2410</v>
      </c>
      <c r="C137" s="7">
        <v>90</v>
      </c>
    </row>
    <row r="138" spans="1:3" x14ac:dyDescent="0.3">
      <c r="A138" s="7" t="s">
        <v>92</v>
      </c>
      <c r="B138" s="7" t="s">
        <v>2374</v>
      </c>
      <c r="C138" s="7">
        <v>90</v>
      </c>
    </row>
    <row r="139" spans="1:3" x14ac:dyDescent="0.3">
      <c r="A139" s="7" t="s">
        <v>1416</v>
      </c>
      <c r="B139" s="7" t="s">
        <v>2374</v>
      </c>
      <c r="C139" s="7">
        <v>90</v>
      </c>
    </row>
    <row r="140" spans="1:3" x14ac:dyDescent="0.3">
      <c r="A140" s="7" t="s">
        <v>134</v>
      </c>
      <c r="B140" s="7" t="s">
        <v>2374</v>
      </c>
      <c r="C140" s="7">
        <v>90</v>
      </c>
    </row>
    <row r="141" spans="1:3" x14ac:dyDescent="0.3">
      <c r="A141" s="7" t="s">
        <v>1599</v>
      </c>
      <c r="B141" s="7" t="s">
        <v>2374</v>
      </c>
      <c r="C141" s="7">
        <v>90</v>
      </c>
    </row>
    <row r="142" spans="1:3" x14ac:dyDescent="0.3">
      <c r="A142" s="7" t="s">
        <v>892</v>
      </c>
      <c r="B142" s="7" t="s">
        <v>2374</v>
      </c>
      <c r="C142" s="7">
        <v>90</v>
      </c>
    </row>
    <row r="143" spans="1:3" x14ac:dyDescent="0.3">
      <c r="A143" s="7" t="s">
        <v>337</v>
      </c>
      <c r="B143" s="7" t="s">
        <v>2374</v>
      </c>
      <c r="C143" s="7">
        <v>90</v>
      </c>
    </row>
    <row r="144" spans="1:3" x14ac:dyDescent="0.3">
      <c r="A144" s="7" t="s">
        <v>1137</v>
      </c>
      <c r="B144" s="7" t="s">
        <v>2374</v>
      </c>
      <c r="C144" s="7">
        <v>90</v>
      </c>
    </row>
    <row r="145" spans="1:3" x14ac:dyDescent="0.3">
      <c r="A145" s="7" t="s">
        <v>230</v>
      </c>
      <c r="B145" s="7" t="s">
        <v>2404</v>
      </c>
      <c r="C145" s="7">
        <v>89</v>
      </c>
    </row>
    <row r="146" spans="1:3" x14ac:dyDescent="0.3">
      <c r="A146" s="7" t="s">
        <v>230</v>
      </c>
      <c r="B146" s="7" t="s">
        <v>2382</v>
      </c>
      <c r="C146" s="7">
        <v>89</v>
      </c>
    </row>
    <row r="147" spans="1:3" x14ac:dyDescent="0.3">
      <c r="A147" s="7" t="s">
        <v>701</v>
      </c>
      <c r="B147" s="7" t="s">
        <v>2374</v>
      </c>
      <c r="C147" s="7">
        <v>89</v>
      </c>
    </row>
    <row r="148" spans="1:3" x14ac:dyDescent="0.3">
      <c r="A148" s="7" t="s">
        <v>558</v>
      </c>
      <c r="B148" s="7" t="s">
        <v>2374</v>
      </c>
      <c r="C148" s="7">
        <v>88</v>
      </c>
    </row>
    <row r="149" spans="1:3" x14ac:dyDescent="0.3">
      <c r="A149" s="7" t="s">
        <v>749</v>
      </c>
      <c r="B149" s="7" t="s">
        <v>2404</v>
      </c>
      <c r="C149" s="7">
        <v>87.9</v>
      </c>
    </row>
    <row r="150" spans="1:3" x14ac:dyDescent="0.3">
      <c r="A150" s="7" t="s">
        <v>749</v>
      </c>
      <c r="B150" s="7" t="s">
        <v>2374</v>
      </c>
      <c r="C150" s="7">
        <v>87.9</v>
      </c>
    </row>
    <row r="151" spans="1:3" x14ac:dyDescent="0.3">
      <c r="A151" s="7" t="s">
        <v>1671</v>
      </c>
      <c r="B151" s="7" t="s">
        <v>2374</v>
      </c>
      <c r="C151" s="7">
        <v>87</v>
      </c>
    </row>
    <row r="152" spans="1:3" x14ac:dyDescent="0.3">
      <c r="A152" s="7" t="s">
        <v>1405</v>
      </c>
      <c r="B152" s="7" t="s">
        <v>2374</v>
      </c>
      <c r="C152" s="7">
        <v>86</v>
      </c>
    </row>
    <row r="153" spans="1:3" x14ac:dyDescent="0.3">
      <c r="A153" s="7" t="s">
        <v>38</v>
      </c>
      <c r="B153" s="7" t="s">
        <v>2374</v>
      </c>
      <c r="C153" s="7">
        <v>86</v>
      </c>
    </row>
    <row r="154" spans="1:3" x14ac:dyDescent="0.3">
      <c r="A154" s="7" t="s">
        <v>98</v>
      </c>
      <c r="B154" s="7" t="s">
        <v>2404</v>
      </c>
      <c r="C154" s="7">
        <v>85</v>
      </c>
    </row>
    <row r="155" spans="1:3" x14ac:dyDescent="0.3">
      <c r="A155" s="7" t="s">
        <v>98</v>
      </c>
      <c r="B155" s="7" t="s">
        <v>2382</v>
      </c>
      <c r="C155" s="7">
        <v>85</v>
      </c>
    </row>
    <row r="156" spans="1:3" x14ac:dyDescent="0.3">
      <c r="A156" s="7" t="s">
        <v>1593</v>
      </c>
      <c r="B156" s="7" t="s">
        <v>2374</v>
      </c>
      <c r="C156" s="7">
        <v>85</v>
      </c>
    </row>
    <row r="157" spans="1:3" x14ac:dyDescent="0.3">
      <c r="A157" s="7" t="s">
        <v>904</v>
      </c>
      <c r="B157" s="7" t="s">
        <v>2374</v>
      </c>
      <c r="C157" s="7">
        <v>85</v>
      </c>
    </row>
    <row r="158" spans="1:3" x14ac:dyDescent="0.3">
      <c r="A158" s="7" t="s">
        <v>44</v>
      </c>
      <c r="B158" s="7" t="s">
        <v>2382</v>
      </c>
      <c r="C158" s="7">
        <v>85</v>
      </c>
    </row>
    <row r="159" spans="1:3" x14ac:dyDescent="0.3">
      <c r="A159" s="7" t="s">
        <v>44</v>
      </c>
      <c r="B159" s="7" t="s">
        <v>2374</v>
      </c>
      <c r="C159" s="7">
        <v>85</v>
      </c>
    </row>
    <row r="160" spans="1:3" x14ac:dyDescent="0.3">
      <c r="A160" s="7" t="s">
        <v>1581</v>
      </c>
      <c r="B160" s="7" t="s">
        <v>2374</v>
      </c>
      <c r="C160" s="7">
        <v>84</v>
      </c>
    </row>
    <row r="161" spans="1:3" x14ac:dyDescent="0.3">
      <c r="A161" s="7" t="s">
        <v>38</v>
      </c>
      <c r="B161" s="7" t="s">
        <v>2371</v>
      </c>
      <c r="C161" s="7">
        <v>82</v>
      </c>
    </row>
    <row r="162" spans="1:3" x14ac:dyDescent="0.3">
      <c r="A162" s="7" t="s">
        <v>1202</v>
      </c>
      <c r="B162" s="7" t="s">
        <v>2374</v>
      </c>
      <c r="C162" s="7">
        <v>80</v>
      </c>
    </row>
    <row r="163" spans="1:3" x14ac:dyDescent="0.3">
      <c r="A163" s="7" t="s">
        <v>647</v>
      </c>
      <c r="B163" s="7" t="s">
        <v>2410</v>
      </c>
      <c r="C163" s="7">
        <v>80</v>
      </c>
    </row>
    <row r="164" spans="1:3" x14ac:dyDescent="0.3">
      <c r="A164" s="7" t="s">
        <v>886</v>
      </c>
      <c r="B164" s="7" t="s">
        <v>2410</v>
      </c>
      <c r="C164" s="7">
        <v>80</v>
      </c>
    </row>
    <row r="165" spans="1:3" x14ac:dyDescent="0.3">
      <c r="A165" s="7" t="s">
        <v>1268</v>
      </c>
      <c r="B165" s="7" t="s">
        <v>2410</v>
      </c>
      <c r="C165" s="7">
        <v>80</v>
      </c>
    </row>
    <row r="166" spans="1:3" x14ac:dyDescent="0.3">
      <c r="A166" s="7" t="s">
        <v>44</v>
      </c>
      <c r="B166" s="7" t="s">
        <v>2388</v>
      </c>
      <c r="C166" s="7">
        <v>80</v>
      </c>
    </row>
    <row r="167" spans="1:3" x14ac:dyDescent="0.3">
      <c r="A167" s="7" t="s">
        <v>2128</v>
      </c>
      <c r="B167" s="7" t="s">
        <v>2410</v>
      </c>
      <c r="C167" s="7">
        <v>80</v>
      </c>
    </row>
    <row r="168" spans="1:3" x14ac:dyDescent="0.3">
      <c r="A168" s="7" t="s">
        <v>260</v>
      </c>
      <c r="B168" s="7" t="s">
        <v>2410</v>
      </c>
      <c r="C168" s="7">
        <v>80</v>
      </c>
    </row>
    <row r="169" spans="1:3" x14ac:dyDescent="0.3">
      <c r="A169" s="7" t="s">
        <v>122</v>
      </c>
      <c r="B169" s="7" t="s">
        <v>2410</v>
      </c>
      <c r="C169" s="7">
        <v>80</v>
      </c>
    </row>
    <row r="170" spans="1:3" x14ac:dyDescent="0.3">
      <c r="A170" s="7" t="s">
        <v>611</v>
      </c>
      <c r="B170" s="7" t="s">
        <v>2382</v>
      </c>
      <c r="C170" s="7">
        <v>80</v>
      </c>
    </row>
    <row r="171" spans="1:3" x14ac:dyDescent="0.3">
      <c r="A171" s="7" t="s">
        <v>611</v>
      </c>
      <c r="B171" s="7" t="s">
        <v>2374</v>
      </c>
      <c r="C171" s="7">
        <v>80</v>
      </c>
    </row>
    <row r="172" spans="1:3" x14ac:dyDescent="0.3">
      <c r="A172" s="7" t="s">
        <v>462</v>
      </c>
      <c r="B172" s="7" t="s">
        <v>2410</v>
      </c>
      <c r="C172" s="7">
        <v>80</v>
      </c>
    </row>
    <row r="173" spans="1:3" x14ac:dyDescent="0.3">
      <c r="A173" s="7" t="s">
        <v>2171</v>
      </c>
      <c r="B173" s="7" t="s">
        <v>2410</v>
      </c>
      <c r="C173" s="7">
        <v>80</v>
      </c>
    </row>
    <row r="174" spans="1:3" x14ac:dyDescent="0.3">
      <c r="A174" s="7" t="s">
        <v>844</v>
      </c>
      <c r="B174" s="7" t="s">
        <v>2410</v>
      </c>
      <c r="C174" s="7">
        <v>80</v>
      </c>
    </row>
    <row r="175" spans="1:3" x14ac:dyDescent="0.3">
      <c r="A175" s="7" t="s">
        <v>665</v>
      </c>
      <c r="B175" s="7" t="s">
        <v>2410</v>
      </c>
      <c r="C175" s="7">
        <v>80</v>
      </c>
    </row>
    <row r="176" spans="1:3" x14ac:dyDescent="0.3">
      <c r="A176" s="7" t="s">
        <v>1434</v>
      </c>
      <c r="B176" s="7" t="s">
        <v>2410</v>
      </c>
      <c r="C176" s="7">
        <v>80</v>
      </c>
    </row>
    <row r="177" spans="1:3" x14ac:dyDescent="0.3">
      <c r="A177" s="7" t="s">
        <v>266</v>
      </c>
      <c r="B177" s="7" t="s">
        <v>2410</v>
      </c>
      <c r="C177" s="7">
        <v>80</v>
      </c>
    </row>
    <row r="178" spans="1:3" x14ac:dyDescent="0.3">
      <c r="A178" s="7" t="s">
        <v>546</v>
      </c>
      <c r="B178" s="7" t="s">
        <v>2410</v>
      </c>
      <c r="C178" s="7">
        <v>80</v>
      </c>
    </row>
    <row r="179" spans="1:3" x14ac:dyDescent="0.3">
      <c r="A179" s="7" t="s">
        <v>558</v>
      </c>
      <c r="B179" s="7" t="s">
        <v>2410</v>
      </c>
      <c r="C179" s="7">
        <v>80</v>
      </c>
    </row>
    <row r="180" spans="1:3" x14ac:dyDescent="0.3">
      <c r="A180" s="7" t="s">
        <v>272</v>
      </c>
      <c r="B180" s="7" t="s">
        <v>2410</v>
      </c>
      <c r="C180" s="7">
        <v>80</v>
      </c>
    </row>
    <row r="181" spans="1:3" x14ac:dyDescent="0.3">
      <c r="A181" s="7" t="s">
        <v>874</v>
      </c>
      <c r="B181" s="7" t="s">
        <v>2374</v>
      </c>
      <c r="C181" s="7">
        <v>80</v>
      </c>
    </row>
    <row r="182" spans="1:3" x14ac:dyDescent="0.3">
      <c r="A182" s="7" t="s">
        <v>360</v>
      </c>
      <c r="B182" s="24" t="s">
        <v>2410</v>
      </c>
      <c r="C182" s="7">
        <v>80</v>
      </c>
    </row>
    <row r="183" spans="1:3" x14ac:dyDescent="0.3">
      <c r="A183" s="7" t="s">
        <v>2225</v>
      </c>
      <c r="B183" s="7" t="s">
        <v>2410</v>
      </c>
      <c r="C183" s="7">
        <v>80</v>
      </c>
    </row>
    <row r="184" spans="1:3" x14ac:dyDescent="0.3">
      <c r="A184" s="7" t="s">
        <v>671</v>
      </c>
      <c r="B184" s="7" t="s">
        <v>2410</v>
      </c>
      <c r="C184" s="7">
        <v>80</v>
      </c>
    </row>
    <row r="185" spans="1:3" x14ac:dyDescent="0.3">
      <c r="A185" s="7" t="s">
        <v>629</v>
      </c>
      <c r="B185" s="7" t="s">
        <v>2410</v>
      </c>
      <c r="C185" s="7">
        <v>80</v>
      </c>
    </row>
    <row r="186" spans="1:3" x14ac:dyDescent="0.3">
      <c r="A186" s="7" t="s">
        <v>1689</v>
      </c>
      <c r="B186" s="7" t="s">
        <v>2410</v>
      </c>
      <c r="C186" s="7">
        <v>80</v>
      </c>
    </row>
    <row r="187" spans="1:3" x14ac:dyDescent="0.3">
      <c r="A187" s="7" t="s">
        <v>319</v>
      </c>
      <c r="B187" s="7" t="s">
        <v>2410</v>
      </c>
      <c r="C187" s="7">
        <v>80</v>
      </c>
    </row>
    <row r="188" spans="1:3" x14ac:dyDescent="0.3">
      <c r="A188" s="7" t="s">
        <v>480</v>
      </c>
      <c r="B188" s="7" t="s">
        <v>2374</v>
      </c>
      <c r="C188" s="7">
        <v>79</v>
      </c>
    </row>
    <row r="189" spans="1:3" x14ac:dyDescent="0.3">
      <c r="A189" s="7" t="s">
        <v>1647</v>
      </c>
      <c r="B189" s="7" t="s">
        <v>2432</v>
      </c>
      <c r="C189" s="7">
        <v>78</v>
      </c>
    </row>
    <row r="190" spans="1:3" x14ac:dyDescent="0.3">
      <c r="A190" s="7" t="s">
        <v>963</v>
      </c>
      <c r="B190" s="7" t="s">
        <v>2374</v>
      </c>
      <c r="C190" s="7">
        <v>78</v>
      </c>
    </row>
    <row r="191" spans="1:3" x14ac:dyDescent="0.3">
      <c r="A191" s="24" t="s">
        <v>522</v>
      </c>
      <c r="B191" s="24" t="s">
        <v>2505</v>
      </c>
      <c r="C191" s="24">
        <v>77.2</v>
      </c>
    </row>
    <row r="192" spans="1:3" x14ac:dyDescent="0.3">
      <c r="A192" s="7" t="s">
        <v>313</v>
      </c>
      <c r="B192" s="7" t="s">
        <v>2374</v>
      </c>
      <c r="C192" s="7">
        <v>76</v>
      </c>
    </row>
    <row r="193" spans="1:3" x14ac:dyDescent="0.3">
      <c r="A193" s="7" t="s">
        <v>1552</v>
      </c>
      <c r="B193" s="7" t="s">
        <v>2374</v>
      </c>
      <c r="C193" s="7">
        <v>75</v>
      </c>
    </row>
    <row r="194" spans="1:3" x14ac:dyDescent="0.3">
      <c r="A194" s="7" t="s">
        <v>1279</v>
      </c>
      <c r="B194" s="7" t="s">
        <v>2374</v>
      </c>
      <c r="C194" s="7">
        <v>75</v>
      </c>
    </row>
    <row r="195" spans="1:3" x14ac:dyDescent="0.3">
      <c r="A195" s="7" t="s">
        <v>1494</v>
      </c>
      <c r="B195" s="7" t="s">
        <v>2374</v>
      </c>
      <c r="C195" s="7">
        <v>75</v>
      </c>
    </row>
    <row r="196" spans="1:3" x14ac:dyDescent="0.3">
      <c r="A196" s="7" t="s">
        <v>1701</v>
      </c>
      <c r="B196" s="7" t="s">
        <v>2407</v>
      </c>
      <c r="C196" s="7">
        <v>74</v>
      </c>
    </row>
    <row r="197" spans="1:3" x14ac:dyDescent="0.3">
      <c r="A197" s="7" t="s">
        <v>1042</v>
      </c>
      <c r="B197" s="7" t="s">
        <v>2374</v>
      </c>
      <c r="C197" s="7">
        <v>71</v>
      </c>
    </row>
    <row r="198" spans="1:3" x14ac:dyDescent="0.3">
      <c r="A198" s="7" t="s">
        <v>1232</v>
      </c>
      <c r="B198" s="7" t="s">
        <v>2374</v>
      </c>
      <c r="C198" s="7">
        <v>71</v>
      </c>
    </row>
    <row r="199" spans="1:3" x14ac:dyDescent="0.3">
      <c r="A199" s="7" t="s">
        <v>98</v>
      </c>
      <c r="B199" s="7" t="s">
        <v>2374</v>
      </c>
      <c r="C199" s="7">
        <v>70</v>
      </c>
    </row>
    <row r="200" spans="1:3" x14ac:dyDescent="0.3">
      <c r="A200" s="7" t="s">
        <v>1535</v>
      </c>
      <c r="B200" s="7" t="s">
        <v>2374</v>
      </c>
      <c r="C200" s="7">
        <v>70</v>
      </c>
    </row>
    <row r="201" spans="1:3" x14ac:dyDescent="0.3">
      <c r="A201" s="7" t="s">
        <v>1018</v>
      </c>
      <c r="B201" s="7" t="s">
        <v>2374</v>
      </c>
      <c r="C201" s="7">
        <v>70</v>
      </c>
    </row>
    <row r="202" spans="1:3" x14ac:dyDescent="0.3">
      <c r="A202" s="7" t="s">
        <v>224</v>
      </c>
      <c r="B202" s="7" t="s">
        <v>2461</v>
      </c>
      <c r="C202" s="7">
        <v>70</v>
      </c>
    </row>
    <row r="203" spans="1:3" x14ac:dyDescent="0.3">
      <c r="A203" s="7" t="s">
        <v>1671</v>
      </c>
      <c r="B203" s="7" t="s">
        <v>2404</v>
      </c>
      <c r="C203" s="7">
        <v>70</v>
      </c>
    </row>
    <row r="204" spans="1:3" x14ac:dyDescent="0.3">
      <c r="A204" s="7" t="s">
        <v>1671</v>
      </c>
      <c r="B204" s="7" t="s">
        <v>2382</v>
      </c>
      <c r="C204" s="7">
        <v>70</v>
      </c>
    </row>
    <row r="205" spans="1:3" x14ac:dyDescent="0.3">
      <c r="A205" s="7" t="s">
        <v>826</v>
      </c>
      <c r="B205" s="7" t="s">
        <v>2382</v>
      </c>
      <c r="C205" s="7">
        <v>70</v>
      </c>
    </row>
    <row r="206" spans="1:3" x14ac:dyDescent="0.3">
      <c r="A206" s="7" t="s">
        <v>832</v>
      </c>
      <c r="B206" s="7" t="s">
        <v>2766</v>
      </c>
      <c r="C206" s="7">
        <v>70</v>
      </c>
    </row>
    <row r="207" spans="1:3" x14ac:dyDescent="0.3">
      <c r="A207" s="7" t="s">
        <v>1617</v>
      </c>
      <c r="B207" s="7" t="s">
        <v>2374</v>
      </c>
      <c r="C207" s="7">
        <v>70</v>
      </c>
    </row>
    <row r="208" spans="1:3" x14ac:dyDescent="0.3">
      <c r="A208" s="7" t="s">
        <v>1617</v>
      </c>
      <c r="B208" s="7" t="s">
        <v>2988</v>
      </c>
      <c r="C208" s="7">
        <v>70</v>
      </c>
    </row>
    <row r="209" spans="1:3" x14ac:dyDescent="0.3">
      <c r="A209" s="7" t="s">
        <v>575</v>
      </c>
      <c r="B209" s="7" t="s">
        <v>2374</v>
      </c>
      <c r="C209" s="7">
        <v>70</v>
      </c>
    </row>
    <row r="210" spans="1:3" x14ac:dyDescent="0.3">
      <c r="A210" s="7" t="s">
        <v>1084</v>
      </c>
      <c r="B210" s="7" t="s">
        <v>2374</v>
      </c>
      <c r="C210" s="7">
        <v>68.400000000000006</v>
      </c>
    </row>
    <row r="211" spans="1:3" x14ac:dyDescent="0.3">
      <c r="A211" s="7" t="s">
        <v>1066</v>
      </c>
      <c r="B211" s="7" t="s">
        <v>2505</v>
      </c>
      <c r="C211" s="7">
        <v>67.5</v>
      </c>
    </row>
    <row r="212" spans="1:3" x14ac:dyDescent="0.3">
      <c r="A212" s="7" t="s">
        <v>319</v>
      </c>
      <c r="B212" s="7" t="s">
        <v>2374</v>
      </c>
      <c r="C212" s="7">
        <v>66.8</v>
      </c>
    </row>
    <row r="213" spans="1:3" x14ac:dyDescent="0.3">
      <c r="A213" s="7" t="s">
        <v>665</v>
      </c>
      <c r="B213" s="7" t="s">
        <v>2404</v>
      </c>
      <c r="C213" s="7">
        <v>66</v>
      </c>
    </row>
    <row r="214" spans="1:3" x14ac:dyDescent="0.3">
      <c r="A214" s="7" t="s">
        <v>665</v>
      </c>
      <c r="B214" s="7" t="s">
        <v>2382</v>
      </c>
      <c r="C214" s="7">
        <v>66</v>
      </c>
    </row>
    <row r="215" spans="1:3" x14ac:dyDescent="0.3">
      <c r="A215" s="7" t="s">
        <v>665</v>
      </c>
      <c r="B215" s="7" t="s">
        <v>2505</v>
      </c>
      <c r="C215" s="7">
        <v>66</v>
      </c>
    </row>
    <row r="216" spans="1:3" x14ac:dyDescent="0.3">
      <c r="A216" s="7" t="s">
        <v>665</v>
      </c>
      <c r="B216" s="7" t="s">
        <v>2374</v>
      </c>
      <c r="C216" s="7">
        <v>66</v>
      </c>
    </row>
    <row r="217" spans="1:3" x14ac:dyDescent="0.3">
      <c r="A217" s="7" t="s">
        <v>116</v>
      </c>
      <c r="B217" s="7" t="s">
        <v>2382</v>
      </c>
      <c r="C217" s="7">
        <v>66</v>
      </c>
    </row>
    <row r="218" spans="1:3" x14ac:dyDescent="0.3">
      <c r="A218" s="7" t="s">
        <v>116</v>
      </c>
      <c r="B218" s="7" t="s">
        <v>2374</v>
      </c>
      <c r="C218" s="7">
        <v>66</v>
      </c>
    </row>
    <row r="219" spans="1:3" x14ac:dyDescent="0.3">
      <c r="A219" s="7" t="s">
        <v>278</v>
      </c>
      <c r="B219" s="7" t="s">
        <v>2374</v>
      </c>
      <c r="C219" s="7">
        <v>65</v>
      </c>
    </row>
    <row r="220" spans="1:3" x14ac:dyDescent="0.3">
      <c r="A220" s="7" t="s">
        <v>695</v>
      </c>
      <c r="B220" s="7" t="s">
        <v>2374</v>
      </c>
      <c r="C220" s="7">
        <v>64</v>
      </c>
    </row>
    <row r="221" spans="1:3" x14ac:dyDescent="0.3">
      <c r="A221" s="7" t="s">
        <v>2182</v>
      </c>
      <c r="B221" s="7" t="s">
        <v>2374</v>
      </c>
      <c r="C221" s="7">
        <v>63</v>
      </c>
    </row>
    <row r="222" spans="1:3" x14ac:dyDescent="0.3">
      <c r="A222" s="7" t="s">
        <v>927</v>
      </c>
      <c r="B222" s="7" t="s">
        <v>2374</v>
      </c>
      <c r="C222" s="7">
        <v>62</v>
      </c>
    </row>
    <row r="223" spans="1:3" x14ac:dyDescent="0.3">
      <c r="A223" s="7" t="s">
        <v>56</v>
      </c>
      <c r="B223" s="7" t="s">
        <v>2374</v>
      </c>
      <c r="C223" s="7">
        <v>60</v>
      </c>
    </row>
    <row r="224" spans="1:3" x14ac:dyDescent="0.3">
      <c r="A224" s="7" t="s">
        <v>1268</v>
      </c>
      <c r="B224" s="7" t="s">
        <v>2382</v>
      </c>
      <c r="C224" s="7">
        <v>60</v>
      </c>
    </row>
    <row r="225" spans="1:3" x14ac:dyDescent="0.3">
      <c r="A225" s="7" t="s">
        <v>1268</v>
      </c>
      <c r="B225" s="7" t="s">
        <v>2374</v>
      </c>
      <c r="C225" s="7">
        <v>60</v>
      </c>
    </row>
    <row r="226" spans="1:3" x14ac:dyDescent="0.3">
      <c r="A226" s="7" t="s">
        <v>1659</v>
      </c>
      <c r="B226" s="7" t="s">
        <v>2374</v>
      </c>
      <c r="C226" s="7">
        <v>60</v>
      </c>
    </row>
    <row r="227" spans="1:3" x14ac:dyDescent="0.3">
      <c r="A227" s="7" t="s">
        <v>1166</v>
      </c>
      <c r="B227" s="7" t="s">
        <v>2374</v>
      </c>
      <c r="C227" s="7">
        <v>60</v>
      </c>
    </row>
    <row r="228" spans="1:3" x14ac:dyDescent="0.3">
      <c r="A228" s="7" t="s">
        <v>1345</v>
      </c>
      <c r="B228" s="7" t="s">
        <v>2382</v>
      </c>
      <c r="C228" s="7">
        <v>60</v>
      </c>
    </row>
    <row r="229" spans="1:3" x14ac:dyDescent="0.3">
      <c r="A229" s="7" t="s">
        <v>284</v>
      </c>
      <c r="B229" s="7" t="s">
        <v>2382</v>
      </c>
      <c r="C229" s="7">
        <v>60</v>
      </c>
    </row>
    <row r="230" spans="1:3" x14ac:dyDescent="0.3">
      <c r="A230" s="7" t="s">
        <v>284</v>
      </c>
      <c r="B230" s="7" t="s">
        <v>2374</v>
      </c>
      <c r="C230" s="7">
        <v>60</v>
      </c>
    </row>
    <row r="231" spans="1:3" x14ac:dyDescent="0.3">
      <c r="A231" s="7" t="s">
        <v>671</v>
      </c>
      <c r="B231" s="7" t="s">
        <v>2374</v>
      </c>
      <c r="C231" s="7">
        <v>60</v>
      </c>
    </row>
    <row r="232" spans="1:3" x14ac:dyDescent="0.3">
      <c r="A232" s="7" t="s">
        <v>767</v>
      </c>
      <c r="B232" s="7" t="s">
        <v>2374</v>
      </c>
      <c r="C232" s="7">
        <v>59</v>
      </c>
    </row>
    <row r="233" spans="1:3" x14ac:dyDescent="0.3">
      <c r="A233" s="7" t="s">
        <v>492</v>
      </c>
      <c r="B233" s="7" t="s">
        <v>2374</v>
      </c>
      <c r="C233" s="7">
        <v>59</v>
      </c>
    </row>
    <row r="234" spans="1:3" x14ac:dyDescent="0.3">
      <c r="A234" s="7" t="s">
        <v>146</v>
      </c>
      <c r="B234" s="7" t="s">
        <v>2374</v>
      </c>
      <c r="C234" s="7">
        <v>52.06</v>
      </c>
    </row>
    <row r="235" spans="1:3" x14ac:dyDescent="0.3">
      <c r="A235" s="7" t="s">
        <v>1006</v>
      </c>
      <c r="B235" s="7" t="s">
        <v>2374</v>
      </c>
      <c r="C235" s="7">
        <v>51</v>
      </c>
    </row>
    <row r="236" spans="1:3" x14ac:dyDescent="0.3">
      <c r="A236" s="7" t="s">
        <v>1321</v>
      </c>
      <c r="B236" s="7" t="s">
        <v>2374</v>
      </c>
      <c r="C236" s="7">
        <v>50</v>
      </c>
    </row>
    <row r="237" spans="1:3" x14ac:dyDescent="0.3">
      <c r="A237" s="7" t="s">
        <v>230</v>
      </c>
      <c r="B237" s="7" t="s">
        <v>2374</v>
      </c>
      <c r="C237" s="7">
        <v>50</v>
      </c>
    </row>
    <row r="238" spans="1:3" x14ac:dyDescent="0.3">
      <c r="A238" s="7" t="s">
        <v>390</v>
      </c>
      <c r="B238" s="7" t="s">
        <v>2374</v>
      </c>
      <c r="C238" s="7">
        <v>50</v>
      </c>
    </row>
    <row r="239" spans="1:3" x14ac:dyDescent="0.3">
      <c r="A239" s="7" t="s">
        <v>1030</v>
      </c>
      <c r="B239" s="7" t="s">
        <v>2374</v>
      </c>
      <c r="C239" s="7">
        <v>50</v>
      </c>
    </row>
    <row r="240" spans="1:3" x14ac:dyDescent="0.3">
      <c r="A240" s="7" t="s">
        <v>504</v>
      </c>
      <c r="B240" s="7" t="s">
        <v>2374</v>
      </c>
      <c r="C240" s="7">
        <v>50</v>
      </c>
    </row>
    <row r="241" spans="1:3" x14ac:dyDescent="0.3">
      <c r="A241" s="7" t="s">
        <v>1114</v>
      </c>
      <c r="B241" s="7" t="s">
        <v>2374</v>
      </c>
      <c r="C241" s="7">
        <v>48</v>
      </c>
    </row>
    <row r="242" spans="1:3" x14ac:dyDescent="0.3">
      <c r="A242" s="7" t="s">
        <v>718</v>
      </c>
      <c r="B242" s="7" t="s">
        <v>2374</v>
      </c>
      <c r="C242" s="7">
        <v>47.6</v>
      </c>
    </row>
    <row r="243" spans="1:3" x14ac:dyDescent="0.3">
      <c r="A243" s="7" t="s">
        <v>1488</v>
      </c>
      <c r="B243" s="7" t="s">
        <v>2374</v>
      </c>
      <c r="C243" s="7">
        <v>47</v>
      </c>
    </row>
    <row r="244" spans="1:3" x14ac:dyDescent="0.3">
      <c r="A244" s="7" t="s">
        <v>963</v>
      </c>
      <c r="B244" s="7" t="s">
        <v>2505</v>
      </c>
      <c r="C244" s="7">
        <v>47</v>
      </c>
    </row>
    <row r="245" spans="1:3" x14ac:dyDescent="0.3">
      <c r="A245" s="7" t="s">
        <v>713</v>
      </c>
      <c r="B245" s="7" t="s">
        <v>2374</v>
      </c>
      <c r="C245" s="7">
        <v>45</v>
      </c>
    </row>
    <row r="246" spans="1:3" x14ac:dyDescent="0.3">
      <c r="A246" s="7" t="s">
        <v>546</v>
      </c>
      <c r="B246" s="7" t="s">
        <v>2382</v>
      </c>
      <c r="C246" s="7">
        <v>45</v>
      </c>
    </row>
    <row r="247" spans="1:3" x14ac:dyDescent="0.3">
      <c r="A247" s="7" t="s">
        <v>546</v>
      </c>
      <c r="B247" s="7" t="s">
        <v>2374</v>
      </c>
      <c r="C247" s="7">
        <v>45</v>
      </c>
    </row>
    <row r="248" spans="1:3" x14ac:dyDescent="0.3">
      <c r="A248" s="7" t="s">
        <v>641</v>
      </c>
      <c r="B248" s="7" t="s">
        <v>2374</v>
      </c>
      <c r="C248" s="7">
        <v>44</v>
      </c>
    </row>
    <row r="249" spans="1:3" x14ac:dyDescent="0.3">
      <c r="A249" s="7" t="s">
        <v>1096</v>
      </c>
      <c r="B249" s="7" t="s">
        <v>2374</v>
      </c>
      <c r="C249" s="7">
        <v>43</v>
      </c>
    </row>
    <row r="250" spans="1:3" x14ac:dyDescent="0.3">
      <c r="A250" s="7" t="s">
        <v>438</v>
      </c>
      <c r="B250" s="7" t="s">
        <v>2374</v>
      </c>
      <c r="C250" s="7">
        <v>42.5</v>
      </c>
    </row>
    <row r="251" spans="1:3" x14ac:dyDescent="0.3">
      <c r="A251" s="7" t="s">
        <v>319</v>
      </c>
      <c r="B251" s="7" t="s">
        <v>2382</v>
      </c>
      <c r="C251" s="7">
        <v>42.4</v>
      </c>
    </row>
    <row r="252" spans="1:3" x14ac:dyDescent="0.3">
      <c r="A252" s="7" t="s">
        <v>1333</v>
      </c>
      <c r="B252" s="7" t="s">
        <v>2374</v>
      </c>
      <c r="C252" s="7">
        <v>42</v>
      </c>
    </row>
    <row r="253" spans="1:3" x14ac:dyDescent="0.3">
      <c r="A253" s="7" t="s">
        <v>62</v>
      </c>
      <c r="B253" s="7" t="s">
        <v>2374</v>
      </c>
      <c r="C253" s="7">
        <v>41</v>
      </c>
    </row>
    <row r="254" spans="1:3" x14ac:dyDescent="0.3">
      <c r="A254" s="7" t="s">
        <v>737</v>
      </c>
      <c r="B254" s="7" t="s">
        <v>2374</v>
      </c>
      <c r="C254" s="7">
        <v>41</v>
      </c>
    </row>
    <row r="255" spans="1:3" x14ac:dyDescent="0.3">
      <c r="A255" s="7" t="s">
        <v>647</v>
      </c>
      <c r="B255" s="7" t="s">
        <v>2505</v>
      </c>
      <c r="C255" s="7">
        <v>40</v>
      </c>
    </row>
    <row r="256" spans="1:3" x14ac:dyDescent="0.3">
      <c r="A256" s="7" t="s">
        <v>200</v>
      </c>
      <c r="B256" s="7" t="s">
        <v>2374</v>
      </c>
      <c r="C256" s="7">
        <v>40</v>
      </c>
    </row>
    <row r="257" spans="1:3" x14ac:dyDescent="0.3">
      <c r="A257" s="7" t="s">
        <v>850</v>
      </c>
      <c r="B257" s="7" t="s">
        <v>2374</v>
      </c>
      <c r="C257" s="7">
        <v>40</v>
      </c>
    </row>
    <row r="258" spans="1:3" x14ac:dyDescent="0.3">
      <c r="A258" s="7" t="s">
        <v>1558</v>
      </c>
      <c r="B258" s="7" t="s">
        <v>2374</v>
      </c>
      <c r="C258" s="7">
        <v>38</v>
      </c>
    </row>
    <row r="259" spans="1:3" x14ac:dyDescent="0.3">
      <c r="A259" s="7" t="s">
        <v>1369</v>
      </c>
      <c r="B259" s="7" t="s">
        <v>2374</v>
      </c>
      <c r="C259" s="7">
        <v>38</v>
      </c>
    </row>
    <row r="260" spans="1:3" x14ac:dyDescent="0.3">
      <c r="A260" s="7" t="s">
        <v>1131</v>
      </c>
      <c r="B260" s="7" t="s">
        <v>2374</v>
      </c>
      <c r="C260" s="7">
        <v>37.5</v>
      </c>
    </row>
    <row r="261" spans="1:3" x14ac:dyDescent="0.3">
      <c r="A261" s="7" t="s">
        <v>1500</v>
      </c>
      <c r="B261" s="7" t="s">
        <v>2505</v>
      </c>
      <c r="C261" s="7">
        <v>37</v>
      </c>
    </row>
    <row r="262" spans="1:3" x14ac:dyDescent="0.3">
      <c r="A262" s="7" t="s">
        <v>1196</v>
      </c>
      <c r="B262" s="7" t="s">
        <v>2404</v>
      </c>
      <c r="C262" s="7">
        <v>37</v>
      </c>
    </row>
    <row r="263" spans="1:3" x14ac:dyDescent="0.3">
      <c r="A263" s="7" t="s">
        <v>1196</v>
      </c>
      <c r="B263" s="7" t="s">
        <v>2374</v>
      </c>
      <c r="C263" s="7">
        <v>37</v>
      </c>
    </row>
    <row r="264" spans="1:3" x14ac:dyDescent="0.3">
      <c r="A264" s="7" t="s">
        <v>1659</v>
      </c>
      <c r="B264" s="7" t="s">
        <v>2727</v>
      </c>
      <c r="C264" s="7">
        <v>36</v>
      </c>
    </row>
    <row r="265" spans="1:3" x14ac:dyDescent="0.3">
      <c r="A265" s="7" t="s">
        <v>569</v>
      </c>
      <c r="B265" s="7" t="s">
        <v>2374</v>
      </c>
      <c r="C265" s="7">
        <v>36</v>
      </c>
    </row>
    <row r="266" spans="1:3" x14ac:dyDescent="0.3">
      <c r="A266" s="7" t="s">
        <v>1195</v>
      </c>
      <c r="B266" s="7" t="s">
        <v>2374</v>
      </c>
      <c r="C266" s="7">
        <v>35.299999999999997</v>
      </c>
    </row>
    <row r="267" spans="1:3" x14ac:dyDescent="0.3">
      <c r="A267" s="7" t="s">
        <v>498</v>
      </c>
      <c r="B267" s="7" t="s">
        <v>2374</v>
      </c>
      <c r="C267" s="7">
        <v>35</v>
      </c>
    </row>
    <row r="268" spans="1:3" x14ac:dyDescent="0.3">
      <c r="A268" s="7" t="s">
        <v>808</v>
      </c>
      <c r="B268" s="7" t="s">
        <v>2374</v>
      </c>
      <c r="C268" s="7">
        <v>35</v>
      </c>
    </row>
    <row r="269" spans="1:3" x14ac:dyDescent="0.3">
      <c r="A269" s="7" t="s">
        <v>348</v>
      </c>
      <c r="B269" s="7" t="s">
        <v>2374</v>
      </c>
      <c r="C269" s="7">
        <v>35</v>
      </c>
    </row>
    <row r="270" spans="1:3" x14ac:dyDescent="0.3">
      <c r="A270" s="7" t="s">
        <v>1327</v>
      </c>
      <c r="B270" s="7" t="s">
        <v>2980</v>
      </c>
      <c r="C270" s="7">
        <v>34</v>
      </c>
    </row>
    <row r="271" spans="1:3" x14ac:dyDescent="0.3">
      <c r="A271" s="7" t="s">
        <v>1327</v>
      </c>
      <c r="B271" s="7" t="s">
        <v>2766</v>
      </c>
      <c r="C271" s="7">
        <v>34</v>
      </c>
    </row>
    <row r="272" spans="1:3" x14ac:dyDescent="0.3">
      <c r="A272" s="7" t="s">
        <v>1327</v>
      </c>
      <c r="B272" s="7" t="s">
        <v>2988</v>
      </c>
      <c r="C272" s="7">
        <v>34</v>
      </c>
    </row>
    <row r="273" spans="1:3" x14ac:dyDescent="0.3">
      <c r="A273" s="7" t="s">
        <v>1315</v>
      </c>
      <c r="B273" s="7" t="s">
        <v>2374</v>
      </c>
      <c r="C273" s="7">
        <v>32</v>
      </c>
    </row>
    <row r="274" spans="1:3" x14ac:dyDescent="0.3">
      <c r="A274" s="7" t="s">
        <v>1315</v>
      </c>
      <c r="B274" s="7" t="s">
        <v>2785</v>
      </c>
      <c r="C274" s="7">
        <v>32</v>
      </c>
    </row>
    <row r="275" spans="1:3" x14ac:dyDescent="0.3">
      <c r="A275" s="7" t="s">
        <v>248</v>
      </c>
      <c r="B275" s="7" t="s">
        <v>2374</v>
      </c>
      <c r="C275" s="7">
        <v>31</v>
      </c>
    </row>
    <row r="276" spans="1:3" x14ac:dyDescent="0.3">
      <c r="A276" s="7" t="s">
        <v>182</v>
      </c>
      <c r="B276" s="7" t="s">
        <v>2382</v>
      </c>
      <c r="C276" s="7">
        <v>31</v>
      </c>
    </row>
    <row r="277" spans="1:3" x14ac:dyDescent="0.3">
      <c r="A277" s="7" t="s">
        <v>182</v>
      </c>
      <c r="B277" s="7" t="s">
        <v>2374</v>
      </c>
      <c r="C277" s="7">
        <v>31</v>
      </c>
    </row>
    <row r="278" spans="1:3" x14ac:dyDescent="0.3">
      <c r="A278" s="7" t="s">
        <v>1641</v>
      </c>
      <c r="B278" s="7" t="s">
        <v>2374</v>
      </c>
      <c r="C278" s="7">
        <v>31</v>
      </c>
    </row>
    <row r="279" spans="1:3" x14ac:dyDescent="0.3">
      <c r="A279" s="7" t="s">
        <v>1546</v>
      </c>
      <c r="B279" s="7" t="s">
        <v>2374</v>
      </c>
      <c r="C279" s="7">
        <v>30</v>
      </c>
    </row>
    <row r="280" spans="1:3" x14ac:dyDescent="0.3">
      <c r="A280" s="7" t="s">
        <v>910</v>
      </c>
      <c r="B280" s="7" t="s">
        <v>2374</v>
      </c>
      <c r="C280" s="7">
        <v>30</v>
      </c>
    </row>
    <row r="281" spans="1:3" x14ac:dyDescent="0.3">
      <c r="A281" s="7" t="s">
        <v>904</v>
      </c>
      <c r="B281" s="7" t="s">
        <v>2725</v>
      </c>
      <c r="C281" s="7">
        <v>30</v>
      </c>
    </row>
    <row r="282" spans="1:3" x14ac:dyDescent="0.3">
      <c r="A282" s="7" t="s">
        <v>1587</v>
      </c>
      <c r="B282" s="7" t="s">
        <v>2410</v>
      </c>
      <c r="C282" s="7">
        <v>30</v>
      </c>
    </row>
    <row r="283" spans="1:3" x14ac:dyDescent="0.3">
      <c r="A283" s="7" t="s">
        <v>951</v>
      </c>
      <c r="B283" s="7" t="s">
        <v>2374</v>
      </c>
      <c r="C283" s="7">
        <v>30</v>
      </c>
    </row>
    <row r="284" spans="1:3" x14ac:dyDescent="0.3">
      <c r="A284" s="7" t="s">
        <v>44</v>
      </c>
      <c r="B284" s="7" t="s">
        <v>2385</v>
      </c>
      <c r="C284" s="7">
        <v>30</v>
      </c>
    </row>
    <row r="285" spans="1:3" x14ac:dyDescent="0.3">
      <c r="A285" s="7" t="s">
        <v>677</v>
      </c>
      <c r="B285" s="7" t="s">
        <v>2374</v>
      </c>
      <c r="C285" s="7">
        <v>30</v>
      </c>
    </row>
    <row r="286" spans="1:3" x14ac:dyDescent="0.3">
      <c r="A286" s="7" t="s">
        <v>1072</v>
      </c>
      <c r="B286" s="7" t="s">
        <v>2374</v>
      </c>
      <c r="C286" s="7">
        <v>30</v>
      </c>
    </row>
    <row r="287" spans="1:3" x14ac:dyDescent="0.3">
      <c r="A287" s="7" t="s">
        <v>617</v>
      </c>
      <c r="B287" s="7" t="s">
        <v>2382</v>
      </c>
      <c r="C287" s="7">
        <v>30</v>
      </c>
    </row>
    <row r="288" spans="1:3" x14ac:dyDescent="0.3">
      <c r="A288" s="7" t="s">
        <v>617</v>
      </c>
      <c r="B288" s="7" t="s">
        <v>2374</v>
      </c>
      <c r="C288" s="7">
        <v>30</v>
      </c>
    </row>
    <row r="289" spans="1:3" x14ac:dyDescent="0.3">
      <c r="A289" s="7" t="s">
        <v>1297</v>
      </c>
      <c r="B289" s="7" t="s">
        <v>2410</v>
      </c>
      <c r="C289" s="7">
        <v>30</v>
      </c>
    </row>
    <row r="290" spans="1:3" x14ac:dyDescent="0.3">
      <c r="A290" s="7" t="s">
        <v>1297</v>
      </c>
      <c r="B290" s="7" t="s">
        <v>2385</v>
      </c>
      <c r="C290" s="7">
        <v>30</v>
      </c>
    </row>
    <row r="291" spans="1:3" x14ac:dyDescent="0.3">
      <c r="A291" s="7" t="s">
        <v>1108</v>
      </c>
      <c r="B291" s="7" t="s">
        <v>2505</v>
      </c>
      <c r="C291" s="7">
        <v>30</v>
      </c>
    </row>
    <row r="292" spans="1:3" x14ac:dyDescent="0.3">
      <c r="A292" s="7" t="s">
        <v>1108</v>
      </c>
      <c r="B292" s="7" t="s">
        <v>2374</v>
      </c>
      <c r="C292" s="7">
        <v>30</v>
      </c>
    </row>
    <row r="293" spans="1:3" x14ac:dyDescent="0.3">
      <c r="A293" s="7" t="s">
        <v>1108</v>
      </c>
      <c r="B293" s="7" t="s">
        <v>2371</v>
      </c>
      <c r="C293" s="7">
        <v>30</v>
      </c>
    </row>
    <row r="294" spans="1:3" x14ac:dyDescent="0.3">
      <c r="A294" s="7" t="s">
        <v>474</v>
      </c>
      <c r="B294" s="7" t="s">
        <v>2385</v>
      </c>
      <c r="C294" s="7">
        <v>30</v>
      </c>
    </row>
    <row r="295" spans="1:3" x14ac:dyDescent="0.3">
      <c r="A295" s="7" t="s">
        <v>1183</v>
      </c>
      <c r="B295" s="7" t="s">
        <v>2410</v>
      </c>
      <c r="C295" s="7">
        <v>30</v>
      </c>
    </row>
    <row r="296" spans="1:3" x14ac:dyDescent="0.3">
      <c r="A296" s="7" t="s">
        <v>826</v>
      </c>
      <c r="B296" s="7" t="s">
        <v>2374</v>
      </c>
      <c r="C296" s="7">
        <v>30</v>
      </c>
    </row>
    <row r="297" spans="1:3" x14ac:dyDescent="0.3">
      <c r="A297" s="7" t="s">
        <v>1428</v>
      </c>
      <c r="B297" s="7" t="s">
        <v>2374</v>
      </c>
      <c r="C297" s="7">
        <v>30</v>
      </c>
    </row>
    <row r="298" spans="1:3" x14ac:dyDescent="0.3">
      <c r="A298" s="7" t="s">
        <v>945</v>
      </c>
      <c r="B298" s="7" t="s">
        <v>2374</v>
      </c>
      <c r="C298" s="7">
        <v>30</v>
      </c>
    </row>
    <row r="299" spans="1:3" x14ac:dyDescent="0.3">
      <c r="A299" s="7" t="s">
        <v>1647</v>
      </c>
      <c r="B299" s="7" t="s">
        <v>2505</v>
      </c>
      <c r="C299" s="7">
        <v>30</v>
      </c>
    </row>
    <row r="300" spans="1:3" x14ac:dyDescent="0.3">
      <c r="A300" s="7" t="s">
        <v>552</v>
      </c>
      <c r="B300" s="7" t="s">
        <v>2374</v>
      </c>
      <c r="C300" s="7">
        <v>30</v>
      </c>
    </row>
    <row r="301" spans="1:3" x14ac:dyDescent="0.3">
      <c r="A301" s="7" t="s">
        <v>844</v>
      </c>
      <c r="B301" s="7" t="s">
        <v>2385</v>
      </c>
      <c r="C301" s="7">
        <v>30</v>
      </c>
    </row>
    <row r="302" spans="1:3" x14ac:dyDescent="0.3">
      <c r="A302" s="7" t="s">
        <v>301</v>
      </c>
      <c r="B302" s="7" t="s">
        <v>2374</v>
      </c>
      <c r="C302" s="7">
        <v>30</v>
      </c>
    </row>
    <row r="303" spans="1:3" x14ac:dyDescent="0.3">
      <c r="A303" s="7" t="s">
        <v>665</v>
      </c>
      <c r="B303" s="7" t="s">
        <v>2694</v>
      </c>
      <c r="C303" s="7">
        <v>30</v>
      </c>
    </row>
    <row r="304" spans="1:3" x14ac:dyDescent="0.3">
      <c r="A304" s="7" t="s">
        <v>916</v>
      </c>
      <c r="B304" s="7" t="s">
        <v>2374</v>
      </c>
      <c r="C304" s="7">
        <v>30</v>
      </c>
    </row>
    <row r="305" spans="1:3" x14ac:dyDescent="0.3">
      <c r="A305" s="7" t="s">
        <v>1563</v>
      </c>
      <c r="B305" s="7" t="s">
        <v>3075</v>
      </c>
      <c r="C305" s="7">
        <v>30</v>
      </c>
    </row>
    <row r="306" spans="1:3" x14ac:dyDescent="0.3">
      <c r="A306" s="7" t="s">
        <v>1563</v>
      </c>
      <c r="B306" s="7" t="s">
        <v>2374</v>
      </c>
      <c r="C306" s="7">
        <v>30</v>
      </c>
    </row>
    <row r="307" spans="1:3" x14ac:dyDescent="0.3">
      <c r="A307" s="7" t="s">
        <v>1563</v>
      </c>
      <c r="B307" s="7" t="s">
        <v>2785</v>
      </c>
      <c r="C307" s="7">
        <v>30</v>
      </c>
    </row>
    <row r="308" spans="1:3" x14ac:dyDescent="0.3">
      <c r="A308" s="7" t="s">
        <v>1422</v>
      </c>
      <c r="B308" s="7" t="s">
        <v>2404</v>
      </c>
      <c r="C308" s="7">
        <v>30</v>
      </c>
    </row>
    <row r="309" spans="1:3" x14ac:dyDescent="0.3">
      <c r="A309" s="7" t="s">
        <v>1422</v>
      </c>
      <c r="B309" s="7" t="s">
        <v>2374</v>
      </c>
      <c r="C309" s="7">
        <v>30</v>
      </c>
    </row>
    <row r="310" spans="1:3" x14ac:dyDescent="0.3">
      <c r="A310" s="7" t="s">
        <v>74</v>
      </c>
      <c r="B310" s="7" t="s">
        <v>2404</v>
      </c>
      <c r="C310" s="7">
        <v>30</v>
      </c>
    </row>
    <row r="311" spans="1:3" x14ac:dyDescent="0.3">
      <c r="A311" s="7" t="s">
        <v>74</v>
      </c>
      <c r="B311" s="7" t="s">
        <v>2382</v>
      </c>
      <c r="C311" s="7">
        <v>30</v>
      </c>
    </row>
    <row r="312" spans="1:3" x14ac:dyDescent="0.3">
      <c r="A312" s="7" t="s">
        <v>74</v>
      </c>
      <c r="B312" s="7" t="s">
        <v>2374</v>
      </c>
      <c r="C312" s="7">
        <v>30</v>
      </c>
    </row>
    <row r="313" spans="1:3" x14ac:dyDescent="0.3">
      <c r="A313" s="7" t="s">
        <v>182</v>
      </c>
      <c r="B313" s="7" t="s">
        <v>2461</v>
      </c>
      <c r="C313" s="7">
        <v>30</v>
      </c>
    </row>
    <row r="314" spans="1:3" x14ac:dyDescent="0.3">
      <c r="A314" s="7" t="s">
        <v>1024</v>
      </c>
      <c r="B314" s="7" t="s">
        <v>2374</v>
      </c>
      <c r="C314" s="7">
        <v>30</v>
      </c>
    </row>
    <row r="315" spans="1:3" x14ac:dyDescent="0.3">
      <c r="A315" s="7" t="s">
        <v>1701</v>
      </c>
      <c r="B315" s="7" t="s">
        <v>3147</v>
      </c>
      <c r="C315" s="7">
        <v>30</v>
      </c>
    </row>
    <row r="316" spans="1:3" x14ac:dyDescent="0.3">
      <c r="A316" s="7" t="s">
        <v>1256</v>
      </c>
      <c r="B316" s="7" t="s">
        <v>2374</v>
      </c>
      <c r="C316" s="7">
        <v>30</v>
      </c>
    </row>
    <row r="317" spans="1:3" x14ac:dyDescent="0.3">
      <c r="A317" s="7" t="s">
        <v>814</v>
      </c>
      <c r="B317" s="7" t="s">
        <v>2404</v>
      </c>
      <c r="C317" s="7">
        <v>30</v>
      </c>
    </row>
    <row r="318" spans="1:3" x14ac:dyDescent="0.3">
      <c r="A318" s="7" t="s">
        <v>1569</v>
      </c>
      <c r="B318" s="7" t="s">
        <v>2374</v>
      </c>
      <c r="C318" s="7">
        <v>30</v>
      </c>
    </row>
    <row r="319" spans="1:3" x14ac:dyDescent="0.3">
      <c r="A319" s="7" t="s">
        <v>558</v>
      </c>
      <c r="B319" s="7" t="s">
        <v>2385</v>
      </c>
      <c r="C319" s="7">
        <v>30</v>
      </c>
    </row>
    <row r="320" spans="1:3" x14ac:dyDescent="0.3">
      <c r="A320" s="7" t="s">
        <v>343</v>
      </c>
      <c r="B320" s="7" t="s">
        <v>2374</v>
      </c>
      <c r="C320" s="7">
        <v>30</v>
      </c>
    </row>
    <row r="321" spans="1:3" x14ac:dyDescent="0.3">
      <c r="A321" s="7" t="s">
        <v>933</v>
      </c>
      <c r="B321" s="7" t="s">
        <v>2374</v>
      </c>
      <c r="C321" s="7">
        <v>30</v>
      </c>
    </row>
    <row r="322" spans="1:3" x14ac:dyDescent="0.3">
      <c r="A322" s="7" t="s">
        <v>1458</v>
      </c>
      <c r="B322" s="7" t="s">
        <v>2374</v>
      </c>
      <c r="C322" s="7">
        <v>30</v>
      </c>
    </row>
    <row r="323" spans="1:3" x14ac:dyDescent="0.3">
      <c r="A323" s="7" t="s">
        <v>653</v>
      </c>
      <c r="B323" s="7" t="s">
        <v>2404</v>
      </c>
      <c r="C323" s="7">
        <v>30</v>
      </c>
    </row>
    <row r="324" spans="1:3" x14ac:dyDescent="0.3">
      <c r="A324" s="7" t="s">
        <v>653</v>
      </c>
      <c r="B324" s="7" t="s">
        <v>2382</v>
      </c>
      <c r="C324" s="7">
        <v>30</v>
      </c>
    </row>
    <row r="325" spans="1:3" x14ac:dyDescent="0.3">
      <c r="A325" s="7" t="s">
        <v>683</v>
      </c>
      <c r="B325" s="7" t="s">
        <v>2382</v>
      </c>
      <c r="C325" s="7">
        <v>30</v>
      </c>
    </row>
    <row r="326" spans="1:3" x14ac:dyDescent="0.3">
      <c r="A326" s="7" t="s">
        <v>354</v>
      </c>
      <c r="B326" s="7" t="s">
        <v>2374</v>
      </c>
      <c r="C326" s="7">
        <v>30</v>
      </c>
    </row>
    <row r="327" spans="1:3" x14ac:dyDescent="0.3">
      <c r="A327" s="7" t="s">
        <v>1470</v>
      </c>
      <c r="B327" s="7" t="s">
        <v>2404</v>
      </c>
      <c r="C327" s="7">
        <v>30</v>
      </c>
    </row>
    <row r="328" spans="1:3" x14ac:dyDescent="0.3">
      <c r="A328" s="7" t="s">
        <v>1470</v>
      </c>
      <c r="B328" s="7" t="s">
        <v>2374</v>
      </c>
      <c r="C328" s="7">
        <v>30</v>
      </c>
    </row>
    <row r="329" spans="1:3" x14ac:dyDescent="0.3">
      <c r="A329" s="7" t="s">
        <v>1470</v>
      </c>
      <c r="B329" s="7" t="s">
        <v>2766</v>
      </c>
      <c r="C329" s="7">
        <v>30</v>
      </c>
    </row>
    <row r="330" spans="1:3" x14ac:dyDescent="0.3">
      <c r="A330" s="7" t="s">
        <v>1012</v>
      </c>
      <c r="B330" s="7" t="s">
        <v>2374</v>
      </c>
      <c r="C330" s="7">
        <v>30</v>
      </c>
    </row>
    <row r="331" spans="1:3" x14ac:dyDescent="0.3">
      <c r="A331" s="7" t="s">
        <v>773</v>
      </c>
      <c r="B331" s="7" t="s">
        <v>2374</v>
      </c>
      <c r="C331" s="7">
        <v>30</v>
      </c>
    </row>
    <row r="332" spans="1:3" x14ac:dyDescent="0.3">
      <c r="A332" s="7" t="s">
        <v>104</v>
      </c>
      <c r="B332" s="7" t="s">
        <v>2374</v>
      </c>
      <c r="C332" s="7">
        <v>30</v>
      </c>
    </row>
    <row r="333" spans="1:3" x14ac:dyDescent="0.3">
      <c r="A333" s="7" t="s">
        <v>325</v>
      </c>
      <c r="B333" s="7" t="s">
        <v>2374</v>
      </c>
      <c r="C333" s="7">
        <v>30</v>
      </c>
    </row>
    <row r="334" spans="1:3" x14ac:dyDescent="0.3">
      <c r="A334" s="7" t="s">
        <v>2231</v>
      </c>
      <c r="B334" s="7" t="s">
        <v>2382</v>
      </c>
      <c r="C334" s="7">
        <v>30</v>
      </c>
    </row>
    <row r="335" spans="1:3" x14ac:dyDescent="0.3">
      <c r="A335" s="7" t="s">
        <v>1143</v>
      </c>
      <c r="B335" s="7" t="s">
        <v>2374</v>
      </c>
      <c r="C335" s="7">
        <v>30</v>
      </c>
    </row>
    <row r="336" spans="1:3" x14ac:dyDescent="0.3">
      <c r="A336" s="7" t="s">
        <v>1125</v>
      </c>
      <c r="B336" s="7" t="s">
        <v>2374</v>
      </c>
      <c r="C336" s="7">
        <v>30</v>
      </c>
    </row>
    <row r="337" spans="1:3" x14ac:dyDescent="0.3">
      <c r="A337" s="7" t="s">
        <v>1387</v>
      </c>
      <c r="B337" s="7" t="s">
        <v>2374</v>
      </c>
      <c r="C337" s="7">
        <v>30</v>
      </c>
    </row>
    <row r="338" spans="1:3" x14ac:dyDescent="0.3">
      <c r="A338" s="7" t="s">
        <v>396</v>
      </c>
      <c r="B338" s="7" t="s">
        <v>2374</v>
      </c>
      <c r="C338" s="7">
        <v>30</v>
      </c>
    </row>
    <row r="339" spans="1:3" x14ac:dyDescent="0.3">
      <c r="A339" s="7" t="s">
        <v>486</v>
      </c>
      <c r="B339" s="7" t="s">
        <v>2374</v>
      </c>
      <c r="C339" s="7">
        <v>30</v>
      </c>
    </row>
    <row r="340" spans="1:3" x14ac:dyDescent="0.3">
      <c r="A340" s="7" t="s">
        <v>1036</v>
      </c>
      <c r="B340" s="7" t="s">
        <v>2374</v>
      </c>
      <c r="C340" s="7">
        <v>30</v>
      </c>
    </row>
    <row r="341" spans="1:3" x14ac:dyDescent="0.3">
      <c r="A341" s="7" t="s">
        <v>444</v>
      </c>
      <c r="B341" s="7" t="s">
        <v>2382</v>
      </c>
      <c r="C341" s="7">
        <v>30</v>
      </c>
    </row>
    <row r="342" spans="1:3" x14ac:dyDescent="0.3">
      <c r="A342" s="7" t="s">
        <v>444</v>
      </c>
      <c r="B342" s="7" t="s">
        <v>2374</v>
      </c>
      <c r="C342" s="7">
        <v>30</v>
      </c>
    </row>
    <row r="343" spans="1:3" x14ac:dyDescent="0.3">
      <c r="A343" s="7" t="s">
        <v>957</v>
      </c>
      <c r="B343" s="7" t="s">
        <v>2374</v>
      </c>
      <c r="C343" s="7">
        <v>28</v>
      </c>
    </row>
    <row r="344" spans="1:3" x14ac:dyDescent="0.3">
      <c r="A344" s="7" t="s">
        <v>587</v>
      </c>
      <c r="B344" s="7" t="s">
        <v>2374</v>
      </c>
      <c r="C344" s="7">
        <v>27.5</v>
      </c>
    </row>
    <row r="345" spans="1:3" x14ac:dyDescent="0.3">
      <c r="A345" s="7" t="s">
        <v>563</v>
      </c>
      <c r="B345" s="7" t="s">
        <v>2374</v>
      </c>
      <c r="C345" s="7">
        <v>26</v>
      </c>
    </row>
    <row r="346" spans="1:3" x14ac:dyDescent="0.3">
      <c r="A346" s="7" t="s">
        <v>1262</v>
      </c>
      <c r="B346" s="7" t="s">
        <v>2374</v>
      </c>
      <c r="C346" s="7">
        <v>26</v>
      </c>
    </row>
    <row r="347" spans="1:3" x14ac:dyDescent="0.3">
      <c r="A347" s="7" t="s">
        <v>862</v>
      </c>
      <c r="B347" s="7" t="s">
        <v>2766</v>
      </c>
      <c r="C347" s="7">
        <v>26</v>
      </c>
    </row>
    <row r="348" spans="1:3" x14ac:dyDescent="0.3">
      <c r="A348" s="7" t="s">
        <v>516</v>
      </c>
      <c r="B348" s="7" t="s">
        <v>2374</v>
      </c>
      <c r="C348" s="7">
        <v>25</v>
      </c>
    </row>
    <row r="349" spans="1:3" x14ac:dyDescent="0.3">
      <c r="A349" s="7" t="s">
        <v>868</v>
      </c>
      <c r="B349" s="7" t="s">
        <v>2374</v>
      </c>
      <c r="C349" s="7">
        <v>25</v>
      </c>
    </row>
    <row r="350" spans="1:3" x14ac:dyDescent="0.3">
      <c r="A350" s="7" t="s">
        <v>540</v>
      </c>
      <c r="B350" s="7" t="s">
        <v>2374</v>
      </c>
      <c r="C350" s="7">
        <v>25</v>
      </c>
    </row>
    <row r="351" spans="1:3" x14ac:dyDescent="0.3">
      <c r="A351" s="7" t="s">
        <v>534</v>
      </c>
      <c r="B351" s="7" t="s">
        <v>2374</v>
      </c>
      <c r="C351" s="7">
        <v>25</v>
      </c>
    </row>
    <row r="352" spans="1:3" x14ac:dyDescent="0.3">
      <c r="A352" s="7" t="s">
        <v>587</v>
      </c>
      <c r="B352" s="7" t="s">
        <v>2371</v>
      </c>
      <c r="C352" s="7">
        <v>24.75</v>
      </c>
    </row>
    <row r="353" spans="1:3" x14ac:dyDescent="0.3">
      <c r="A353" s="7" t="s">
        <v>62</v>
      </c>
      <c r="B353" s="7" t="s">
        <v>2382</v>
      </c>
      <c r="C353" s="7">
        <v>24</v>
      </c>
    </row>
    <row r="354" spans="1:3" x14ac:dyDescent="0.3">
      <c r="A354" s="7" t="s">
        <v>922</v>
      </c>
      <c r="B354" s="7" t="s">
        <v>2374</v>
      </c>
      <c r="C354" s="7">
        <v>24</v>
      </c>
    </row>
    <row r="355" spans="1:3" x14ac:dyDescent="0.3">
      <c r="A355" s="7" t="s">
        <v>731</v>
      </c>
      <c r="B355" s="7" t="s">
        <v>2727</v>
      </c>
      <c r="C355" s="7">
        <v>22</v>
      </c>
    </row>
    <row r="356" spans="1:3" x14ac:dyDescent="0.3">
      <c r="A356" s="7" t="s">
        <v>731</v>
      </c>
      <c r="B356" s="7" t="s">
        <v>2404</v>
      </c>
      <c r="C356" s="7">
        <v>22</v>
      </c>
    </row>
    <row r="357" spans="1:3" x14ac:dyDescent="0.3">
      <c r="A357" s="7" t="s">
        <v>731</v>
      </c>
      <c r="B357" s="7" t="s">
        <v>2725</v>
      </c>
      <c r="C357" s="7">
        <v>22</v>
      </c>
    </row>
    <row r="358" spans="1:3" x14ac:dyDescent="0.3">
      <c r="A358" s="7" t="s">
        <v>731</v>
      </c>
      <c r="B358" s="7" t="s">
        <v>2382</v>
      </c>
      <c r="C358" s="7">
        <v>22</v>
      </c>
    </row>
    <row r="359" spans="1:3" x14ac:dyDescent="0.3">
      <c r="A359" s="7" t="s">
        <v>743</v>
      </c>
      <c r="B359" s="7" t="s">
        <v>2374</v>
      </c>
      <c r="C359" s="7">
        <v>21</v>
      </c>
    </row>
    <row r="360" spans="1:3" x14ac:dyDescent="0.3">
      <c r="A360" s="7" t="s">
        <v>939</v>
      </c>
      <c r="B360" s="7" t="s">
        <v>2374</v>
      </c>
      <c r="C360" s="7">
        <v>21</v>
      </c>
    </row>
    <row r="361" spans="1:3" x14ac:dyDescent="0.3">
      <c r="A361" s="7" t="s">
        <v>2165</v>
      </c>
      <c r="B361" s="7" t="s">
        <v>2382</v>
      </c>
      <c r="C361" s="7">
        <v>20</v>
      </c>
    </row>
    <row r="362" spans="1:3" x14ac:dyDescent="0.3">
      <c r="A362" s="7" t="s">
        <v>731</v>
      </c>
      <c r="B362" s="7" t="s">
        <v>2374</v>
      </c>
      <c r="C362" s="7">
        <v>20</v>
      </c>
    </row>
    <row r="363" spans="1:3" x14ac:dyDescent="0.3">
      <c r="A363" s="7" t="s">
        <v>1250</v>
      </c>
      <c r="B363" s="7" t="s">
        <v>2374</v>
      </c>
      <c r="C363" s="7">
        <v>19</v>
      </c>
    </row>
    <row r="364" spans="1:3" x14ac:dyDescent="0.3">
      <c r="A364" s="7" t="s">
        <v>218</v>
      </c>
      <c r="B364" s="7" t="s">
        <v>2374</v>
      </c>
      <c r="C364" s="7">
        <v>18.399999999999999</v>
      </c>
    </row>
    <row r="365" spans="1:3" x14ac:dyDescent="0.3">
      <c r="A365" s="7" t="s">
        <v>796</v>
      </c>
      <c r="B365" s="7" t="s">
        <v>2382</v>
      </c>
      <c r="C365" s="7">
        <v>18</v>
      </c>
    </row>
    <row r="366" spans="1:3" x14ac:dyDescent="0.3">
      <c r="A366" s="7" t="s">
        <v>796</v>
      </c>
      <c r="B366" s="7" t="s">
        <v>2374</v>
      </c>
      <c r="C366" s="7">
        <v>18</v>
      </c>
    </row>
    <row r="367" spans="1:3" x14ac:dyDescent="0.3">
      <c r="A367" s="7" t="s">
        <v>1244</v>
      </c>
      <c r="B367" s="7" t="s">
        <v>2374</v>
      </c>
      <c r="C367" s="7">
        <v>17</v>
      </c>
    </row>
    <row r="368" spans="1:3" x14ac:dyDescent="0.3">
      <c r="A368" s="7" t="s">
        <v>236</v>
      </c>
      <c r="B368" s="7" t="s">
        <v>2374</v>
      </c>
      <c r="C368" s="7">
        <v>17</v>
      </c>
    </row>
    <row r="369" spans="1:3" x14ac:dyDescent="0.3">
      <c r="A369" s="7" t="s">
        <v>296</v>
      </c>
      <c r="B369" s="7" t="s">
        <v>2374</v>
      </c>
      <c r="C369" s="7">
        <v>15</v>
      </c>
    </row>
    <row r="370" spans="1:3" x14ac:dyDescent="0.3">
      <c r="A370" s="7" t="s">
        <v>2140</v>
      </c>
      <c r="B370" s="7" t="s">
        <v>2374</v>
      </c>
      <c r="C370" s="7">
        <v>15</v>
      </c>
    </row>
    <row r="371" spans="1:3" x14ac:dyDescent="0.3">
      <c r="A371" s="7" t="s">
        <v>122</v>
      </c>
      <c r="B371" s="7" t="s">
        <v>2382</v>
      </c>
      <c r="C371" s="7">
        <v>15</v>
      </c>
    </row>
    <row r="372" spans="1:3" x14ac:dyDescent="0.3">
      <c r="A372" s="7" t="s">
        <v>313</v>
      </c>
      <c r="B372" s="7" t="s">
        <v>2382</v>
      </c>
      <c r="C372" s="7">
        <v>14</v>
      </c>
    </row>
    <row r="373" spans="1:3" x14ac:dyDescent="0.3">
      <c r="A373" s="7" t="s">
        <v>844</v>
      </c>
      <c r="B373" s="7" t="s">
        <v>2374</v>
      </c>
      <c r="C373" s="7">
        <v>14</v>
      </c>
    </row>
    <row r="374" spans="1:3" x14ac:dyDescent="0.3">
      <c r="A374" s="7" t="s">
        <v>623</v>
      </c>
      <c r="B374" s="7" t="s">
        <v>2374</v>
      </c>
      <c r="C374" s="7">
        <v>14</v>
      </c>
    </row>
    <row r="375" spans="1:3" x14ac:dyDescent="0.3">
      <c r="A375" s="7" t="s">
        <v>224</v>
      </c>
      <c r="B375" s="7" t="s">
        <v>2374</v>
      </c>
      <c r="C375" s="7">
        <v>13.6</v>
      </c>
    </row>
    <row r="376" spans="1:3" x14ac:dyDescent="0.3">
      <c r="A376" s="7" t="s">
        <v>104</v>
      </c>
      <c r="B376" s="7" t="s">
        <v>2382</v>
      </c>
      <c r="C376" s="7">
        <v>12.7</v>
      </c>
    </row>
    <row r="377" spans="1:3" x14ac:dyDescent="0.3">
      <c r="A377" s="7" t="s">
        <v>408</v>
      </c>
      <c r="B377" s="7" t="s">
        <v>2382</v>
      </c>
      <c r="C377" s="7">
        <v>12</v>
      </c>
    </row>
    <row r="378" spans="1:3" x14ac:dyDescent="0.3">
      <c r="A378" s="7" t="s">
        <v>414</v>
      </c>
      <c r="B378" s="7" t="s">
        <v>2374</v>
      </c>
      <c r="C378" s="7">
        <v>12</v>
      </c>
    </row>
    <row r="379" spans="1:3" x14ac:dyDescent="0.3">
      <c r="A379" s="7" t="s">
        <v>1120</v>
      </c>
      <c r="B379" s="7" t="s">
        <v>2374</v>
      </c>
      <c r="C379" s="7">
        <v>11.4</v>
      </c>
    </row>
    <row r="380" spans="1:3" x14ac:dyDescent="0.3">
      <c r="A380" s="7" t="s">
        <v>432</v>
      </c>
      <c r="B380" s="7" t="s">
        <v>2374</v>
      </c>
      <c r="C380" s="7">
        <v>11</v>
      </c>
    </row>
    <row r="381" spans="1:3" x14ac:dyDescent="0.3">
      <c r="A381" s="7" t="s">
        <v>128</v>
      </c>
      <c r="B381" s="7" t="s">
        <v>2382</v>
      </c>
      <c r="C381" s="7">
        <v>11</v>
      </c>
    </row>
    <row r="382" spans="1:3" x14ac:dyDescent="0.3">
      <c r="A382" s="7" t="s">
        <v>128</v>
      </c>
      <c r="B382" s="7" t="s">
        <v>2374</v>
      </c>
      <c r="C382" s="7">
        <v>11</v>
      </c>
    </row>
    <row r="383" spans="1:3" x14ac:dyDescent="0.3">
      <c r="A383" s="7" t="s">
        <v>1357</v>
      </c>
      <c r="B383" s="7" t="s">
        <v>2374</v>
      </c>
      <c r="C383" s="7">
        <v>10</v>
      </c>
    </row>
    <row r="384" spans="1:3" x14ac:dyDescent="0.3">
      <c r="A384" s="7" t="s">
        <v>1695</v>
      </c>
      <c r="B384" s="7" t="s">
        <v>2407</v>
      </c>
      <c r="C384" s="7">
        <v>10</v>
      </c>
    </row>
    <row r="385" spans="1:3" x14ac:dyDescent="0.3">
      <c r="A385" s="7" t="s">
        <v>1695</v>
      </c>
      <c r="B385" s="7" t="s">
        <v>2505</v>
      </c>
      <c r="C385" s="7">
        <v>10</v>
      </c>
    </row>
    <row r="386" spans="1:3" x14ac:dyDescent="0.3">
      <c r="A386" s="7" t="s">
        <v>1476</v>
      </c>
      <c r="B386" s="7" t="s">
        <v>2374</v>
      </c>
      <c r="C386" s="7">
        <v>10</v>
      </c>
    </row>
    <row r="387" spans="1:3" x14ac:dyDescent="0.3">
      <c r="A387" s="7" t="s">
        <v>1189</v>
      </c>
      <c r="B387" s="7" t="s">
        <v>2374</v>
      </c>
      <c r="C387" s="7">
        <v>10</v>
      </c>
    </row>
    <row r="388" spans="1:3" x14ac:dyDescent="0.3">
      <c r="A388" s="7" t="s">
        <v>790</v>
      </c>
      <c r="B388" s="7" t="s">
        <v>2374</v>
      </c>
      <c r="C388" s="7">
        <v>10</v>
      </c>
    </row>
    <row r="389" spans="1:3" x14ac:dyDescent="0.3">
      <c r="A389" s="7" t="s">
        <v>2188</v>
      </c>
      <c r="B389" s="7" t="s">
        <v>2727</v>
      </c>
      <c r="C389" s="7">
        <v>10</v>
      </c>
    </row>
    <row r="390" spans="1:3" x14ac:dyDescent="0.3">
      <c r="A390" s="7" t="s">
        <v>2188</v>
      </c>
      <c r="B390" s="7" t="s">
        <v>2382</v>
      </c>
      <c r="C390" s="7">
        <v>10</v>
      </c>
    </row>
    <row r="391" spans="1:3" x14ac:dyDescent="0.3">
      <c r="A391" s="7" t="s">
        <v>2188</v>
      </c>
      <c r="B391" s="7" t="s">
        <v>2410</v>
      </c>
      <c r="C391" s="7">
        <v>10</v>
      </c>
    </row>
    <row r="392" spans="1:3" x14ac:dyDescent="0.3">
      <c r="A392" s="7" t="s">
        <v>2188</v>
      </c>
      <c r="B392" s="7" t="s">
        <v>2374</v>
      </c>
      <c r="C392" s="7">
        <v>10</v>
      </c>
    </row>
    <row r="393" spans="1:3" x14ac:dyDescent="0.3">
      <c r="A393" s="7" t="s">
        <v>689</v>
      </c>
      <c r="B393" s="7" t="s">
        <v>2382</v>
      </c>
      <c r="C393" s="7">
        <v>10</v>
      </c>
    </row>
    <row r="394" spans="1:3" x14ac:dyDescent="0.3">
      <c r="A394" s="7" t="s">
        <v>1518</v>
      </c>
      <c r="B394" s="7" t="s">
        <v>2374</v>
      </c>
      <c r="C394" s="7">
        <v>10</v>
      </c>
    </row>
    <row r="395" spans="1:3" x14ac:dyDescent="0.3">
      <c r="A395" s="7" t="s">
        <v>110</v>
      </c>
      <c r="B395" s="7" t="s">
        <v>2374</v>
      </c>
      <c r="C395" s="7">
        <v>9</v>
      </c>
    </row>
    <row r="396" spans="1:3" x14ac:dyDescent="0.3">
      <c r="A396" s="7" t="s">
        <v>1155</v>
      </c>
      <c r="B396" s="7" t="s">
        <v>2374</v>
      </c>
      <c r="C396" s="7">
        <v>8</v>
      </c>
    </row>
    <row r="397" spans="1:3" x14ac:dyDescent="0.3">
      <c r="A397" s="7" t="s">
        <v>176</v>
      </c>
      <c r="B397" s="7" t="s">
        <v>2374</v>
      </c>
      <c r="C397" s="7">
        <v>8</v>
      </c>
    </row>
    <row r="398" spans="1:3" x14ac:dyDescent="0.3">
      <c r="A398" s="7" t="s">
        <v>1172</v>
      </c>
      <c r="B398" s="7" t="s">
        <v>2374</v>
      </c>
      <c r="C398" s="7">
        <v>8</v>
      </c>
    </row>
    <row r="399" spans="1:3" x14ac:dyDescent="0.3">
      <c r="A399" s="7" t="s">
        <v>1707</v>
      </c>
      <c r="B399" s="7" t="s">
        <v>2407</v>
      </c>
      <c r="C399" s="7">
        <v>7</v>
      </c>
    </row>
    <row r="400" spans="1:3" x14ac:dyDescent="0.3">
      <c r="A400" s="7" t="s">
        <v>254</v>
      </c>
      <c r="B400" s="7" t="s">
        <v>2374</v>
      </c>
      <c r="C400" s="7">
        <v>6.5</v>
      </c>
    </row>
    <row r="401" spans="1:3" x14ac:dyDescent="0.3">
      <c r="A401" s="7" t="s">
        <v>1464</v>
      </c>
      <c r="B401" s="7" t="s">
        <v>2374</v>
      </c>
      <c r="C401" s="7">
        <v>6</v>
      </c>
    </row>
    <row r="402" spans="1:3" x14ac:dyDescent="0.3">
      <c r="A402" s="7" t="s">
        <v>206</v>
      </c>
      <c r="B402" s="7" t="s">
        <v>2374</v>
      </c>
      <c r="C402" s="7">
        <v>6</v>
      </c>
    </row>
    <row r="403" spans="1:3" x14ac:dyDescent="0.3">
      <c r="A403" s="7" t="s">
        <v>1446</v>
      </c>
      <c r="B403" s="7" t="s">
        <v>2374</v>
      </c>
      <c r="C403" s="7">
        <v>5.8</v>
      </c>
    </row>
    <row r="404" spans="1:3" x14ac:dyDescent="0.3">
      <c r="A404" s="7" t="s">
        <v>1285</v>
      </c>
      <c r="B404" s="7" t="s">
        <v>2374</v>
      </c>
      <c r="C404" s="7">
        <v>5.7</v>
      </c>
    </row>
    <row r="405" spans="1:3" x14ac:dyDescent="0.3">
      <c r="A405" s="7" t="s">
        <v>110</v>
      </c>
      <c r="B405" s="7" t="s">
        <v>2382</v>
      </c>
      <c r="C405" s="7">
        <v>5</v>
      </c>
    </row>
    <row r="406" spans="1:3" x14ac:dyDescent="0.3">
      <c r="A406" s="7" t="s">
        <v>122</v>
      </c>
      <c r="B406" s="7" t="s">
        <v>2374</v>
      </c>
      <c r="C406" s="7">
        <v>5</v>
      </c>
    </row>
    <row r="407" spans="1:3" x14ac:dyDescent="0.3">
      <c r="A407" s="7" t="s">
        <v>1172</v>
      </c>
      <c r="B407" s="7" t="s">
        <v>2404</v>
      </c>
      <c r="C407" s="7">
        <v>5</v>
      </c>
    </row>
    <row r="408" spans="1:3" x14ac:dyDescent="0.3">
      <c r="A408" s="7" t="s">
        <v>1172</v>
      </c>
      <c r="B408" s="7" t="s">
        <v>2382</v>
      </c>
      <c r="C408" s="7">
        <v>5</v>
      </c>
    </row>
    <row r="409" spans="1:3" x14ac:dyDescent="0.3">
      <c r="A409" s="7" t="s">
        <v>1172</v>
      </c>
      <c r="B409" s="7" t="s">
        <v>2766</v>
      </c>
      <c r="C409" s="7">
        <v>5</v>
      </c>
    </row>
    <row r="410" spans="1:3" x14ac:dyDescent="0.3">
      <c r="A410" s="7" t="s">
        <v>2188</v>
      </c>
      <c r="B410" s="7" t="s">
        <v>2785</v>
      </c>
      <c r="C410" s="7">
        <v>5</v>
      </c>
    </row>
    <row r="411" spans="1:3" x14ac:dyDescent="0.3">
      <c r="A411" s="7" t="s">
        <v>689</v>
      </c>
      <c r="B411" s="7" t="s">
        <v>2374</v>
      </c>
      <c r="C411" s="7">
        <v>5</v>
      </c>
    </row>
    <row r="412" spans="1:3" x14ac:dyDescent="0.3">
      <c r="A412" s="7" t="s">
        <v>1160</v>
      </c>
      <c r="B412" s="7" t="s">
        <v>2404</v>
      </c>
      <c r="C412" s="7">
        <v>5</v>
      </c>
    </row>
    <row r="413" spans="1:3" x14ac:dyDescent="0.3">
      <c r="A413" s="7" t="s">
        <v>1160</v>
      </c>
      <c r="B413" s="7" t="s">
        <v>2382</v>
      </c>
      <c r="C413" s="7">
        <v>5</v>
      </c>
    </row>
    <row r="414" spans="1:3" x14ac:dyDescent="0.3">
      <c r="A414" s="7" t="s">
        <v>1160</v>
      </c>
      <c r="B414" s="7" t="s">
        <v>2374</v>
      </c>
      <c r="C414" s="7">
        <v>5</v>
      </c>
    </row>
    <row r="415" spans="1:3" x14ac:dyDescent="0.3">
      <c r="A415" s="7" t="s">
        <v>140</v>
      </c>
      <c r="B415" s="7" t="s">
        <v>2374</v>
      </c>
      <c r="C415" s="7">
        <v>5</v>
      </c>
    </row>
    <row r="416" spans="1:3" x14ac:dyDescent="0.3">
      <c r="A416" s="7" t="s">
        <v>343</v>
      </c>
      <c r="B416" s="7" t="s">
        <v>2404</v>
      </c>
      <c r="C416" s="7">
        <v>5</v>
      </c>
    </row>
    <row r="417" spans="1:3" x14ac:dyDescent="0.3">
      <c r="A417" s="7" t="s">
        <v>343</v>
      </c>
      <c r="B417" s="7" t="s">
        <v>2382</v>
      </c>
      <c r="C417" s="7">
        <v>5</v>
      </c>
    </row>
    <row r="418" spans="1:3" x14ac:dyDescent="0.3">
      <c r="A418" s="7" t="s">
        <v>1078</v>
      </c>
      <c r="B418" s="7" t="s">
        <v>2374</v>
      </c>
      <c r="C418" s="7">
        <v>5</v>
      </c>
    </row>
    <row r="419" spans="1:3" x14ac:dyDescent="0.3">
      <c r="A419" s="7" t="s">
        <v>384</v>
      </c>
      <c r="B419" s="7" t="s">
        <v>2374</v>
      </c>
      <c r="C419" s="7">
        <v>5</v>
      </c>
    </row>
    <row r="420" spans="1:3" x14ac:dyDescent="0.3">
      <c r="A420" s="7" t="s">
        <v>152</v>
      </c>
      <c r="B420" s="7" t="s">
        <v>2374</v>
      </c>
      <c r="C420" s="7">
        <v>5</v>
      </c>
    </row>
    <row r="421" spans="1:3" x14ac:dyDescent="0.3">
      <c r="A421" s="7" t="s">
        <v>1291</v>
      </c>
      <c r="B421" s="7" t="s">
        <v>2374</v>
      </c>
      <c r="C421" s="7">
        <v>5</v>
      </c>
    </row>
    <row r="422" spans="1:3" x14ac:dyDescent="0.3">
      <c r="A422" s="7" t="s">
        <v>510</v>
      </c>
      <c r="B422" s="7" t="s">
        <v>2374</v>
      </c>
      <c r="C422" s="7">
        <v>5</v>
      </c>
    </row>
    <row r="423" spans="1:3" x14ac:dyDescent="0.3">
      <c r="A423" s="7" t="s">
        <v>635</v>
      </c>
      <c r="B423" s="7" t="s">
        <v>2404</v>
      </c>
      <c r="C423" s="7">
        <v>5</v>
      </c>
    </row>
    <row r="424" spans="1:3" x14ac:dyDescent="0.3">
      <c r="A424" s="7" t="s">
        <v>635</v>
      </c>
      <c r="B424" s="7" t="s">
        <v>2374</v>
      </c>
      <c r="C424" s="7">
        <v>5</v>
      </c>
    </row>
    <row r="425" spans="1:3" x14ac:dyDescent="0.3">
      <c r="A425" s="7" t="s">
        <v>420</v>
      </c>
      <c r="B425" s="7" t="s">
        <v>2382</v>
      </c>
      <c r="C425" s="7">
        <v>4</v>
      </c>
    </row>
    <row r="426" spans="1:3" x14ac:dyDescent="0.3">
      <c r="A426" s="7" t="s">
        <v>420</v>
      </c>
      <c r="B426" s="7" t="s">
        <v>2374</v>
      </c>
      <c r="C426" s="7">
        <v>4</v>
      </c>
    </row>
    <row r="427" spans="1:3" x14ac:dyDescent="0.3">
      <c r="A427" s="7" t="s">
        <v>785</v>
      </c>
      <c r="B427" s="7" t="s">
        <v>2374</v>
      </c>
      <c r="C427" s="7">
        <v>3</v>
      </c>
    </row>
    <row r="428" spans="1:3" x14ac:dyDescent="0.3">
      <c r="A428" s="7" t="s">
        <v>378</v>
      </c>
      <c r="B428" s="7" t="s">
        <v>2374</v>
      </c>
      <c r="C428" s="7">
        <v>3</v>
      </c>
    </row>
    <row r="429" spans="1:3" x14ac:dyDescent="0.3">
      <c r="A429" s="7" t="s">
        <v>194</v>
      </c>
      <c r="B429" s="7" t="s">
        <v>2374</v>
      </c>
      <c r="C429" s="7">
        <v>3</v>
      </c>
    </row>
    <row r="430" spans="1:3" x14ac:dyDescent="0.3">
      <c r="A430" s="7" t="s">
        <v>856</v>
      </c>
      <c r="B430" s="7" t="s">
        <v>2374</v>
      </c>
      <c r="C430" s="7">
        <v>3</v>
      </c>
    </row>
    <row r="431" spans="1:3" x14ac:dyDescent="0.3">
      <c r="A431" s="7" t="s">
        <v>462</v>
      </c>
      <c r="B431" s="7" t="s">
        <v>2374</v>
      </c>
      <c r="C431" s="7">
        <v>3</v>
      </c>
    </row>
    <row r="432" spans="1:3" x14ac:dyDescent="0.3">
      <c r="A432" s="7" t="s">
        <v>779</v>
      </c>
      <c r="B432" s="7" t="s">
        <v>2374</v>
      </c>
      <c r="C432" s="7">
        <v>3</v>
      </c>
    </row>
    <row r="433" spans="1:3" x14ac:dyDescent="0.3">
      <c r="A433" s="7" t="s">
        <v>31</v>
      </c>
      <c r="B433" s="7" t="s">
        <v>2374</v>
      </c>
      <c r="C433" s="7">
        <v>3</v>
      </c>
    </row>
    <row r="434" spans="1:3" x14ac:dyDescent="0.3">
      <c r="A434" s="7" t="s">
        <v>31</v>
      </c>
      <c r="B434" s="7" t="s">
        <v>2371</v>
      </c>
      <c r="C434" s="7">
        <v>3</v>
      </c>
    </row>
    <row r="435" spans="1:3" x14ac:dyDescent="0.3">
      <c r="A435" s="7" t="s">
        <v>1048</v>
      </c>
      <c r="B435" s="7" t="s">
        <v>2374</v>
      </c>
      <c r="C435" s="7">
        <v>3</v>
      </c>
    </row>
    <row r="436" spans="1:3" x14ac:dyDescent="0.3">
      <c r="A436" s="7" t="s">
        <v>862</v>
      </c>
      <c r="B436" s="7" t="s">
        <v>2505</v>
      </c>
      <c r="C436" s="7">
        <v>3</v>
      </c>
    </row>
    <row r="437" spans="1:3" x14ac:dyDescent="0.3">
      <c r="A437" s="7" t="s">
        <v>862</v>
      </c>
      <c r="B437" s="7" t="s">
        <v>2374</v>
      </c>
      <c r="C437" s="7">
        <v>3</v>
      </c>
    </row>
    <row r="438" spans="1:3" x14ac:dyDescent="0.3">
      <c r="A438" s="7" t="s">
        <v>1440</v>
      </c>
      <c r="B438" s="7" t="s">
        <v>2374</v>
      </c>
      <c r="C438" s="7">
        <v>2.5</v>
      </c>
    </row>
    <row r="439" spans="1:3" x14ac:dyDescent="0.3">
      <c r="A439" s="7" t="s">
        <v>820</v>
      </c>
      <c r="B439" s="7" t="s">
        <v>2374</v>
      </c>
      <c r="C439" s="7">
        <v>2.2999999999999998</v>
      </c>
    </row>
    <row r="440" spans="1:3" x14ac:dyDescent="0.3">
      <c r="A440" s="7" t="s">
        <v>1177</v>
      </c>
      <c r="B440" s="7" t="s">
        <v>2382</v>
      </c>
      <c r="C440" s="7">
        <v>2.1</v>
      </c>
    </row>
    <row r="441" spans="1:3" x14ac:dyDescent="0.3">
      <c r="A441" s="7" t="s">
        <v>1177</v>
      </c>
      <c r="B441" s="7" t="s">
        <v>2374</v>
      </c>
      <c r="C441" s="7">
        <v>2.1</v>
      </c>
    </row>
    <row r="442" spans="1:3" x14ac:dyDescent="0.3">
      <c r="A442" s="7" t="s">
        <v>1177</v>
      </c>
      <c r="B442" s="7" t="s">
        <v>2917</v>
      </c>
      <c r="C442" s="7">
        <v>2.1</v>
      </c>
    </row>
    <row r="443" spans="1:3" x14ac:dyDescent="0.3">
      <c r="A443" s="7" t="s">
        <v>999</v>
      </c>
      <c r="B443" s="7" t="s">
        <v>2374</v>
      </c>
      <c r="C443" s="7">
        <v>2</v>
      </c>
    </row>
    <row r="444" spans="1:3" x14ac:dyDescent="0.3">
      <c r="A444" s="7" t="s">
        <v>1523</v>
      </c>
      <c r="B444" s="7" t="s">
        <v>2374</v>
      </c>
      <c r="C444" s="7">
        <v>2</v>
      </c>
    </row>
    <row r="445" spans="1:3" x14ac:dyDescent="0.3">
      <c r="A445" s="7" t="s">
        <v>814</v>
      </c>
      <c r="B445" s="7" t="s">
        <v>2374</v>
      </c>
      <c r="C445" s="7">
        <v>2</v>
      </c>
    </row>
    <row r="446" spans="1:3" x14ac:dyDescent="0.3">
      <c r="A446" s="7" t="s">
        <v>1629</v>
      </c>
      <c r="B446" s="7" t="s">
        <v>2410</v>
      </c>
      <c r="C446" s="7">
        <v>2</v>
      </c>
    </row>
    <row r="447" spans="1:3" x14ac:dyDescent="0.3">
      <c r="A447" s="7" t="s">
        <v>402</v>
      </c>
      <c r="B447" s="7" t="s">
        <v>2382</v>
      </c>
      <c r="C447" s="7">
        <v>1</v>
      </c>
    </row>
    <row r="448" spans="1:3" x14ac:dyDescent="0.3">
      <c r="A448" s="7" t="s">
        <v>402</v>
      </c>
      <c r="B448" s="7" t="s">
        <v>2374</v>
      </c>
      <c r="C448" s="7">
        <v>1</v>
      </c>
    </row>
    <row r="449" spans="1:3" x14ac:dyDescent="0.3">
      <c r="A449" s="7" t="s">
        <v>755</v>
      </c>
      <c r="B449" s="7" t="s">
        <v>2374</v>
      </c>
      <c r="C449" s="7">
        <v>1</v>
      </c>
    </row>
    <row r="450" spans="1:3" x14ac:dyDescent="0.3">
      <c r="A450" s="7" t="s">
        <v>969</v>
      </c>
      <c r="B450" s="7" t="s">
        <v>2374</v>
      </c>
      <c r="C450" s="7">
        <v>1</v>
      </c>
    </row>
    <row r="451" spans="1:3" x14ac:dyDescent="0.3">
      <c r="A451" s="7" t="s">
        <v>68</v>
      </c>
      <c r="B451" s="7" t="s">
        <v>2374</v>
      </c>
      <c r="C451" s="7">
        <v>1</v>
      </c>
    </row>
    <row r="452" spans="1:3" x14ac:dyDescent="0.3">
      <c r="A452" s="7" t="s">
        <v>1611</v>
      </c>
      <c r="B452" s="7" t="s">
        <v>2505</v>
      </c>
      <c r="C452" s="7">
        <v>1</v>
      </c>
    </row>
    <row r="453" spans="1:3" x14ac:dyDescent="0.3">
      <c r="A453" s="7" t="s">
        <v>838</v>
      </c>
      <c r="B453" s="7" t="s">
        <v>2382</v>
      </c>
      <c r="C453" s="7">
        <v>1</v>
      </c>
    </row>
    <row r="454" spans="1:3" x14ac:dyDescent="0.3">
      <c r="A454" s="7" t="s">
        <v>838</v>
      </c>
      <c r="B454" s="7" t="s">
        <v>2374</v>
      </c>
      <c r="C454" s="7">
        <v>1</v>
      </c>
    </row>
    <row r="455" spans="1:3" x14ac:dyDescent="0.3">
      <c r="A455" s="7" t="s">
        <v>504</v>
      </c>
      <c r="B455" s="7" t="s">
        <v>2606</v>
      </c>
      <c r="C455" s="7">
        <v>1</v>
      </c>
    </row>
    <row r="456" spans="1:3" x14ac:dyDescent="0.3">
      <c r="A456" s="7" t="s">
        <v>683</v>
      </c>
      <c r="B456" s="7" t="s">
        <v>2374</v>
      </c>
      <c r="C456" s="7">
        <v>1</v>
      </c>
    </row>
    <row r="457" spans="1:3" x14ac:dyDescent="0.3">
      <c r="A457" s="7" t="s">
        <v>599</v>
      </c>
      <c r="B457" s="7" t="s">
        <v>2374</v>
      </c>
      <c r="C457" s="7">
        <v>1</v>
      </c>
    </row>
    <row r="458" spans="1:3" x14ac:dyDescent="0.3">
      <c r="A458" s="7" t="s">
        <v>1149</v>
      </c>
      <c r="B458" s="7" t="s">
        <v>2374</v>
      </c>
      <c r="C458" s="7">
        <v>1</v>
      </c>
    </row>
    <row r="459" spans="1:3" x14ac:dyDescent="0.3">
      <c r="A459" s="7" t="s">
        <v>1393</v>
      </c>
      <c r="B459" s="7" t="s">
        <v>2374</v>
      </c>
      <c r="C459" s="7">
        <v>1</v>
      </c>
    </row>
    <row r="460" spans="1:3" x14ac:dyDescent="0.3">
      <c r="A460" s="7" t="s">
        <v>372</v>
      </c>
      <c r="B460" s="7" t="s">
        <v>2374</v>
      </c>
      <c r="C460" s="7">
        <v>0.5</v>
      </c>
    </row>
    <row r="461" spans="1:3" x14ac:dyDescent="0.3">
      <c r="A461" s="7" t="s">
        <v>1309</v>
      </c>
      <c r="B461" s="7" t="s">
        <v>2374</v>
      </c>
      <c r="C461" s="7">
        <v>0.5</v>
      </c>
    </row>
    <row r="462" spans="1:3" x14ac:dyDescent="0.3">
      <c r="A462" s="7" t="s">
        <v>1529</v>
      </c>
      <c r="B462" s="7" t="s">
        <v>2374</v>
      </c>
      <c r="C462" s="7">
        <v>0.3</v>
      </c>
    </row>
    <row r="463" spans="1:3" x14ac:dyDescent="0.3">
      <c r="A463" s="7" t="s">
        <v>707</v>
      </c>
      <c r="B463" s="7" t="s">
        <v>2374</v>
      </c>
      <c r="C463" s="7">
        <v>0.1</v>
      </c>
    </row>
    <row r="464" spans="1:3" x14ac:dyDescent="0.3">
      <c r="A464" s="7" t="s">
        <v>1238</v>
      </c>
      <c r="B464" s="7" t="s">
        <v>2374</v>
      </c>
      <c r="C464" s="7">
        <v>0.1</v>
      </c>
    </row>
    <row r="465" spans="1:3" x14ac:dyDescent="0.3">
      <c r="A465" s="7" t="s">
        <v>1238</v>
      </c>
      <c r="B465" s="7" t="s">
        <v>2785</v>
      </c>
      <c r="C465" s="7">
        <v>0.1</v>
      </c>
    </row>
    <row r="466" spans="1:3" x14ac:dyDescent="0.3">
      <c r="A466" s="7" t="s">
        <v>86</v>
      </c>
      <c r="B466" s="7" t="s">
        <v>2410</v>
      </c>
      <c r="C466" s="7">
        <v>0.03</v>
      </c>
    </row>
    <row r="467" spans="1:3" x14ac:dyDescent="0.3">
      <c r="A467" s="7" t="s">
        <v>307</v>
      </c>
      <c r="B467" s="7" t="s">
        <v>2374</v>
      </c>
      <c r="C467" s="7">
        <v>0</v>
      </c>
    </row>
    <row r="468" spans="1:3" x14ac:dyDescent="0.3">
      <c r="A468" s="7" t="s">
        <v>313</v>
      </c>
      <c r="B468" s="7" t="s">
        <v>2410</v>
      </c>
      <c r="C468" s="7">
        <v>0</v>
      </c>
    </row>
    <row r="469" spans="1:3" x14ac:dyDescent="0.3">
      <c r="A469" s="7" t="s">
        <v>1375</v>
      </c>
      <c r="B469" s="7" t="s">
        <v>2410</v>
      </c>
      <c r="C469" s="7">
        <v>0</v>
      </c>
    </row>
    <row r="470" spans="1:3" x14ac:dyDescent="0.3">
      <c r="A470" s="7" t="s">
        <v>1500</v>
      </c>
      <c r="B470" s="7" t="s">
        <v>2407</v>
      </c>
      <c r="C470" s="7">
        <v>0</v>
      </c>
    </row>
    <row r="471" spans="1:3" x14ac:dyDescent="0.3">
      <c r="A471" s="7" t="s">
        <v>1500</v>
      </c>
      <c r="B471" s="7" t="s">
        <v>2374</v>
      </c>
      <c r="C471" s="7">
        <v>0</v>
      </c>
    </row>
    <row r="472" spans="1:3" x14ac:dyDescent="0.3">
      <c r="A472" s="7" t="s">
        <v>617</v>
      </c>
      <c r="B472" s="7" t="s">
        <v>2410</v>
      </c>
      <c r="C472" s="7">
        <v>0</v>
      </c>
    </row>
    <row r="473" spans="1:3" x14ac:dyDescent="0.3">
      <c r="A473" s="7" t="s">
        <v>1399</v>
      </c>
      <c r="B473" s="7" t="s">
        <v>2374</v>
      </c>
      <c r="C473" s="7">
        <v>0</v>
      </c>
    </row>
    <row r="474" spans="1:3" x14ac:dyDescent="0.3">
      <c r="A474" s="7" t="s">
        <v>569</v>
      </c>
      <c r="B474" s="7" t="s">
        <v>2410</v>
      </c>
      <c r="C474" s="7">
        <v>0</v>
      </c>
    </row>
    <row r="475" spans="1:3" x14ac:dyDescent="0.3">
      <c r="A475" s="7" t="s">
        <v>1653</v>
      </c>
      <c r="B475" s="7" t="s">
        <v>2374</v>
      </c>
      <c r="C475" s="7">
        <v>0</v>
      </c>
    </row>
    <row r="476" spans="1:3" x14ac:dyDescent="0.3">
      <c r="A476" s="7" t="s">
        <v>1653</v>
      </c>
      <c r="B476" s="7" t="s">
        <v>2785</v>
      </c>
      <c r="C476" s="7">
        <v>0</v>
      </c>
    </row>
    <row r="477" spans="1:3" x14ac:dyDescent="0.3">
      <c r="A477" s="7" t="s">
        <v>1653</v>
      </c>
      <c r="B477" s="7" t="s">
        <v>2461</v>
      </c>
      <c r="C477" s="7">
        <v>0</v>
      </c>
    </row>
    <row r="478" spans="1:3" x14ac:dyDescent="0.3">
      <c r="A478" s="7" t="s">
        <v>1410</v>
      </c>
      <c r="B478" s="7" t="s">
        <v>2374</v>
      </c>
      <c r="C478" s="7">
        <v>0</v>
      </c>
    </row>
    <row r="479" spans="1:3" x14ac:dyDescent="0.3">
      <c r="A479" s="7" t="s">
        <v>1363</v>
      </c>
      <c r="B479" s="7" t="s">
        <v>2374</v>
      </c>
      <c r="C479" s="7">
        <v>0</v>
      </c>
    </row>
    <row r="480" spans="1:3" x14ac:dyDescent="0.3">
      <c r="A480" s="7" t="s">
        <v>1665</v>
      </c>
      <c r="B480" s="7" t="s">
        <v>2374</v>
      </c>
      <c r="C480" s="7">
        <v>0</v>
      </c>
    </row>
    <row r="481" spans="1:3" x14ac:dyDescent="0.3">
      <c r="A481" s="7" t="s">
        <v>1381</v>
      </c>
      <c r="B481" s="7" t="s">
        <v>2766</v>
      </c>
      <c r="C481" s="7">
        <v>0</v>
      </c>
    </row>
    <row r="482" spans="1:3" x14ac:dyDescent="0.3">
      <c r="A482" s="7" t="s">
        <v>1208</v>
      </c>
      <c r="B482" s="7" t="s">
        <v>2374</v>
      </c>
      <c r="C482" s="7">
        <v>0</v>
      </c>
    </row>
    <row r="483" spans="1:3" x14ac:dyDescent="0.3">
      <c r="A483" s="7" t="s">
        <v>581</v>
      </c>
      <c r="B483" s="7" t="s">
        <v>2410</v>
      </c>
      <c r="C483" s="7">
        <v>0</v>
      </c>
    </row>
    <row r="484" spans="1:3" x14ac:dyDescent="0.3">
      <c r="A484" s="7" t="s">
        <v>50</v>
      </c>
      <c r="B484" s="7" t="s">
        <v>2374</v>
      </c>
      <c r="C484" s="7">
        <v>0</v>
      </c>
    </row>
    <row r="485" spans="1:3" x14ac:dyDescent="0.3">
      <c r="A485" s="7" t="s">
        <v>1701</v>
      </c>
      <c r="B485" s="7" t="s">
        <v>2505</v>
      </c>
      <c r="C485" s="7">
        <v>0</v>
      </c>
    </row>
    <row r="486" spans="1:3" x14ac:dyDescent="0.3">
      <c r="A486" s="7" t="s">
        <v>164</v>
      </c>
      <c r="B486" s="7" t="s">
        <v>2374</v>
      </c>
      <c r="C486" s="7">
        <v>0</v>
      </c>
    </row>
    <row r="487" spans="1:3" x14ac:dyDescent="0.3">
      <c r="A487" s="7" t="s">
        <v>1273</v>
      </c>
      <c r="B487" s="7" t="s">
        <v>2374</v>
      </c>
      <c r="C487" s="7">
        <v>0</v>
      </c>
    </row>
    <row r="488" spans="1:3" x14ac:dyDescent="0.3">
      <c r="A488" s="7" t="s">
        <v>360</v>
      </c>
      <c r="B488" s="24" t="s">
        <v>2374</v>
      </c>
      <c r="C488" s="7">
        <v>0</v>
      </c>
    </row>
    <row r="489" spans="1:3" x14ac:dyDescent="0.3">
      <c r="A489" s="7" t="s">
        <v>1102</v>
      </c>
      <c r="B489" s="7" t="s">
        <v>2374</v>
      </c>
      <c r="C489" s="7">
        <v>0</v>
      </c>
    </row>
    <row r="490" spans="1:3" x14ac:dyDescent="0.3">
      <c r="A490" s="7" t="s">
        <v>1684</v>
      </c>
      <c r="B490" s="7" t="s">
        <v>2407</v>
      </c>
      <c r="C490" s="7">
        <v>0</v>
      </c>
    </row>
    <row r="491" spans="1:3" x14ac:dyDescent="0.3">
      <c r="A491" s="7" t="s">
        <v>880</v>
      </c>
      <c r="B491" s="7" t="s">
        <v>2382</v>
      </c>
      <c r="C491" s="7">
        <v>0</v>
      </c>
    </row>
    <row r="492" spans="1:3" x14ac:dyDescent="0.3">
      <c r="A492" s="7" t="s">
        <v>880</v>
      </c>
      <c r="B492" s="7" t="s">
        <v>2374</v>
      </c>
      <c r="C492" s="7">
        <v>0</v>
      </c>
    </row>
    <row r="493" spans="1:3" x14ac:dyDescent="0.3">
      <c r="A493" s="7" t="s">
        <v>1060</v>
      </c>
      <c r="B493" s="7" t="s">
        <v>2374</v>
      </c>
      <c r="C493" s="7">
        <v>0</v>
      </c>
    </row>
    <row r="494" spans="1:3" x14ac:dyDescent="0.3">
      <c r="A494" s="7" t="s">
        <v>1303</v>
      </c>
      <c r="B494" s="7" t="s">
        <v>2374</v>
      </c>
      <c r="C494" s="7">
        <v>0</v>
      </c>
    </row>
  </sheetData>
  <sortState xmlns:xlrd2="http://schemas.microsoft.com/office/spreadsheetml/2017/richdata2" ref="A3:C494">
    <sortCondition descending="1" ref="C3:C494"/>
    <sortCondition ref="A3:A494"/>
    <sortCondition ref="B3:B494"/>
  </sortState>
  <mergeCells count="1">
    <mergeCell ref="A1:XF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FACD-5A58-490E-AA5B-B70C4805FAFA}">
  <dimension ref="A1:G94"/>
  <sheetViews>
    <sheetView zoomScaleNormal="100" workbookViewId="0">
      <selection activeCell="D66" sqref="D66"/>
    </sheetView>
  </sheetViews>
  <sheetFormatPr defaultRowHeight="14.4" x14ac:dyDescent="0.3"/>
  <cols>
    <col min="1" max="1" width="52.33203125" customWidth="1"/>
    <col min="2" max="2" width="38.5546875" customWidth="1"/>
  </cols>
  <sheetData>
    <row r="1" spans="1:3" s="67" customFormat="1" ht="20.399999999999999" customHeight="1" x14ac:dyDescent="0.3">
      <c r="A1" s="67" t="s">
        <v>4088</v>
      </c>
    </row>
    <row r="2" spans="1:3" ht="21.75" customHeight="1" x14ac:dyDescent="0.3">
      <c r="A2" s="17" t="s">
        <v>0</v>
      </c>
      <c r="B2" s="17" t="s">
        <v>1</v>
      </c>
      <c r="C2" s="1"/>
    </row>
    <row r="3" spans="1:3" ht="21.75" customHeight="1" x14ac:dyDescent="0.3">
      <c r="A3" s="7" t="s">
        <v>2</v>
      </c>
      <c r="B3" s="7" t="s">
        <v>4090</v>
      </c>
      <c r="C3" s="1"/>
    </row>
    <row r="4" spans="1:3" ht="21.75" customHeight="1" x14ac:dyDescent="0.3">
      <c r="A4" s="7" t="s">
        <v>2070</v>
      </c>
      <c r="B4" s="61" t="s">
        <v>4091</v>
      </c>
      <c r="C4" s="1"/>
    </row>
    <row r="5" spans="1:3" ht="21.75" customHeight="1" x14ac:dyDescent="0.3">
      <c r="A5" s="7" t="s">
        <v>2077</v>
      </c>
      <c r="B5" s="7" t="s">
        <v>2071</v>
      </c>
      <c r="C5" s="1"/>
    </row>
    <row r="6" spans="1:3" ht="21.75" customHeight="1" x14ac:dyDescent="0.3">
      <c r="A6" s="7" t="s">
        <v>4</v>
      </c>
      <c r="B6" s="7" t="s">
        <v>3</v>
      </c>
      <c r="C6" s="1"/>
    </row>
    <row r="7" spans="1:3" ht="21.75" customHeight="1" x14ac:dyDescent="0.3">
      <c r="A7" s="7" t="s">
        <v>5</v>
      </c>
      <c r="B7" s="7" t="s">
        <v>3</v>
      </c>
      <c r="C7" s="1"/>
    </row>
    <row r="8" spans="1:3" ht="21.75" customHeight="1" x14ac:dyDescent="0.3">
      <c r="A8" s="7" t="s">
        <v>6</v>
      </c>
      <c r="B8" s="7" t="s">
        <v>3</v>
      </c>
      <c r="C8" s="1"/>
    </row>
    <row r="9" spans="1:3" ht="21.75" customHeight="1" x14ac:dyDescent="0.3">
      <c r="A9" s="7" t="s">
        <v>4093</v>
      </c>
      <c r="B9" s="7" t="s">
        <v>4092</v>
      </c>
      <c r="C9" s="1"/>
    </row>
    <row r="10" spans="1:3" ht="21.75" customHeight="1" x14ac:dyDescent="0.3">
      <c r="A10" s="7" t="s">
        <v>4094</v>
      </c>
      <c r="B10" s="7" t="s">
        <v>2072</v>
      </c>
      <c r="C10" s="1"/>
    </row>
    <row r="11" spans="1:3" ht="21.75" customHeight="1" x14ac:dyDescent="0.3">
      <c r="A11" s="7" t="s">
        <v>7</v>
      </c>
      <c r="B11" s="7" t="s">
        <v>2072</v>
      </c>
      <c r="C11" s="1"/>
    </row>
    <row r="12" spans="1:3" ht="21.75" customHeight="1" x14ac:dyDescent="0.3">
      <c r="A12" s="7" t="s">
        <v>4095</v>
      </c>
      <c r="B12" s="7" t="s">
        <v>2072</v>
      </c>
      <c r="C12" s="1"/>
    </row>
    <row r="13" spans="1:3" ht="21.75" customHeight="1" x14ac:dyDescent="0.3">
      <c r="A13" s="7" t="s">
        <v>8</v>
      </c>
      <c r="B13" s="7" t="s">
        <v>2072</v>
      </c>
      <c r="C13" s="1"/>
    </row>
    <row r="14" spans="1:3" ht="21.75" customHeight="1" x14ac:dyDescent="0.3">
      <c r="A14" s="7" t="s">
        <v>9</v>
      </c>
      <c r="B14" s="7" t="s">
        <v>2072</v>
      </c>
      <c r="C14" s="1"/>
    </row>
    <row r="15" spans="1:3" ht="21.75" customHeight="1" x14ac:dyDescent="0.3">
      <c r="A15" s="7" t="s">
        <v>10</v>
      </c>
      <c r="B15" s="7" t="s">
        <v>2072</v>
      </c>
      <c r="C15" s="1"/>
    </row>
    <row r="16" spans="1:3" ht="21.75" customHeight="1" x14ac:dyDescent="0.3">
      <c r="A16" s="7" t="s">
        <v>11</v>
      </c>
      <c r="B16" s="7" t="s">
        <v>2072</v>
      </c>
      <c r="C16" s="1"/>
    </row>
    <row r="17" spans="1:3" ht="21.75" customHeight="1" x14ac:dyDescent="0.3">
      <c r="A17" s="7" t="s">
        <v>12</v>
      </c>
      <c r="B17" s="7" t="s">
        <v>2072</v>
      </c>
      <c r="C17" s="1"/>
    </row>
    <row r="18" spans="1:3" ht="21.75" customHeight="1" x14ac:dyDescent="0.3">
      <c r="A18" s="7" t="s">
        <v>13</v>
      </c>
      <c r="B18" s="7" t="s">
        <v>2072</v>
      </c>
      <c r="C18" s="1"/>
    </row>
    <row r="19" spans="1:3" ht="21.75" customHeight="1" x14ac:dyDescent="0.3">
      <c r="A19" s="7" t="s">
        <v>2073</v>
      </c>
      <c r="B19" s="7" t="s">
        <v>2072</v>
      </c>
      <c r="C19" s="1"/>
    </row>
    <row r="20" spans="1:3" ht="21.75" customHeight="1" x14ac:dyDescent="0.3">
      <c r="A20" s="7" t="s">
        <v>14</v>
      </c>
      <c r="B20" s="7" t="s">
        <v>2072</v>
      </c>
      <c r="C20" s="1"/>
    </row>
    <row r="21" spans="1:3" ht="21.75" customHeight="1" x14ac:dyDescent="0.3">
      <c r="A21" s="7" t="s">
        <v>4096</v>
      </c>
      <c r="B21" s="7" t="s">
        <v>2072</v>
      </c>
      <c r="C21" s="1"/>
    </row>
    <row r="22" spans="1:3" ht="21.75" customHeight="1" x14ac:dyDescent="0.3">
      <c r="A22" s="7" t="s">
        <v>4097</v>
      </c>
      <c r="B22" s="7" t="s">
        <v>2072</v>
      </c>
      <c r="C22" s="1"/>
    </row>
    <row r="23" spans="1:3" ht="21.75" customHeight="1" x14ac:dyDescent="0.4">
      <c r="A23" s="7" t="s">
        <v>4098</v>
      </c>
      <c r="B23" s="7" t="s">
        <v>2072</v>
      </c>
      <c r="C23" s="1"/>
    </row>
    <row r="24" spans="1:3" ht="21.75" customHeight="1" x14ac:dyDescent="0.4">
      <c r="A24" s="7" t="s">
        <v>4099</v>
      </c>
      <c r="B24" s="7" t="s">
        <v>2072</v>
      </c>
      <c r="C24" s="1"/>
    </row>
    <row r="25" spans="1:3" ht="21.75" customHeight="1" x14ac:dyDescent="0.3">
      <c r="A25" s="7" t="s">
        <v>15</v>
      </c>
      <c r="B25" s="7" t="s">
        <v>2072</v>
      </c>
      <c r="C25" s="1"/>
    </row>
    <row r="26" spans="1:3" ht="21.75" customHeight="1" x14ac:dyDescent="0.3">
      <c r="A26" s="7" t="s">
        <v>16</v>
      </c>
      <c r="B26" s="7" t="s">
        <v>2072</v>
      </c>
      <c r="C26" s="1"/>
    </row>
    <row r="27" spans="1:3" ht="21.75" customHeight="1" x14ac:dyDescent="0.3">
      <c r="A27" s="7" t="s">
        <v>17</v>
      </c>
      <c r="B27" s="7" t="s">
        <v>2072</v>
      </c>
      <c r="C27" s="1"/>
    </row>
    <row r="28" spans="1:3" ht="21.75" customHeight="1" x14ac:dyDescent="0.3">
      <c r="A28" s="7" t="s">
        <v>2074</v>
      </c>
      <c r="B28" s="7" t="s">
        <v>2072</v>
      </c>
      <c r="C28" s="1"/>
    </row>
    <row r="29" spans="1:3" ht="21.75" customHeight="1" x14ac:dyDescent="0.3">
      <c r="A29" s="7" t="s">
        <v>2075</v>
      </c>
      <c r="B29" s="7" t="s">
        <v>2072</v>
      </c>
      <c r="C29" s="1"/>
    </row>
    <row r="30" spans="1:3" ht="21.75" customHeight="1" x14ac:dyDescent="0.3">
      <c r="A30" s="7" t="s">
        <v>18</v>
      </c>
      <c r="B30" s="7" t="s">
        <v>2072</v>
      </c>
      <c r="C30" s="1"/>
    </row>
    <row r="31" spans="1:3" ht="21.75" customHeight="1" x14ac:dyDescent="0.3">
      <c r="A31" s="7" t="s">
        <v>4100</v>
      </c>
      <c r="B31" s="7" t="s">
        <v>2072</v>
      </c>
      <c r="C31" s="1"/>
    </row>
    <row r="32" spans="1:3" ht="21.75" customHeight="1" x14ac:dyDescent="0.3">
      <c r="A32" s="7" t="s">
        <v>19</v>
      </c>
      <c r="B32" s="7" t="s">
        <v>2072</v>
      </c>
      <c r="C32" s="1"/>
    </row>
    <row r="33" spans="1:3" ht="21.75" customHeight="1" x14ac:dyDescent="0.3">
      <c r="A33" s="7" t="s">
        <v>20</v>
      </c>
      <c r="B33" s="7" t="s">
        <v>2072</v>
      </c>
      <c r="C33" s="1"/>
    </row>
    <row r="34" spans="1:3" ht="21.75" customHeight="1" x14ac:dyDescent="0.3">
      <c r="A34" s="7" t="s">
        <v>21</v>
      </c>
      <c r="B34" s="7" t="s">
        <v>2072</v>
      </c>
      <c r="C34" s="1"/>
    </row>
    <row r="35" spans="1:3" ht="21.75" customHeight="1" x14ac:dyDescent="0.3">
      <c r="A35" s="7" t="s">
        <v>22</v>
      </c>
      <c r="B35" s="7" t="s">
        <v>2072</v>
      </c>
      <c r="C35" s="1"/>
    </row>
    <row r="36" spans="1:3" ht="21.75" customHeight="1" x14ac:dyDescent="0.3">
      <c r="A36" s="7" t="s">
        <v>23</v>
      </c>
      <c r="B36" s="7" t="s">
        <v>2072</v>
      </c>
      <c r="C36" s="1"/>
    </row>
    <row r="37" spans="1:3" ht="21.75" customHeight="1" x14ac:dyDescent="0.3">
      <c r="A37" s="7" t="s">
        <v>4101</v>
      </c>
      <c r="B37" s="7" t="s">
        <v>2072</v>
      </c>
      <c r="C37" s="1"/>
    </row>
    <row r="38" spans="1:3" ht="21.75" customHeight="1" x14ac:dyDescent="0.3">
      <c r="A38" s="7" t="s">
        <v>24</v>
      </c>
      <c r="B38" s="7" t="s">
        <v>2072</v>
      </c>
      <c r="C38" s="1"/>
    </row>
    <row r="39" spans="1:3" ht="21.75" customHeight="1" x14ac:dyDescent="0.3">
      <c r="A39" s="7" t="s">
        <v>25</v>
      </c>
      <c r="B39" s="7" t="s">
        <v>2072</v>
      </c>
      <c r="C39" s="1"/>
    </row>
    <row r="40" spans="1:3" ht="21.75" customHeight="1" x14ac:dyDescent="0.3">
      <c r="A40" s="7" t="s">
        <v>26</v>
      </c>
      <c r="B40" s="7" t="s">
        <v>2072</v>
      </c>
      <c r="C40" s="1"/>
    </row>
    <row r="41" spans="1:3" ht="21.75" customHeight="1" x14ac:dyDescent="0.3">
      <c r="A41" s="7" t="s">
        <v>4102</v>
      </c>
      <c r="B41" s="7" t="s">
        <v>2072</v>
      </c>
      <c r="C41" s="1"/>
    </row>
    <row r="42" spans="1:3" ht="21.75" customHeight="1" x14ac:dyDescent="0.3">
      <c r="A42" s="7" t="s">
        <v>27</v>
      </c>
      <c r="B42" s="7" t="s">
        <v>2072</v>
      </c>
      <c r="C42" s="1"/>
    </row>
    <row r="43" spans="1:3" ht="21.75" customHeight="1" x14ac:dyDescent="0.3">
      <c r="A43" s="7" t="s">
        <v>28</v>
      </c>
      <c r="B43" s="7" t="s">
        <v>2072</v>
      </c>
      <c r="C43" s="1"/>
    </row>
    <row r="44" spans="1:3" ht="21.75" customHeight="1" x14ac:dyDescent="0.3">
      <c r="A44" s="7" t="s">
        <v>29</v>
      </c>
      <c r="B44" s="7" t="s">
        <v>2072</v>
      </c>
      <c r="C44" s="1"/>
    </row>
    <row r="45" spans="1:3" ht="18.600000000000001" x14ac:dyDescent="0.3">
      <c r="A45" s="7" t="s">
        <v>3876</v>
      </c>
      <c r="B45" s="7" t="s">
        <v>4103</v>
      </c>
    </row>
    <row r="46" spans="1:3" ht="18.600000000000001" x14ac:dyDescent="0.3">
      <c r="A46" s="7" t="s">
        <v>2076</v>
      </c>
      <c r="B46" s="7" t="s">
        <v>4104</v>
      </c>
    </row>
    <row r="47" spans="1:3" ht="18.600000000000001" x14ac:dyDescent="0.3">
      <c r="A47" s="14" t="s">
        <v>4089</v>
      </c>
      <c r="B47" s="7"/>
    </row>
    <row r="48" spans="1:3" ht="18.600000000000001" x14ac:dyDescent="0.3">
      <c r="A48" s="61" t="s">
        <v>4105</v>
      </c>
      <c r="B48" s="7"/>
    </row>
    <row r="49" spans="1:7" ht="18.600000000000001" x14ac:dyDescent="0.3">
      <c r="A49" s="50" t="s">
        <v>4106</v>
      </c>
      <c r="B49" s="7"/>
    </row>
    <row r="50" spans="1:7" ht="18.600000000000001" x14ac:dyDescent="0.3">
      <c r="A50" s="7" t="s">
        <v>4107</v>
      </c>
      <c r="B50" s="7"/>
    </row>
    <row r="51" spans="1:7" ht="18.600000000000001" x14ac:dyDescent="0.3">
      <c r="A51" s="50" t="s">
        <v>4108</v>
      </c>
      <c r="B51" s="7"/>
    </row>
    <row r="52" spans="1:7" ht="18.600000000000001" x14ac:dyDescent="0.3">
      <c r="A52" s="52" t="s">
        <v>4109</v>
      </c>
    </row>
    <row r="53" spans="1:7" ht="18.600000000000001" x14ac:dyDescent="0.3">
      <c r="A53" s="50" t="s">
        <v>3936</v>
      </c>
    </row>
    <row r="54" spans="1:7" ht="18.600000000000001" x14ac:dyDescent="0.3">
      <c r="A54" s="50" t="s">
        <v>3937</v>
      </c>
    </row>
    <row r="55" spans="1:7" ht="18.600000000000001" x14ac:dyDescent="0.3">
      <c r="A55" s="50" t="s">
        <v>3938</v>
      </c>
    </row>
    <row r="56" spans="1:7" ht="18.600000000000001" x14ac:dyDescent="0.3">
      <c r="A56" s="50" t="s">
        <v>3939</v>
      </c>
    </row>
    <row r="57" spans="1:7" ht="18.600000000000001" x14ac:dyDescent="0.3">
      <c r="A57" s="52" t="s">
        <v>3940</v>
      </c>
    </row>
    <row r="58" spans="1:7" ht="18.600000000000001" x14ac:dyDescent="0.3">
      <c r="A58" s="50" t="s">
        <v>4110</v>
      </c>
      <c r="G58" s="7"/>
    </row>
    <row r="59" spans="1:7" ht="18.600000000000001" x14ac:dyDescent="0.3">
      <c r="A59" s="50" t="s">
        <v>4111</v>
      </c>
      <c r="G59" s="7"/>
    </row>
    <row r="60" spans="1:7" ht="18.600000000000001" x14ac:dyDescent="0.3">
      <c r="A60" s="52" t="s">
        <v>4112</v>
      </c>
      <c r="G60" s="7"/>
    </row>
    <row r="61" spans="1:7" ht="18.600000000000001" x14ac:dyDescent="0.3">
      <c r="A61" s="52" t="s">
        <v>4113</v>
      </c>
    </row>
    <row r="62" spans="1:7" ht="18.600000000000001" x14ac:dyDescent="0.3">
      <c r="A62" s="50"/>
    </row>
    <row r="63" spans="1:7" x14ac:dyDescent="0.3">
      <c r="A63" s="51"/>
    </row>
    <row r="64" spans="1:7" x14ac:dyDescent="0.3">
      <c r="A64" s="51"/>
    </row>
    <row r="65" spans="1:1" x14ac:dyDescent="0.3">
      <c r="A65" s="51"/>
    </row>
    <row r="66" spans="1:1" x14ac:dyDescent="0.3">
      <c r="A66" s="51"/>
    </row>
    <row r="67" spans="1:1" x14ac:dyDescent="0.3">
      <c r="A67" s="51"/>
    </row>
    <row r="68" spans="1:1" x14ac:dyDescent="0.3">
      <c r="A68" s="51"/>
    </row>
    <row r="69" spans="1:1" x14ac:dyDescent="0.3">
      <c r="A69" s="51"/>
    </row>
    <row r="70" spans="1:1" x14ac:dyDescent="0.3">
      <c r="A70" s="51"/>
    </row>
    <row r="71" spans="1:1" x14ac:dyDescent="0.3">
      <c r="A71" s="51"/>
    </row>
    <row r="72" spans="1:1" x14ac:dyDescent="0.3">
      <c r="A72" s="51"/>
    </row>
    <row r="73" spans="1:1" x14ac:dyDescent="0.3">
      <c r="A73" s="51"/>
    </row>
    <row r="74" spans="1:1" x14ac:dyDescent="0.3">
      <c r="A74" s="51"/>
    </row>
    <row r="75" spans="1:1" x14ac:dyDescent="0.3">
      <c r="A75" s="51"/>
    </row>
    <row r="76" spans="1:1" x14ac:dyDescent="0.3">
      <c r="A76" s="51"/>
    </row>
    <row r="77" spans="1:1" x14ac:dyDescent="0.3">
      <c r="A77" s="51"/>
    </row>
    <row r="78" spans="1:1" x14ac:dyDescent="0.3">
      <c r="A78" s="51"/>
    </row>
    <row r="79" spans="1:1" x14ac:dyDescent="0.3">
      <c r="A79" s="51"/>
    </row>
    <row r="80" spans="1:1" x14ac:dyDescent="0.3">
      <c r="A80" s="51"/>
    </row>
    <row r="81" spans="1:1" x14ac:dyDescent="0.3">
      <c r="A81" s="51"/>
    </row>
    <row r="82" spans="1:1" x14ac:dyDescent="0.3">
      <c r="A82" s="51"/>
    </row>
    <row r="83" spans="1:1" x14ac:dyDescent="0.3">
      <c r="A83" s="51"/>
    </row>
    <row r="84" spans="1:1" x14ac:dyDescent="0.3">
      <c r="A84" s="51"/>
    </row>
    <row r="85" spans="1:1" x14ac:dyDescent="0.3">
      <c r="A85" s="51"/>
    </row>
    <row r="86" spans="1:1" x14ac:dyDescent="0.3">
      <c r="A86" s="51"/>
    </row>
    <row r="87" spans="1:1" x14ac:dyDescent="0.3">
      <c r="A87" s="51"/>
    </row>
    <row r="88" spans="1:1" x14ac:dyDescent="0.3">
      <c r="A88" s="51"/>
    </row>
    <row r="89" spans="1:1" x14ac:dyDescent="0.3">
      <c r="A89" s="51"/>
    </row>
    <row r="90" spans="1:1" x14ac:dyDescent="0.3">
      <c r="A90" s="51"/>
    </row>
    <row r="91" spans="1:1" x14ac:dyDescent="0.3">
      <c r="A91" s="51"/>
    </row>
    <row r="92" spans="1:1" x14ac:dyDescent="0.3">
      <c r="A92" s="51"/>
    </row>
    <row r="93" spans="1:1" x14ac:dyDescent="0.3">
      <c r="A93" s="51"/>
    </row>
    <row r="94" spans="1:1" x14ac:dyDescent="0.3">
      <c r="A94" s="51"/>
    </row>
  </sheetData>
  <mergeCells count="1">
    <mergeCell ref="A1:XF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5CC3-75B3-41E0-A215-EDE7E39F32C5}">
  <dimension ref="A1:AS379"/>
  <sheetViews>
    <sheetView workbookViewId="0">
      <selection activeCell="M367" sqref="M367"/>
    </sheetView>
  </sheetViews>
  <sheetFormatPr defaultColWidth="17.44140625" defaultRowHeight="19.5" customHeight="1" x14ac:dyDescent="0.3"/>
  <cols>
    <col min="1" max="1" width="36.5546875" style="3" bestFit="1" customWidth="1"/>
    <col min="2" max="2" width="25.44140625" style="3" customWidth="1"/>
    <col min="3" max="3" width="24.5546875" style="3" bestFit="1" customWidth="1"/>
    <col min="4" max="4" width="34.5546875" style="3" bestFit="1" customWidth="1"/>
    <col min="5" max="5" width="27.33203125" style="3" customWidth="1"/>
    <col min="6" max="6" width="37.33203125" style="3" customWidth="1"/>
    <col min="7" max="8" width="17.44140625" style="3"/>
    <col min="9" max="9" width="19.33203125" style="3" bestFit="1" customWidth="1"/>
    <col min="10" max="10" width="20" style="3" customWidth="1"/>
    <col min="11" max="11" width="22.109375" style="3" customWidth="1"/>
    <col min="12" max="12" width="17.44140625" style="3"/>
    <col min="13" max="13" width="31.21875" style="3" customWidth="1"/>
    <col min="14" max="14" width="30.5546875" style="3" customWidth="1"/>
    <col min="15" max="15" width="28.44140625" style="3" customWidth="1"/>
    <col min="16" max="16" width="38.5546875" style="3" bestFit="1" customWidth="1"/>
    <col min="17" max="17" width="31.5546875" style="3" customWidth="1"/>
    <col min="18" max="18" width="30.6640625" style="3" customWidth="1"/>
    <col min="19" max="19" width="29" style="3" customWidth="1"/>
    <col min="20" max="20" width="23" style="3" bestFit="1" customWidth="1"/>
    <col min="21" max="21" width="17.44140625" style="3"/>
    <col min="22" max="22" width="18" style="3" bestFit="1" customWidth="1"/>
    <col min="23" max="23" width="17.44140625" style="3"/>
    <col min="24" max="24" width="20.5546875" style="3" bestFit="1" customWidth="1"/>
    <col min="25" max="25" width="22.88671875" style="3" customWidth="1"/>
    <col min="26" max="26" width="42.33203125" style="3" customWidth="1"/>
    <col min="27" max="27" width="19.5546875" style="3" bestFit="1" customWidth="1"/>
    <col min="28" max="28" width="17.44140625" style="3"/>
    <col min="29" max="29" width="24.5546875" style="3" customWidth="1"/>
    <col min="30" max="30" width="27.77734375" style="3" customWidth="1"/>
    <col min="31" max="31" width="17.44140625" style="3"/>
    <col min="32" max="32" width="21.77734375" style="3" customWidth="1"/>
    <col min="33" max="33" width="26.6640625" style="3" bestFit="1" customWidth="1"/>
    <col min="34" max="34" width="27.33203125" style="3" bestFit="1" customWidth="1"/>
    <col min="35" max="35" width="25.109375" style="3" bestFit="1" customWidth="1"/>
    <col min="36" max="36" width="15.6640625" style="3" customWidth="1"/>
    <col min="37" max="37" width="38.33203125" style="3" customWidth="1"/>
    <col min="38" max="38" width="27.5546875" style="3" bestFit="1" customWidth="1"/>
    <col min="39" max="39" width="26" style="3" bestFit="1" customWidth="1"/>
    <col min="40" max="40" width="18.77734375" style="3" customWidth="1"/>
    <col min="41" max="41" width="17.44140625" style="3"/>
    <col min="42" max="42" width="19.33203125" style="3" customWidth="1"/>
    <col min="43" max="43" width="37.77734375" style="3" customWidth="1"/>
    <col min="44" max="16384" width="17.44140625" style="3"/>
  </cols>
  <sheetData>
    <row r="1" spans="1:45" ht="19.5" customHeight="1" x14ac:dyDescent="0.3">
      <c r="A1" s="37" t="s">
        <v>3902</v>
      </c>
    </row>
    <row r="2" spans="1:45" s="4" customFormat="1" ht="19.5" customHeight="1" x14ac:dyDescent="0.3">
      <c r="A2" s="17" t="s">
        <v>30</v>
      </c>
      <c r="B2" s="17" t="s">
        <v>3989</v>
      </c>
      <c r="C2" s="17" t="s">
        <v>3947</v>
      </c>
      <c r="D2" s="17" t="s">
        <v>3948</v>
      </c>
      <c r="E2" s="17" t="s">
        <v>3949</v>
      </c>
      <c r="F2" s="17" t="s">
        <v>3950</v>
      </c>
      <c r="G2" s="17" t="s">
        <v>3951</v>
      </c>
      <c r="H2" s="17" t="s">
        <v>3952</v>
      </c>
      <c r="I2" s="17" t="s">
        <v>3953</v>
      </c>
      <c r="J2" s="17" t="s">
        <v>3954</v>
      </c>
      <c r="K2" s="17" t="s">
        <v>3955</v>
      </c>
      <c r="L2" s="17" t="s">
        <v>3956</v>
      </c>
      <c r="M2" s="17" t="s">
        <v>3957</v>
      </c>
      <c r="N2" s="17" t="s">
        <v>3958</v>
      </c>
      <c r="O2" s="17" t="s">
        <v>3959</v>
      </c>
      <c r="P2" s="17" t="s">
        <v>3960</v>
      </c>
      <c r="Q2" s="17" t="s">
        <v>3961</v>
      </c>
      <c r="R2" s="17" t="s">
        <v>3962</v>
      </c>
      <c r="S2" s="17" t="s">
        <v>3963</v>
      </c>
      <c r="T2" s="17" t="s">
        <v>3964</v>
      </c>
      <c r="U2" s="17" t="s">
        <v>3965</v>
      </c>
      <c r="V2" s="17" t="s">
        <v>3966</v>
      </c>
      <c r="W2" s="17" t="s">
        <v>3967</v>
      </c>
      <c r="X2" s="17" t="s">
        <v>3968</v>
      </c>
      <c r="Y2" s="17" t="s">
        <v>3969</v>
      </c>
      <c r="Z2" s="17" t="s">
        <v>3970</v>
      </c>
      <c r="AA2" s="17" t="s">
        <v>3971</v>
      </c>
      <c r="AB2" s="17" t="s">
        <v>3972</v>
      </c>
      <c r="AC2" s="17" t="s">
        <v>3973</v>
      </c>
      <c r="AD2" s="17" t="s">
        <v>3974</v>
      </c>
      <c r="AE2" s="17" t="s">
        <v>3975</v>
      </c>
      <c r="AF2" s="17" t="s">
        <v>3976</v>
      </c>
      <c r="AG2" s="17" t="s">
        <v>3977</v>
      </c>
      <c r="AH2" s="17" t="s">
        <v>3978</v>
      </c>
      <c r="AI2" s="17" t="s">
        <v>3979</v>
      </c>
      <c r="AJ2" s="17" t="s">
        <v>3980</v>
      </c>
      <c r="AK2" s="17" t="s">
        <v>3981</v>
      </c>
      <c r="AL2" s="17" t="s">
        <v>3982</v>
      </c>
      <c r="AM2" s="17" t="s">
        <v>3983</v>
      </c>
      <c r="AN2" s="17" t="s">
        <v>3984</v>
      </c>
      <c r="AO2" s="17" t="s">
        <v>3985</v>
      </c>
      <c r="AP2" s="17" t="s">
        <v>3986</v>
      </c>
      <c r="AQ2" s="17" t="s">
        <v>3987</v>
      </c>
      <c r="AR2" s="17" t="s">
        <v>3988</v>
      </c>
      <c r="AS2" s="16"/>
    </row>
    <row r="3" spans="1:45" ht="19.5" customHeight="1" x14ac:dyDescent="0.3">
      <c r="A3" s="7" t="s">
        <v>110</v>
      </c>
      <c r="B3" s="7" t="s">
        <v>2079</v>
      </c>
      <c r="C3" s="7">
        <v>5</v>
      </c>
      <c r="D3" s="7">
        <v>46015.984499878898</v>
      </c>
      <c r="E3" s="7">
        <v>1</v>
      </c>
      <c r="F3" s="7">
        <v>21.731578947368401</v>
      </c>
      <c r="G3" s="7" t="s">
        <v>111</v>
      </c>
      <c r="H3" s="7" t="s">
        <v>112</v>
      </c>
      <c r="I3" s="7" t="s">
        <v>113</v>
      </c>
      <c r="J3" s="8" t="s">
        <v>114</v>
      </c>
      <c r="K3" s="7" t="s">
        <v>115</v>
      </c>
      <c r="L3" s="7">
        <v>151.164999999999</v>
      </c>
      <c r="M3" s="7">
        <v>474250</v>
      </c>
      <c r="N3" s="7">
        <v>8000</v>
      </c>
      <c r="O3" s="7">
        <v>812000</v>
      </c>
      <c r="P3" s="7">
        <v>3390</v>
      </c>
      <c r="Q3" s="7">
        <v>5360</v>
      </c>
      <c r="R3" s="7">
        <v>1000</v>
      </c>
      <c r="S3" s="7">
        <v>9500</v>
      </c>
      <c r="T3" s="7">
        <v>0.1</v>
      </c>
      <c r="U3" s="7">
        <v>325.32499999999999</v>
      </c>
      <c r="V3" s="7">
        <v>1.2244999999999999</v>
      </c>
      <c r="W3" s="7">
        <v>175.7835</v>
      </c>
      <c r="X3" s="9">
        <v>5.7543993733715702E-9</v>
      </c>
      <c r="Y3" s="7">
        <v>1.619</v>
      </c>
      <c r="Z3" s="7">
        <v>6.52</v>
      </c>
      <c r="AA3" s="7">
        <v>0.46</v>
      </c>
      <c r="AB3" s="7">
        <v>0.46</v>
      </c>
      <c r="AC3" s="7">
        <v>7.96</v>
      </c>
      <c r="AD3" s="7">
        <v>0.46</v>
      </c>
      <c r="AE3" s="7">
        <v>170</v>
      </c>
      <c r="AF3" s="7">
        <v>42.405999999999999</v>
      </c>
      <c r="AG3" s="7">
        <v>120.946</v>
      </c>
      <c r="AH3" s="7">
        <v>9.5</v>
      </c>
      <c r="AI3" s="7" t="s">
        <v>37</v>
      </c>
      <c r="AJ3" s="7">
        <v>16.811</v>
      </c>
      <c r="AK3" s="7">
        <v>1</v>
      </c>
      <c r="AL3" s="7">
        <v>52.801000000000002</v>
      </c>
      <c r="AM3" s="7">
        <v>171.81100000000001</v>
      </c>
      <c r="AN3" s="9">
        <v>6.91830970918936E-6</v>
      </c>
      <c r="AO3" s="7">
        <v>23.014399999999998</v>
      </c>
      <c r="AP3" s="7">
        <v>9.3299999999999994E-2</v>
      </c>
      <c r="AQ3" s="7">
        <v>0</v>
      </c>
      <c r="AR3" s="7">
        <v>1</v>
      </c>
      <c r="AS3"/>
    </row>
    <row r="4" spans="1:45" ht="19.5" customHeight="1" x14ac:dyDescent="0.3">
      <c r="A4" s="7" t="s">
        <v>110</v>
      </c>
      <c r="B4" s="7" t="s">
        <v>2080</v>
      </c>
      <c r="C4" s="7">
        <v>9</v>
      </c>
      <c r="D4" s="7">
        <v>1558458.1734194399</v>
      </c>
      <c r="E4" s="7">
        <v>823</v>
      </c>
      <c r="F4" s="7">
        <v>21.731578947368401</v>
      </c>
      <c r="G4" s="7" t="s">
        <v>111</v>
      </c>
      <c r="H4" s="7" t="s">
        <v>112</v>
      </c>
      <c r="I4" s="7" t="s">
        <v>113</v>
      </c>
      <c r="J4" s="8" t="s">
        <v>114</v>
      </c>
      <c r="K4" s="7" t="s">
        <v>115</v>
      </c>
      <c r="L4" s="7">
        <v>151.164999999999</v>
      </c>
      <c r="M4" s="7">
        <v>474250</v>
      </c>
      <c r="N4" s="7">
        <v>8000</v>
      </c>
      <c r="O4" s="7">
        <v>812000</v>
      </c>
      <c r="P4" s="7">
        <v>3390</v>
      </c>
      <c r="Q4" s="7">
        <v>5360</v>
      </c>
      <c r="R4" s="7">
        <v>1000</v>
      </c>
      <c r="S4" s="7">
        <v>9500</v>
      </c>
      <c r="T4" s="7">
        <v>0.1</v>
      </c>
      <c r="U4" s="7">
        <v>325.32499999999999</v>
      </c>
      <c r="V4" s="7">
        <v>1.2244999999999999</v>
      </c>
      <c r="W4" s="7">
        <v>175.7835</v>
      </c>
      <c r="X4" s="9">
        <v>5.7543993733715702E-9</v>
      </c>
      <c r="Y4" s="7">
        <v>1.619</v>
      </c>
      <c r="Z4" s="7">
        <v>6.52</v>
      </c>
      <c r="AA4" s="7">
        <v>0.46</v>
      </c>
      <c r="AB4" s="7">
        <v>0.46</v>
      </c>
      <c r="AC4" s="7">
        <v>7.96</v>
      </c>
      <c r="AD4" s="7">
        <v>0.46</v>
      </c>
      <c r="AE4" s="7">
        <v>170</v>
      </c>
      <c r="AF4" s="7">
        <v>42.405999999999999</v>
      </c>
      <c r="AG4" s="7">
        <v>120.946</v>
      </c>
      <c r="AH4" s="7">
        <v>9.5</v>
      </c>
      <c r="AI4" s="7" t="s">
        <v>37</v>
      </c>
      <c r="AJ4" s="7">
        <v>16.811</v>
      </c>
      <c r="AK4" s="7">
        <v>1</v>
      </c>
      <c r="AL4" s="7">
        <v>52.801000000000002</v>
      </c>
      <c r="AM4" s="7">
        <v>171.81100000000001</v>
      </c>
      <c r="AN4" s="9">
        <v>6.91830970918936E-6</v>
      </c>
      <c r="AO4" s="7">
        <v>23.014399999999998</v>
      </c>
      <c r="AP4" s="7">
        <v>9.3299999999999994E-2</v>
      </c>
      <c r="AQ4" s="7">
        <v>0</v>
      </c>
      <c r="AR4" s="7">
        <v>1</v>
      </c>
      <c r="AS4"/>
    </row>
    <row r="5" spans="1:45" ht="19.5" customHeight="1" x14ac:dyDescent="0.3">
      <c r="A5" s="7" t="s">
        <v>110</v>
      </c>
      <c r="B5" s="7" t="s">
        <v>2081</v>
      </c>
      <c r="C5" s="7">
        <v>9</v>
      </c>
      <c r="D5" s="7">
        <v>179462.339549528</v>
      </c>
      <c r="E5" s="7">
        <v>1</v>
      </c>
      <c r="F5" s="7">
        <v>21.731578947368401</v>
      </c>
      <c r="G5" s="7" t="s">
        <v>111</v>
      </c>
      <c r="H5" s="7" t="s">
        <v>112</v>
      </c>
      <c r="I5" s="7" t="s">
        <v>113</v>
      </c>
      <c r="J5" s="8" t="s">
        <v>114</v>
      </c>
      <c r="K5" s="7" t="s">
        <v>115</v>
      </c>
      <c r="L5" s="7">
        <v>151.164999999999</v>
      </c>
      <c r="M5" s="7">
        <v>474250</v>
      </c>
      <c r="N5" s="7">
        <v>8000</v>
      </c>
      <c r="O5" s="7">
        <v>812000</v>
      </c>
      <c r="P5" s="7">
        <v>3390</v>
      </c>
      <c r="Q5" s="7">
        <v>5360</v>
      </c>
      <c r="R5" s="7">
        <v>1000</v>
      </c>
      <c r="S5" s="7">
        <v>9500</v>
      </c>
      <c r="T5" s="7">
        <v>0.1</v>
      </c>
      <c r="U5" s="7">
        <v>325.32499999999999</v>
      </c>
      <c r="V5" s="7">
        <v>1.2244999999999999</v>
      </c>
      <c r="W5" s="7">
        <v>175.7835</v>
      </c>
      <c r="X5" s="9">
        <v>5.7543993733715702E-9</v>
      </c>
      <c r="Y5" s="7">
        <v>1.619</v>
      </c>
      <c r="Z5" s="7">
        <v>6.52</v>
      </c>
      <c r="AA5" s="7">
        <v>0.46</v>
      </c>
      <c r="AB5" s="7">
        <v>0.46</v>
      </c>
      <c r="AC5" s="7">
        <v>7.96</v>
      </c>
      <c r="AD5" s="7">
        <v>0.46</v>
      </c>
      <c r="AE5" s="7">
        <v>170</v>
      </c>
      <c r="AF5" s="7">
        <v>42.405999999999999</v>
      </c>
      <c r="AG5" s="7">
        <v>120.946</v>
      </c>
      <c r="AH5" s="7">
        <v>9.5</v>
      </c>
      <c r="AI5" s="7" t="s">
        <v>37</v>
      </c>
      <c r="AJ5" s="7">
        <v>16.811</v>
      </c>
      <c r="AK5" s="7">
        <v>1</v>
      </c>
      <c r="AL5" s="7">
        <v>52.801000000000002</v>
      </c>
      <c r="AM5" s="7">
        <v>171.81100000000001</v>
      </c>
      <c r="AN5" s="9">
        <v>6.91830970918936E-6</v>
      </c>
      <c r="AO5" s="7">
        <v>23.014399999999998</v>
      </c>
      <c r="AP5" s="7">
        <v>9.3299999999999994E-2</v>
      </c>
      <c r="AQ5" s="7">
        <v>0</v>
      </c>
      <c r="AR5" s="7">
        <v>1</v>
      </c>
      <c r="AS5"/>
    </row>
    <row r="6" spans="1:45" ht="19.5" customHeight="1" x14ac:dyDescent="0.3">
      <c r="A6" s="7" t="s">
        <v>212</v>
      </c>
      <c r="B6" s="7" t="s">
        <v>2080</v>
      </c>
      <c r="C6" s="7">
        <v>100</v>
      </c>
      <c r="D6" s="7">
        <v>942838.15136691602</v>
      </c>
      <c r="E6" s="7">
        <v>256</v>
      </c>
      <c r="F6" s="7">
        <v>42.388235294117599</v>
      </c>
      <c r="G6" s="7" t="s">
        <v>213</v>
      </c>
      <c r="H6" s="7" t="s">
        <v>214</v>
      </c>
      <c r="I6" s="7" t="s">
        <v>215</v>
      </c>
      <c r="J6" s="8" t="s">
        <v>216</v>
      </c>
      <c r="K6" s="7" t="s">
        <v>217</v>
      </c>
      <c r="L6" s="7">
        <v>225.208</v>
      </c>
      <c r="M6" s="7" t="s">
        <v>37</v>
      </c>
      <c r="N6" s="7" t="s">
        <v>37</v>
      </c>
      <c r="O6" s="7" t="s">
        <v>37</v>
      </c>
      <c r="P6" s="7" t="s">
        <v>37</v>
      </c>
      <c r="Q6" s="7" t="s">
        <v>37</v>
      </c>
      <c r="R6" s="7" t="s">
        <v>37</v>
      </c>
      <c r="S6" s="7" t="s">
        <v>37</v>
      </c>
      <c r="T6" s="7" t="s">
        <v>37</v>
      </c>
      <c r="U6" s="7">
        <v>451.41500000000002</v>
      </c>
      <c r="V6" s="7">
        <v>1.7815000000000001</v>
      </c>
      <c r="W6" s="7">
        <v>190.10300000000001</v>
      </c>
      <c r="X6" s="9">
        <v>1.7378008287493799E-10</v>
      </c>
      <c r="Y6" s="7">
        <v>1.762</v>
      </c>
      <c r="Z6" s="7">
        <v>1.86</v>
      </c>
      <c r="AA6" s="7">
        <v>-1.76</v>
      </c>
      <c r="AB6" s="7">
        <v>-2.31</v>
      </c>
      <c r="AC6" s="7">
        <v>9.2100000000000009</v>
      </c>
      <c r="AD6" s="7">
        <v>-1.56</v>
      </c>
      <c r="AE6" s="7">
        <v>256.75</v>
      </c>
      <c r="AF6" s="7">
        <v>52.439</v>
      </c>
      <c r="AG6" s="7">
        <v>127.182</v>
      </c>
      <c r="AH6" s="7">
        <v>7.06</v>
      </c>
      <c r="AI6" s="7">
        <v>5.23</v>
      </c>
      <c r="AJ6" s="7">
        <v>20.788</v>
      </c>
      <c r="AK6" s="7">
        <v>0</v>
      </c>
      <c r="AL6" s="7">
        <v>83.718000000000004</v>
      </c>
      <c r="AM6" s="7" t="s">
        <v>37</v>
      </c>
      <c r="AN6" s="9">
        <v>6.2677297500930697E-8</v>
      </c>
      <c r="AO6" s="7" t="s">
        <v>37</v>
      </c>
      <c r="AP6" s="7">
        <v>7.1764150000000002E-3</v>
      </c>
      <c r="AQ6" s="7">
        <v>1</v>
      </c>
      <c r="AR6" s="7">
        <v>1</v>
      </c>
      <c r="AS6"/>
    </row>
    <row r="7" spans="1:45" ht="19.5" customHeight="1" x14ac:dyDescent="0.3">
      <c r="A7" s="7" t="s">
        <v>2082</v>
      </c>
      <c r="B7" s="7" t="s">
        <v>2083</v>
      </c>
      <c r="C7" s="7">
        <v>100</v>
      </c>
      <c r="D7" s="7">
        <v>379411.764705882</v>
      </c>
      <c r="E7" s="7">
        <v>17</v>
      </c>
      <c r="F7" s="7">
        <v>30</v>
      </c>
      <c r="G7" s="7" t="s">
        <v>2084</v>
      </c>
      <c r="H7" s="7" t="s">
        <v>2085</v>
      </c>
      <c r="I7" s="7" t="s">
        <v>2086</v>
      </c>
      <c r="J7" s="7" t="s">
        <v>2087</v>
      </c>
      <c r="K7" s="7" t="s">
        <v>2088</v>
      </c>
      <c r="L7" s="7">
        <v>412.529</v>
      </c>
      <c r="M7" s="7" t="s">
        <v>37</v>
      </c>
      <c r="N7" s="7" t="s">
        <v>37</v>
      </c>
      <c r="O7" s="7" t="s">
        <v>37</v>
      </c>
      <c r="P7" s="7" t="s">
        <v>37</v>
      </c>
      <c r="Q7" s="7" t="s">
        <v>37</v>
      </c>
      <c r="R7" s="7" t="s">
        <v>37</v>
      </c>
      <c r="S7" s="7" t="s">
        <v>37</v>
      </c>
      <c r="T7" s="7" t="s">
        <v>37</v>
      </c>
      <c r="U7" s="7">
        <v>527.86400000000003</v>
      </c>
      <c r="V7" s="7">
        <v>1.2470000000000001</v>
      </c>
      <c r="W7" s="7">
        <v>284.59199999999998</v>
      </c>
      <c r="X7" s="9">
        <v>7.5857757502918505E-9</v>
      </c>
      <c r="Y7" s="7" t="s">
        <v>37</v>
      </c>
      <c r="Z7" s="7">
        <v>28.12</v>
      </c>
      <c r="AA7" s="7">
        <v>6.46</v>
      </c>
      <c r="AB7" s="7">
        <v>4.76</v>
      </c>
      <c r="AC7" s="7">
        <v>10.24</v>
      </c>
      <c r="AD7" s="7">
        <v>7.7050000000000001</v>
      </c>
      <c r="AE7" s="7">
        <v>320.5</v>
      </c>
      <c r="AF7" s="7" t="s">
        <v>37</v>
      </c>
      <c r="AG7" s="7" t="s">
        <v>37</v>
      </c>
      <c r="AH7" s="7">
        <v>5.26</v>
      </c>
      <c r="AI7" s="7" t="s">
        <v>37</v>
      </c>
      <c r="AJ7" s="7" t="s">
        <v>37</v>
      </c>
      <c r="AK7" s="7">
        <v>0</v>
      </c>
      <c r="AL7" s="7" t="s">
        <v>37</v>
      </c>
      <c r="AM7" s="7" t="s">
        <v>37</v>
      </c>
      <c r="AN7" s="9">
        <v>1.2579475507547899E-10</v>
      </c>
      <c r="AO7" s="7" t="s">
        <v>37</v>
      </c>
      <c r="AP7" s="9">
        <v>1.5135612484362099E-6</v>
      </c>
      <c r="AQ7" s="7">
        <v>1</v>
      </c>
      <c r="AR7" s="7">
        <v>0</v>
      </c>
      <c r="AS7"/>
    </row>
    <row r="8" spans="1:45" ht="19.5" customHeight="1" x14ac:dyDescent="0.3">
      <c r="A8" s="7" t="s">
        <v>641</v>
      </c>
      <c r="B8" s="7" t="s">
        <v>2089</v>
      </c>
      <c r="C8" s="7">
        <v>100</v>
      </c>
      <c r="D8" s="7">
        <v>92359.183092925101</v>
      </c>
      <c r="E8" s="7">
        <v>6180</v>
      </c>
      <c r="F8" s="7">
        <v>28.3470912009785</v>
      </c>
      <c r="G8" s="7" t="s">
        <v>642</v>
      </c>
      <c r="H8" s="7" t="s">
        <v>643</v>
      </c>
      <c r="I8" s="7" t="s">
        <v>644</v>
      </c>
      <c r="J8" s="7" t="s">
        <v>645</v>
      </c>
      <c r="K8" s="7" t="s">
        <v>646</v>
      </c>
      <c r="L8" s="7">
        <v>239.315</v>
      </c>
      <c r="M8" s="7" t="s">
        <v>37</v>
      </c>
      <c r="N8" s="7" t="s">
        <v>37</v>
      </c>
      <c r="O8" s="7" t="s">
        <v>37</v>
      </c>
      <c r="P8" s="7" t="s">
        <v>37</v>
      </c>
      <c r="Q8" s="7" t="s">
        <v>37</v>
      </c>
      <c r="R8" s="7" t="s">
        <v>37</v>
      </c>
      <c r="S8" s="7" t="s">
        <v>37</v>
      </c>
      <c r="T8" s="7" t="s">
        <v>37</v>
      </c>
      <c r="U8" s="7">
        <v>433.5</v>
      </c>
      <c r="V8" s="7">
        <v>1.1519999999999999</v>
      </c>
      <c r="W8" s="7">
        <v>172.93799999999999</v>
      </c>
      <c r="X8" s="9">
        <v>8.1283051616410003E-11</v>
      </c>
      <c r="Y8" s="7">
        <v>1.5660000000000001</v>
      </c>
      <c r="Z8" s="7">
        <v>7.65</v>
      </c>
      <c r="AA8" s="7">
        <v>-3.04</v>
      </c>
      <c r="AB8" s="7">
        <v>-1.1399999999999999</v>
      </c>
      <c r="AC8" s="7">
        <v>8.6300000000000008</v>
      </c>
      <c r="AD8" s="7">
        <v>0.623</v>
      </c>
      <c r="AE8" s="7">
        <v>151</v>
      </c>
      <c r="AF8" s="7">
        <v>67.765000000000001</v>
      </c>
      <c r="AG8" s="7">
        <v>207.643</v>
      </c>
      <c r="AH8" s="7">
        <v>10.119999999999999</v>
      </c>
      <c r="AI8" s="7">
        <v>8.9600000000000009</v>
      </c>
      <c r="AJ8" s="7">
        <v>26.864000000000001</v>
      </c>
      <c r="AK8" s="7">
        <v>1</v>
      </c>
      <c r="AL8" s="7">
        <v>45.264000000000003</v>
      </c>
      <c r="AM8" s="7">
        <v>195.35400000000001</v>
      </c>
      <c r="AN8" s="9">
        <v>5.3703179637025298E-8</v>
      </c>
      <c r="AO8" s="7">
        <v>24.6037</v>
      </c>
      <c r="AP8" s="7">
        <v>6.0255999999999997E-2</v>
      </c>
      <c r="AQ8" s="7">
        <v>1</v>
      </c>
      <c r="AR8" s="7">
        <v>0</v>
      </c>
      <c r="AS8"/>
    </row>
    <row r="9" spans="1:45" ht="19.5" customHeight="1" x14ac:dyDescent="0.3">
      <c r="A9" s="7" t="s">
        <v>641</v>
      </c>
      <c r="B9" s="7" t="s">
        <v>2080</v>
      </c>
      <c r="C9" s="7">
        <v>44</v>
      </c>
      <c r="D9" s="7">
        <v>23692.307692307699</v>
      </c>
      <c r="E9" s="7">
        <v>13</v>
      </c>
      <c r="F9" s="7">
        <v>5.5384615384615401</v>
      </c>
      <c r="G9" s="7" t="s">
        <v>642</v>
      </c>
      <c r="H9" s="7" t="s">
        <v>643</v>
      </c>
      <c r="I9" s="7" t="s">
        <v>644</v>
      </c>
      <c r="J9" s="7" t="s">
        <v>645</v>
      </c>
      <c r="K9" s="7" t="s">
        <v>646</v>
      </c>
      <c r="L9" s="7">
        <v>239.315</v>
      </c>
      <c r="M9" s="7" t="s">
        <v>37</v>
      </c>
      <c r="N9" s="7" t="s">
        <v>37</v>
      </c>
      <c r="O9" s="7" t="s">
        <v>37</v>
      </c>
      <c r="P9" s="7" t="s">
        <v>37</v>
      </c>
      <c r="Q9" s="7" t="s">
        <v>37</v>
      </c>
      <c r="R9" s="7" t="s">
        <v>37</v>
      </c>
      <c r="S9" s="7" t="s">
        <v>37</v>
      </c>
      <c r="T9" s="7" t="s">
        <v>37</v>
      </c>
      <c r="U9" s="7">
        <v>433.5</v>
      </c>
      <c r="V9" s="7">
        <v>1.1519999999999999</v>
      </c>
      <c r="W9" s="7">
        <v>172.93799999999999</v>
      </c>
      <c r="X9" s="9">
        <v>8.1283051616410003E-11</v>
      </c>
      <c r="Y9" s="7">
        <v>1.5660000000000001</v>
      </c>
      <c r="Z9" s="7">
        <v>7.65</v>
      </c>
      <c r="AA9" s="7">
        <v>-3.04</v>
      </c>
      <c r="AB9" s="7">
        <v>-1.1399999999999999</v>
      </c>
      <c r="AC9" s="7">
        <v>8.6300000000000008</v>
      </c>
      <c r="AD9" s="7">
        <v>0.623</v>
      </c>
      <c r="AE9" s="7">
        <v>151</v>
      </c>
      <c r="AF9" s="7">
        <v>67.765000000000001</v>
      </c>
      <c r="AG9" s="7">
        <v>207.643</v>
      </c>
      <c r="AH9" s="7">
        <v>10.119999999999999</v>
      </c>
      <c r="AI9" s="7">
        <v>8.9600000000000009</v>
      </c>
      <c r="AJ9" s="7">
        <v>26.864000000000001</v>
      </c>
      <c r="AK9" s="7">
        <v>1</v>
      </c>
      <c r="AL9" s="7">
        <v>45.264000000000003</v>
      </c>
      <c r="AM9" s="7">
        <v>195.35400000000001</v>
      </c>
      <c r="AN9" s="9">
        <v>5.3703179637025298E-8</v>
      </c>
      <c r="AO9" s="7">
        <v>24.6037</v>
      </c>
      <c r="AP9" s="7">
        <v>6.0255999999999997E-2</v>
      </c>
      <c r="AQ9" s="7">
        <v>1</v>
      </c>
      <c r="AR9" s="7">
        <v>0</v>
      </c>
      <c r="AS9"/>
    </row>
    <row r="10" spans="1:45" ht="19.5" customHeight="1" x14ac:dyDescent="0.3">
      <c r="A10" s="7" t="s">
        <v>1006</v>
      </c>
      <c r="B10" s="7" t="s">
        <v>2080</v>
      </c>
      <c r="C10" s="7">
        <v>51</v>
      </c>
      <c r="D10" s="7">
        <v>25551.912314996101</v>
      </c>
      <c r="E10" s="7">
        <v>773</v>
      </c>
      <c r="F10" s="7">
        <v>63.9673913043478</v>
      </c>
      <c r="G10" s="7" t="s">
        <v>1007</v>
      </c>
      <c r="H10" s="7" t="s">
        <v>1008</v>
      </c>
      <c r="I10" s="7" t="s">
        <v>1009</v>
      </c>
      <c r="J10" s="8" t="s">
        <v>1010</v>
      </c>
      <c r="K10" s="7" t="s">
        <v>1011</v>
      </c>
      <c r="L10" s="7">
        <v>249.096</v>
      </c>
      <c r="M10" s="7" t="s">
        <v>37</v>
      </c>
      <c r="N10" s="7" t="s">
        <v>37</v>
      </c>
      <c r="O10" s="7" t="s">
        <v>37</v>
      </c>
      <c r="P10" s="7" t="s">
        <v>37</v>
      </c>
      <c r="Q10" s="7" t="s">
        <v>37</v>
      </c>
      <c r="R10" s="7" t="s">
        <v>37</v>
      </c>
      <c r="S10" s="7" t="s">
        <v>37</v>
      </c>
      <c r="T10" s="7" t="s">
        <v>37</v>
      </c>
      <c r="U10" s="7">
        <v>425.5</v>
      </c>
      <c r="V10" s="7">
        <v>1.8394999999999999</v>
      </c>
      <c r="W10" s="7">
        <v>283.363</v>
      </c>
      <c r="X10" s="9">
        <v>1.34896288259166E-11</v>
      </c>
      <c r="Y10" s="7">
        <v>1.5940000000000001</v>
      </c>
      <c r="Z10" s="7">
        <v>0</v>
      </c>
      <c r="AA10" s="7">
        <v>-2.9</v>
      </c>
      <c r="AB10" s="7">
        <v>-4.79</v>
      </c>
      <c r="AC10" s="7">
        <v>9.52</v>
      </c>
      <c r="AD10" s="7">
        <v>-2.4129999999999998</v>
      </c>
      <c r="AE10" s="7">
        <v>233</v>
      </c>
      <c r="AF10" s="7">
        <v>45.503999999999998</v>
      </c>
      <c r="AG10" s="7">
        <v>134.11199999999999</v>
      </c>
      <c r="AH10" s="7">
        <v>3.92</v>
      </c>
      <c r="AI10" s="7" t="s">
        <v>37</v>
      </c>
      <c r="AJ10" s="7">
        <v>18.039000000000001</v>
      </c>
      <c r="AK10" s="7">
        <v>1</v>
      </c>
      <c r="AL10" s="7">
        <v>119.36499999999999</v>
      </c>
      <c r="AM10" s="7" t="s">
        <v>37</v>
      </c>
      <c r="AN10" s="9">
        <v>1.31513443194769E-11</v>
      </c>
      <c r="AO10" s="7" t="s">
        <v>37</v>
      </c>
      <c r="AP10" s="7">
        <v>1.72</v>
      </c>
      <c r="AQ10" s="7">
        <v>1</v>
      </c>
      <c r="AR10" s="7">
        <v>0</v>
      </c>
      <c r="AS10"/>
    </row>
    <row r="11" spans="1:45" ht="19.5" customHeight="1" x14ac:dyDescent="0.3">
      <c r="A11" s="7" t="s">
        <v>1202</v>
      </c>
      <c r="B11" s="7" t="s">
        <v>2080</v>
      </c>
      <c r="C11" s="7">
        <v>80</v>
      </c>
      <c r="D11" s="7">
        <v>11075.5739795918</v>
      </c>
      <c r="E11" s="7">
        <v>70</v>
      </c>
      <c r="F11" s="7">
        <v>68.923076923076906</v>
      </c>
      <c r="G11" s="7" t="s">
        <v>1203</v>
      </c>
      <c r="H11" s="7" t="s">
        <v>1204</v>
      </c>
      <c r="I11" s="7" t="s">
        <v>1205</v>
      </c>
      <c r="J11" s="8" t="s">
        <v>1206</v>
      </c>
      <c r="K11" s="7" t="s">
        <v>1207</v>
      </c>
      <c r="L11" s="7">
        <v>389.45600000000002</v>
      </c>
      <c r="M11" s="7" t="s">
        <v>37</v>
      </c>
      <c r="N11" s="7" t="s">
        <v>37</v>
      </c>
      <c r="O11" s="7" t="s">
        <v>37</v>
      </c>
      <c r="P11" s="7" t="s">
        <v>37</v>
      </c>
      <c r="Q11" s="7" t="s">
        <v>37</v>
      </c>
      <c r="R11" s="7" t="s">
        <v>37</v>
      </c>
      <c r="S11" s="7" t="s">
        <v>37</v>
      </c>
      <c r="T11" s="7" t="s">
        <v>37</v>
      </c>
      <c r="U11" s="7">
        <v>469.14699999999999</v>
      </c>
      <c r="V11" s="7">
        <v>1.3035000000000001</v>
      </c>
      <c r="W11" s="7">
        <v>309.57600000000002</v>
      </c>
      <c r="X11" s="9">
        <v>2.5703957827688601E-11</v>
      </c>
      <c r="Y11" s="7">
        <v>1.621</v>
      </c>
      <c r="Z11" s="7">
        <v>11.54</v>
      </c>
      <c r="AA11" s="7">
        <v>1.1299999999999999</v>
      </c>
      <c r="AB11" s="7">
        <v>1.22</v>
      </c>
      <c r="AC11" s="7">
        <v>9.6300000000000008</v>
      </c>
      <c r="AD11" s="7">
        <v>1.1174999999999999</v>
      </c>
      <c r="AE11" s="7">
        <v>214.01599999999999</v>
      </c>
      <c r="AF11" s="7">
        <v>107.621</v>
      </c>
      <c r="AG11" s="7">
        <v>306.06900000000002</v>
      </c>
      <c r="AH11" s="7" t="s">
        <v>37</v>
      </c>
      <c r="AI11" s="7">
        <v>4.8600000000000003</v>
      </c>
      <c r="AJ11" s="7">
        <v>42.664000000000001</v>
      </c>
      <c r="AK11" s="7">
        <v>0</v>
      </c>
      <c r="AL11" s="7">
        <v>60.61</v>
      </c>
      <c r="AM11" s="7">
        <v>177.41900000000001</v>
      </c>
      <c r="AN11" s="9">
        <v>4.5367754497804001E-10</v>
      </c>
      <c r="AO11" s="7" t="s">
        <v>37</v>
      </c>
      <c r="AP11" s="7">
        <v>2.3594499999999999E-4</v>
      </c>
      <c r="AQ11" s="7">
        <v>1</v>
      </c>
      <c r="AR11" s="7">
        <v>1</v>
      </c>
      <c r="AS11"/>
    </row>
    <row r="12" spans="1:45" ht="19.5" customHeight="1" x14ac:dyDescent="0.3">
      <c r="A12" s="7" t="s">
        <v>408</v>
      </c>
      <c r="B12" s="7" t="s">
        <v>2080</v>
      </c>
      <c r="C12" s="7">
        <v>100</v>
      </c>
      <c r="D12" s="7">
        <v>231299.928709645</v>
      </c>
      <c r="E12" s="7">
        <v>1435</v>
      </c>
      <c r="F12" s="7">
        <v>68.245132743362802</v>
      </c>
      <c r="G12" s="7" t="s">
        <v>409</v>
      </c>
      <c r="H12" s="7" t="s">
        <v>410</v>
      </c>
      <c r="I12" s="7" t="s">
        <v>411</v>
      </c>
      <c r="J12" s="8" t="s">
        <v>412</v>
      </c>
      <c r="K12" s="7" t="s">
        <v>413</v>
      </c>
      <c r="L12" s="7">
        <v>136.114</v>
      </c>
      <c r="M12" s="7" t="s">
        <v>37</v>
      </c>
      <c r="N12" s="7" t="s">
        <v>37</v>
      </c>
      <c r="O12" s="7" t="s">
        <v>37</v>
      </c>
      <c r="P12" s="7" t="s">
        <v>37</v>
      </c>
      <c r="Q12" s="7" t="s">
        <v>37</v>
      </c>
      <c r="R12" s="7" t="s">
        <v>37</v>
      </c>
      <c r="S12" s="7" t="s">
        <v>37</v>
      </c>
      <c r="T12" s="7" t="s">
        <v>37</v>
      </c>
      <c r="U12" s="7">
        <v>335.46</v>
      </c>
      <c r="V12" s="7">
        <v>1.6970000000000001</v>
      </c>
      <c r="W12" s="7">
        <v>204.68350000000001</v>
      </c>
      <c r="X12" s="9">
        <v>5.6234132519034902E-9</v>
      </c>
      <c r="Y12" s="7">
        <v>1.903</v>
      </c>
      <c r="Z12" s="7">
        <v>0</v>
      </c>
      <c r="AA12" s="7">
        <v>-0.5</v>
      </c>
      <c r="AB12" s="7">
        <v>-0.5</v>
      </c>
      <c r="AC12" s="7">
        <v>7.74</v>
      </c>
      <c r="AD12" s="7">
        <v>-0.55000000000000004</v>
      </c>
      <c r="AE12" s="7">
        <v>350</v>
      </c>
      <c r="AF12" s="7">
        <v>33.554000000000002</v>
      </c>
      <c r="AG12" s="7">
        <v>71.954999999999998</v>
      </c>
      <c r="AH12" s="7">
        <v>9.3800000000000008</v>
      </c>
      <c r="AI12" s="7">
        <v>1.83</v>
      </c>
      <c r="AJ12" s="7">
        <v>13.302</v>
      </c>
      <c r="AK12" s="7">
        <v>1</v>
      </c>
      <c r="AL12" s="7">
        <v>91.445999999999998</v>
      </c>
      <c r="AM12" s="7" t="s">
        <v>37</v>
      </c>
      <c r="AN12" s="9">
        <v>5.5176311574844403E-9</v>
      </c>
      <c r="AO12" s="7" t="s">
        <v>37</v>
      </c>
      <c r="AP12" s="7">
        <v>4.2901149999999997E-3</v>
      </c>
      <c r="AQ12" s="7">
        <v>0</v>
      </c>
      <c r="AR12" s="7">
        <v>1</v>
      </c>
      <c r="AS12"/>
    </row>
    <row r="13" spans="1:45" ht="19.5" customHeight="1" x14ac:dyDescent="0.3">
      <c r="A13" s="7" t="s">
        <v>1042</v>
      </c>
      <c r="B13" s="7" t="s">
        <v>2080</v>
      </c>
      <c r="C13" s="7">
        <v>71</v>
      </c>
      <c r="D13" s="7">
        <v>23495.337872619199</v>
      </c>
      <c r="E13" s="7">
        <v>102</v>
      </c>
      <c r="F13" s="7">
        <v>52.375</v>
      </c>
      <c r="G13" s="7" t="s">
        <v>1043</v>
      </c>
      <c r="H13" s="7" t="s">
        <v>1044</v>
      </c>
      <c r="I13" s="7" t="s">
        <v>1045</v>
      </c>
      <c r="J13" s="8" t="s">
        <v>1046</v>
      </c>
      <c r="K13" s="7" t="s">
        <v>1047</v>
      </c>
      <c r="L13" s="7">
        <v>339.399</v>
      </c>
      <c r="M13" s="7" t="s">
        <v>37</v>
      </c>
      <c r="N13" s="7" t="s">
        <v>37</v>
      </c>
      <c r="O13" s="7" t="s">
        <v>37</v>
      </c>
      <c r="P13" s="7" t="s">
        <v>37</v>
      </c>
      <c r="Q13" s="7" t="s">
        <v>37</v>
      </c>
      <c r="R13" s="7" t="s">
        <v>37</v>
      </c>
      <c r="S13" s="7" t="s">
        <v>37</v>
      </c>
      <c r="T13" s="7" t="s">
        <v>37</v>
      </c>
      <c r="U13" s="7">
        <v>483.29950000000002</v>
      </c>
      <c r="V13" s="7">
        <v>1.3129999999999999</v>
      </c>
      <c r="W13" s="7">
        <v>288.90499999999997</v>
      </c>
      <c r="X13" s="9">
        <v>2.1877616239495501E-9</v>
      </c>
      <c r="Y13" s="7">
        <v>1.66</v>
      </c>
      <c r="Z13" s="7">
        <v>11.32</v>
      </c>
      <c r="AA13" s="7">
        <v>-0.25</v>
      </c>
      <c r="AB13" s="7">
        <v>-2.15</v>
      </c>
      <c r="AC13" s="7">
        <v>10.29</v>
      </c>
      <c r="AD13" s="7">
        <v>1.3919999999999999</v>
      </c>
      <c r="AE13" s="7">
        <v>200.09200000000001</v>
      </c>
      <c r="AF13" s="7">
        <v>93.331999999999994</v>
      </c>
      <c r="AG13" s="7">
        <v>252.928</v>
      </c>
      <c r="AH13" s="7">
        <v>3.44</v>
      </c>
      <c r="AI13" s="7">
        <v>9.8879999999999999</v>
      </c>
      <c r="AJ13" s="7">
        <v>37</v>
      </c>
      <c r="AK13" s="7">
        <v>0</v>
      </c>
      <c r="AL13" s="7">
        <v>70.912000000000006</v>
      </c>
      <c r="AM13" s="7" t="s">
        <v>37</v>
      </c>
      <c r="AN13" s="9">
        <v>6.9599999999999997E-11</v>
      </c>
      <c r="AO13" s="7" t="s">
        <v>37</v>
      </c>
      <c r="AP13" s="7">
        <v>2.71146056928417E-4</v>
      </c>
      <c r="AQ13" s="7">
        <v>1</v>
      </c>
      <c r="AR13" s="7">
        <v>0</v>
      </c>
      <c r="AS13"/>
    </row>
    <row r="14" spans="1:45" ht="19.5" customHeight="1" x14ac:dyDescent="0.3">
      <c r="A14" s="7" t="s">
        <v>1546</v>
      </c>
      <c r="B14" s="7" t="s">
        <v>2080</v>
      </c>
      <c r="C14" s="7">
        <v>30</v>
      </c>
      <c r="D14" s="7">
        <v>1360.63652420926</v>
      </c>
      <c r="E14" s="7">
        <v>1649</v>
      </c>
      <c r="F14" s="7">
        <v>29.848768054375501</v>
      </c>
      <c r="G14" s="7" t="s">
        <v>1547</v>
      </c>
      <c r="H14" s="7" t="s">
        <v>1548</v>
      </c>
      <c r="I14" s="7" t="s">
        <v>1549</v>
      </c>
      <c r="J14" s="8" t="s">
        <v>1550</v>
      </c>
      <c r="K14" s="7" t="s">
        <v>1551</v>
      </c>
      <c r="L14" s="7">
        <v>308.77</v>
      </c>
      <c r="M14" s="7" t="s">
        <v>37</v>
      </c>
      <c r="N14" s="7" t="s">
        <v>37</v>
      </c>
      <c r="O14" s="7" t="s">
        <v>37</v>
      </c>
      <c r="P14" s="7" t="s">
        <v>37</v>
      </c>
      <c r="Q14" s="7" t="s">
        <v>37</v>
      </c>
      <c r="R14" s="7" t="s">
        <v>37</v>
      </c>
      <c r="S14" s="7" t="s">
        <v>37</v>
      </c>
      <c r="T14" s="7" t="s">
        <v>37</v>
      </c>
      <c r="U14" s="7">
        <v>422.4015</v>
      </c>
      <c r="V14" s="7">
        <v>1.3545</v>
      </c>
      <c r="W14" s="7">
        <v>262.44900000000001</v>
      </c>
      <c r="X14" s="9">
        <v>6.0255958607435697E-9</v>
      </c>
      <c r="Y14" s="7">
        <v>1.7110000000000001</v>
      </c>
      <c r="Z14" s="7">
        <v>20.420000000000002</v>
      </c>
      <c r="AA14" s="7">
        <v>2.04</v>
      </c>
      <c r="AB14" s="7">
        <v>2.12</v>
      </c>
      <c r="AC14" s="7">
        <v>11.74</v>
      </c>
      <c r="AD14" s="7">
        <v>2.12</v>
      </c>
      <c r="AE14" s="7">
        <v>229.125</v>
      </c>
      <c r="AF14" s="7">
        <v>88.228999999999999</v>
      </c>
      <c r="AG14" s="7">
        <v>225.57900000000001</v>
      </c>
      <c r="AH14" s="7" t="s">
        <v>37</v>
      </c>
      <c r="AI14" s="7">
        <v>4.83</v>
      </c>
      <c r="AJ14" s="7">
        <v>34.976999999999997</v>
      </c>
      <c r="AK14" s="7">
        <v>0</v>
      </c>
      <c r="AL14" s="7">
        <v>52.177999999999997</v>
      </c>
      <c r="AM14" s="7" t="s">
        <v>37</v>
      </c>
      <c r="AN14" s="9">
        <v>2.4717199999999998E-9</v>
      </c>
      <c r="AO14" s="7" t="s">
        <v>37</v>
      </c>
      <c r="AP14" s="7">
        <v>2.5099999999999998E-4</v>
      </c>
      <c r="AQ14" s="7">
        <v>1</v>
      </c>
      <c r="AR14" s="7">
        <v>0</v>
      </c>
      <c r="AS14"/>
    </row>
    <row r="15" spans="1:45" ht="19.5" customHeight="1" x14ac:dyDescent="0.3">
      <c r="A15" s="7" t="s">
        <v>402</v>
      </c>
      <c r="B15" s="7" t="s">
        <v>2080</v>
      </c>
      <c r="C15" s="7">
        <v>1</v>
      </c>
      <c r="D15" s="7">
        <v>231368.72884952099</v>
      </c>
      <c r="E15" s="7">
        <v>279</v>
      </c>
      <c r="F15" s="7">
        <v>60.9322916666667</v>
      </c>
      <c r="G15" s="7" t="s">
        <v>403</v>
      </c>
      <c r="H15" s="7" t="s">
        <v>404</v>
      </c>
      <c r="I15" s="7" t="s">
        <v>405</v>
      </c>
      <c r="J15" s="8" t="s">
        <v>406</v>
      </c>
      <c r="K15" s="7" t="s">
        <v>407</v>
      </c>
      <c r="L15" s="7">
        <v>645.32000000000005</v>
      </c>
      <c r="M15" s="7" t="s">
        <v>37</v>
      </c>
      <c r="N15" s="7" t="s">
        <v>37</v>
      </c>
      <c r="O15" s="7">
        <v>526</v>
      </c>
      <c r="P15" s="7">
        <v>52.6</v>
      </c>
      <c r="Q15" s="7" t="s">
        <v>37</v>
      </c>
      <c r="R15" s="7" t="s">
        <v>37</v>
      </c>
      <c r="S15" s="7">
        <v>623</v>
      </c>
      <c r="T15" s="7">
        <v>62.3</v>
      </c>
      <c r="U15" s="7">
        <v>559.95450000000005</v>
      </c>
      <c r="V15" s="7">
        <v>1.9015</v>
      </c>
      <c r="W15" s="7">
        <v>314.83999999999997</v>
      </c>
      <c r="X15" s="9">
        <v>1.0471285480509E-6</v>
      </c>
      <c r="Y15" s="7">
        <v>1.625</v>
      </c>
      <c r="Z15" s="7">
        <v>34.380000000000003</v>
      </c>
      <c r="AA15" s="7">
        <v>7.23</v>
      </c>
      <c r="AB15" s="7">
        <v>7.56</v>
      </c>
      <c r="AC15" s="7">
        <v>11.68</v>
      </c>
      <c r="AD15" s="7">
        <v>7.57</v>
      </c>
      <c r="AE15" s="7">
        <v>183.166</v>
      </c>
      <c r="AF15" s="7">
        <v>144.381</v>
      </c>
      <c r="AG15" s="7">
        <v>408.22399999999999</v>
      </c>
      <c r="AH15" s="7" t="s">
        <v>37</v>
      </c>
      <c r="AI15" s="7">
        <v>5.57</v>
      </c>
      <c r="AJ15" s="7">
        <v>57.237000000000002</v>
      </c>
      <c r="AK15" s="7">
        <v>0</v>
      </c>
      <c r="AL15" s="7">
        <v>47.798999999999999</v>
      </c>
      <c r="AM15" s="7" t="s">
        <v>37</v>
      </c>
      <c r="AN15" s="9">
        <v>4.0641550558204999E-10</v>
      </c>
      <c r="AO15" s="7" t="s">
        <v>37</v>
      </c>
      <c r="AP15" s="9">
        <v>2.795225E-6</v>
      </c>
      <c r="AQ15" s="7">
        <v>1</v>
      </c>
      <c r="AR15" s="7">
        <v>0</v>
      </c>
      <c r="AS15"/>
    </row>
    <row r="16" spans="1:45" ht="19.5" customHeight="1" x14ac:dyDescent="0.3">
      <c r="A16" s="7" t="s">
        <v>755</v>
      </c>
      <c r="B16" s="7" t="s">
        <v>2080</v>
      </c>
      <c r="C16" s="7">
        <v>1</v>
      </c>
      <c r="D16" s="7">
        <v>52115.440835547102</v>
      </c>
      <c r="E16" s="7">
        <v>780</v>
      </c>
      <c r="F16" s="7">
        <v>46.857758620689701</v>
      </c>
      <c r="G16" s="7" t="s">
        <v>756</v>
      </c>
      <c r="H16" s="7" t="s">
        <v>757</v>
      </c>
      <c r="I16" s="7" t="s">
        <v>758</v>
      </c>
      <c r="J16" s="8" t="s">
        <v>759</v>
      </c>
      <c r="K16" s="7" t="s">
        <v>760</v>
      </c>
      <c r="L16" s="7">
        <v>277.411</v>
      </c>
      <c r="M16" s="7">
        <v>804</v>
      </c>
      <c r="N16" s="7" t="s">
        <v>37</v>
      </c>
      <c r="O16" s="7" t="s">
        <v>37</v>
      </c>
      <c r="P16" s="7" t="s">
        <v>37</v>
      </c>
      <c r="Q16" s="7">
        <v>277.40899999999999</v>
      </c>
      <c r="R16" s="7" t="s">
        <v>37</v>
      </c>
      <c r="S16" s="7" t="s">
        <v>37</v>
      </c>
      <c r="T16" s="7" t="s">
        <v>37</v>
      </c>
      <c r="U16" s="7">
        <v>367.22300000000001</v>
      </c>
      <c r="V16" s="7">
        <v>1.0589999999999999</v>
      </c>
      <c r="W16" s="7">
        <v>177.63</v>
      </c>
      <c r="X16" s="9">
        <v>1.47910838816821E-7</v>
      </c>
      <c r="Y16" s="7">
        <v>1.6279999999999999</v>
      </c>
      <c r="Z16" s="7">
        <v>22.82</v>
      </c>
      <c r="AA16" s="7">
        <v>0.51</v>
      </c>
      <c r="AB16" s="7">
        <v>2.41</v>
      </c>
      <c r="AC16" s="7">
        <v>9.6</v>
      </c>
      <c r="AD16" s="7">
        <v>4.92</v>
      </c>
      <c r="AE16" s="7">
        <v>196.5</v>
      </c>
      <c r="AF16" s="7">
        <v>91.521000000000001</v>
      </c>
      <c r="AG16" s="7">
        <v>257.79399999999998</v>
      </c>
      <c r="AH16" s="7" t="s">
        <v>37</v>
      </c>
      <c r="AI16" s="7">
        <v>9.91</v>
      </c>
      <c r="AJ16" s="7">
        <v>36.281999999999996</v>
      </c>
      <c r="AK16" s="7">
        <v>0</v>
      </c>
      <c r="AL16" s="7">
        <v>47.039000000000001</v>
      </c>
      <c r="AM16" s="7" t="s">
        <v>37</v>
      </c>
      <c r="AN16" s="9">
        <v>5.1404400000000002E-7</v>
      </c>
      <c r="AO16" s="7">
        <v>21.183599999999998</v>
      </c>
      <c r="AP16" s="9">
        <v>3.46737E-5</v>
      </c>
      <c r="AQ16" s="7">
        <v>1</v>
      </c>
      <c r="AR16" s="7">
        <v>0</v>
      </c>
      <c r="AS16"/>
    </row>
    <row r="17" spans="1:45" ht="19.5" customHeight="1" x14ac:dyDescent="0.3">
      <c r="A17" s="7" t="s">
        <v>1357</v>
      </c>
      <c r="B17" s="7" t="s">
        <v>2080</v>
      </c>
      <c r="C17" s="7">
        <v>10</v>
      </c>
      <c r="D17" s="7">
        <v>7302.0994596199398</v>
      </c>
      <c r="E17" s="7">
        <v>6951</v>
      </c>
      <c r="F17" s="7">
        <v>65.287463556851307</v>
      </c>
      <c r="G17" s="7" t="s">
        <v>1358</v>
      </c>
      <c r="H17" s="7" t="s">
        <v>1359</v>
      </c>
      <c r="I17" s="7" t="s">
        <v>1360</v>
      </c>
      <c r="J17" s="8" t="s">
        <v>1361</v>
      </c>
      <c r="K17" s="7" t="s">
        <v>1362</v>
      </c>
      <c r="L17" s="7">
        <v>408.88</v>
      </c>
      <c r="M17" s="7" t="s">
        <v>37</v>
      </c>
      <c r="N17" s="7" t="s">
        <v>37</v>
      </c>
      <c r="O17" s="7" t="s">
        <v>37</v>
      </c>
      <c r="P17" s="7" t="s">
        <v>37</v>
      </c>
      <c r="Q17" s="7">
        <v>10</v>
      </c>
      <c r="R17" s="7" t="s">
        <v>37</v>
      </c>
      <c r="S17" s="7" t="s">
        <v>37</v>
      </c>
      <c r="T17" s="7" t="s">
        <v>37</v>
      </c>
      <c r="U17" s="7">
        <v>468.34249999999997</v>
      </c>
      <c r="V17" s="7">
        <v>1.2464999999999999</v>
      </c>
      <c r="W17" s="7">
        <v>268.38</v>
      </c>
      <c r="X17" s="9">
        <v>1.1748975549395301E-8</v>
      </c>
      <c r="Y17" s="7">
        <v>1.546</v>
      </c>
      <c r="Z17" s="7">
        <v>8.8699999999999992</v>
      </c>
      <c r="AA17" s="7">
        <v>-0.04</v>
      </c>
      <c r="AB17" s="7">
        <v>1.82</v>
      </c>
      <c r="AC17" s="7">
        <v>10.44</v>
      </c>
      <c r="AD17" s="7">
        <v>3</v>
      </c>
      <c r="AE17" s="7">
        <v>156.25</v>
      </c>
      <c r="AF17" s="7">
        <v>105.419</v>
      </c>
      <c r="AG17" s="7">
        <v>333.02</v>
      </c>
      <c r="AH17" s="7" t="s">
        <v>37</v>
      </c>
      <c r="AI17" s="7">
        <v>8.3699999999999992</v>
      </c>
      <c r="AJ17" s="7">
        <v>41.792000000000002</v>
      </c>
      <c r="AK17" s="7">
        <v>0</v>
      </c>
      <c r="AL17" s="7">
        <v>44.445</v>
      </c>
      <c r="AM17" s="7" t="s">
        <v>37</v>
      </c>
      <c r="AN17" s="9">
        <v>5.80764E-9</v>
      </c>
      <c r="AO17" s="7" t="s">
        <v>37</v>
      </c>
      <c r="AP17" s="7">
        <v>2.2668174019634601E-4</v>
      </c>
      <c r="AQ17" s="7">
        <v>1</v>
      </c>
      <c r="AR17" s="7">
        <v>1</v>
      </c>
      <c r="AS17"/>
    </row>
    <row r="18" spans="1:45" ht="19.5" customHeight="1" x14ac:dyDescent="0.3">
      <c r="A18" s="7" t="s">
        <v>56</v>
      </c>
      <c r="B18" s="7" t="s">
        <v>2080</v>
      </c>
      <c r="C18" s="7">
        <v>60</v>
      </c>
      <c r="D18" s="7">
        <v>2599721.7439022898</v>
      </c>
      <c r="E18" s="7">
        <v>1278</v>
      </c>
      <c r="F18" s="7">
        <v>8.8102444703143199</v>
      </c>
      <c r="G18" s="7" t="s">
        <v>57</v>
      </c>
      <c r="H18" s="7" t="s">
        <v>58</v>
      </c>
      <c r="I18" s="7" t="s">
        <v>59</v>
      </c>
      <c r="J18" s="8" t="s">
        <v>60</v>
      </c>
      <c r="K18" s="7" t="s">
        <v>61</v>
      </c>
      <c r="L18" s="7">
        <v>365.4</v>
      </c>
      <c r="M18" s="7" t="s">
        <v>37</v>
      </c>
      <c r="N18" s="7" t="s">
        <v>37</v>
      </c>
      <c r="O18" s="9">
        <v>1000000</v>
      </c>
      <c r="P18" s="9">
        <v>100000</v>
      </c>
      <c r="Q18" s="7">
        <v>10</v>
      </c>
      <c r="R18" s="9">
        <v>200000</v>
      </c>
      <c r="S18" s="7">
        <v>128000</v>
      </c>
      <c r="T18" s="7">
        <v>1000</v>
      </c>
      <c r="U18" s="7">
        <v>578.64300000000003</v>
      </c>
      <c r="V18" s="7">
        <v>1.5269999999999999</v>
      </c>
      <c r="W18" s="7">
        <v>388.25549999999998</v>
      </c>
      <c r="X18" s="9">
        <v>1.9054607179632401E-11</v>
      </c>
      <c r="Y18" s="7">
        <v>1.702</v>
      </c>
      <c r="Z18" s="7">
        <v>0.68</v>
      </c>
      <c r="AA18" s="7">
        <v>-1.72</v>
      </c>
      <c r="AB18" s="7">
        <v>0.1</v>
      </c>
      <c r="AC18" s="7">
        <v>9.43</v>
      </c>
      <c r="AD18" s="7">
        <v>0.87</v>
      </c>
      <c r="AE18" s="7">
        <v>194</v>
      </c>
      <c r="AF18" s="7">
        <v>91.474999999999994</v>
      </c>
      <c r="AG18" s="7">
        <v>236.21799999999999</v>
      </c>
      <c r="AH18" s="7">
        <v>6.4</v>
      </c>
      <c r="AI18" s="7">
        <v>8.09</v>
      </c>
      <c r="AJ18" s="7">
        <v>36.264000000000003</v>
      </c>
      <c r="AK18" s="7">
        <v>0</v>
      </c>
      <c r="AL18" s="7">
        <v>85.33</v>
      </c>
      <c r="AM18" s="7" t="s">
        <v>37</v>
      </c>
      <c r="AN18" s="9">
        <v>8.4722699999999994E-12</v>
      </c>
      <c r="AO18" s="7" t="s">
        <v>37</v>
      </c>
      <c r="AP18" s="7">
        <v>9.3299999999999998E-3</v>
      </c>
      <c r="AQ18" s="7">
        <v>1</v>
      </c>
      <c r="AR18" s="7">
        <v>1</v>
      </c>
      <c r="AS18"/>
    </row>
    <row r="19" spans="1:45" ht="19.5" customHeight="1" x14ac:dyDescent="0.3">
      <c r="A19" s="7" t="s">
        <v>1552</v>
      </c>
      <c r="B19" s="7" t="s">
        <v>2080</v>
      </c>
      <c r="C19" s="7">
        <v>75</v>
      </c>
      <c r="D19" s="7">
        <v>1250</v>
      </c>
      <c r="E19" s="7">
        <v>1</v>
      </c>
      <c r="F19" s="7">
        <v>30</v>
      </c>
      <c r="G19" s="7" t="s">
        <v>1553</v>
      </c>
      <c r="H19" s="7" t="s">
        <v>1554</v>
      </c>
      <c r="I19" s="7" t="s">
        <v>1555</v>
      </c>
      <c r="J19" s="8" t="s">
        <v>1556</v>
      </c>
      <c r="K19" s="7" t="s">
        <v>1557</v>
      </c>
      <c r="L19" s="7">
        <v>135.21</v>
      </c>
      <c r="M19" s="7" t="s">
        <v>37</v>
      </c>
      <c r="N19" s="7" t="s">
        <v>37</v>
      </c>
      <c r="O19" s="7" t="s">
        <v>37</v>
      </c>
      <c r="P19" s="7" t="s">
        <v>37</v>
      </c>
      <c r="Q19" s="7" t="s">
        <v>37</v>
      </c>
      <c r="R19" s="7" t="s">
        <v>37</v>
      </c>
      <c r="S19" s="7" t="s">
        <v>37</v>
      </c>
      <c r="T19" s="7" t="s">
        <v>37</v>
      </c>
      <c r="U19" s="7">
        <v>203</v>
      </c>
      <c r="V19" s="7">
        <v>0.94850000000000001</v>
      </c>
      <c r="W19" s="7">
        <v>86.9375</v>
      </c>
      <c r="X19" s="9">
        <v>2.69153480392691E-6</v>
      </c>
      <c r="Y19" s="7">
        <v>1.5269999999999999</v>
      </c>
      <c r="Z19" s="7">
        <v>8.64</v>
      </c>
      <c r="AA19" s="7">
        <v>-2.61</v>
      </c>
      <c r="AB19" s="7">
        <v>-0.71</v>
      </c>
      <c r="AC19" s="7">
        <v>6.84</v>
      </c>
      <c r="AD19" s="7">
        <v>1.76</v>
      </c>
      <c r="AE19" s="7">
        <v>33</v>
      </c>
      <c r="AF19" s="7">
        <v>43.929000000000002</v>
      </c>
      <c r="AG19" s="7">
        <v>142.81200000000001</v>
      </c>
      <c r="AH19" s="7" t="s">
        <v>37</v>
      </c>
      <c r="AI19" s="7">
        <v>9.9</v>
      </c>
      <c r="AJ19" s="7">
        <v>17.414999999999999</v>
      </c>
      <c r="AK19" s="7">
        <v>0</v>
      </c>
      <c r="AL19" s="7">
        <v>33.774500000000003</v>
      </c>
      <c r="AM19" s="7">
        <v>153.73699999999999</v>
      </c>
      <c r="AN19" s="7">
        <v>0.23999400000000001</v>
      </c>
      <c r="AO19" s="7">
        <v>2.8774000000000002</v>
      </c>
      <c r="AP19" s="7">
        <v>9.1105694129582707E-2</v>
      </c>
      <c r="AQ19" s="7">
        <v>1</v>
      </c>
      <c r="AR19" s="7">
        <v>0</v>
      </c>
      <c r="AS19"/>
    </row>
    <row r="20" spans="1:45" ht="19.5" customHeight="1" x14ac:dyDescent="0.3">
      <c r="A20" s="7" t="s">
        <v>98</v>
      </c>
      <c r="B20" s="7" t="s">
        <v>2080</v>
      </c>
      <c r="C20" s="7">
        <v>70</v>
      </c>
      <c r="D20" s="7">
        <v>1612244.8979591799</v>
      </c>
      <c r="E20" s="7">
        <v>14</v>
      </c>
      <c r="F20" s="7">
        <v>7</v>
      </c>
      <c r="G20" s="7" t="s">
        <v>99</v>
      </c>
      <c r="H20" s="7" t="s">
        <v>100</v>
      </c>
      <c r="I20" s="7" t="s">
        <v>101</v>
      </c>
      <c r="J20" s="8" t="s">
        <v>102</v>
      </c>
      <c r="K20" s="7" t="s">
        <v>103</v>
      </c>
      <c r="L20" s="7">
        <v>349.41</v>
      </c>
      <c r="M20" s="7">
        <v>127800</v>
      </c>
      <c r="N20" s="7" t="s">
        <v>37</v>
      </c>
      <c r="O20" s="9">
        <v>1000000</v>
      </c>
      <c r="P20" s="9">
        <v>100000</v>
      </c>
      <c r="Q20" s="7">
        <v>55000</v>
      </c>
      <c r="R20" s="7">
        <v>12.5</v>
      </c>
      <c r="S20" s="7" t="s">
        <v>37</v>
      </c>
      <c r="T20" s="7" t="s">
        <v>37</v>
      </c>
      <c r="U20" s="7">
        <v>547.92349999999999</v>
      </c>
      <c r="V20" s="7">
        <v>1.4630000000000001</v>
      </c>
      <c r="W20" s="7">
        <v>362.21199999999999</v>
      </c>
      <c r="X20" s="9">
        <v>1.5135612484362101E-11</v>
      </c>
      <c r="Y20" s="7">
        <v>1.675</v>
      </c>
      <c r="Z20" s="7">
        <v>2.71</v>
      </c>
      <c r="AA20" s="7">
        <v>1.19</v>
      </c>
      <c r="AB20" s="7">
        <v>-0.2</v>
      </c>
      <c r="AC20" s="7">
        <v>9.34</v>
      </c>
      <c r="AD20" s="7">
        <v>1.35</v>
      </c>
      <c r="AE20" s="7">
        <v>204.25</v>
      </c>
      <c r="AF20" s="7">
        <v>89.945999999999998</v>
      </c>
      <c r="AG20" s="7">
        <v>239.33699999999999</v>
      </c>
      <c r="AH20" s="7">
        <v>5.86</v>
      </c>
      <c r="AI20" s="7" t="s">
        <v>37</v>
      </c>
      <c r="AJ20" s="7">
        <v>35.658000000000001</v>
      </c>
      <c r="AK20" s="7">
        <v>0</v>
      </c>
      <c r="AL20" s="7">
        <v>74.316999999999993</v>
      </c>
      <c r="AM20" s="7" t="s">
        <v>37</v>
      </c>
      <c r="AN20" s="9">
        <v>5.0699100000000001E-11</v>
      </c>
      <c r="AO20" s="7" t="s">
        <v>37</v>
      </c>
      <c r="AP20" s="7">
        <v>2.8899999999999999E-2</v>
      </c>
      <c r="AQ20" s="7">
        <v>1</v>
      </c>
      <c r="AR20" s="7">
        <v>1</v>
      </c>
      <c r="AS20"/>
    </row>
    <row r="21" spans="1:45" ht="19.5" customHeight="1" x14ac:dyDescent="0.3">
      <c r="A21" s="7" t="s">
        <v>1593</v>
      </c>
      <c r="B21" s="7" t="s">
        <v>2080</v>
      </c>
      <c r="C21" s="7">
        <v>85</v>
      </c>
      <c r="D21" s="7">
        <v>993.07550453637498</v>
      </c>
      <c r="E21" s="7">
        <v>293</v>
      </c>
      <c r="F21" s="7">
        <v>59.951541850220302</v>
      </c>
      <c r="G21" s="7" t="s">
        <v>1594</v>
      </c>
      <c r="H21" s="7" t="s">
        <v>1595</v>
      </c>
      <c r="I21" s="7" t="s">
        <v>1596</v>
      </c>
      <c r="J21" s="8" t="s">
        <v>1597</v>
      </c>
      <c r="K21" s="7" t="s">
        <v>1598</v>
      </c>
      <c r="L21" s="7">
        <v>293.37400000000002</v>
      </c>
      <c r="M21" s="7" t="s">
        <v>37</v>
      </c>
      <c r="N21" s="7" t="s">
        <v>37</v>
      </c>
      <c r="O21" s="7" t="s">
        <v>37</v>
      </c>
      <c r="P21" s="7" t="s">
        <v>37</v>
      </c>
      <c r="Q21" s="7" t="s">
        <v>37</v>
      </c>
      <c r="R21" s="7" t="s">
        <v>37</v>
      </c>
      <c r="S21" s="9">
        <v>100000</v>
      </c>
      <c r="T21" s="7">
        <v>290</v>
      </c>
      <c r="U21" s="7">
        <v>434.267</v>
      </c>
      <c r="V21" s="7">
        <v>1.123</v>
      </c>
      <c r="W21" s="7">
        <v>251.59950000000001</v>
      </c>
      <c r="X21" s="9">
        <v>3.8904514499428102E-6</v>
      </c>
      <c r="Y21" s="7">
        <v>1.58</v>
      </c>
      <c r="Z21" s="7">
        <v>13.06</v>
      </c>
      <c r="AA21" s="7">
        <v>2.68</v>
      </c>
      <c r="AB21" s="7">
        <v>2.68</v>
      </c>
      <c r="AC21" s="7">
        <v>9.3800000000000008</v>
      </c>
      <c r="AD21" s="7">
        <v>2.5225</v>
      </c>
      <c r="AE21" s="7">
        <v>105.82</v>
      </c>
      <c r="AF21" s="7">
        <v>90.013000000000005</v>
      </c>
      <c r="AG21" s="7">
        <v>270.28699999999998</v>
      </c>
      <c r="AH21" s="7" t="s">
        <v>37</v>
      </c>
      <c r="AI21" s="7">
        <v>0.9</v>
      </c>
      <c r="AJ21" s="7">
        <v>35.683999999999997</v>
      </c>
      <c r="AK21" s="7">
        <v>0</v>
      </c>
      <c r="AL21" s="7">
        <v>42.174999999999997</v>
      </c>
      <c r="AM21" s="7" t="s">
        <v>37</v>
      </c>
      <c r="AN21" s="9">
        <v>1.2941999999999999E-8</v>
      </c>
      <c r="AO21" s="7" t="s">
        <v>37</v>
      </c>
      <c r="AP21" s="7">
        <v>2.3311499999999999E-4</v>
      </c>
      <c r="AQ21" s="7">
        <v>1</v>
      </c>
      <c r="AR21" s="7">
        <v>0</v>
      </c>
      <c r="AS21"/>
    </row>
    <row r="22" spans="1:45" ht="19.5" customHeight="1" x14ac:dyDescent="0.3">
      <c r="A22" s="7" t="s">
        <v>1279</v>
      </c>
      <c r="B22" s="7" t="s">
        <v>2080</v>
      </c>
      <c r="C22" s="7">
        <v>75</v>
      </c>
      <c r="D22" s="7">
        <v>9136.3502704597995</v>
      </c>
      <c r="E22" s="7">
        <v>1385</v>
      </c>
      <c r="F22" s="7">
        <v>52.179104477611901</v>
      </c>
      <c r="G22" s="7" t="s">
        <v>1280</v>
      </c>
      <c r="H22" s="7" t="s">
        <v>1281</v>
      </c>
      <c r="I22" s="7" t="s">
        <v>1282</v>
      </c>
      <c r="J22" s="8" t="s">
        <v>1283</v>
      </c>
      <c r="K22" s="7" t="s">
        <v>1284</v>
      </c>
      <c r="L22" s="7">
        <v>459.50599999999901</v>
      </c>
      <c r="M22" s="7" t="s">
        <v>37</v>
      </c>
      <c r="N22" s="7" t="s">
        <v>37</v>
      </c>
      <c r="O22" s="7" t="s">
        <v>37</v>
      </c>
      <c r="P22" s="7" t="s">
        <v>37</v>
      </c>
      <c r="Q22" s="7" t="s">
        <v>37</v>
      </c>
      <c r="R22" s="7" t="s">
        <v>37</v>
      </c>
      <c r="S22" s="7" t="s">
        <v>37</v>
      </c>
      <c r="T22" s="7" t="s">
        <v>37</v>
      </c>
      <c r="U22" s="7">
        <v>576.16499999999996</v>
      </c>
      <c r="V22" s="7">
        <v>1.409</v>
      </c>
      <c r="W22" s="7">
        <v>399.11399999999998</v>
      </c>
      <c r="X22" s="9">
        <v>2.3442288153199198E-12</v>
      </c>
      <c r="Y22" s="7">
        <v>1.7050000000000001</v>
      </c>
      <c r="Z22" s="7">
        <v>15.89</v>
      </c>
      <c r="AA22" s="7">
        <v>2.5099999999999998</v>
      </c>
      <c r="AB22" s="7">
        <v>2.4900000000000002</v>
      </c>
      <c r="AC22" s="7">
        <v>10.17</v>
      </c>
      <c r="AD22" s="7">
        <v>0.86699999999999999</v>
      </c>
      <c r="AE22" s="7">
        <v>208.60400000000001</v>
      </c>
      <c r="AF22" s="7">
        <v>125.616</v>
      </c>
      <c r="AG22" s="7">
        <v>323.36799999999999</v>
      </c>
      <c r="AH22" s="7">
        <v>8.66</v>
      </c>
      <c r="AI22" s="7" t="s">
        <v>37</v>
      </c>
      <c r="AJ22" s="7">
        <v>49.798000000000002</v>
      </c>
      <c r="AK22" s="7">
        <v>0</v>
      </c>
      <c r="AL22" s="7">
        <v>60.963999999999999</v>
      </c>
      <c r="AM22" s="7" t="s">
        <v>37</v>
      </c>
      <c r="AN22" s="9">
        <v>4.1020399999999998E-12</v>
      </c>
      <c r="AO22" s="7" t="s">
        <v>37</v>
      </c>
      <c r="AP22" s="9">
        <v>1.02126854867946E-5</v>
      </c>
      <c r="AQ22" s="7">
        <v>1</v>
      </c>
      <c r="AR22" s="7">
        <v>0</v>
      </c>
      <c r="AS22"/>
    </row>
    <row r="23" spans="1:45" ht="19.5" customHeight="1" x14ac:dyDescent="0.3">
      <c r="A23" s="7" t="s">
        <v>1250</v>
      </c>
      <c r="B23" s="7" t="s">
        <v>2090</v>
      </c>
      <c r="C23" s="7">
        <v>100</v>
      </c>
      <c r="D23" s="7">
        <v>13260.3521286288</v>
      </c>
      <c r="E23" s="7">
        <v>62</v>
      </c>
      <c r="F23" s="7">
        <v>29.764688271835901</v>
      </c>
      <c r="G23" s="7" t="s">
        <v>1251</v>
      </c>
      <c r="H23" s="7" t="s">
        <v>1252</v>
      </c>
      <c r="I23" s="7" t="s">
        <v>1253</v>
      </c>
      <c r="J23" s="8" t="s">
        <v>1254</v>
      </c>
      <c r="K23" s="7" t="s">
        <v>1255</v>
      </c>
      <c r="L23" s="7">
        <v>448.39</v>
      </c>
      <c r="M23" s="7" t="s">
        <v>37</v>
      </c>
      <c r="N23" s="7" t="s">
        <v>37</v>
      </c>
      <c r="O23" s="7" t="s">
        <v>37</v>
      </c>
      <c r="P23" s="7" t="s">
        <v>37</v>
      </c>
      <c r="Q23" s="7" t="s">
        <v>37</v>
      </c>
      <c r="R23" s="7" t="s">
        <v>37</v>
      </c>
      <c r="S23" s="7" t="s">
        <v>37</v>
      </c>
      <c r="T23" s="7" t="s">
        <v>37</v>
      </c>
      <c r="U23" s="7">
        <v>514.37149999999997</v>
      </c>
      <c r="V23" s="7">
        <v>1.2815000000000001</v>
      </c>
      <c r="W23" s="7">
        <v>322.6755</v>
      </c>
      <c r="X23" s="9">
        <v>2.1379620895022299E-8</v>
      </c>
      <c r="Y23" s="7">
        <v>1.593</v>
      </c>
      <c r="Z23" s="7">
        <v>22.32</v>
      </c>
      <c r="AA23" s="7">
        <v>3.96</v>
      </c>
      <c r="AB23" s="7">
        <v>5.36</v>
      </c>
      <c r="AC23" s="7">
        <v>10.210000000000001</v>
      </c>
      <c r="AD23" s="7">
        <v>5.41</v>
      </c>
      <c r="AE23" s="7">
        <v>139.25</v>
      </c>
      <c r="AF23" s="7">
        <v>120.309</v>
      </c>
      <c r="AG23" s="7">
        <v>355.00400000000002</v>
      </c>
      <c r="AH23" s="7" t="s">
        <v>37</v>
      </c>
      <c r="AI23" s="7">
        <v>7.05</v>
      </c>
      <c r="AJ23" s="7">
        <v>47.694000000000003</v>
      </c>
      <c r="AK23" s="7">
        <v>0</v>
      </c>
      <c r="AL23" s="7">
        <v>48.404000000000003</v>
      </c>
      <c r="AM23" s="7" t="s">
        <v>37</v>
      </c>
      <c r="AN23" s="9">
        <v>8.5901400000000002E-11</v>
      </c>
      <c r="AO23" s="7" t="s">
        <v>37</v>
      </c>
      <c r="AP23" s="9">
        <v>9.7100050000000006E-6</v>
      </c>
      <c r="AQ23" s="7">
        <v>1</v>
      </c>
      <c r="AR23" s="7">
        <v>1</v>
      </c>
      <c r="AS23"/>
    </row>
    <row r="24" spans="1:45" ht="19.5" customHeight="1" x14ac:dyDescent="0.3">
      <c r="A24" s="7" t="s">
        <v>1250</v>
      </c>
      <c r="B24" s="7" t="s">
        <v>2080</v>
      </c>
      <c r="C24" s="7">
        <v>19</v>
      </c>
      <c r="D24" s="7">
        <v>9770.3291999694902</v>
      </c>
      <c r="E24" s="7">
        <v>635</v>
      </c>
      <c r="F24" s="7">
        <v>34.9483384182546</v>
      </c>
      <c r="G24" s="7" t="s">
        <v>1251</v>
      </c>
      <c r="H24" s="7" t="s">
        <v>1252</v>
      </c>
      <c r="I24" s="7" t="s">
        <v>1253</v>
      </c>
      <c r="J24" s="8" t="s">
        <v>1254</v>
      </c>
      <c r="K24" s="7" t="s">
        <v>1255</v>
      </c>
      <c r="L24" s="7">
        <v>448.39</v>
      </c>
      <c r="M24" s="7" t="s">
        <v>37</v>
      </c>
      <c r="N24" s="7" t="s">
        <v>37</v>
      </c>
      <c r="O24" s="7" t="s">
        <v>37</v>
      </c>
      <c r="P24" s="7" t="s">
        <v>37</v>
      </c>
      <c r="Q24" s="7" t="s">
        <v>37</v>
      </c>
      <c r="R24" s="7" t="s">
        <v>37</v>
      </c>
      <c r="S24" s="7" t="s">
        <v>37</v>
      </c>
      <c r="T24" s="7" t="s">
        <v>37</v>
      </c>
      <c r="U24" s="7">
        <v>514.37149999999997</v>
      </c>
      <c r="V24" s="7">
        <v>1.2815000000000001</v>
      </c>
      <c r="W24" s="7">
        <v>322.6755</v>
      </c>
      <c r="X24" s="9">
        <v>2.1379620895022299E-8</v>
      </c>
      <c r="Y24" s="7">
        <v>1.593</v>
      </c>
      <c r="Z24" s="7">
        <v>22.32</v>
      </c>
      <c r="AA24" s="7">
        <v>3.96</v>
      </c>
      <c r="AB24" s="7">
        <v>5.36</v>
      </c>
      <c r="AC24" s="7">
        <v>10.210000000000001</v>
      </c>
      <c r="AD24" s="7">
        <v>5.41</v>
      </c>
      <c r="AE24" s="7">
        <v>139.25</v>
      </c>
      <c r="AF24" s="7">
        <v>120.309</v>
      </c>
      <c r="AG24" s="7">
        <v>355.00400000000002</v>
      </c>
      <c r="AH24" s="7" t="s">
        <v>37</v>
      </c>
      <c r="AI24" s="7">
        <v>7.05</v>
      </c>
      <c r="AJ24" s="7">
        <v>47.694000000000003</v>
      </c>
      <c r="AK24" s="7">
        <v>0</v>
      </c>
      <c r="AL24" s="7">
        <v>48.404000000000003</v>
      </c>
      <c r="AM24" s="7" t="s">
        <v>37</v>
      </c>
      <c r="AN24" s="9">
        <v>8.5901400000000002E-11</v>
      </c>
      <c r="AO24" s="7" t="s">
        <v>37</v>
      </c>
      <c r="AP24" s="9">
        <v>9.7100050000000006E-6</v>
      </c>
      <c r="AQ24" s="7">
        <v>1</v>
      </c>
      <c r="AR24" s="7">
        <v>1</v>
      </c>
      <c r="AS24"/>
    </row>
    <row r="25" spans="1:45" ht="19.5" customHeight="1" x14ac:dyDescent="0.3">
      <c r="A25" s="7" t="s">
        <v>307</v>
      </c>
      <c r="B25" s="7" t="s">
        <v>2080</v>
      </c>
      <c r="C25" s="7">
        <v>0</v>
      </c>
      <c r="D25" s="7">
        <v>347081.04216495802</v>
      </c>
      <c r="E25" s="7">
        <v>1702</v>
      </c>
      <c r="F25" s="7">
        <v>51.309747292418798</v>
      </c>
      <c r="G25" s="7" t="s">
        <v>308</v>
      </c>
      <c r="H25" s="7" t="s">
        <v>309</v>
      </c>
      <c r="I25" s="7" t="s">
        <v>310</v>
      </c>
      <c r="J25" s="8" t="s">
        <v>311</v>
      </c>
      <c r="K25" s="7" t="s">
        <v>312</v>
      </c>
      <c r="L25" s="7">
        <v>180.158999999999</v>
      </c>
      <c r="M25" s="7">
        <v>141426</v>
      </c>
      <c r="N25" s="7" t="s">
        <v>37</v>
      </c>
      <c r="O25" s="7">
        <v>421150</v>
      </c>
      <c r="P25" s="7">
        <v>27460</v>
      </c>
      <c r="Q25" s="7">
        <v>1800</v>
      </c>
      <c r="R25" s="7">
        <v>20000</v>
      </c>
      <c r="S25" s="7">
        <v>27312.3</v>
      </c>
      <c r="T25" s="7">
        <v>10</v>
      </c>
      <c r="U25" s="7">
        <v>140</v>
      </c>
      <c r="V25" s="7">
        <v>1.3134999999999999</v>
      </c>
      <c r="W25" s="7">
        <v>141.62</v>
      </c>
      <c r="X25" s="9">
        <v>8.3176377110267104E-9</v>
      </c>
      <c r="Y25" s="7">
        <v>1.5509999999999999</v>
      </c>
      <c r="Z25" s="7">
        <v>0.92</v>
      </c>
      <c r="AA25" s="7">
        <v>-0.13</v>
      </c>
      <c r="AB25" s="7">
        <v>-2.0099999999999998</v>
      </c>
      <c r="AC25" s="7">
        <v>7.75</v>
      </c>
      <c r="AD25" s="7">
        <v>1.19</v>
      </c>
      <c r="AE25" s="7">
        <v>137.25</v>
      </c>
      <c r="AF25" s="7">
        <v>44.524000000000001</v>
      </c>
      <c r="AG25" s="7">
        <v>139.59200000000001</v>
      </c>
      <c r="AH25" s="7">
        <v>4.2</v>
      </c>
      <c r="AI25" s="7" t="s">
        <v>37</v>
      </c>
      <c r="AJ25" s="7">
        <v>17.651</v>
      </c>
      <c r="AK25" s="7">
        <v>1</v>
      </c>
      <c r="AL25" s="7">
        <v>49.851999999999997</v>
      </c>
      <c r="AM25" s="7" t="s">
        <v>37</v>
      </c>
      <c r="AN25" s="9">
        <v>2.5199999999999999E-5</v>
      </c>
      <c r="AO25" s="7" t="s">
        <v>37</v>
      </c>
      <c r="AP25" s="7">
        <v>2.504E-2</v>
      </c>
      <c r="AQ25" s="7">
        <v>1</v>
      </c>
      <c r="AR25" s="7">
        <v>1</v>
      </c>
      <c r="AS25"/>
    </row>
    <row r="26" spans="1:45" ht="19.5" customHeight="1" x14ac:dyDescent="0.3">
      <c r="A26" s="7" t="s">
        <v>761</v>
      </c>
      <c r="B26" s="7" t="s">
        <v>2080</v>
      </c>
      <c r="C26" s="7">
        <v>100</v>
      </c>
      <c r="D26" s="7">
        <v>50072.346784460002</v>
      </c>
      <c r="E26" s="7">
        <v>1285</v>
      </c>
      <c r="F26" s="7">
        <v>74.326456310679603</v>
      </c>
      <c r="G26" s="7" t="s">
        <v>762</v>
      </c>
      <c r="H26" s="7" t="s">
        <v>763</v>
      </c>
      <c r="I26" s="7" t="s">
        <v>764</v>
      </c>
      <c r="J26" s="8" t="s">
        <v>765</v>
      </c>
      <c r="K26" s="7" t="s">
        <v>766</v>
      </c>
      <c r="L26" s="7">
        <v>266.34100000000001</v>
      </c>
      <c r="M26" s="9">
        <v>400000</v>
      </c>
      <c r="N26" s="7" t="s">
        <v>37</v>
      </c>
      <c r="O26" s="7" t="s">
        <v>37</v>
      </c>
      <c r="P26" s="7" t="s">
        <v>37</v>
      </c>
      <c r="Q26" s="7">
        <v>8820</v>
      </c>
      <c r="R26" s="7">
        <v>224400</v>
      </c>
      <c r="S26" s="7">
        <v>5000</v>
      </c>
      <c r="T26" s="9">
        <v>2.6633999999999999E-5</v>
      </c>
      <c r="U26" s="7">
        <v>411.78</v>
      </c>
      <c r="V26" s="7">
        <v>1.117</v>
      </c>
      <c r="W26" s="7">
        <v>248.816</v>
      </c>
      <c r="X26" s="9">
        <v>3.0902954325135901E-10</v>
      </c>
      <c r="Y26" s="7">
        <v>1.54</v>
      </c>
      <c r="Z26" s="7">
        <v>9.8000000000000007</v>
      </c>
      <c r="AA26" s="7">
        <v>-2.5</v>
      </c>
      <c r="AB26" s="7">
        <v>-0.67</v>
      </c>
      <c r="AC26" s="7">
        <v>9.23</v>
      </c>
      <c r="AD26" s="7">
        <v>0.16</v>
      </c>
      <c r="AE26" s="7">
        <v>149</v>
      </c>
      <c r="AF26" s="7">
        <v>74.257000000000005</v>
      </c>
      <c r="AG26" s="7">
        <v>236.65899999999999</v>
      </c>
      <c r="AH26" s="7" t="s">
        <v>37</v>
      </c>
      <c r="AI26" s="7">
        <v>9.5350000000000001</v>
      </c>
      <c r="AJ26" s="7">
        <v>29.437999999999999</v>
      </c>
      <c r="AK26" s="7">
        <v>1</v>
      </c>
      <c r="AL26" s="7">
        <v>45.018999999999998</v>
      </c>
      <c r="AM26" s="7">
        <v>197.387</v>
      </c>
      <c r="AN26" s="9">
        <v>1.09647819614318E-9</v>
      </c>
      <c r="AO26" s="7">
        <v>204.17400000000001</v>
      </c>
      <c r="AP26" s="7">
        <v>5.0099999999999999E-2</v>
      </c>
      <c r="AQ26" s="7">
        <v>1</v>
      </c>
      <c r="AR26" s="7">
        <v>1</v>
      </c>
      <c r="AS26"/>
    </row>
    <row r="27" spans="1:45" ht="19.5" customHeight="1" x14ac:dyDescent="0.3">
      <c r="A27" s="7" t="s">
        <v>785</v>
      </c>
      <c r="B27" s="7" t="s">
        <v>2080</v>
      </c>
      <c r="C27" s="7">
        <v>3</v>
      </c>
      <c r="D27" s="7">
        <v>46073.800774978299</v>
      </c>
      <c r="E27" s="7">
        <v>73</v>
      </c>
      <c r="F27" s="7">
        <v>37.9791666666667</v>
      </c>
      <c r="G27" s="7" t="s">
        <v>786</v>
      </c>
      <c r="H27" s="7" t="s">
        <v>787</v>
      </c>
      <c r="I27" s="7" t="s">
        <v>788</v>
      </c>
      <c r="J27" s="8" t="s">
        <v>789</v>
      </c>
      <c r="K27" s="7" t="s">
        <v>247</v>
      </c>
      <c r="L27" s="7">
        <v>255.360999999999</v>
      </c>
      <c r="M27" s="7" t="s">
        <v>37</v>
      </c>
      <c r="N27" s="7" t="s">
        <v>37</v>
      </c>
      <c r="O27" s="7" t="s">
        <v>37</v>
      </c>
      <c r="P27" s="7" t="s">
        <v>37</v>
      </c>
      <c r="Q27" s="7" t="s">
        <v>37</v>
      </c>
      <c r="R27" s="7" t="s">
        <v>37</v>
      </c>
      <c r="S27" s="7" t="s">
        <v>37</v>
      </c>
      <c r="T27" s="7" t="s">
        <v>37</v>
      </c>
      <c r="U27" s="7">
        <v>353.21699999999998</v>
      </c>
      <c r="V27" s="7">
        <v>1.0275000000000001</v>
      </c>
      <c r="W27" s="7">
        <v>172.0505</v>
      </c>
      <c r="X27" s="9">
        <v>3.8018939632056098E-6</v>
      </c>
      <c r="Y27" s="7">
        <v>1.552</v>
      </c>
      <c r="Z27" s="7">
        <v>19.02</v>
      </c>
      <c r="AA27" s="7">
        <v>-3.19</v>
      </c>
      <c r="AB27" s="7">
        <v>-1.29</v>
      </c>
      <c r="AC27" s="7">
        <v>10.24</v>
      </c>
      <c r="AD27" s="7">
        <v>3.7574999999999998</v>
      </c>
      <c r="AE27" s="7">
        <v>91.403000000000006</v>
      </c>
      <c r="AF27" s="7">
        <v>79.739999999999995</v>
      </c>
      <c r="AG27" s="7">
        <v>249.49700000000001</v>
      </c>
      <c r="AH27" s="7" t="s">
        <v>37</v>
      </c>
      <c r="AI27" s="7">
        <v>12.63</v>
      </c>
      <c r="AJ27" s="7">
        <v>31.611000000000001</v>
      </c>
      <c r="AK27" s="7">
        <v>0</v>
      </c>
      <c r="AL27" s="7">
        <v>39.780500000000004</v>
      </c>
      <c r="AM27" s="7">
        <v>143.99199999999999</v>
      </c>
      <c r="AN27" s="9">
        <v>2.6181800000000001E-6</v>
      </c>
      <c r="AO27" s="7">
        <v>16.749400000000001</v>
      </c>
      <c r="AP27" s="7">
        <v>6.1863249614037697E-4</v>
      </c>
      <c r="AQ27" s="7">
        <v>1</v>
      </c>
      <c r="AR27" s="7">
        <v>0</v>
      </c>
      <c r="AS27"/>
    </row>
    <row r="28" spans="1:45" ht="19.5" customHeight="1" x14ac:dyDescent="0.3">
      <c r="A28" s="7" t="s">
        <v>910</v>
      </c>
      <c r="B28" s="7" t="s">
        <v>2080</v>
      </c>
      <c r="C28" s="7">
        <v>30</v>
      </c>
      <c r="D28" s="7">
        <v>33150.5502184504</v>
      </c>
      <c r="E28" s="7">
        <v>10775</v>
      </c>
      <c r="F28" s="7">
        <v>70.023989569752302</v>
      </c>
      <c r="G28" s="7" t="s">
        <v>911</v>
      </c>
      <c r="H28" s="7" t="s">
        <v>912</v>
      </c>
      <c r="I28" s="7" t="s">
        <v>913</v>
      </c>
      <c r="J28" s="8" t="s">
        <v>914</v>
      </c>
      <c r="K28" s="7" t="s">
        <v>915</v>
      </c>
      <c r="L28" s="7">
        <v>558.65</v>
      </c>
      <c r="M28" s="7">
        <v>2600</v>
      </c>
      <c r="N28" s="7" t="s">
        <v>37</v>
      </c>
      <c r="O28" s="7" t="s">
        <v>37</v>
      </c>
      <c r="P28" s="7" t="s">
        <v>37</v>
      </c>
      <c r="Q28" s="7">
        <v>1</v>
      </c>
      <c r="R28" s="7">
        <v>100</v>
      </c>
      <c r="S28" s="7">
        <v>530</v>
      </c>
      <c r="T28" s="7">
        <v>1.2999999999999999E-3</v>
      </c>
      <c r="U28" s="7">
        <v>693.56949999999995</v>
      </c>
      <c r="V28" s="7">
        <v>1.2735000000000001</v>
      </c>
      <c r="W28" s="7">
        <v>390.42149999999998</v>
      </c>
      <c r="X28" s="9">
        <v>1.09647819614318E-11</v>
      </c>
      <c r="Y28" s="7">
        <v>1.603</v>
      </c>
      <c r="Z28" s="7">
        <v>30.09</v>
      </c>
      <c r="AA28" s="7">
        <v>6.81</v>
      </c>
      <c r="AB28" s="7">
        <v>6.8</v>
      </c>
      <c r="AC28" s="7">
        <v>9.52</v>
      </c>
      <c r="AD28" s="7">
        <v>5.3574999999999999</v>
      </c>
      <c r="AE28" s="7">
        <v>159.94999999999999</v>
      </c>
      <c r="AF28" s="7">
        <v>155.21199999999999</v>
      </c>
      <c r="AG28" s="7">
        <v>451.93099999999998</v>
      </c>
      <c r="AH28" s="7">
        <v>8.9600000000000009</v>
      </c>
      <c r="AI28" s="7" t="s">
        <v>37</v>
      </c>
      <c r="AJ28" s="7">
        <v>61.530999999999999</v>
      </c>
      <c r="AK28" s="7">
        <v>0</v>
      </c>
      <c r="AL28" s="7">
        <v>45.956000000000003</v>
      </c>
      <c r="AM28" s="7" t="s">
        <v>37</v>
      </c>
      <c r="AN28" s="9">
        <v>9.7499000000000007E-13</v>
      </c>
      <c r="AO28" s="7" t="s">
        <v>37</v>
      </c>
      <c r="AP28" s="9">
        <v>1.3731114876959899E-6</v>
      </c>
      <c r="AQ28" s="7">
        <v>1</v>
      </c>
      <c r="AR28" s="7">
        <v>1</v>
      </c>
      <c r="AS28"/>
    </row>
    <row r="29" spans="1:45" ht="19.5" customHeight="1" x14ac:dyDescent="0.3">
      <c r="A29" s="7" t="s">
        <v>647</v>
      </c>
      <c r="B29" s="7" t="s">
        <v>2091</v>
      </c>
      <c r="C29" s="7">
        <v>40</v>
      </c>
      <c r="D29" s="7">
        <v>102807.65645258001</v>
      </c>
      <c r="E29" s="7">
        <v>247</v>
      </c>
      <c r="F29" s="7">
        <v>33.5640361938895</v>
      </c>
      <c r="G29" s="7" t="s">
        <v>648</v>
      </c>
      <c r="H29" s="7" t="s">
        <v>649</v>
      </c>
      <c r="I29" s="7" t="s">
        <v>650</v>
      </c>
      <c r="J29" s="8" t="s">
        <v>651</v>
      </c>
      <c r="K29" s="7" t="s">
        <v>652</v>
      </c>
      <c r="L29" s="7">
        <v>381.9</v>
      </c>
      <c r="M29" s="7" t="s">
        <v>37</v>
      </c>
      <c r="N29" s="7" t="s">
        <v>37</v>
      </c>
      <c r="O29" s="7" t="s">
        <v>37</v>
      </c>
      <c r="P29" s="7" t="s">
        <v>37</v>
      </c>
      <c r="Q29" s="7" t="s">
        <v>37</v>
      </c>
      <c r="R29" s="7" t="s">
        <v>37</v>
      </c>
      <c r="S29" s="7" t="s">
        <v>37</v>
      </c>
      <c r="T29" s="7" t="s">
        <v>37</v>
      </c>
      <c r="U29" s="7">
        <v>472.06299999999999</v>
      </c>
      <c r="V29" s="7">
        <v>1.2435</v>
      </c>
      <c r="W29" s="7">
        <v>262.34649999999999</v>
      </c>
      <c r="X29" s="9">
        <v>3.2359365692962799E-9</v>
      </c>
      <c r="Y29" s="7">
        <v>1.6419999999999999</v>
      </c>
      <c r="Z29" s="7">
        <v>23.22</v>
      </c>
      <c r="AA29" s="7">
        <v>-0.43</v>
      </c>
      <c r="AB29" s="7">
        <v>1.47</v>
      </c>
      <c r="AC29" s="7">
        <v>11.72</v>
      </c>
      <c r="AD29" s="7">
        <v>4.1900000000000004</v>
      </c>
      <c r="AE29" s="7">
        <v>158.81700000000001</v>
      </c>
      <c r="AF29" s="7">
        <v>109.97499999999999</v>
      </c>
      <c r="AG29" s="7">
        <v>304.57900000000001</v>
      </c>
      <c r="AH29" s="7" t="s">
        <v>37</v>
      </c>
      <c r="AI29" s="7">
        <v>9.6024999999999991</v>
      </c>
      <c r="AJ29" s="7">
        <v>43.597000000000001</v>
      </c>
      <c r="AK29" s="7">
        <v>0</v>
      </c>
      <c r="AL29" s="7">
        <v>47.499000000000002</v>
      </c>
      <c r="AM29" s="7" t="s">
        <v>37</v>
      </c>
      <c r="AN29" s="9">
        <v>1.09647819614318E-9</v>
      </c>
      <c r="AO29" s="7" t="s">
        <v>37</v>
      </c>
      <c r="AP29" s="9">
        <v>1.69420157515633E-5</v>
      </c>
      <c r="AQ29" s="7">
        <v>1</v>
      </c>
      <c r="AR29" s="7">
        <v>1</v>
      </c>
      <c r="AS29"/>
    </row>
    <row r="30" spans="1:45" ht="19.5" customHeight="1" x14ac:dyDescent="0.3">
      <c r="A30" s="7" t="s">
        <v>647</v>
      </c>
      <c r="B30" s="7" t="s">
        <v>2092</v>
      </c>
      <c r="C30" s="7">
        <v>80</v>
      </c>
      <c r="D30" s="7">
        <v>10308.782967044899</v>
      </c>
      <c r="E30" s="7">
        <v>33</v>
      </c>
      <c r="F30" s="7">
        <v>30.957443285312099</v>
      </c>
      <c r="G30" s="7" t="s">
        <v>648</v>
      </c>
      <c r="H30" s="7" t="s">
        <v>649</v>
      </c>
      <c r="I30" s="7" t="s">
        <v>650</v>
      </c>
      <c r="J30" s="8" t="s">
        <v>651</v>
      </c>
      <c r="K30" s="7" t="s">
        <v>652</v>
      </c>
      <c r="L30" s="7">
        <v>381.9</v>
      </c>
      <c r="M30" s="7" t="s">
        <v>37</v>
      </c>
      <c r="N30" s="7" t="s">
        <v>37</v>
      </c>
      <c r="O30" s="7" t="s">
        <v>37</v>
      </c>
      <c r="P30" s="7" t="s">
        <v>37</v>
      </c>
      <c r="Q30" s="7" t="s">
        <v>37</v>
      </c>
      <c r="R30" s="7" t="s">
        <v>37</v>
      </c>
      <c r="S30" s="7" t="s">
        <v>37</v>
      </c>
      <c r="T30" s="7" t="s">
        <v>37</v>
      </c>
      <c r="U30" s="7">
        <v>472.06299999999999</v>
      </c>
      <c r="V30" s="7">
        <v>1.2435</v>
      </c>
      <c r="W30" s="7">
        <v>262.34649999999999</v>
      </c>
      <c r="X30" s="9">
        <v>3.2359365692962799E-9</v>
      </c>
      <c r="Y30" s="7">
        <v>1.6419999999999999</v>
      </c>
      <c r="Z30" s="7">
        <v>23.22</v>
      </c>
      <c r="AA30" s="7">
        <v>-0.43</v>
      </c>
      <c r="AB30" s="7">
        <v>1.47</v>
      </c>
      <c r="AC30" s="7">
        <v>11.72</v>
      </c>
      <c r="AD30" s="7">
        <v>4.1900000000000004</v>
      </c>
      <c r="AE30" s="7">
        <v>158.81700000000001</v>
      </c>
      <c r="AF30" s="7">
        <v>109.97499999999999</v>
      </c>
      <c r="AG30" s="7">
        <v>304.57900000000001</v>
      </c>
      <c r="AH30" s="7" t="s">
        <v>37</v>
      </c>
      <c r="AI30" s="7">
        <v>9.6024999999999991</v>
      </c>
      <c r="AJ30" s="7">
        <v>43.597000000000001</v>
      </c>
      <c r="AK30" s="7">
        <v>0</v>
      </c>
      <c r="AL30" s="7">
        <v>47.499000000000002</v>
      </c>
      <c r="AM30" s="7" t="s">
        <v>37</v>
      </c>
      <c r="AN30" s="9">
        <v>1.09647819614318E-9</v>
      </c>
      <c r="AO30" s="7" t="s">
        <v>37</v>
      </c>
      <c r="AP30" s="9">
        <v>1.69420157515633E-5</v>
      </c>
      <c r="AQ30" s="7">
        <v>1</v>
      </c>
      <c r="AR30" s="7">
        <v>1</v>
      </c>
      <c r="AS30"/>
    </row>
    <row r="31" spans="1:45" ht="19.5" customHeight="1" x14ac:dyDescent="0.3">
      <c r="A31" s="7" t="s">
        <v>313</v>
      </c>
      <c r="B31" s="7" t="s">
        <v>2080</v>
      </c>
      <c r="C31" s="7">
        <v>76</v>
      </c>
      <c r="D31" s="7">
        <v>320944.92365884001</v>
      </c>
      <c r="E31" s="7">
        <v>815</v>
      </c>
      <c r="F31" s="7">
        <v>9.0957446808510607</v>
      </c>
      <c r="G31" s="7" t="s">
        <v>314</v>
      </c>
      <c r="H31" s="7" t="s">
        <v>315</v>
      </c>
      <c r="I31" s="7" t="s">
        <v>316</v>
      </c>
      <c r="J31" s="8" t="s">
        <v>317</v>
      </c>
      <c r="K31" s="7" t="s">
        <v>318</v>
      </c>
      <c r="L31" s="7">
        <v>748.99599999999896</v>
      </c>
      <c r="M31" s="7" t="s">
        <v>37</v>
      </c>
      <c r="N31" s="7" t="s">
        <v>37</v>
      </c>
      <c r="O31" s="7" t="s">
        <v>37</v>
      </c>
      <c r="P31" s="7" t="s">
        <v>37</v>
      </c>
      <c r="Q31" s="7">
        <v>490</v>
      </c>
      <c r="R31" s="7">
        <v>510</v>
      </c>
      <c r="S31" s="7" t="s">
        <v>37</v>
      </c>
      <c r="T31" s="7" t="s">
        <v>37</v>
      </c>
      <c r="U31" s="7">
        <v>692.93700000000001</v>
      </c>
      <c r="V31" s="7">
        <v>1.1685000000000001</v>
      </c>
      <c r="W31" s="7">
        <v>470.24099999999999</v>
      </c>
      <c r="X31" s="9">
        <v>1.2882495516931299E-11</v>
      </c>
      <c r="Y31" s="7">
        <v>1.5369999999999999</v>
      </c>
      <c r="Z31" s="7">
        <v>24.74</v>
      </c>
      <c r="AA31" s="7">
        <v>2.93</v>
      </c>
      <c r="AB31" s="7">
        <v>3.96</v>
      </c>
      <c r="AC31" s="7">
        <v>9.5299999999999994</v>
      </c>
      <c r="AD31" s="7">
        <v>4.0199999999999996</v>
      </c>
      <c r="AE31" s="7">
        <v>114</v>
      </c>
      <c r="AF31" s="7">
        <v>197.56399999999999</v>
      </c>
      <c r="AG31" s="7">
        <v>632.65099999999995</v>
      </c>
      <c r="AH31" s="7" t="s">
        <v>37</v>
      </c>
      <c r="AI31" s="7">
        <v>6.55</v>
      </c>
      <c r="AJ31" s="7">
        <v>78.320999999999998</v>
      </c>
      <c r="AK31" s="7">
        <v>0</v>
      </c>
      <c r="AL31" s="7">
        <v>50.582999999999998</v>
      </c>
      <c r="AM31" s="7" t="s">
        <v>37</v>
      </c>
      <c r="AN31" s="9">
        <v>5.0234300000000005E-16</v>
      </c>
      <c r="AO31" s="7" t="s">
        <v>37</v>
      </c>
      <c r="AP31" s="7">
        <v>3.4855993516690802E-4</v>
      </c>
      <c r="AQ31" s="7">
        <v>1</v>
      </c>
      <c r="AR31" s="7">
        <v>1</v>
      </c>
      <c r="AS31"/>
    </row>
    <row r="32" spans="1:45" ht="19.5" customHeight="1" x14ac:dyDescent="0.3">
      <c r="A32" s="7" t="s">
        <v>904</v>
      </c>
      <c r="B32" s="7" t="s">
        <v>2080</v>
      </c>
      <c r="C32" s="7">
        <v>85</v>
      </c>
      <c r="D32" s="7">
        <v>33780.182798028298</v>
      </c>
      <c r="E32" s="7">
        <v>606</v>
      </c>
      <c r="F32" s="7">
        <v>39.575376884422099</v>
      </c>
      <c r="G32" s="7" t="s">
        <v>905</v>
      </c>
      <c r="H32" s="7" t="s">
        <v>906</v>
      </c>
      <c r="I32" s="7" t="s">
        <v>907</v>
      </c>
      <c r="J32" s="8" t="s">
        <v>908</v>
      </c>
      <c r="K32" s="7" t="s">
        <v>909</v>
      </c>
      <c r="L32" s="7">
        <v>213.66</v>
      </c>
      <c r="M32" s="7" t="s">
        <v>37</v>
      </c>
      <c r="N32" s="7" t="s">
        <v>37</v>
      </c>
      <c r="O32" s="7" t="s">
        <v>37</v>
      </c>
      <c r="P32" s="7" t="s">
        <v>37</v>
      </c>
      <c r="Q32" s="7">
        <v>21366.400000000001</v>
      </c>
      <c r="R32" s="7" t="s">
        <v>37</v>
      </c>
      <c r="S32" s="7">
        <v>7050.78</v>
      </c>
      <c r="T32" s="7">
        <v>705.07799999999997</v>
      </c>
      <c r="U32" s="7">
        <v>350.23250000000002</v>
      </c>
      <c r="V32" s="7">
        <v>1.292</v>
      </c>
      <c r="W32" s="7">
        <v>177.29900000000001</v>
      </c>
      <c r="X32" s="9">
        <v>1.8620871366628699E-9</v>
      </c>
      <c r="Y32" s="7">
        <v>1.577</v>
      </c>
      <c r="Z32" s="7">
        <v>5.77</v>
      </c>
      <c r="AA32" s="7">
        <v>-2.35</v>
      </c>
      <c r="AB32" s="7">
        <v>-4.2300000000000004</v>
      </c>
      <c r="AC32" s="7">
        <v>8.1199999999999992</v>
      </c>
      <c r="AD32" s="7">
        <v>-0.96</v>
      </c>
      <c r="AE32" s="7">
        <v>207</v>
      </c>
      <c r="AF32" s="7">
        <v>55.066000000000003</v>
      </c>
      <c r="AG32" s="7">
        <v>166.26599999999999</v>
      </c>
      <c r="AH32" s="7">
        <v>4.12</v>
      </c>
      <c r="AI32" s="7" t="s">
        <v>37</v>
      </c>
      <c r="AJ32" s="7">
        <v>21.83</v>
      </c>
      <c r="AK32" s="7">
        <v>1</v>
      </c>
      <c r="AL32" s="7">
        <v>53.088000000000001</v>
      </c>
      <c r="AM32" s="7">
        <v>164.815</v>
      </c>
      <c r="AN32" s="9">
        <v>4.0926100000000003E-6</v>
      </c>
      <c r="AO32" s="7">
        <v>29.040199999999999</v>
      </c>
      <c r="AP32" s="7">
        <v>2.01E-2</v>
      </c>
      <c r="AQ32" s="7">
        <v>1</v>
      </c>
      <c r="AR32" s="7">
        <v>0</v>
      </c>
      <c r="AS32"/>
    </row>
    <row r="33" spans="1:45" ht="19.5" customHeight="1" x14ac:dyDescent="0.3">
      <c r="A33" s="7" t="s">
        <v>1695</v>
      </c>
      <c r="B33" s="7" t="s">
        <v>2089</v>
      </c>
      <c r="C33" s="7">
        <v>10</v>
      </c>
      <c r="D33" s="7">
        <v>26.484061954225901</v>
      </c>
      <c r="E33" s="7">
        <v>183</v>
      </c>
      <c r="F33" s="7">
        <v>40.983606557377101</v>
      </c>
      <c r="G33" s="7" t="s">
        <v>1696</v>
      </c>
      <c r="H33" s="7" t="s">
        <v>1697</v>
      </c>
      <c r="I33" s="7" t="s">
        <v>1698</v>
      </c>
      <c r="J33" s="8" t="s">
        <v>1699</v>
      </c>
      <c r="K33" s="7" t="s">
        <v>1700</v>
      </c>
      <c r="L33" s="7">
        <v>408.92</v>
      </c>
      <c r="M33" s="7" t="s">
        <v>37</v>
      </c>
      <c r="N33" s="7" t="s">
        <v>37</v>
      </c>
      <c r="O33" s="7" t="s">
        <v>37</v>
      </c>
      <c r="P33" s="7" t="s">
        <v>37</v>
      </c>
      <c r="Q33" s="7" t="s">
        <v>37</v>
      </c>
      <c r="R33" s="7" t="s">
        <v>37</v>
      </c>
      <c r="S33" s="7">
        <v>408.92200000000003</v>
      </c>
      <c r="T33" s="7">
        <v>40.892200000000003</v>
      </c>
      <c r="U33" s="7">
        <v>480.63249999999999</v>
      </c>
      <c r="V33" s="7">
        <v>1.3465</v>
      </c>
      <c r="W33" s="7">
        <v>312.59649999999999</v>
      </c>
      <c r="X33" s="9">
        <v>7.4131024130091603E-11</v>
      </c>
      <c r="Y33" s="7">
        <v>1.61</v>
      </c>
      <c r="Z33" s="7">
        <v>13.2</v>
      </c>
      <c r="AA33" s="7">
        <v>-0.14000000000000001</v>
      </c>
      <c r="AB33" s="7">
        <v>1.56</v>
      </c>
      <c r="AC33" s="7">
        <v>9.33</v>
      </c>
      <c r="AD33" s="7">
        <v>2.0329999999999999</v>
      </c>
      <c r="AE33" s="7">
        <v>118.5</v>
      </c>
      <c r="AF33" s="7">
        <v>104.953</v>
      </c>
      <c r="AG33" s="7">
        <v>302.56200000000001</v>
      </c>
      <c r="AH33" s="7">
        <v>8.69</v>
      </c>
      <c r="AI33" s="7">
        <v>6.55</v>
      </c>
      <c r="AJ33" s="7">
        <v>41.606000000000002</v>
      </c>
      <c r="AK33" s="7">
        <v>0</v>
      </c>
      <c r="AL33" s="7">
        <v>60.018999999999998</v>
      </c>
      <c r="AM33" s="7" t="s">
        <v>37</v>
      </c>
      <c r="AN33" s="9">
        <v>1.9498445997580401E-10</v>
      </c>
      <c r="AO33" s="7" t="s">
        <v>37</v>
      </c>
      <c r="AP33" s="7">
        <v>1.1359800000000001E-4</v>
      </c>
      <c r="AQ33" s="7">
        <v>1</v>
      </c>
      <c r="AR33" s="7">
        <v>1</v>
      </c>
      <c r="AS33"/>
    </row>
    <row r="34" spans="1:45" ht="19.5" customHeight="1" x14ac:dyDescent="0.3">
      <c r="A34" s="7" t="s">
        <v>1695</v>
      </c>
      <c r="B34" s="7" t="s">
        <v>2091</v>
      </c>
      <c r="C34" s="7">
        <v>10</v>
      </c>
      <c r="D34" s="7">
        <v>27.5555555555556</v>
      </c>
      <c r="E34" s="7">
        <v>9</v>
      </c>
      <c r="F34" s="7">
        <v>30</v>
      </c>
      <c r="G34" s="7" t="s">
        <v>1696</v>
      </c>
      <c r="H34" s="7" t="s">
        <v>1697</v>
      </c>
      <c r="I34" s="7" t="s">
        <v>1698</v>
      </c>
      <c r="J34" s="8" t="s">
        <v>1699</v>
      </c>
      <c r="K34" s="7" t="s">
        <v>1700</v>
      </c>
      <c r="L34" s="7">
        <v>408.92</v>
      </c>
      <c r="M34" s="7" t="s">
        <v>37</v>
      </c>
      <c r="N34" s="7" t="s">
        <v>37</v>
      </c>
      <c r="O34" s="7" t="s">
        <v>37</v>
      </c>
      <c r="P34" s="7" t="s">
        <v>37</v>
      </c>
      <c r="Q34" s="7" t="s">
        <v>37</v>
      </c>
      <c r="R34" s="7" t="s">
        <v>37</v>
      </c>
      <c r="S34" s="7">
        <v>408.92200000000003</v>
      </c>
      <c r="T34" s="7">
        <v>40.892200000000003</v>
      </c>
      <c r="U34" s="7">
        <v>480.63249999999999</v>
      </c>
      <c r="V34" s="7">
        <v>1.3465</v>
      </c>
      <c r="W34" s="7">
        <v>312.59649999999999</v>
      </c>
      <c r="X34" s="9">
        <v>7.4131024130091603E-11</v>
      </c>
      <c r="Y34" s="7">
        <v>1.61</v>
      </c>
      <c r="Z34" s="7">
        <v>13.2</v>
      </c>
      <c r="AA34" s="7">
        <v>-0.14000000000000001</v>
      </c>
      <c r="AB34" s="7">
        <v>1.56</v>
      </c>
      <c r="AC34" s="7">
        <v>9.33</v>
      </c>
      <c r="AD34" s="7">
        <v>2.0329999999999999</v>
      </c>
      <c r="AE34" s="7">
        <v>118.5</v>
      </c>
      <c r="AF34" s="7">
        <v>104.953</v>
      </c>
      <c r="AG34" s="7">
        <v>302.56200000000001</v>
      </c>
      <c r="AH34" s="7">
        <v>8.69</v>
      </c>
      <c r="AI34" s="7">
        <v>6.55</v>
      </c>
      <c r="AJ34" s="7">
        <v>41.606000000000002</v>
      </c>
      <c r="AK34" s="7">
        <v>0</v>
      </c>
      <c r="AL34" s="7">
        <v>60.018999999999998</v>
      </c>
      <c r="AM34" s="7" t="s">
        <v>37</v>
      </c>
      <c r="AN34" s="9">
        <v>1.9498445997580401E-10</v>
      </c>
      <c r="AO34" s="7" t="s">
        <v>37</v>
      </c>
      <c r="AP34" s="7">
        <v>1.1359800000000001E-4</v>
      </c>
      <c r="AQ34" s="7">
        <v>1</v>
      </c>
      <c r="AR34" s="7">
        <v>1</v>
      </c>
      <c r="AS34"/>
    </row>
    <row r="35" spans="1:45" ht="19.5" customHeight="1" x14ac:dyDescent="0.3">
      <c r="A35" s="7" t="s">
        <v>969</v>
      </c>
      <c r="B35" s="7" t="s">
        <v>2080</v>
      </c>
      <c r="C35" s="7">
        <v>1</v>
      </c>
      <c r="D35" s="7">
        <v>28566.8366801706</v>
      </c>
      <c r="E35" s="7">
        <v>450</v>
      </c>
      <c r="F35" s="7">
        <v>66.494186046511601</v>
      </c>
      <c r="G35" s="7" t="s">
        <v>970</v>
      </c>
      <c r="H35" s="7" t="s">
        <v>971</v>
      </c>
      <c r="I35" s="7" t="s">
        <v>972</v>
      </c>
      <c r="J35" s="8" t="s">
        <v>973</v>
      </c>
      <c r="K35" s="7" t="s">
        <v>974</v>
      </c>
      <c r="L35" s="7">
        <v>424.49700000000001</v>
      </c>
      <c r="M35" s="7" t="s">
        <v>37</v>
      </c>
      <c r="N35" s="7" t="s">
        <v>37</v>
      </c>
      <c r="O35" s="7" t="s">
        <v>37</v>
      </c>
      <c r="P35" s="7" t="s">
        <v>37</v>
      </c>
      <c r="Q35" s="7" t="s">
        <v>37</v>
      </c>
      <c r="R35" s="7" t="s">
        <v>37</v>
      </c>
      <c r="S35" s="7" t="s">
        <v>37</v>
      </c>
      <c r="T35" s="7" t="s">
        <v>37</v>
      </c>
      <c r="U35" s="7">
        <v>561.53</v>
      </c>
      <c r="V35" s="7">
        <v>1.2815000000000001</v>
      </c>
      <c r="W35" s="7">
        <v>355.81700000000001</v>
      </c>
      <c r="X35" s="9">
        <v>1.2882495516931299E-11</v>
      </c>
      <c r="Y35" s="7">
        <v>1.6080000000000001</v>
      </c>
      <c r="Z35" s="7">
        <v>16.41</v>
      </c>
      <c r="AA35" s="7">
        <v>-0.16</v>
      </c>
      <c r="AB35" s="7">
        <v>-2.0499999999999998</v>
      </c>
      <c r="AC35" s="7">
        <v>9.6300000000000008</v>
      </c>
      <c r="AD35" s="7">
        <v>3.1695000000000002</v>
      </c>
      <c r="AE35" s="7">
        <v>148.5</v>
      </c>
      <c r="AF35" s="7">
        <v>116.09699999999999</v>
      </c>
      <c r="AG35" s="7">
        <v>335.82400000000001</v>
      </c>
      <c r="AH35" s="7">
        <v>4.0199999999999996</v>
      </c>
      <c r="AI35" s="7" t="s">
        <v>37</v>
      </c>
      <c r="AJ35" s="7">
        <v>46.024000000000001</v>
      </c>
      <c r="AK35" s="7">
        <v>0</v>
      </c>
      <c r="AL35" s="7">
        <v>58.915999999999997</v>
      </c>
      <c r="AM35" s="7">
        <v>160.90100000000001</v>
      </c>
      <c r="AN35" s="9">
        <v>1.23595E-10</v>
      </c>
      <c r="AO35" s="7" t="s">
        <v>37</v>
      </c>
      <c r="AP35" s="9">
        <v>6.9115999999999994E-5</v>
      </c>
      <c r="AQ35" s="7">
        <v>1</v>
      </c>
      <c r="AR35" s="7">
        <v>1</v>
      </c>
      <c r="AS35"/>
    </row>
    <row r="36" spans="1:45" ht="19.5" customHeight="1" x14ac:dyDescent="0.3">
      <c r="A36" s="7" t="s">
        <v>290</v>
      </c>
      <c r="B36" s="7" t="s">
        <v>2080</v>
      </c>
      <c r="C36" s="7">
        <v>100</v>
      </c>
      <c r="D36" s="7">
        <v>434936.11127711198</v>
      </c>
      <c r="E36" s="7">
        <v>344</v>
      </c>
      <c r="F36" s="7">
        <v>10.1713147410359</v>
      </c>
      <c r="G36" s="7" t="s">
        <v>291</v>
      </c>
      <c r="H36" s="7" t="s">
        <v>292</v>
      </c>
      <c r="I36" s="7" t="s">
        <v>293</v>
      </c>
      <c r="J36" s="8" t="s">
        <v>294</v>
      </c>
      <c r="K36" s="7" t="s">
        <v>295</v>
      </c>
      <c r="L36" s="7">
        <v>603.75</v>
      </c>
      <c r="M36" s="7" t="s">
        <v>37</v>
      </c>
      <c r="N36" s="7" t="s">
        <v>37</v>
      </c>
      <c r="O36" s="7" t="s">
        <v>37</v>
      </c>
      <c r="P36" s="7" t="s">
        <v>37</v>
      </c>
      <c r="Q36" s="7" t="s">
        <v>37</v>
      </c>
      <c r="R36" s="7" t="s">
        <v>37</v>
      </c>
      <c r="S36" s="7" t="s">
        <v>37</v>
      </c>
      <c r="T36" s="7" t="s">
        <v>37</v>
      </c>
      <c r="U36" s="7">
        <v>561.75199999999995</v>
      </c>
      <c r="V36" s="7">
        <v>1.1054999999999999</v>
      </c>
      <c r="W36" s="7">
        <v>307.29300000000001</v>
      </c>
      <c r="X36" s="9">
        <v>8.5113803820237603E-10</v>
      </c>
      <c r="Y36" s="7">
        <v>1.4950000000000001</v>
      </c>
      <c r="Z36" s="7">
        <v>20.2</v>
      </c>
      <c r="AA36" s="7">
        <v>2.4500000000000002</v>
      </c>
      <c r="AB36" s="7">
        <v>2.42</v>
      </c>
      <c r="AC36" s="7">
        <v>10.57</v>
      </c>
      <c r="AD36" s="7">
        <v>2.4500000000000002</v>
      </c>
      <c r="AE36" s="7">
        <v>73</v>
      </c>
      <c r="AF36" s="7">
        <v>160.63300000000001</v>
      </c>
      <c r="AG36" s="7">
        <v>550.68499999999995</v>
      </c>
      <c r="AH36" s="7">
        <v>8.48</v>
      </c>
      <c r="AI36" s="7" t="s">
        <v>37</v>
      </c>
      <c r="AJ36" s="7">
        <v>63.68</v>
      </c>
      <c r="AK36" s="7">
        <v>0</v>
      </c>
      <c r="AL36" s="7">
        <v>39.838000000000001</v>
      </c>
      <c r="AM36" s="7">
        <v>189.81200000000001</v>
      </c>
      <c r="AN36" s="9">
        <v>1.81552E-10</v>
      </c>
      <c r="AO36" s="7" t="s">
        <v>37</v>
      </c>
      <c r="AP36" s="7">
        <v>3.1188899999999998E-4</v>
      </c>
      <c r="AQ36" s="7">
        <v>1</v>
      </c>
      <c r="AR36" s="7">
        <v>1</v>
      </c>
      <c r="AS36"/>
    </row>
    <row r="37" spans="1:45" ht="19.5" customHeight="1" x14ac:dyDescent="0.3">
      <c r="A37" s="7" t="s">
        <v>2093</v>
      </c>
      <c r="B37" s="7" t="s">
        <v>2083</v>
      </c>
      <c r="C37" s="7">
        <v>100</v>
      </c>
      <c r="D37" s="7">
        <v>35756838.451715097</v>
      </c>
      <c r="E37" s="7">
        <v>38</v>
      </c>
      <c r="F37" s="7">
        <v>28.230769230769202</v>
      </c>
      <c r="G37" s="7" t="s">
        <v>2094</v>
      </c>
      <c r="H37" s="7" t="s">
        <v>2095</v>
      </c>
      <c r="I37" s="7" t="s">
        <v>2096</v>
      </c>
      <c r="J37" s="8" t="s">
        <v>2097</v>
      </c>
      <c r="K37" s="7" t="s">
        <v>2098</v>
      </c>
      <c r="L37" s="7">
        <v>242.23</v>
      </c>
      <c r="M37" s="7" t="s">
        <v>37</v>
      </c>
      <c r="N37" s="7" t="s">
        <v>37</v>
      </c>
      <c r="O37" s="7" t="s">
        <v>37</v>
      </c>
      <c r="P37" s="7" t="s">
        <v>37</v>
      </c>
      <c r="Q37" s="7" t="s">
        <v>37</v>
      </c>
      <c r="R37" s="7" t="s">
        <v>37</v>
      </c>
      <c r="S37" s="7" t="s">
        <v>37</v>
      </c>
      <c r="T37" s="7" t="s">
        <v>37</v>
      </c>
      <c r="U37" s="7">
        <v>349.702</v>
      </c>
      <c r="V37" s="7">
        <v>1.2290000000000001</v>
      </c>
      <c r="W37" s="7">
        <v>181.97800000000001</v>
      </c>
      <c r="X37" s="9">
        <v>2.9512092266663799E-8</v>
      </c>
      <c r="Y37" s="7" t="s">
        <v>37</v>
      </c>
      <c r="Z37" s="7">
        <v>17.91</v>
      </c>
      <c r="AA37" s="7">
        <v>3.46</v>
      </c>
      <c r="AB37" s="7">
        <v>3.46</v>
      </c>
      <c r="AC37" s="7">
        <v>8.41</v>
      </c>
      <c r="AD37" s="7">
        <v>3.46</v>
      </c>
      <c r="AE37" s="7">
        <v>105</v>
      </c>
      <c r="AF37" s="7" t="s">
        <v>37</v>
      </c>
      <c r="AG37" s="7" t="s">
        <v>37</v>
      </c>
      <c r="AH37" s="7" t="s">
        <v>37</v>
      </c>
      <c r="AI37" s="7" t="s">
        <v>37</v>
      </c>
      <c r="AJ37" s="7" t="s">
        <v>37</v>
      </c>
      <c r="AK37" s="7">
        <v>0</v>
      </c>
      <c r="AL37" s="7">
        <v>41.313000000000002</v>
      </c>
      <c r="AM37" s="7">
        <v>145.35400000000001</v>
      </c>
      <c r="AN37" s="9">
        <v>5.5115499999999998E-5</v>
      </c>
      <c r="AO37" s="7">
        <v>9.9311600000000002</v>
      </c>
      <c r="AP37" s="9">
        <v>3.75664E-5</v>
      </c>
      <c r="AQ37" s="7">
        <v>0</v>
      </c>
      <c r="AR37" s="7">
        <v>0</v>
      </c>
      <c r="AS37"/>
    </row>
    <row r="38" spans="1:45" ht="19.5" customHeight="1" x14ac:dyDescent="0.3">
      <c r="A38" s="7" t="s">
        <v>1535</v>
      </c>
      <c r="B38" s="7" t="s">
        <v>2080</v>
      </c>
      <c r="C38" s="7">
        <v>70</v>
      </c>
      <c r="D38" s="7">
        <v>1625.4218919042501</v>
      </c>
      <c r="E38" s="7">
        <v>232</v>
      </c>
      <c r="F38" s="7">
        <v>36.111702127659598</v>
      </c>
      <c r="G38" s="7" t="s">
        <v>1536</v>
      </c>
      <c r="H38" s="7" t="s">
        <v>1537</v>
      </c>
      <c r="I38" s="7" t="s">
        <v>1538</v>
      </c>
      <c r="J38" s="8" t="s">
        <v>1539</v>
      </c>
      <c r="K38" s="7" t="s">
        <v>1540</v>
      </c>
      <c r="L38" s="7">
        <v>307.43700000000001</v>
      </c>
      <c r="M38" s="7" t="s">
        <v>37</v>
      </c>
      <c r="N38" s="7" t="s">
        <v>37</v>
      </c>
      <c r="O38" s="7" t="s">
        <v>37</v>
      </c>
      <c r="P38" s="7" t="s">
        <v>37</v>
      </c>
      <c r="Q38" s="7" t="s">
        <v>37</v>
      </c>
      <c r="R38" s="7" t="s">
        <v>37</v>
      </c>
      <c r="S38" s="7" t="s">
        <v>37</v>
      </c>
      <c r="T38" s="7" t="s">
        <v>37</v>
      </c>
      <c r="U38" s="7">
        <v>381.89800000000002</v>
      </c>
      <c r="V38" s="7">
        <v>1.1065</v>
      </c>
      <c r="W38" s="7">
        <v>159.363</v>
      </c>
      <c r="X38" s="9">
        <v>1.14815362149688E-6</v>
      </c>
      <c r="Y38" s="7">
        <v>1.6040000000000001</v>
      </c>
      <c r="Z38" s="7">
        <v>23.07</v>
      </c>
      <c r="AA38" s="7">
        <v>0.73</v>
      </c>
      <c r="AB38" s="7">
        <v>2.61</v>
      </c>
      <c r="AC38" s="7">
        <v>9.6300000000000008</v>
      </c>
      <c r="AD38" s="7">
        <v>4.4930000000000003</v>
      </c>
      <c r="AE38" s="7">
        <v>102</v>
      </c>
      <c r="AF38" s="7">
        <v>94.587000000000003</v>
      </c>
      <c r="AG38" s="7">
        <v>274.846</v>
      </c>
      <c r="AH38" s="7" t="s">
        <v>37</v>
      </c>
      <c r="AI38" s="7">
        <v>8.7899999999999991</v>
      </c>
      <c r="AJ38" s="7">
        <v>37.497</v>
      </c>
      <c r="AK38" s="7">
        <v>0</v>
      </c>
      <c r="AL38" s="7">
        <v>45.226500000000001</v>
      </c>
      <c r="AM38" s="7">
        <v>139.917</v>
      </c>
      <c r="AN38" s="9">
        <v>6.3095699999999995E-7</v>
      </c>
      <c r="AO38" s="7">
        <v>26.668600000000001</v>
      </c>
      <c r="AP38" s="7">
        <v>1.004473E-4</v>
      </c>
      <c r="AQ38" s="7">
        <v>1</v>
      </c>
      <c r="AR38" s="7">
        <v>0</v>
      </c>
      <c r="AS38"/>
    </row>
    <row r="39" spans="1:45" ht="19.5" customHeight="1" x14ac:dyDescent="0.3">
      <c r="A39" s="7" t="s">
        <v>331</v>
      </c>
      <c r="B39" s="7" t="s">
        <v>2092</v>
      </c>
      <c r="C39" s="7">
        <v>90</v>
      </c>
      <c r="D39" s="9">
        <v>300000</v>
      </c>
      <c r="E39" s="7">
        <v>2</v>
      </c>
      <c r="F39" s="7">
        <v>50</v>
      </c>
      <c r="G39" s="7" t="s">
        <v>332</v>
      </c>
      <c r="H39" s="7" t="s">
        <v>333</v>
      </c>
      <c r="I39" s="7" t="s">
        <v>334</v>
      </c>
      <c r="J39" s="8" t="s">
        <v>335</v>
      </c>
      <c r="K39" s="7" t="s">
        <v>336</v>
      </c>
      <c r="L39" s="7">
        <v>388.89</v>
      </c>
      <c r="M39" s="7" t="s">
        <v>37</v>
      </c>
      <c r="N39" s="7" t="s">
        <v>37</v>
      </c>
      <c r="O39" s="7" t="s">
        <v>37</v>
      </c>
      <c r="P39" s="7" t="s">
        <v>37</v>
      </c>
      <c r="Q39" s="7" t="s">
        <v>37</v>
      </c>
      <c r="R39" s="7" t="s">
        <v>37</v>
      </c>
      <c r="S39" s="7" t="s">
        <v>37</v>
      </c>
      <c r="T39" s="7" t="s">
        <v>37</v>
      </c>
      <c r="U39" s="7">
        <v>439.90949999999998</v>
      </c>
      <c r="V39" s="7">
        <v>1.2689999999999999</v>
      </c>
      <c r="W39" s="7">
        <v>284.50599999999997</v>
      </c>
      <c r="X39" s="9">
        <v>9.3325430079699198E-9</v>
      </c>
      <c r="Y39" s="7">
        <v>1.605</v>
      </c>
      <c r="Z39" s="7">
        <v>14.4</v>
      </c>
      <c r="AA39" s="7">
        <v>2.93</v>
      </c>
      <c r="AB39" s="7">
        <v>3.16</v>
      </c>
      <c r="AC39" s="7">
        <v>10.36</v>
      </c>
      <c r="AD39" s="7">
        <v>3.669</v>
      </c>
      <c r="AE39" s="7">
        <v>209</v>
      </c>
      <c r="AF39" s="7">
        <v>105.584</v>
      </c>
      <c r="AG39" s="7">
        <v>306.55200000000002</v>
      </c>
      <c r="AH39" s="7">
        <v>2.0699999999999998</v>
      </c>
      <c r="AI39" s="7">
        <v>10.02</v>
      </c>
      <c r="AJ39" s="7">
        <v>41.856999999999999</v>
      </c>
      <c r="AK39" s="7">
        <v>0</v>
      </c>
      <c r="AL39" s="7">
        <v>58.042999999999999</v>
      </c>
      <c r="AM39" s="7" t="s">
        <v>37</v>
      </c>
      <c r="AN39" s="9">
        <v>5.0004315000000003E-9</v>
      </c>
      <c r="AO39" s="7" t="s">
        <v>37</v>
      </c>
      <c r="AP39" s="7">
        <v>5.5466627150398498E-4</v>
      </c>
      <c r="AQ39" s="7">
        <v>1</v>
      </c>
      <c r="AR39" s="7">
        <v>0</v>
      </c>
      <c r="AS39"/>
    </row>
    <row r="40" spans="1:45" ht="19.5" customHeight="1" x14ac:dyDescent="0.3">
      <c r="A40" s="7" t="s">
        <v>2099</v>
      </c>
      <c r="B40" s="7" t="s">
        <v>2083</v>
      </c>
      <c r="C40" s="7">
        <v>100</v>
      </c>
      <c r="D40" s="7">
        <v>149792.31728588999</v>
      </c>
      <c r="E40" s="7">
        <v>159</v>
      </c>
      <c r="F40" s="7">
        <v>17.917525773195901</v>
      </c>
      <c r="G40" s="7" t="s">
        <v>2100</v>
      </c>
      <c r="H40" s="7" t="s">
        <v>2101</v>
      </c>
      <c r="I40" s="7" t="s">
        <v>2102</v>
      </c>
      <c r="J40" s="7" t="s">
        <v>2103</v>
      </c>
      <c r="K40" s="7" t="s">
        <v>1302</v>
      </c>
      <c r="L40" s="7">
        <v>392.46699999999902</v>
      </c>
      <c r="M40" s="7" t="s">
        <v>37</v>
      </c>
      <c r="N40" s="7" t="s">
        <v>37</v>
      </c>
      <c r="O40" s="7" t="s">
        <v>37</v>
      </c>
      <c r="P40" s="7" t="s">
        <v>37</v>
      </c>
      <c r="Q40" s="7" t="s">
        <v>37</v>
      </c>
      <c r="R40" s="7" t="s">
        <v>37</v>
      </c>
      <c r="S40" s="7" t="s">
        <v>37</v>
      </c>
      <c r="T40" s="7" t="s">
        <v>37</v>
      </c>
      <c r="U40" s="7">
        <v>426.90800000000002</v>
      </c>
      <c r="V40" s="7">
        <v>1.32</v>
      </c>
      <c r="W40" s="7">
        <v>300.553</v>
      </c>
      <c r="X40" s="9">
        <v>6.6069344800759605E-11</v>
      </c>
      <c r="Y40" s="7" t="s">
        <v>37</v>
      </c>
      <c r="Z40" s="7">
        <v>11.71</v>
      </c>
      <c r="AA40" s="7">
        <v>1.92</v>
      </c>
      <c r="AB40" s="7">
        <v>1.7</v>
      </c>
      <c r="AC40" s="7">
        <v>9.3000000000000007</v>
      </c>
      <c r="AD40" s="7">
        <v>1.92</v>
      </c>
      <c r="AE40" s="7">
        <v>247.5</v>
      </c>
      <c r="AF40" s="7" t="s">
        <v>37</v>
      </c>
      <c r="AG40" s="7" t="s">
        <v>37</v>
      </c>
      <c r="AH40" s="7">
        <v>7.57</v>
      </c>
      <c r="AI40" s="7" t="s">
        <v>37</v>
      </c>
      <c r="AJ40" s="7" t="s">
        <v>37</v>
      </c>
      <c r="AK40" s="7">
        <v>0</v>
      </c>
      <c r="AL40" s="7" t="s">
        <v>37</v>
      </c>
      <c r="AM40" s="7" t="s">
        <v>37</v>
      </c>
      <c r="AN40" s="9">
        <v>6.8670169461678802E-10</v>
      </c>
      <c r="AO40" s="7" t="s">
        <v>37</v>
      </c>
      <c r="AP40" s="7">
        <v>1.6982400000000001E-4</v>
      </c>
      <c r="AQ40" s="7">
        <v>1</v>
      </c>
      <c r="AR40" s="7">
        <v>0</v>
      </c>
      <c r="AS40"/>
    </row>
    <row r="41" spans="1:45" ht="19.5" customHeight="1" x14ac:dyDescent="0.3">
      <c r="A41" s="7" t="s">
        <v>1587</v>
      </c>
      <c r="B41" s="7" t="s">
        <v>2092</v>
      </c>
      <c r="C41" s="7">
        <v>30</v>
      </c>
      <c r="D41" s="7">
        <v>998.00777479961403</v>
      </c>
      <c r="E41" s="7">
        <v>210</v>
      </c>
      <c r="F41" s="7">
        <v>89.783505154639201</v>
      </c>
      <c r="G41" s="7" t="s">
        <v>1588</v>
      </c>
      <c r="H41" s="7" t="s">
        <v>1589</v>
      </c>
      <c r="I41" s="7" t="s">
        <v>1590</v>
      </c>
      <c r="J41" s="8" t="s">
        <v>1591</v>
      </c>
      <c r="K41" s="7" t="s">
        <v>1592</v>
      </c>
      <c r="L41" s="7">
        <v>415.57400000000001</v>
      </c>
      <c r="M41" s="7" t="s">
        <v>37</v>
      </c>
      <c r="N41" s="7" t="s">
        <v>37</v>
      </c>
      <c r="O41" s="7" t="s">
        <v>37</v>
      </c>
      <c r="P41" s="7" t="s">
        <v>37</v>
      </c>
      <c r="Q41" s="7" t="s">
        <v>37</v>
      </c>
      <c r="R41" s="7" t="s">
        <v>37</v>
      </c>
      <c r="S41" s="7" t="s">
        <v>37</v>
      </c>
      <c r="T41" s="7" t="s">
        <v>37</v>
      </c>
      <c r="U41" s="7">
        <v>508.90100000000001</v>
      </c>
      <c r="V41" s="7">
        <v>1.145</v>
      </c>
      <c r="W41" s="7">
        <v>334.69200000000001</v>
      </c>
      <c r="X41" s="9">
        <v>8.7096358995608007E-12</v>
      </c>
      <c r="Y41" s="7">
        <v>1.591</v>
      </c>
      <c r="Z41" s="7">
        <v>25.11</v>
      </c>
      <c r="AA41" s="7">
        <v>3.88</v>
      </c>
      <c r="AB41" s="7">
        <v>3.95</v>
      </c>
      <c r="AC41" s="7">
        <v>9.4499999999999993</v>
      </c>
      <c r="AD41" s="7">
        <v>2.3679999999999999</v>
      </c>
      <c r="AE41" s="7">
        <v>161</v>
      </c>
      <c r="AF41" s="7">
        <v>122.67100000000001</v>
      </c>
      <c r="AG41" s="7">
        <v>362.84300000000002</v>
      </c>
      <c r="AH41" s="7">
        <v>20</v>
      </c>
      <c r="AI41" s="7">
        <v>4.7300000000000004</v>
      </c>
      <c r="AJ41" s="7">
        <v>48.631</v>
      </c>
      <c r="AK41" s="7">
        <v>0</v>
      </c>
      <c r="AL41" s="7">
        <v>48.003999999999998</v>
      </c>
      <c r="AM41" s="7" t="s">
        <v>37</v>
      </c>
      <c r="AN41" s="9">
        <v>3.9716461436214102E-11</v>
      </c>
      <c r="AO41" s="7" t="s">
        <v>37</v>
      </c>
      <c r="AP41" s="7">
        <v>1.2315390273850499E-4</v>
      </c>
      <c r="AQ41" s="7">
        <v>0</v>
      </c>
      <c r="AR41" s="7">
        <v>1</v>
      </c>
      <c r="AS41"/>
    </row>
    <row r="42" spans="1:45" ht="19.5" customHeight="1" x14ac:dyDescent="0.3">
      <c r="A42" s="7" t="s">
        <v>1351</v>
      </c>
      <c r="B42" s="7" t="s">
        <v>2080</v>
      </c>
      <c r="C42" s="7">
        <v>100</v>
      </c>
      <c r="D42" s="7">
        <v>7004.86854917235</v>
      </c>
      <c r="E42" s="7">
        <v>26</v>
      </c>
      <c r="F42" s="7">
        <v>21.0149572649573</v>
      </c>
      <c r="G42" s="7" t="s">
        <v>1352</v>
      </c>
      <c r="H42" s="7" t="s">
        <v>1353</v>
      </c>
      <c r="I42" s="7" t="s">
        <v>1354</v>
      </c>
      <c r="J42" s="8" t="s">
        <v>1355</v>
      </c>
      <c r="K42" s="7" t="s">
        <v>1356</v>
      </c>
      <c r="L42" s="7">
        <v>361.39699999999903</v>
      </c>
      <c r="M42" s="7" t="s">
        <v>37</v>
      </c>
      <c r="N42" s="7" t="s">
        <v>37</v>
      </c>
      <c r="O42" s="7" t="s">
        <v>37</v>
      </c>
      <c r="P42" s="7" t="s">
        <v>37</v>
      </c>
      <c r="Q42" s="7" t="s">
        <v>37</v>
      </c>
      <c r="R42" s="7" t="s">
        <v>37</v>
      </c>
      <c r="S42" s="7" t="s">
        <v>37</v>
      </c>
      <c r="T42" s="7" t="s">
        <v>37</v>
      </c>
      <c r="U42" s="7">
        <v>423.11649999999997</v>
      </c>
      <c r="V42" s="7">
        <v>1.2075</v>
      </c>
      <c r="W42" s="7">
        <v>240.6225</v>
      </c>
      <c r="X42" s="9">
        <v>7.41310241300916E-9</v>
      </c>
      <c r="Y42" s="7">
        <v>1.5840000000000001</v>
      </c>
      <c r="Z42" s="7">
        <v>22.22</v>
      </c>
      <c r="AA42" s="7">
        <v>3.93</v>
      </c>
      <c r="AB42" s="7">
        <v>3.92</v>
      </c>
      <c r="AC42" s="7">
        <v>11.71</v>
      </c>
      <c r="AD42" s="7">
        <v>3.4355000000000002</v>
      </c>
      <c r="AE42" s="7">
        <v>133.5</v>
      </c>
      <c r="AF42" s="7">
        <v>100.741</v>
      </c>
      <c r="AG42" s="7">
        <v>301.15600000000001</v>
      </c>
      <c r="AH42" s="7">
        <v>9.1199999999999992</v>
      </c>
      <c r="AI42" s="7" t="s">
        <v>37</v>
      </c>
      <c r="AJ42" s="7">
        <v>39.936999999999998</v>
      </c>
      <c r="AK42" s="7">
        <v>0</v>
      </c>
      <c r="AL42" s="7">
        <v>46.972000000000001</v>
      </c>
      <c r="AM42" s="7">
        <v>144.74100000000001</v>
      </c>
      <c r="AN42" s="9">
        <v>3.2359365692962799E-9</v>
      </c>
      <c r="AO42" s="7">
        <v>48.417200000000001</v>
      </c>
      <c r="AP42" s="9">
        <v>1.4023465E-5</v>
      </c>
      <c r="AQ42" s="7">
        <v>1</v>
      </c>
      <c r="AR42" s="7">
        <v>1</v>
      </c>
      <c r="AS42"/>
    </row>
    <row r="43" spans="1:45" ht="19.5" customHeight="1" x14ac:dyDescent="0.3">
      <c r="A43" s="7" t="s">
        <v>1351</v>
      </c>
      <c r="B43" s="7" t="s">
        <v>2081</v>
      </c>
      <c r="C43" s="7">
        <v>100</v>
      </c>
      <c r="D43" s="7">
        <v>10000</v>
      </c>
      <c r="E43" s="7">
        <v>3</v>
      </c>
      <c r="F43" s="7">
        <v>30</v>
      </c>
      <c r="G43" s="7" t="s">
        <v>1352</v>
      </c>
      <c r="H43" s="7" t="s">
        <v>1353</v>
      </c>
      <c r="I43" s="7" t="s">
        <v>1354</v>
      </c>
      <c r="J43" s="8" t="s">
        <v>1355</v>
      </c>
      <c r="K43" s="7" t="s">
        <v>1356</v>
      </c>
      <c r="L43" s="7">
        <v>361.39699999999903</v>
      </c>
      <c r="M43" s="7" t="s">
        <v>37</v>
      </c>
      <c r="N43" s="7" t="s">
        <v>37</v>
      </c>
      <c r="O43" s="7" t="s">
        <v>37</v>
      </c>
      <c r="P43" s="7" t="s">
        <v>37</v>
      </c>
      <c r="Q43" s="7" t="s">
        <v>37</v>
      </c>
      <c r="R43" s="7" t="s">
        <v>37</v>
      </c>
      <c r="S43" s="7" t="s">
        <v>37</v>
      </c>
      <c r="T43" s="7" t="s">
        <v>37</v>
      </c>
      <c r="U43" s="7">
        <v>423.11649999999997</v>
      </c>
      <c r="V43" s="7">
        <v>1.2075</v>
      </c>
      <c r="W43" s="7">
        <v>240.6225</v>
      </c>
      <c r="X43" s="9">
        <v>7.41310241300916E-9</v>
      </c>
      <c r="Y43" s="7">
        <v>1.5840000000000001</v>
      </c>
      <c r="Z43" s="7">
        <v>22.22</v>
      </c>
      <c r="AA43" s="7">
        <v>3.93</v>
      </c>
      <c r="AB43" s="7">
        <v>3.92</v>
      </c>
      <c r="AC43" s="7">
        <v>11.71</v>
      </c>
      <c r="AD43" s="7">
        <v>3.4355000000000002</v>
      </c>
      <c r="AE43" s="7">
        <v>133.5</v>
      </c>
      <c r="AF43" s="7">
        <v>100.741</v>
      </c>
      <c r="AG43" s="7">
        <v>301.15600000000001</v>
      </c>
      <c r="AH43" s="7">
        <v>9.1199999999999992</v>
      </c>
      <c r="AI43" s="7" t="s">
        <v>37</v>
      </c>
      <c r="AJ43" s="7">
        <v>39.936999999999998</v>
      </c>
      <c r="AK43" s="7">
        <v>0</v>
      </c>
      <c r="AL43" s="7">
        <v>46.972000000000001</v>
      </c>
      <c r="AM43" s="7">
        <v>144.74100000000001</v>
      </c>
      <c r="AN43" s="9">
        <v>3.2359365692962799E-9</v>
      </c>
      <c r="AO43" s="7">
        <v>48.417200000000001</v>
      </c>
      <c r="AP43" s="9">
        <v>1.4023465E-5</v>
      </c>
      <c r="AQ43" s="7">
        <v>1</v>
      </c>
      <c r="AR43" s="7">
        <v>1</v>
      </c>
      <c r="AS43"/>
    </row>
    <row r="44" spans="1:45" ht="19.5" customHeight="1" x14ac:dyDescent="0.3">
      <c r="A44" s="7" t="s">
        <v>68</v>
      </c>
      <c r="B44" s="7" t="s">
        <v>2080</v>
      </c>
      <c r="C44" s="7">
        <v>1</v>
      </c>
      <c r="D44" s="7">
        <v>2096000</v>
      </c>
      <c r="E44" s="7">
        <v>1</v>
      </c>
      <c r="F44" s="7">
        <v>14</v>
      </c>
      <c r="G44" s="7" t="s">
        <v>69</v>
      </c>
      <c r="H44" s="7" t="s">
        <v>70</v>
      </c>
      <c r="I44" s="7" t="s">
        <v>71</v>
      </c>
      <c r="J44" s="8" t="s">
        <v>72</v>
      </c>
      <c r="K44" s="7" t="s">
        <v>73</v>
      </c>
      <c r="L44" s="7">
        <v>362.09300000000002</v>
      </c>
      <c r="M44" s="7" t="s">
        <v>37</v>
      </c>
      <c r="N44" s="7" t="s">
        <v>37</v>
      </c>
      <c r="O44" s="7">
        <v>400</v>
      </c>
      <c r="P44" s="7">
        <v>11.4</v>
      </c>
      <c r="Q44" s="7" t="s">
        <v>37</v>
      </c>
      <c r="R44" s="7" t="s">
        <v>37</v>
      </c>
      <c r="S44" s="7">
        <v>700</v>
      </c>
      <c r="T44" s="7">
        <v>70</v>
      </c>
      <c r="U44" s="7">
        <v>352.36</v>
      </c>
      <c r="V44" s="7" t="s">
        <v>37</v>
      </c>
      <c r="W44" s="7" t="s">
        <v>37</v>
      </c>
      <c r="X44" s="7" t="s">
        <v>37</v>
      </c>
      <c r="Y44" s="7" t="s">
        <v>37</v>
      </c>
      <c r="Z44" s="7" t="s">
        <v>37</v>
      </c>
      <c r="AA44" s="7" t="s">
        <v>37</v>
      </c>
      <c r="AB44" s="7" t="s">
        <v>37</v>
      </c>
      <c r="AC44" s="7" t="s">
        <v>37</v>
      </c>
      <c r="AD44" s="7">
        <v>0.11</v>
      </c>
      <c r="AE44" s="7">
        <v>110.39</v>
      </c>
      <c r="AF44" s="7" t="s">
        <v>37</v>
      </c>
      <c r="AG44" s="7" t="s">
        <v>37</v>
      </c>
      <c r="AH44" s="7" t="s">
        <v>37</v>
      </c>
      <c r="AI44" s="7" t="s">
        <v>37</v>
      </c>
      <c r="AJ44" s="7" t="s">
        <v>37</v>
      </c>
      <c r="AK44" s="7" t="s">
        <v>37</v>
      </c>
      <c r="AL44" s="7" t="s">
        <v>37</v>
      </c>
      <c r="AM44" s="7" t="s">
        <v>37</v>
      </c>
      <c r="AN44" s="7" t="s">
        <v>37</v>
      </c>
      <c r="AO44" s="7" t="s">
        <v>37</v>
      </c>
      <c r="AP44" s="7">
        <v>1.17152E-2</v>
      </c>
      <c r="AQ44" s="7">
        <v>0</v>
      </c>
      <c r="AR44" s="7" t="s">
        <v>37</v>
      </c>
      <c r="AS44"/>
    </row>
    <row r="45" spans="1:45" ht="19.5" customHeight="1" x14ac:dyDescent="0.3">
      <c r="A45" s="7" t="s">
        <v>1321</v>
      </c>
      <c r="B45" s="7" t="s">
        <v>2080</v>
      </c>
      <c r="C45" s="7">
        <v>50</v>
      </c>
      <c r="D45" s="7">
        <v>8062.0155038759704</v>
      </c>
      <c r="E45" s="7">
        <v>129</v>
      </c>
      <c r="F45" s="7">
        <v>54</v>
      </c>
      <c r="G45" s="7" t="s">
        <v>1322</v>
      </c>
      <c r="H45" s="7" t="s">
        <v>1323</v>
      </c>
      <c r="I45" s="7" t="s">
        <v>1324</v>
      </c>
      <c r="J45" s="8" t="s">
        <v>1325</v>
      </c>
      <c r="K45" s="7" t="s">
        <v>1326</v>
      </c>
      <c r="L45" s="7">
        <v>325.44900000000001</v>
      </c>
      <c r="M45" s="7" t="s">
        <v>37</v>
      </c>
      <c r="N45" s="7" t="s">
        <v>37</v>
      </c>
      <c r="O45" s="7" t="s">
        <v>37</v>
      </c>
      <c r="P45" s="7" t="s">
        <v>37</v>
      </c>
      <c r="Q45" s="7" t="s">
        <v>37</v>
      </c>
      <c r="R45" s="7" t="s">
        <v>37</v>
      </c>
      <c r="S45" s="7">
        <v>325.44799999999998</v>
      </c>
      <c r="T45" s="7">
        <v>32.544800000000002</v>
      </c>
      <c r="U45" s="7">
        <v>395.96899999999999</v>
      </c>
      <c r="V45" s="7">
        <v>1.0275000000000001</v>
      </c>
      <c r="W45" s="7">
        <v>217.74600000000001</v>
      </c>
      <c r="X45" s="9">
        <v>7.5857757502918505E-9</v>
      </c>
      <c r="Y45" s="7">
        <v>1.5</v>
      </c>
      <c r="Z45" s="7">
        <v>17.91</v>
      </c>
      <c r="AA45" s="7">
        <v>-2.0299999999999998</v>
      </c>
      <c r="AB45" s="7">
        <v>-0.13</v>
      </c>
      <c r="AC45" s="7">
        <v>9.1999999999999993</v>
      </c>
      <c r="AD45" s="7">
        <v>1.87</v>
      </c>
      <c r="AE45" s="7">
        <v>100</v>
      </c>
      <c r="AF45" s="7">
        <v>92.673000000000002</v>
      </c>
      <c r="AG45" s="7">
        <v>314.99</v>
      </c>
      <c r="AH45" s="7" t="s">
        <v>37</v>
      </c>
      <c r="AI45" s="7">
        <v>9.4</v>
      </c>
      <c r="AJ45" s="7">
        <v>36.738</v>
      </c>
      <c r="AK45" s="7">
        <v>0</v>
      </c>
      <c r="AL45" s="7">
        <v>36.881999999999998</v>
      </c>
      <c r="AM45" s="7">
        <v>157.52099999999999</v>
      </c>
      <c r="AN45" s="9">
        <v>2.0417379446695299E-7</v>
      </c>
      <c r="AO45" s="7">
        <v>56.623899999999999</v>
      </c>
      <c r="AP45" s="7">
        <v>8.10767150398496E-3</v>
      </c>
      <c r="AQ45" s="7">
        <v>1</v>
      </c>
      <c r="AR45" s="7">
        <v>0</v>
      </c>
      <c r="AS45"/>
    </row>
    <row r="46" spans="1:45" ht="19.5" customHeight="1" x14ac:dyDescent="0.3">
      <c r="A46" s="7" t="s">
        <v>886</v>
      </c>
      <c r="B46" s="7" t="s">
        <v>2092</v>
      </c>
      <c r="C46" s="7">
        <v>80</v>
      </c>
      <c r="D46" s="7">
        <v>36204.379764304103</v>
      </c>
      <c r="E46" s="7">
        <v>323</v>
      </c>
      <c r="F46" s="7">
        <v>58.186672303978398</v>
      </c>
      <c r="G46" s="7" t="s">
        <v>887</v>
      </c>
      <c r="H46" s="7" t="s">
        <v>888</v>
      </c>
      <c r="I46" s="7" t="s">
        <v>889</v>
      </c>
      <c r="J46" s="8" t="s">
        <v>890</v>
      </c>
      <c r="K46" s="7" t="s">
        <v>891</v>
      </c>
      <c r="L46" s="7">
        <v>292.14</v>
      </c>
      <c r="M46" s="7" t="s">
        <v>37</v>
      </c>
      <c r="N46" s="7" t="s">
        <v>37</v>
      </c>
      <c r="O46" s="7" t="s">
        <v>37</v>
      </c>
      <c r="P46" s="7" t="s">
        <v>37</v>
      </c>
      <c r="Q46" s="7" t="s">
        <v>37</v>
      </c>
      <c r="R46" s="7" t="s">
        <v>37</v>
      </c>
      <c r="S46" s="7" t="s">
        <v>37</v>
      </c>
      <c r="T46" s="7" t="s">
        <v>37</v>
      </c>
      <c r="U46" s="7">
        <v>432.55200000000002</v>
      </c>
      <c r="V46" s="7">
        <v>1.7645</v>
      </c>
      <c r="W46" s="7">
        <v>198.07900000000001</v>
      </c>
      <c r="X46" s="9">
        <v>4.46683592150963E-10</v>
      </c>
      <c r="Y46" s="7">
        <v>1.798</v>
      </c>
      <c r="Z46" s="7">
        <v>11.48</v>
      </c>
      <c r="AA46" s="7">
        <v>-1.91</v>
      </c>
      <c r="AB46" s="7">
        <v>-0.01</v>
      </c>
      <c r="AC46" s="7">
        <v>9.06</v>
      </c>
      <c r="AD46" s="7">
        <v>1.1025</v>
      </c>
      <c r="AE46" s="7">
        <v>221.25</v>
      </c>
      <c r="AF46" s="7">
        <v>68.418000000000006</v>
      </c>
      <c r="AG46" s="7">
        <v>160.30000000000001</v>
      </c>
      <c r="AH46" s="7">
        <v>9.4700000000000006</v>
      </c>
      <c r="AI46" s="7">
        <v>9.7799999999999994</v>
      </c>
      <c r="AJ46" s="7">
        <v>27.123000000000001</v>
      </c>
      <c r="AK46" s="7">
        <v>0</v>
      </c>
      <c r="AL46" s="7">
        <v>66.070999999999998</v>
      </c>
      <c r="AM46" s="7" t="s">
        <v>37</v>
      </c>
      <c r="AN46" s="9">
        <v>3.3884400000000003E-8</v>
      </c>
      <c r="AO46" s="7" t="s">
        <v>37</v>
      </c>
      <c r="AP46" s="7">
        <v>1.81090504867946E-3</v>
      </c>
      <c r="AQ46" s="7">
        <v>1</v>
      </c>
      <c r="AR46" s="7">
        <v>0</v>
      </c>
      <c r="AS46"/>
    </row>
    <row r="47" spans="1:45" ht="19.5" customHeight="1" x14ac:dyDescent="0.3">
      <c r="A47" s="7" t="s">
        <v>886</v>
      </c>
      <c r="B47" s="7" t="s">
        <v>2083</v>
      </c>
      <c r="C47" s="7">
        <v>100</v>
      </c>
      <c r="D47" s="7">
        <v>330000</v>
      </c>
      <c r="E47" s="7">
        <v>2</v>
      </c>
      <c r="F47" s="7">
        <v>30</v>
      </c>
      <c r="G47" s="7" t="s">
        <v>887</v>
      </c>
      <c r="H47" s="7" t="s">
        <v>888</v>
      </c>
      <c r="I47" s="7" t="s">
        <v>889</v>
      </c>
      <c r="J47" s="8" t="s">
        <v>890</v>
      </c>
      <c r="K47" s="7" t="s">
        <v>891</v>
      </c>
      <c r="L47" s="7">
        <v>292.14</v>
      </c>
      <c r="M47" s="7" t="s">
        <v>37</v>
      </c>
      <c r="N47" s="7" t="s">
        <v>37</v>
      </c>
      <c r="O47" s="7" t="s">
        <v>37</v>
      </c>
      <c r="P47" s="7" t="s">
        <v>37</v>
      </c>
      <c r="Q47" s="7" t="s">
        <v>37</v>
      </c>
      <c r="R47" s="7" t="s">
        <v>37</v>
      </c>
      <c r="S47" s="7" t="s">
        <v>37</v>
      </c>
      <c r="T47" s="7" t="s">
        <v>37</v>
      </c>
      <c r="U47" s="7">
        <v>432.55200000000002</v>
      </c>
      <c r="V47" s="7">
        <v>1.7645</v>
      </c>
      <c r="W47" s="7">
        <v>198.07900000000001</v>
      </c>
      <c r="X47" s="9">
        <v>4.46683592150963E-10</v>
      </c>
      <c r="Y47" s="7">
        <v>1.798</v>
      </c>
      <c r="Z47" s="7">
        <v>11.48</v>
      </c>
      <c r="AA47" s="7">
        <v>-1.91</v>
      </c>
      <c r="AB47" s="7">
        <v>-0.01</v>
      </c>
      <c r="AC47" s="7">
        <v>9.06</v>
      </c>
      <c r="AD47" s="7">
        <v>1.1025</v>
      </c>
      <c r="AE47" s="7">
        <v>221.25</v>
      </c>
      <c r="AF47" s="7">
        <v>68.418000000000006</v>
      </c>
      <c r="AG47" s="7">
        <v>160.30000000000001</v>
      </c>
      <c r="AH47" s="7">
        <v>9.4700000000000006</v>
      </c>
      <c r="AI47" s="7">
        <v>9.7799999999999994</v>
      </c>
      <c r="AJ47" s="7">
        <v>27.123000000000001</v>
      </c>
      <c r="AK47" s="7">
        <v>0</v>
      </c>
      <c r="AL47" s="7">
        <v>66.070999999999998</v>
      </c>
      <c r="AM47" s="7" t="s">
        <v>37</v>
      </c>
      <c r="AN47" s="9">
        <v>3.3884400000000003E-8</v>
      </c>
      <c r="AO47" s="7" t="s">
        <v>37</v>
      </c>
      <c r="AP47" s="7">
        <v>1.81090504867946E-3</v>
      </c>
      <c r="AQ47" s="7">
        <v>1</v>
      </c>
      <c r="AR47" s="7">
        <v>0</v>
      </c>
      <c r="AS47"/>
    </row>
    <row r="48" spans="1:45" ht="19.5" customHeight="1" x14ac:dyDescent="0.3">
      <c r="A48" s="7" t="s">
        <v>1375</v>
      </c>
      <c r="B48" s="7" t="s">
        <v>2092</v>
      </c>
      <c r="C48" s="7">
        <v>0</v>
      </c>
      <c r="D48" s="7">
        <v>5976.0186655449797</v>
      </c>
      <c r="E48" s="7">
        <v>65</v>
      </c>
      <c r="F48" s="7">
        <v>48.363636363636402</v>
      </c>
      <c r="G48" s="7" t="s">
        <v>1376</v>
      </c>
      <c r="H48" s="7" t="s">
        <v>1377</v>
      </c>
      <c r="I48" s="7" t="s">
        <v>1378</v>
      </c>
      <c r="J48" s="8" t="s">
        <v>1379</v>
      </c>
      <c r="K48" s="7" t="s">
        <v>1380</v>
      </c>
      <c r="L48" s="7">
        <v>334.16899999999902</v>
      </c>
      <c r="M48" s="7" t="s">
        <v>37</v>
      </c>
      <c r="N48" s="7" t="s">
        <v>37</v>
      </c>
      <c r="O48" s="7" t="s">
        <v>37</v>
      </c>
      <c r="P48" s="7" t="s">
        <v>37</v>
      </c>
      <c r="Q48" s="7" t="s">
        <v>37</v>
      </c>
      <c r="R48" s="7" t="s">
        <v>37</v>
      </c>
      <c r="S48" s="7" t="s">
        <v>37</v>
      </c>
      <c r="T48" s="7" t="s">
        <v>37</v>
      </c>
      <c r="U48" s="7">
        <v>468.0215</v>
      </c>
      <c r="V48" s="7">
        <v>1.6034999999999999</v>
      </c>
      <c r="W48" s="7">
        <v>283.43599999999998</v>
      </c>
      <c r="X48" s="9">
        <v>2.3442288153199201E-10</v>
      </c>
      <c r="Y48" s="7">
        <v>1.663</v>
      </c>
      <c r="Z48" s="7">
        <v>10.49</v>
      </c>
      <c r="AA48" s="7">
        <v>2.54</v>
      </c>
      <c r="AB48" s="7">
        <v>0.67</v>
      </c>
      <c r="AC48" s="7">
        <v>9.34</v>
      </c>
      <c r="AD48" s="7">
        <v>3.3155000000000001</v>
      </c>
      <c r="AE48" s="7">
        <v>199.63</v>
      </c>
      <c r="AF48" s="7">
        <v>79.085999999999999</v>
      </c>
      <c r="AG48" s="7">
        <v>213.45599999999999</v>
      </c>
      <c r="AH48" s="7">
        <v>1.8015000000000001</v>
      </c>
      <c r="AI48" s="7">
        <v>4.069</v>
      </c>
      <c r="AJ48" s="7">
        <v>31.352</v>
      </c>
      <c r="AK48" s="7">
        <v>0</v>
      </c>
      <c r="AL48" s="7">
        <v>63.106999999999999</v>
      </c>
      <c r="AM48" s="7" t="s">
        <v>37</v>
      </c>
      <c r="AN48" s="9">
        <v>2.44906E-10</v>
      </c>
      <c r="AO48" s="7">
        <v>59.292499999999997</v>
      </c>
      <c r="AP48" s="7">
        <v>1.6306455000000001E-4</v>
      </c>
      <c r="AQ48" s="7">
        <v>0</v>
      </c>
      <c r="AR48" s="7">
        <v>0</v>
      </c>
      <c r="AS48"/>
    </row>
    <row r="49" spans="1:45" ht="19.5" customHeight="1" x14ac:dyDescent="0.3">
      <c r="A49" s="7" t="s">
        <v>1500</v>
      </c>
      <c r="B49" s="7" t="s">
        <v>2089</v>
      </c>
      <c r="C49" s="7">
        <v>0</v>
      </c>
      <c r="D49" s="7">
        <v>1404.5128218631501</v>
      </c>
      <c r="E49" s="7">
        <v>143</v>
      </c>
      <c r="F49" s="7">
        <v>38.115278660733203</v>
      </c>
      <c r="G49" s="7" t="s">
        <v>1501</v>
      </c>
      <c r="H49" s="7" t="s">
        <v>1502</v>
      </c>
      <c r="I49" s="7" t="s">
        <v>1503</v>
      </c>
      <c r="J49" s="8" t="s">
        <v>1504</v>
      </c>
      <c r="K49" s="7" t="s">
        <v>1505</v>
      </c>
      <c r="L49" s="7">
        <v>430.541</v>
      </c>
      <c r="M49" s="7" t="s">
        <v>37</v>
      </c>
      <c r="N49" s="7" t="s">
        <v>37</v>
      </c>
      <c r="O49" s="7" t="s">
        <v>37</v>
      </c>
      <c r="P49" s="7" t="s">
        <v>37</v>
      </c>
      <c r="Q49" s="7" t="s">
        <v>37</v>
      </c>
      <c r="R49" s="7" t="s">
        <v>37</v>
      </c>
      <c r="S49" s="7" t="s">
        <v>37</v>
      </c>
      <c r="T49" s="7" t="s">
        <v>37</v>
      </c>
      <c r="U49" s="7">
        <v>458.738</v>
      </c>
      <c r="V49" s="7">
        <v>1.292</v>
      </c>
      <c r="W49" s="7">
        <v>251.79349999999999</v>
      </c>
      <c r="X49" s="9">
        <v>6.1659500186148097E-11</v>
      </c>
      <c r="Y49" s="7">
        <v>1.5920000000000001</v>
      </c>
      <c r="Z49" s="7">
        <v>17.03</v>
      </c>
      <c r="AA49" s="7">
        <v>2.84</v>
      </c>
      <c r="AB49" s="7">
        <v>2.64</v>
      </c>
      <c r="AC49" s="7">
        <v>9.56</v>
      </c>
      <c r="AD49" s="7">
        <v>3.0190000000000001</v>
      </c>
      <c r="AE49" s="7">
        <v>239.7295</v>
      </c>
      <c r="AF49" s="7">
        <v>113.86499999999999</v>
      </c>
      <c r="AG49" s="7">
        <v>336.44600000000003</v>
      </c>
      <c r="AH49" s="7">
        <v>7.64</v>
      </c>
      <c r="AI49" s="7">
        <v>12.865</v>
      </c>
      <c r="AJ49" s="7">
        <v>45.14</v>
      </c>
      <c r="AK49" s="7">
        <v>0</v>
      </c>
      <c r="AL49" s="7">
        <v>55.247999999999998</v>
      </c>
      <c r="AM49" s="7" t="s">
        <v>37</v>
      </c>
      <c r="AN49" s="9">
        <v>5.5462599999999998E-12</v>
      </c>
      <c r="AO49" s="7" t="s">
        <v>37</v>
      </c>
      <c r="AP49" s="9">
        <v>3.09029543251359E-5</v>
      </c>
      <c r="AQ49" s="7">
        <v>1</v>
      </c>
      <c r="AR49" s="7">
        <v>0</v>
      </c>
      <c r="AS49"/>
    </row>
    <row r="50" spans="1:45" ht="19.5" customHeight="1" x14ac:dyDescent="0.3">
      <c r="A50" s="7" t="s">
        <v>1500</v>
      </c>
      <c r="B50" s="7" t="s">
        <v>2091</v>
      </c>
      <c r="C50" s="7">
        <v>37</v>
      </c>
      <c r="D50" s="7">
        <v>8.9920000000000009</v>
      </c>
      <c r="E50" s="7">
        <v>6</v>
      </c>
      <c r="F50" s="7">
        <v>60</v>
      </c>
      <c r="G50" s="7" t="s">
        <v>1501</v>
      </c>
      <c r="H50" s="7" t="s">
        <v>1502</v>
      </c>
      <c r="I50" s="7" t="s">
        <v>1503</v>
      </c>
      <c r="J50" s="8" t="s">
        <v>1504</v>
      </c>
      <c r="K50" s="7" t="s">
        <v>1505</v>
      </c>
      <c r="L50" s="7">
        <v>430.541</v>
      </c>
      <c r="M50" s="7" t="s">
        <v>37</v>
      </c>
      <c r="N50" s="7" t="s">
        <v>37</v>
      </c>
      <c r="O50" s="7" t="s">
        <v>37</v>
      </c>
      <c r="P50" s="7" t="s">
        <v>37</v>
      </c>
      <c r="Q50" s="7" t="s">
        <v>37</v>
      </c>
      <c r="R50" s="7" t="s">
        <v>37</v>
      </c>
      <c r="S50" s="7" t="s">
        <v>37</v>
      </c>
      <c r="T50" s="7" t="s">
        <v>37</v>
      </c>
      <c r="U50" s="7">
        <v>458.738</v>
      </c>
      <c r="V50" s="7">
        <v>1.292</v>
      </c>
      <c r="W50" s="7">
        <v>251.79349999999999</v>
      </c>
      <c r="X50" s="9">
        <v>6.1659500186148097E-11</v>
      </c>
      <c r="Y50" s="7">
        <v>1.5920000000000001</v>
      </c>
      <c r="Z50" s="7">
        <v>17.03</v>
      </c>
      <c r="AA50" s="7">
        <v>2.84</v>
      </c>
      <c r="AB50" s="7">
        <v>2.64</v>
      </c>
      <c r="AC50" s="7">
        <v>9.56</v>
      </c>
      <c r="AD50" s="7">
        <v>3.0190000000000001</v>
      </c>
      <c r="AE50" s="7">
        <v>239.7295</v>
      </c>
      <c r="AF50" s="7">
        <v>113.86499999999999</v>
      </c>
      <c r="AG50" s="7">
        <v>336.44600000000003</v>
      </c>
      <c r="AH50" s="7">
        <v>7.64</v>
      </c>
      <c r="AI50" s="7">
        <v>12.865</v>
      </c>
      <c r="AJ50" s="7">
        <v>45.14</v>
      </c>
      <c r="AK50" s="7">
        <v>0</v>
      </c>
      <c r="AL50" s="7">
        <v>55.247999999999998</v>
      </c>
      <c r="AM50" s="7" t="s">
        <v>37</v>
      </c>
      <c r="AN50" s="9">
        <v>5.5462599999999998E-12</v>
      </c>
      <c r="AO50" s="7" t="s">
        <v>37</v>
      </c>
      <c r="AP50" s="9">
        <v>3.09029543251359E-5</v>
      </c>
      <c r="AQ50" s="7">
        <v>1</v>
      </c>
      <c r="AR50" s="7">
        <v>0</v>
      </c>
      <c r="AS50"/>
    </row>
    <row r="51" spans="1:45" ht="19.5" customHeight="1" x14ac:dyDescent="0.3">
      <c r="A51" s="7" t="s">
        <v>1500</v>
      </c>
      <c r="B51" s="7" t="s">
        <v>2080</v>
      </c>
      <c r="C51" s="7">
        <v>0</v>
      </c>
      <c r="D51" s="7">
        <v>4362.1629680112401</v>
      </c>
      <c r="E51" s="7">
        <v>51</v>
      </c>
      <c r="F51" s="7">
        <v>50.180629827688698</v>
      </c>
      <c r="G51" s="7" t="s">
        <v>1501</v>
      </c>
      <c r="H51" s="7" t="s">
        <v>1502</v>
      </c>
      <c r="I51" s="7" t="s">
        <v>1503</v>
      </c>
      <c r="J51" s="8" t="s">
        <v>1504</v>
      </c>
      <c r="K51" s="7" t="s">
        <v>1505</v>
      </c>
      <c r="L51" s="7">
        <v>430.541</v>
      </c>
      <c r="M51" s="7" t="s">
        <v>37</v>
      </c>
      <c r="N51" s="7" t="s">
        <v>37</v>
      </c>
      <c r="O51" s="7" t="s">
        <v>37</v>
      </c>
      <c r="P51" s="7" t="s">
        <v>37</v>
      </c>
      <c r="Q51" s="7" t="s">
        <v>37</v>
      </c>
      <c r="R51" s="7" t="s">
        <v>37</v>
      </c>
      <c r="S51" s="7" t="s">
        <v>37</v>
      </c>
      <c r="T51" s="7" t="s">
        <v>37</v>
      </c>
      <c r="U51" s="7">
        <v>458.738</v>
      </c>
      <c r="V51" s="7">
        <v>1.292</v>
      </c>
      <c r="W51" s="7">
        <v>251.79349999999999</v>
      </c>
      <c r="X51" s="9">
        <v>6.1659500186148097E-11</v>
      </c>
      <c r="Y51" s="7">
        <v>1.5920000000000001</v>
      </c>
      <c r="Z51" s="7">
        <v>17.03</v>
      </c>
      <c r="AA51" s="7">
        <v>2.84</v>
      </c>
      <c r="AB51" s="7">
        <v>2.64</v>
      </c>
      <c r="AC51" s="7">
        <v>9.56</v>
      </c>
      <c r="AD51" s="7">
        <v>3.0190000000000001</v>
      </c>
      <c r="AE51" s="7">
        <v>239.7295</v>
      </c>
      <c r="AF51" s="7">
        <v>113.86499999999999</v>
      </c>
      <c r="AG51" s="7">
        <v>336.44600000000003</v>
      </c>
      <c r="AH51" s="7">
        <v>7.64</v>
      </c>
      <c r="AI51" s="7">
        <v>12.865</v>
      </c>
      <c r="AJ51" s="7">
        <v>45.14</v>
      </c>
      <c r="AK51" s="7">
        <v>0</v>
      </c>
      <c r="AL51" s="7">
        <v>55.247999999999998</v>
      </c>
      <c r="AM51" s="7" t="s">
        <v>37</v>
      </c>
      <c r="AN51" s="9">
        <v>5.5462599999999998E-12</v>
      </c>
      <c r="AO51" s="7" t="s">
        <v>37</v>
      </c>
      <c r="AP51" s="9">
        <v>3.09029543251359E-5</v>
      </c>
      <c r="AQ51" s="7">
        <v>1</v>
      </c>
      <c r="AR51" s="7">
        <v>0</v>
      </c>
      <c r="AS51"/>
    </row>
    <row r="52" spans="1:45" ht="19.5" customHeight="1" x14ac:dyDescent="0.3">
      <c r="A52" s="7" t="s">
        <v>1500</v>
      </c>
      <c r="B52" s="7" t="s">
        <v>2081</v>
      </c>
      <c r="C52" s="7">
        <v>100</v>
      </c>
      <c r="D52" s="7">
        <v>3154.2360608254899</v>
      </c>
      <c r="E52" s="7">
        <v>4</v>
      </c>
      <c r="F52" s="7">
        <v>41.848484848484901</v>
      </c>
      <c r="G52" s="7" t="s">
        <v>1501</v>
      </c>
      <c r="H52" s="7" t="s">
        <v>1502</v>
      </c>
      <c r="I52" s="7" t="s">
        <v>1503</v>
      </c>
      <c r="J52" s="8" t="s">
        <v>1504</v>
      </c>
      <c r="K52" s="7" t="s">
        <v>1505</v>
      </c>
      <c r="L52" s="7">
        <v>430.541</v>
      </c>
      <c r="M52" s="7" t="s">
        <v>37</v>
      </c>
      <c r="N52" s="7" t="s">
        <v>37</v>
      </c>
      <c r="O52" s="7" t="s">
        <v>37</v>
      </c>
      <c r="P52" s="7" t="s">
        <v>37</v>
      </c>
      <c r="Q52" s="7" t="s">
        <v>37</v>
      </c>
      <c r="R52" s="7" t="s">
        <v>37</v>
      </c>
      <c r="S52" s="7" t="s">
        <v>37</v>
      </c>
      <c r="T52" s="7" t="s">
        <v>37</v>
      </c>
      <c r="U52" s="7">
        <v>458.738</v>
      </c>
      <c r="V52" s="7">
        <v>1.292</v>
      </c>
      <c r="W52" s="7">
        <v>251.79349999999999</v>
      </c>
      <c r="X52" s="9">
        <v>6.1659500186148097E-11</v>
      </c>
      <c r="Y52" s="7">
        <v>1.5920000000000001</v>
      </c>
      <c r="Z52" s="7">
        <v>17.03</v>
      </c>
      <c r="AA52" s="7">
        <v>2.84</v>
      </c>
      <c r="AB52" s="7">
        <v>2.64</v>
      </c>
      <c r="AC52" s="7">
        <v>9.56</v>
      </c>
      <c r="AD52" s="7">
        <v>3.0190000000000001</v>
      </c>
      <c r="AE52" s="7">
        <v>239.7295</v>
      </c>
      <c r="AF52" s="7">
        <v>113.86499999999999</v>
      </c>
      <c r="AG52" s="7">
        <v>336.44600000000003</v>
      </c>
      <c r="AH52" s="7">
        <v>7.64</v>
      </c>
      <c r="AI52" s="7">
        <v>12.865</v>
      </c>
      <c r="AJ52" s="7">
        <v>45.14</v>
      </c>
      <c r="AK52" s="7">
        <v>0</v>
      </c>
      <c r="AL52" s="7">
        <v>55.247999999999998</v>
      </c>
      <c r="AM52" s="7" t="s">
        <v>37</v>
      </c>
      <c r="AN52" s="9">
        <v>5.5462599999999998E-12</v>
      </c>
      <c r="AO52" s="7" t="s">
        <v>37</v>
      </c>
      <c r="AP52" s="9">
        <v>3.09029543251359E-5</v>
      </c>
      <c r="AQ52" s="7">
        <v>1</v>
      </c>
      <c r="AR52" s="7">
        <v>0</v>
      </c>
      <c r="AS52"/>
    </row>
    <row r="53" spans="1:45" ht="19.5" customHeight="1" x14ac:dyDescent="0.3">
      <c r="A53" s="7" t="s">
        <v>1488</v>
      </c>
      <c r="B53" s="7" t="s">
        <v>2080</v>
      </c>
      <c r="C53" s="7">
        <v>47</v>
      </c>
      <c r="D53" s="7">
        <v>2441.4779273552799</v>
      </c>
      <c r="E53" s="7">
        <v>164</v>
      </c>
      <c r="F53" s="7">
        <v>47.808695652173903</v>
      </c>
      <c r="G53" s="7" t="s">
        <v>1489</v>
      </c>
      <c r="H53" s="7" t="s">
        <v>1490</v>
      </c>
      <c r="I53" s="7" t="s">
        <v>1491</v>
      </c>
      <c r="J53" s="8" t="s">
        <v>1492</v>
      </c>
      <c r="K53" s="7" t="s">
        <v>1493</v>
      </c>
      <c r="L53" s="7">
        <v>364.42</v>
      </c>
      <c r="M53" s="7" t="s">
        <v>37</v>
      </c>
      <c r="N53" s="7" t="s">
        <v>37</v>
      </c>
      <c r="O53" s="7" t="s">
        <v>37</v>
      </c>
      <c r="P53" s="7" t="s">
        <v>37</v>
      </c>
      <c r="Q53" s="7" t="s">
        <v>37</v>
      </c>
      <c r="R53" s="7" t="s">
        <v>37</v>
      </c>
      <c r="S53" s="7">
        <v>36441.599999999999</v>
      </c>
      <c r="T53" s="7">
        <v>3644.16</v>
      </c>
      <c r="U53" s="7">
        <v>571.20000000000005</v>
      </c>
      <c r="V53" s="7">
        <v>1.3835</v>
      </c>
      <c r="W53" s="7">
        <v>308.60300000000001</v>
      </c>
      <c r="X53" s="9">
        <v>1.6218100973589302E-11</v>
      </c>
      <c r="Y53" s="7">
        <v>1.6120000000000001</v>
      </c>
      <c r="Z53" s="7">
        <v>7.89</v>
      </c>
      <c r="AA53" s="7">
        <v>2.79</v>
      </c>
      <c r="AB53" s="7">
        <v>1.96</v>
      </c>
      <c r="AC53" s="7">
        <v>9.2899999999999991</v>
      </c>
      <c r="AD53" s="7">
        <v>2.8005</v>
      </c>
      <c r="AE53" s="7">
        <v>230.5</v>
      </c>
      <c r="AF53" s="7">
        <v>94.082999999999998</v>
      </c>
      <c r="AG53" s="7">
        <v>270.47399999999999</v>
      </c>
      <c r="AH53" s="7">
        <v>6.61</v>
      </c>
      <c r="AI53" s="7" t="s">
        <v>37</v>
      </c>
      <c r="AJ53" s="7">
        <v>37.298000000000002</v>
      </c>
      <c r="AK53" s="7">
        <v>0</v>
      </c>
      <c r="AL53" s="7">
        <v>59.951000000000001</v>
      </c>
      <c r="AM53" s="7" t="s">
        <v>37</v>
      </c>
      <c r="AN53" s="9">
        <v>1.7498500000000001E-11</v>
      </c>
      <c r="AO53" s="7" t="s">
        <v>37</v>
      </c>
      <c r="AP53" s="7">
        <v>2.7500000000000002E-4</v>
      </c>
      <c r="AQ53" s="7">
        <v>1</v>
      </c>
      <c r="AR53" s="7">
        <v>0</v>
      </c>
      <c r="AS53"/>
    </row>
    <row r="54" spans="1:45" ht="19.5" customHeight="1" x14ac:dyDescent="0.3">
      <c r="A54" s="7" t="s">
        <v>1327</v>
      </c>
      <c r="B54" s="7" t="s">
        <v>2104</v>
      </c>
      <c r="C54" s="7">
        <v>34</v>
      </c>
      <c r="D54" s="7">
        <v>889.28571428571399</v>
      </c>
      <c r="E54" s="7">
        <v>7</v>
      </c>
      <c r="F54" s="7">
        <v>20.1428571428571</v>
      </c>
      <c r="G54" s="7" t="s">
        <v>1328</v>
      </c>
      <c r="H54" s="7" t="s">
        <v>1329</v>
      </c>
      <c r="I54" s="7" t="s">
        <v>1330</v>
      </c>
      <c r="J54" s="8" t="s">
        <v>1331</v>
      </c>
      <c r="K54" s="7" t="s">
        <v>1332</v>
      </c>
      <c r="L54" s="7">
        <v>467.65</v>
      </c>
      <c r="M54" s="7" t="s">
        <v>37</v>
      </c>
      <c r="N54" s="7" t="s">
        <v>37</v>
      </c>
      <c r="O54" s="7" t="s">
        <v>37</v>
      </c>
      <c r="P54" s="7" t="s">
        <v>37</v>
      </c>
      <c r="Q54" s="7" t="s">
        <v>37</v>
      </c>
      <c r="R54" s="7" t="s">
        <v>37</v>
      </c>
      <c r="S54" s="7" t="s">
        <v>37</v>
      </c>
      <c r="T54" s="7" t="s">
        <v>37</v>
      </c>
      <c r="U54" s="7">
        <v>528.71</v>
      </c>
      <c r="V54" s="7">
        <v>1.2649999999999999</v>
      </c>
      <c r="W54" s="7">
        <v>272.262</v>
      </c>
      <c r="X54" s="7" t="s">
        <v>37</v>
      </c>
      <c r="Y54" s="7" t="s">
        <v>37</v>
      </c>
      <c r="Z54" s="7" t="s">
        <v>37</v>
      </c>
      <c r="AA54" s="7" t="s">
        <v>37</v>
      </c>
      <c r="AB54" s="7" t="s">
        <v>37</v>
      </c>
      <c r="AC54" s="7">
        <v>9.6199999999999992</v>
      </c>
      <c r="AD54" s="7">
        <v>4.9800000000000004</v>
      </c>
      <c r="AE54" s="7">
        <v>226.01</v>
      </c>
      <c r="AF54" s="7" t="s">
        <v>37</v>
      </c>
      <c r="AG54" s="7" t="s">
        <v>37</v>
      </c>
      <c r="AH54" s="7" t="s">
        <v>37</v>
      </c>
      <c r="AI54" s="7" t="s">
        <v>37</v>
      </c>
      <c r="AJ54" s="7" t="s">
        <v>37</v>
      </c>
      <c r="AK54" s="7" t="s">
        <v>37</v>
      </c>
      <c r="AL54" s="7" t="s">
        <v>37</v>
      </c>
      <c r="AM54" s="7" t="s">
        <v>37</v>
      </c>
      <c r="AN54" s="9">
        <v>4.8920201547790598E-10</v>
      </c>
      <c r="AO54" s="7" t="s">
        <v>37</v>
      </c>
      <c r="AP54" s="9">
        <v>2.2025E-5</v>
      </c>
      <c r="AQ54" s="7">
        <v>1</v>
      </c>
      <c r="AR54" s="7">
        <v>0</v>
      </c>
      <c r="AS54"/>
    </row>
    <row r="55" spans="1:45" ht="19.5" customHeight="1" x14ac:dyDescent="0.3">
      <c r="A55" s="7" t="s">
        <v>1327</v>
      </c>
      <c r="B55" s="7" t="s">
        <v>2105</v>
      </c>
      <c r="C55" s="7">
        <v>34</v>
      </c>
      <c r="D55" s="7">
        <v>15569.2640692641</v>
      </c>
      <c r="E55" s="7">
        <v>77</v>
      </c>
      <c r="F55" s="7">
        <v>21.7662337662338</v>
      </c>
      <c r="G55" s="7" t="s">
        <v>1328</v>
      </c>
      <c r="H55" s="7" t="s">
        <v>1329</v>
      </c>
      <c r="I55" s="7" t="s">
        <v>1330</v>
      </c>
      <c r="J55" s="8" t="s">
        <v>1331</v>
      </c>
      <c r="K55" s="7" t="s">
        <v>1332</v>
      </c>
      <c r="L55" s="7">
        <v>467.65</v>
      </c>
      <c r="M55" s="7" t="s">
        <v>37</v>
      </c>
      <c r="N55" s="7" t="s">
        <v>37</v>
      </c>
      <c r="O55" s="7" t="s">
        <v>37</v>
      </c>
      <c r="P55" s="7" t="s">
        <v>37</v>
      </c>
      <c r="Q55" s="7" t="s">
        <v>37</v>
      </c>
      <c r="R55" s="7" t="s">
        <v>37</v>
      </c>
      <c r="S55" s="7" t="s">
        <v>37</v>
      </c>
      <c r="T55" s="7" t="s">
        <v>37</v>
      </c>
      <c r="U55" s="7">
        <v>528.71</v>
      </c>
      <c r="V55" s="7">
        <v>1.2649999999999999</v>
      </c>
      <c r="W55" s="7">
        <v>272.262</v>
      </c>
      <c r="X55" s="7" t="s">
        <v>37</v>
      </c>
      <c r="Y55" s="7" t="s">
        <v>37</v>
      </c>
      <c r="Z55" s="7" t="s">
        <v>37</v>
      </c>
      <c r="AA55" s="7" t="s">
        <v>37</v>
      </c>
      <c r="AB55" s="7" t="s">
        <v>37</v>
      </c>
      <c r="AC55" s="7">
        <v>9.6199999999999992</v>
      </c>
      <c r="AD55" s="7">
        <v>4.9800000000000004</v>
      </c>
      <c r="AE55" s="7">
        <v>226.01</v>
      </c>
      <c r="AF55" s="7" t="s">
        <v>37</v>
      </c>
      <c r="AG55" s="7" t="s">
        <v>37</v>
      </c>
      <c r="AH55" s="7" t="s">
        <v>37</v>
      </c>
      <c r="AI55" s="7" t="s">
        <v>37</v>
      </c>
      <c r="AJ55" s="7" t="s">
        <v>37</v>
      </c>
      <c r="AK55" s="7" t="s">
        <v>37</v>
      </c>
      <c r="AL55" s="7" t="s">
        <v>37</v>
      </c>
      <c r="AM55" s="7" t="s">
        <v>37</v>
      </c>
      <c r="AN55" s="9">
        <v>4.8920201547790598E-10</v>
      </c>
      <c r="AO55" s="7" t="s">
        <v>37</v>
      </c>
      <c r="AP55" s="9">
        <v>2.2025E-5</v>
      </c>
      <c r="AQ55" s="7">
        <v>1</v>
      </c>
      <c r="AR55" s="7">
        <v>0</v>
      </c>
      <c r="AS55"/>
    </row>
    <row r="56" spans="1:45" ht="19.5" customHeight="1" x14ac:dyDescent="0.3">
      <c r="A56" s="7" t="s">
        <v>1327</v>
      </c>
      <c r="B56" s="7" t="s">
        <v>2106</v>
      </c>
      <c r="C56" s="7">
        <v>97</v>
      </c>
      <c r="D56" s="7">
        <v>51.011746973236399</v>
      </c>
      <c r="E56" s="7">
        <v>68</v>
      </c>
      <c r="F56" s="7">
        <v>26.9743697478992</v>
      </c>
      <c r="G56" s="7" t="s">
        <v>1328</v>
      </c>
      <c r="H56" s="7" t="s">
        <v>1329</v>
      </c>
      <c r="I56" s="7" t="s">
        <v>1330</v>
      </c>
      <c r="J56" s="8" t="s">
        <v>1331</v>
      </c>
      <c r="K56" s="7" t="s">
        <v>1332</v>
      </c>
      <c r="L56" s="7">
        <v>467.65</v>
      </c>
      <c r="M56" s="7" t="s">
        <v>37</v>
      </c>
      <c r="N56" s="7" t="s">
        <v>37</v>
      </c>
      <c r="O56" s="7" t="s">
        <v>37</v>
      </c>
      <c r="P56" s="7" t="s">
        <v>37</v>
      </c>
      <c r="Q56" s="7" t="s">
        <v>37</v>
      </c>
      <c r="R56" s="7" t="s">
        <v>37</v>
      </c>
      <c r="S56" s="7" t="s">
        <v>37</v>
      </c>
      <c r="T56" s="7" t="s">
        <v>37</v>
      </c>
      <c r="U56" s="7">
        <v>528.71</v>
      </c>
      <c r="V56" s="7">
        <v>1.2649999999999999</v>
      </c>
      <c r="W56" s="7">
        <v>272.262</v>
      </c>
      <c r="X56" s="7" t="s">
        <v>37</v>
      </c>
      <c r="Y56" s="7" t="s">
        <v>37</v>
      </c>
      <c r="Z56" s="7" t="s">
        <v>37</v>
      </c>
      <c r="AA56" s="7" t="s">
        <v>37</v>
      </c>
      <c r="AB56" s="7" t="s">
        <v>37</v>
      </c>
      <c r="AC56" s="7">
        <v>9.6199999999999992</v>
      </c>
      <c r="AD56" s="7">
        <v>4.9800000000000004</v>
      </c>
      <c r="AE56" s="7">
        <v>226.01</v>
      </c>
      <c r="AF56" s="7" t="s">
        <v>37</v>
      </c>
      <c r="AG56" s="7" t="s">
        <v>37</v>
      </c>
      <c r="AH56" s="7" t="s">
        <v>37</v>
      </c>
      <c r="AI56" s="7" t="s">
        <v>37</v>
      </c>
      <c r="AJ56" s="7" t="s">
        <v>37</v>
      </c>
      <c r="AK56" s="7" t="s">
        <v>37</v>
      </c>
      <c r="AL56" s="7" t="s">
        <v>37</v>
      </c>
      <c r="AM56" s="7" t="s">
        <v>37</v>
      </c>
      <c r="AN56" s="9">
        <v>4.8920201547790598E-10</v>
      </c>
      <c r="AO56" s="7" t="s">
        <v>37</v>
      </c>
      <c r="AP56" s="9">
        <v>2.2025E-5</v>
      </c>
      <c r="AQ56" s="7">
        <v>1</v>
      </c>
      <c r="AR56" s="7">
        <v>0</v>
      </c>
      <c r="AS56"/>
    </row>
    <row r="57" spans="1:45" ht="19.5" customHeight="1" x14ac:dyDescent="0.3">
      <c r="A57" s="7" t="s">
        <v>372</v>
      </c>
      <c r="B57" s="7" t="s">
        <v>2080</v>
      </c>
      <c r="C57" s="7">
        <v>0.5</v>
      </c>
      <c r="D57" s="7">
        <v>259136.663530213</v>
      </c>
      <c r="E57" s="7">
        <v>2328</v>
      </c>
      <c r="F57" s="7">
        <v>49.996628455832798</v>
      </c>
      <c r="G57" s="7" t="s">
        <v>373</v>
      </c>
      <c r="H57" s="7" t="s">
        <v>374</v>
      </c>
      <c r="I57" s="7" t="s">
        <v>375</v>
      </c>
      <c r="J57" s="8" t="s">
        <v>376</v>
      </c>
      <c r="K57" s="7" t="s">
        <v>377</v>
      </c>
      <c r="L57" s="7">
        <v>239.74</v>
      </c>
      <c r="M57" s="7" t="s">
        <v>37</v>
      </c>
      <c r="N57" s="7" t="s">
        <v>37</v>
      </c>
      <c r="O57" s="7" t="s">
        <v>37</v>
      </c>
      <c r="P57" s="7" t="s">
        <v>37</v>
      </c>
      <c r="Q57" s="7" t="s">
        <v>37</v>
      </c>
      <c r="R57" s="7" t="s">
        <v>37</v>
      </c>
      <c r="S57" s="7" t="s">
        <v>37</v>
      </c>
      <c r="T57" s="7" t="s">
        <v>37</v>
      </c>
      <c r="U57" s="7">
        <v>308</v>
      </c>
      <c r="V57" s="7" t="s">
        <v>37</v>
      </c>
      <c r="W57" s="7" t="s">
        <v>37</v>
      </c>
      <c r="X57" s="9">
        <v>3.01995172040202E-9</v>
      </c>
      <c r="Y57" s="7" t="s">
        <v>37</v>
      </c>
      <c r="Z57" s="7">
        <v>14.82</v>
      </c>
      <c r="AA57" s="7">
        <v>0.64</v>
      </c>
      <c r="AB57" s="7">
        <v>1.76</v>
      </c>
      <c r="AC57" s="7">
        <v>8.7100000000000009</v>
      </c>
      <c r="AD57" s="7">
        <v>1.83</v>
      </c>
      <c r="AE57" s="7">
        <v>233.5</v>
      </c>
      <c r="AF57" s="7" t="s">
        <v>37</v>
      </c>
      <c r="AG57" s="7" t="s">
        <v>37</v>
      </c>
      <c r="AH57" s="7" t="s">
        <v>37</v>
      </c>
      <c r="AI57" s="7">
        <v>6.66</v>
      </c>
      <c r="AJ57" s="7" t="s">
        <v>37</v>
      </c>
      <c r="AK57" s="7">
        <v>0</v>
      </c>
      <c r="AL57" s="7" t="s">
        <v>37</v>
      </c>
      <c r="AM57" s="7" t="s">
        <v>37</v>
      </c>
      <c r="AN57" s="9">
        <v>4.78630092322638E-6</v>
      </c>
      <c r="AO57" s="7" t="s">
        <v>37</v>
      </c>
      <c r="AP57" s="7">
        <v>1.4125375446227501E-3</v>
      </c>
      <c r="AQ57" s="7">
        <v>0</v>
      </c>
      <c r="AR57" s="7">
        <v>0</v>
      </c>
      <c r="AS57"/>
    </row>
    <row r="58" spans="1:45" ht="19.5" customHeight="1" x14ac:dyDescent="0.3">
      <c r="A58" s="7" t="s">
        <v>951</v>
      </c>
      <c r="B58" s="7" t="s">
        <v>2080</v>
      </c>
      <c r="C58" s="7">
        <v>30</v>
      </c>
      <c r="D58" s="7">
        <v>31287.6472992827</v>
      </c>
      <c r="E58" s="7">
        <v>1061</v>
      </c>
      <c r="F58" s="7">
        <v>37.684662576687103</v>
      </c>
      <c r="G58" s="7" t="s">
        <v>952</v>
      </c>
      <c r="H58" s="7" t="s">
        <v>953</v>
      </c>
      <c r="I58" s="7" t="s">
        <v>954</v>
      </c>
      <c r="J58" s="8" t="s">
        <v>955</v>
      </c>
      <c r="K58" s="7" t="s">
        <v>956</v>
      </c>
      <c r="L58" s="7">
        <v>385.512</v>
      </c>
      <c r="M58" s="7" t="s">
        <v>37</v>
      </c>
      <c r="N58" s="7" t="s">
        <v>37</v>
      </c>
      <c r="O58" s="7" t="s">
        <v>37</v>
      </c>
      <c r="P58" s="7" t="s">
        <v>37</v>
      </c>
      <c r="Q58" s="7" t="s">
        <v>37</v>
      </c>
      <c r="R58" s="7" t="s">
        <v>37</v>
      </c>
      <c r="S58" s="7">
        <v>27500</v>
      </c>
      <c r="T58" s="7">
        <v>500</v>
      </c>
      <c r="U58" s="7">
        <v>502.45400000000001</v>
      </c>
      <c r="V58" s="7">
        <v>1.2224999999999999</v>
      </c>
      <c r="W58" s="7">
        <v>310.63049999999998</v>
      </c>
      <c r="X58" s="9">
        <v>3.2359365692962802E-8</v>
      </c>
      <c r="Y58" s="7">
        <v>1.6040000000000001</v>
      </c>
      <c r="Z58" s="7">
        <v>17.940000000000001</v>
      </c>
      <c r="AA58" s="7">
        <v>2.63</v>
      </c>
      <c r="AB58" s="7">
        <v>2.63</v>
      </c>
      <c r="AC58" s="7">
        <v>11.68</v>
      </c>
      <c r="AD58" s="7">
        <v>2.63</v>
      </c>
      <c r="AE58" s="7">
        <v>202</v>
      </c>
      <c r="AF58" s="7">
        <v>106.833</v>
      </c>
      <c r="AG58" s="7">
        <v>310.68400000000003</v>
      </c>
      <c r="AH58" s="7" t="s">
        <v>37</v>
      </c>
      <c r="AI58" s="7">
        <v>1.45</v>
      </c>
      <c r="AJ58" s="7">
        <v>42.351999999999997</v>
      </c>
      <c r="AK58" s="7">
        <v>0</v>
      </c>
      <c r="AL58" s="7">
        <v>62.366999999999997</v>
      </c>
      <c r="AM58" s="7" t="s">
        <v>37</v>
      </c>
      <c r="AN58" s="9">
        <v>6.5463599999999999E-10</v>
      </c>
      <c r="AO58" s="7" t="s">
        <v>37</v>
      </c>
      <c r="AP58" s="7">
        <v>6.2950599999999995E-4</v>
      </c>
      <c r="AQ58" s="7">
        <v>1</v>
      </c>
      <c r="AR58" s="7">
        <v>1</v>
      </c>
      <c r="AS58"/>
    </row>
    <row r="59" spans="1:45" ht="19.5" customHeight="1" x14ac:dyDescent="0.3">
      <c r="A59" s="7" t="s">
        <v>2107</v>
      </c>
      <c r="B59" s="7" t="s">
        <v>2083</v>
      </c>
      <c r="C59" s="7">
        <v>100</v>
      </c>
      <c r="D59" s="7">
        <v>1800000</v>
      </c>
      <c r="E59" s="7">
        <v>2</v>
      </c>
      <c r="F59" s="7">
        <v>22.5</v>
      </c>
      <c r="G59" s="7" t="s">
        <v>2108</v>
      </c>
      <c r="H59" s="7" t="s">
        <v>37</v>
      </c>
      <c r="I59" s="7" t="s">
        <v>37</v>
      </c>
      <c r="J59" s="7" t="s">
        <v>37</v>
      </c>
      <c r="K59" s="7" t="s">
        <v>37</v>
      </c>
      <c r="L59" s="7" t="s">
        <v>37</v>
      </c>
      <c r="M59" s="7" t="s">
        <v>37</v>
      </c>
      <c r="N59" s="7" t="s">
        <v>37</v>
      </c>
      <c r="O59" s="7" t="s">
        <v>37</v>
      </c>
      <c r="P59" s="7" t="s">
        <v>37</v>
      </c>
      <c r="Q59" s="7" t="s">
        <v>37</v>
      </c>
      <c r="R59" s="7" t="s">
        <v>37</v>
      </c>
      <c r="S59" s="7" t="s">
        <v>37</v>
      </c>
      <c r="T59" s="7" t="s">
        <v>37</v>
      </c>
      <c r="U59" s="7" t="s">
        <v>37</v>
      </c>
      <c r="V59" s="7" t="s">
        <v>37</v>
      </c>
      <c r="W59" s="7" t="s">
        <v>37</v>
      </c>
      <c r="X59" s="7" t="s">
        <v>37</v>
      </c>
      <c r="Y59" s="7" t="s">
        <v>37</v>
      </c>
      <c r="Z59" s="7" t="s">
        <v>37</v>
      </c>
      <c r="AA59" s="7" t="s">
        <v>37</v>
      </c>
      <c r="AB59" s="7" t="s">
        <v>37</v>
      </c>
      <c r="AC59" s="7" t="s">
        <v>37</v>
      </c>
      <c r="AD59" s="7" t="s">
        <v>37</v>
      </c>
      <c r="AE59" s="7" t="s">
        <v>37</v>
      </c>
      <c r="AF59" s="7" t="s">
        <v>37</v>
      </c>
      <c r="AG59" s="7" t="s">
        <v>37</v>
      </c>
      <c r="AH59" s="7" t="s">
        <v>37</v>
      </c>
      <c r="AI59" s="7" t="s">
        <v>37</v>
      </c>
      <c r="AJ59" s="7" t="s">
        <v>37</v>
      </c>
      <c r="AK59" s="7" t="s">
        <v>37</v>
      </c>
      <c r="AL59" s="7" t="s">
        <v>37</v>
      </c>
      <c r="AM59" s="7" t="s">
        <v>37</v>
      </c>
      <c r="AN59" s="7" t="s">
        <v>37</v>
      </c>
      <c r="AO59" s="7" t="s">
        <v>37</v>
      </c>
      <c r="AP59" s="7" t="s">
        <v>37</v>
      </c>
      <c r="AQ59" s="7" t="s">
        <v>37</v>
      </c>
      <c r="AR59" s="7" t="s">
        <v>37</v>
      </c>
      <c r="AS59"/>
    </row>
    <row r="60" spans="1:45" ht="19.5" customHeight="1" x14ac:dyDescent="0.3">
      <c r="A60" s="7" t="s">
        <v>2109</v>
      </c>
      <c r="B60" s="7" t="s">
        <v>2083</v>
      </c>
      <c r="C60" s="7">
        <v>100</v>
      </c>
      <c r="D60" s="7">
        <v>19640.7995296884</v>
      </c>
      <c r="E60" s="7">
        <v>42</v>
      </c>
      <c r="F60" s="7">
        <v>37.96875</v>
      </c>
      <c r="G60" s="7" t="s">
        <v>2110</v>
      </c>
      <c r="H60" s="7" t="s">
        <v>2111</v>
      </c>
      <c r="I60" s="7" t="s">
        <v>2112</v>
      </c>
      <c r="J60" s="8" t="s">
        <v>2113</v>
      </c>
      <c r="K60" s="7" t="s">
        <v>2114</v>
      </c>
      <c r="L60" s="7">
        <v>412.61399999999901</v>
      </c>
      <c r="M60" s="7" t="s">
        <v>37</v>
      </c>
      <c r="N60" s="7" t="s">
        <v>37</v>
      </c>
      <c r="O60" s="7" t="s">
        <v>37</v>
      </c>
      <c r="P60" s="7" t="s">
        <v>37</v>
      </c>
      <c r="Q60" s="7" t="s">
        <v>37</v>
      </c>
      <c r="R60" s="7" t="s">
        <v>37</v>
      </c>
      <c r="S60" s="7" t="s">
        <v>37</v>
      </c>
      <c r="T60" s="7" t="s">
        <v>37</v>
      </c>
      <c r="U60" s="7">
        <v>458.84300000000002</v>
      </c>
      <c r="V60" s="7">
        <v>1.077</v>
      </c>
      <c r="W60" s="7">
        <v>242.59200000000001</v>
      </c>
      <c r="X60" s="9">
        <v>1.7782794100389198E-8</v>
      </c>
      <c r="Y60" s="7" t="s">
        <v>37</v>
      </c>
      <c r="Z60" s="7">
        <v>27.11</v>
      </c>
      <c r="AA60" s="7">
        <v>4.07</v>
      </c>
      <c r="AB60" s="7">
        <v>4.41</v>
      </c>
      <c r="AC60" s="7">
        <v>9.3699999999999992</v>
      </c>
      <c r="AD60" s="7">
        <v>5.83</v>
      </c>
      <c r="AE60" s="7">
        <v>178</v>
      </c>
      <c r="AF60" s="7" t="s">
        <v>37</v>
      </c>
      <c r="AG60" s="7" t="s">
        <v>37</v>
      </c>
      <c r="AH60" s="7" t="s">
        <v>37</v>
      </c>
      <c r="AI60" s="7">
        <v>5.59</v>
      </c>
      <c r="AJ60" s="7" t="s">
        <v>37</v>
      </c>
      <c r="AK60" s="7">
        <v>0</v>
      </c>
      <c r="AL60" s="7">
        <v>42.207999999999998</v>
      </c>
      <c r="AM60" s="7">
        <v>157.03800000000001</v>
      </c>
      <c r="AN60" s="9">
        <v>1.0451482271509801E-9</v>
      </c>
      <c r="AO60" s="7" t="s">
        <v>37</v>
      </c>
      <c r="AP60" s="9">
        <v>1.52405E-6</v>
      </c>
      <c r="AQ60" s="7">
        <v>0</v>
      </c>
      <c r="AR60" s="7">
        <v>0</v>
      </c>
      <c r="AS60"/>
    </row>
    <row r="61" spans="1:45" ht="19.5" customHeight="1" x14ac:dyDescent="0.3">
      <c r="A61" s="7" t="s">
        <v>438</v>
      </c>
      <c r="B61" s="7" t="s">
        <v>2080</v>
      </c>
      <c r="C61" s="7">
        <v>42.5</v>
      </c>
      <c r="D61" s="7">
        <v>214505.501920732</v>
      </c>
      <c r="E61" s="7">
        <v>107</v>
      </c>
      <c r="F61" s="7">
        <v>49.244444444444397</v>
      </c>
      <c r="G61" s="7" t="s">
        <v>439</v>
      </c>
      <c r="H61" s="7" t="s">
        <v>440</v>
      </c>
      <c r="I61" s="7" t="s">
        <v>441</v>
      </c>
      <c r="J61" s="8" t="s">
        <v>442</v>
      </c>
      <c r="K61" s="7" t="s">
        <v>443</v>
      </c>
      <c r="L61" s="7">
        <v>444.52</v>
      </c>
      <c r="M61" s="7" t="s">
        <v>37</v>
      </c>
      <c r="N61" s="7" t="s">
        <v>37</v>
      </c>
      <c r="O61" s="7" t="s">
        <v>37</v>
      </c>
      <c r="P61" s="7" t="s">
        <v>37</v>
      </c>
      <c r="Q61" s="7" t="s">
        <v>37</v>
      </c>
      <c r="R61" s="7" t="s">
        <v>37</v>
      </c>
      <c r="S61" s="7" t="s">
        <v>37</v>
      </c>
      <c r="T61" s="7" t="s">
        <v>37</v>
      </c>
      <c r="U61" s="7">
        <v>198</v>
      </c>
      <c r="V61" s="7">
        <v>444.51600000000002</v>
      </c>
      <c r="W61" s="7">
        <v>4</v>
      </c>
      <c r="X61" s="9">
        <v>1.6982436524617499E-10</v>
      </c>
      <c r="Y61" s="7">
        <v>760</v>
      </c>
      <c r="Z61" s="7">
        <v>18.63</v>
      </c>
      <c r="AA61" s="7">
        <v>2.92</v>
      </c>
      <c r="AB61" s="7">
        <v>2.75</v>
      </c>
      <c r="AC61" s="7">
        <v>9.4499999999999993</v>
      </c>
      <c r="AD61" s="7">
        <v>3.7549999999999999</v>
      </c>
      <c r="AE61" s="7">
        <v>241</v>
      </c>
      <c r="AF61" s="7">
        <v>25</v>
      </c>
      <c r="AG61" s="7">
        <v>0.77400000000000002</v>
      </c>
      <c r="AH61" s="7">
        <v>7.71</v>
      </c>
      <c r="AI61" s="7" t="s">
        <v>37</v>
      </c>
      <c r="AJ61" s="7">
        <v>0.19400000000000001</v>
      </c>
      <c r="AK61" s="7">
        <v>0</v>
      </c>
      <c r="AL61" s="7">
        <v>3.2000000000000001E-2</v>
      </c>
      <c r="AM61" s="7" t="s">
        <v>37</v>
      </c>
      <c r="AN61" s="7">
        <v>0.50000000021329005</v>
      </c>
      <c r="AO61" s="7" t="s">
        <v>37</v>
      </c>
      <c r="AP61" s="7">
        <v>23.234508891397098</v>
      </c>
      <c r="AQ61" s="7">
        <v>1</v>
      </c>
      <c r="AR61" s="7">
        <v>0</v>
      </c>
      <c r="AS61"/>
    </row>
    <row r="62" spans="1:45" ht="19.5" customHeight="1" x14ac:dyDescent="0.3">
      <c r="A62" s="7" t="s">
        <v>248</v>
      </c>
      <c r="B62" s="7" t="s">
        <v>2080</v>
      </c>
      <c r="C62" s="7">
        <v>31</v>
      </c>
      <c r="D62" s="7">
        <v>710455.13573338301</v>
      </c>
      <c r="E62" s="7">
        <v>324</v>
      </c>
      <c r="F62" s="7">
        <v>35.375</v>
      </c>
      <c r="G62" s="7" t="s">
        <v>249</v>
      </c>
      <c r="H62" s="7" t="s">
        <v>250</v>
      </c>
      <c r="I62" s="7" t="s">
        <v>251</v>
      </c>
      <c r="J62" s="8" t="s">
        <v>252</v>
      </c>
      <c r="K62" s="7" t="s">
        <v>253</v>
      </c>
      <c r="L62" s="7">
        <v>236.274</v>
      </c>
      <c r="M62" s="9">
        <v>100000</v>
      </c>
      <c r="N62" s="7" t="s">
        <v>37</v>
      </c>
      <c r="O62" s="7">
        <v>47994.95</v>
      </c>
      <c r="P62" s="7">
        <v>86.2</v>
      </c>
      <c r="Q62" s="7">
        <v>53.104700000000001</v>
      </c>
      <c r="R62" s="7">
        <v>7500</v>
      </c>
      <c r="S62" s="7">
        <v>1780</v>
      </c>
      <c r="T62" s="7">
        <v>1E-3</v>
      </c>
      <c r="U62" s="7">
        <v>397.178</v>
      </c>
      <c r="V62" s="7">
        <v>1.2450000000000001</v>
      </c>
      <c r="W62" s="7">
        <v>209.78800000000001</v>
      </c>
      <c r="X62" s="9">
        <v>2.23872113856834E-10</v>
      </c>
      <c r="Y62" s="7">
        <v>1.67</v>
      </c>
      <c r="Z62" s="7">
        <v>12.47</v>
      </c>
      <c r="AA62" s="7">
        <v>1.88</v>
      </c>
      <c r="AB62" s="7">
        <v>0.12</v>
      </c>
      <c r="AC62" s="7">
        <v>11</v>
      </c>
      <c r="AD62" s="7">
        <v>2.4500000000000002</v>
      </c>
      <c r="AE62" s="7">
        <v>190.2</v>
      </c>
      <c r="AF62" s="7">
        <v>69.685000000000002</v>
      </c>
      <c r="AG62" s="7">
        <v>186.58600000000001</v>
      </c>
      <c r="AH62" s="7">
        <v>5.07</v>
      </c>
      <c r="AI62" s="7" t="s">
        <v>37</v>
      </c>
      <c r="AJ62" s="7">
        <v>27.625</v>
      </c>
      <c r="AK62" s="7">
        <v>1</v>
      </c>
      <c r="AL62" s="7">
        <v>57.328000000000003</v>
      </c>
      <c r="AM62" s="7" t="s">
        <v>37</v>
      </c>
      <c r="AN62" s="9">
        <v>3.22107E-8</v>
      </c>
      <c r="AO62" s="7">
        <v>20.464400000000001</v>
      </c>
      <c r="AP62" s="7">
        <v>4.9101199999999998E-4</v>
      </c>
      <c r="AQ62" s="7">
        <v>0</v>
      </c>
      <c r="AR62" s="7">
        <v>1</v>
      </c>
      <c r="AS62"/>
    </row>
    <row r="63" spans="1:45" ht="19.5" customHeight="1" x14ac:dyDescent="0.3">
      <c r="A63" s="7" t="s">
        <v>999</v>
      </c>
      <c r="B63" s="7" t="s">
        <v>2080</v>
      </c>
      <c r="C63" s="7">
        <v>2</v>
      </c>
      <c r="D63" s="7">
        <v>25870.264467385899</v>
      </c>
      <c r="E63" s="7">
        <v>2311</v>
      </c>
      <c r="F63" s="7">
        <v>67.983950617283995</v>
      </c>
      <c r="G63" s="7" t="s">
        <v>1000</v>
      </c>
      <c r="H63" s="7" t="s">
        <v>1001</v>
      </c>
      <c r="I63" s="7" t="s">
        <v>1002</v>
      </c>
      <c r="J63" s="8" t="s">
        <v>1003</v>
      </c>
      <c r="K63" s="7" t="s">
        <v>1004</v>
      </c>
      <c r="L63" s="7">
        <v>406.48200000000003</v>
      </c>
      <c r="M63" s="7" t="s">
        <v>37</v>
      </c>
      <c r="N63" s="7" t="s">
        <v>37</v>
      </c>
      <c r="O63" s="7" t="s">
        <v>37</v>
      </c>
      <c r="P63" s="7" t="s">
        <v>37</v>
      </c>
      <c r="Q63" s="7" t="s">
        <v>37</v>
      </c>
      <c r="R63" s="7" t="s">
        <v>37</v>
      </c>
      <c r="S63" s="7">
        <v>406.48099999999999</v>
      </c>
      <c r="T63" s="7">
        <v>40.648099999999999</v>
      </c>
      <c r="U63" s="7">
        <v>593.46749999999997</v>
      </c>
      <c r="V63" s="7">
        <v>1.2669999999999999</v>
      </c>
      <c r="W63" s="7">
        <v>353.49400000000003</v>
      </c>
      <c r="X63" s="9">
        <v>1.0232929922807499E-10</v>
      </c>
      <c r="Y63" s="7">
        <v>1.657</v>
      </c>
      <c r="Z63" s="7">
        <v>18.75</v>
      </c>
      <c r="AA63" s="7">
        <v>4.1900000000000004</v>
      </c>
      <c r="AB63" s="7">
        <v>4.17</v>
      </c>
      <c r="AC63" s="7">
        <v>9.42</v>
      </c>
      <c r="AD63" s="7">
        <v>4.1900000000000004</v>
      </c>
      <c r="AE63" s="7">
        <v>114.25</v>
      </c>
      <c r="AF63" s="7">
        <v>119.598</v>
      </c>
      <c r="AG63" s="7">
        <v>325.11099999999999</v>
      </c>
      <c r="AH63" s="7">
        <v>8.85</v>
      </c>
      <c r="AI63" s="7" t="s">
        <v>37</v>
      </c>
      <c r="AJ63" s="7">
        <v>47.411999999999999</v>
      </c>
      <c r="AK63" s="7">
        <v>0</v>
      </c>
      <c r="AL63" s="7">
        <v>53.948</v>
      </c>
      <c r="AM63" s="7" t="s">
        <v>37</v>
      </c>
      <c r="AN63" s="9">
        <v>3.74973E-12</v>
      </c>
      <c r="AO63" s="7" t="s">
        <v>37</v>
      </c>
      <c r="AP63" s="9">
        <v>7.7592800000000007E-6</v>
      </c>
      <c r="AQ63" s="7">
        <v>1</v>
      </c>
      <c r="AR63" s="7">
        <v>0</v>
      </c>
      <c r="AS63"/>
    </row>
    <row r="64" spans="1:45" ht="19.5" customHeight="1" x14ac:dyDescent="0.3">
      <c r="A64" s="7" t="s">
        <v>218</v>
      </c>
      <c r="B64" s="7" t="s">
        <v>2080</v>
      </c>
      <c r="C64" s="7">
        <v>18.399999999999999</v>
      </c>
      <c r="D64" s="7">
        <v>933397.85214785195</v>
      </c>
      <c r="E64" s="7">
        <v>156</v>
      </c>
      <c r="F64" s="7">
        <v>8.7319587628866007</v>
      </c>
      <c r="G64" s="7" t="s">
        <v>219</v>
      </c>
      <c r="H64" s="7" t="s">
        <v>220</v>
      </c>
      <c r="I64" s="7" t="s">
        <v>221</v>
      </c>
      <c r="J64" s="8" t="s">
        <v>222</v>
      </c>
      <c r="K64" s="7" t="s">
        <v>223</v>
      </c>
      <c r="L64" s="7">
        <v>395.41</v>
      </c>
      <c r="M64" s="7" t="s">
        <v>37</v>
      </c>
      <c r="N64" s="7" t="s">
        <v>37</v>
      </c>
      <c r="O64" s="7" t="s">
        <v>37</v>
      </c>
      <c r="P64" s="7" t="s">
        <v>37</v>
      </c>
      <c r="Q64" s="7" t="s">
        <v>37</v>
      </c>
      <c r="R64" s="7" t="s">
        <v>37</v>
      </c>
      <c r="S64" s="7" t="s">
        <v>37</v>
      </c>
      <c r="T64" s="7" t="s">
        <v>37</v>
      </c>
      <c r="U64" s="7">
        <v>414.214</v>
      </c>
      <c r="V64" s="7">
        <v>1.7869999999999999</v>
      </c>
      <c r="W64" s="7">
        <v>419.14100000000002</v>
      </c>
      <c r="X64" s="9">
        <v>1.8620871366628699E-11</v>
      </c>
      <c r="Y64" s="7">
        <v>1.8620000000000001</v>
      </c>
      <c r="Z64" s="7">
        <v>0.88</v>
      </c>
      <c r="AA64" s="7">
        <v>-0.61</v>
      </c>
      <c r="AB64" s="7">
        <v>-0.24</v>
      </c>
      <c r="AC64" s="7">
        <v>9.4499999999999993</v>
      </c>
      <c r="AD64" s="7">
        <v>-0.47599999999999998</v>
      </c>
      <c r="AE64" s="7">
        <v>201</v>
      </c>
      <c r="AF64" s="7">
        <v>94.147000000000006</v>
      </c>
      <c r="AG64" s="7">
        <v>208.65799999999999</v>
      </c>
      <c r="AH64" s="7">
        <v>4.78</v>
      </c>
      <c r="AI64" s="7">
        <v>5.65</v>
      </c>
      <c r="AJ64" s="7">
        <v>37.323</v>
      </c>
      <c r="AK64" s="7">
        <v>0</v>
      </c>
      <c r="AL64" s="7">
        <v>94.694999999999993</v>
      </c>
      <c r="AM64" s="7" t="s">
        <v>37</v>
      </c>
      <c r="AN64" s="9">
        <v>7.9432823472428206E-8</v>
      </c>
      <c r="AO64" s="7" t="s">
        <v>37</v>
      </c>
      <c r="AP64" s="7">
        <v>1.9271143516690801E-3</v>
      </c>
      <c r="AQ64" s="7">
        <v>0</v>
      </c>
      <c r="AR64" s="7">
        <v>1</v>
      </c>
      <c r="AS64"/>
    </row>
    <row r="65" spans="1:45" ht="19.5" customHeight="1" x14ac:dyDescent="0.3">
      <c r="A65" s="7" t="s">
        <v>230</v>
      </c>
      <c r="B65" s="7" t="s">
        <v>2080</v>
      </c>
      <c r="C65" s="7">
        <v>50</v>
      </c>
      <c r="D65" s="7">
        <v>892234.84848484898</v>
      </c>
      <c r="E65" s="7">
        <v>66</v>
      </c>
      <c r="F65" s="7">
        <v>8.8888888888888893</v>
      </c>
      <c r="G65" s="7" t="s">
        <v>231</v>
      </c>
      <c r="H65" s="7" t="s">
        <v>232</v>
      </c>
      <c r="I65" s="7" t="s">
        <v>233</v>
      </c>
      <c r="J65" s="8" t="s">
        <v>234</v>
      </c>
      <c r="K65" s="7" t="s">
        <v>235</v>
      </c>
      <c r="L65" s="7">
        <v>424.38</v>
      </c>
      <c r="M65" s="7" t="s">
        <v>37</v>
      </c>
      <c r="N65" s="7" t="s">
        <v>37</v>
      </c>
      <c r="O65" s="7" t="s">
        <v>37</v>
      </c>
      <c r="P65" s="7" t="s">
        <v>37</v>
      </c>
      <c r="Q65" s="7" t="s">
        <v>37</v>
      </c>
      <c r="R65" s="7" t="s">
        <v>37</v>
      </c>
      <c r="S65" s="7" t="s">
        <v>37</v>
      </c>
      <c r="T65" s="7" t="s">
        <v>37</v>
      </c>
      <c r="U65" s="7">
        <v>276</v>
      </c>
      <c r="V65" s="7" t="s">
        <v>37</v>
      </c>
      <c r="W65" s="7" t="s">
        <v>37</v>
      </c>
      <c r="X65" s="9">
        <v>1.38038426460289E-11</v>
      </c>
      <c r="Y65" s="7" t="s">
        <v>37</v>
      </c>
      <c r="Z65" s="7">
        <v>3.79</v>
      </c>
      <c r="AA65" s="7">
        <v>-2</v>
      </c>
      <c r="AB65" s="7">
        <v>-3.89</v>
      </c>
      <c r="AC65" s="7">
        <v>9.41</v>
      </c>
      <c r="AD65" s="7">
        <v>-0.16</v>
      </c>
      <c r="AE65" s="7">
        <v>201</v>
      </c>
      <c r="AF65" s="7" t="s">
        <v>37</v>
      </c>
      <c r="AG65" s="7" t="s">
        <v>37</v>
      </c>
      <c r="AH65" s="7">
        <v>3.67</v>
      </c>
      <c r="AI65" s="7" t="s">
        <v>37</v>
      </c>
      <c r="AJ65" s="7" t="s">
        <v>37</v>
      </c>
      <c r="AK65" s="7">
        <v>0</v>
      </c>
      <c r="AL65" s="7" t="s">
        <v>37</v>
      </c>
      <c r="AM65" s="7" t="s">
        <v>37</v>
      </c>
      <c r="AN65" s="9">
        <v>1.62181009735893E-9</v>
      </c>
      <c r="AO65" s="7" t="s">
        <v>37</v>
      </c>
      <c r="AP65" s="7">
        <v>9.1201083935591003E-3</v>
      </c>
      <c r="AQ65" s="7">
        <v>0</v>
      </c>
      <c r="AR65" s="7">
        <v>1</v>
      </c>
      <c r="AS65"/>
    </row>
    <row r="66" spans="1:45" ht="19.5" customHeight="1" x14ac:dyDescent="0.3">
      <c r="A66" s="7" t="s">
        <v>378</v>
      </c>
      <c r="B66" s="7" t="s">
        <v>2080</v>
      </c>
      <c r="C66" s="7">
        <v>3</v>
      </c>
      <c r="D66" s="7">
        <v>251250.392245264</v>
      </c>
      <c r="E66" s="7">
        <v>655</v>
      </c>
      <c r="F66" s="7">
        <v>46.473067915690898</v>
      </c>
      <c r="G66" s="7" t="s">
        <v>379</v>
      </c>
      <c r="H66" s="7" t="s">
        <v>380</v>
      </c>
      <c r="I66" s="7" t="s">
        <v>381</v>
      </c>
      <c r="J66" s="8" t="s">
        <v>382</v>
      </c>
      <c r="K66" s="7" t="s">
        <v>383</v>
      </c>
      <c r="L66" s="7">
        <v>381.37</v>
      </c>
      <c r="M66" s="7" t="s">
        <v>37</v>
      </c>
      <c r="N66" s="7" t="s">
        <v>37</v>
      </c>
      <c r="O66" s="7" t="s">
        <v>37</v>
      </c>
      <c r="P66" s="7" t="s">
        <v>37</v>
      </c>
      <c r="Q66" s="7">
        <v>170</v>
      </c>
      <c r="R66" s="7" t="s">
        <v>37</v>
      </c>
      <c r="S66" s="7">
        <v>3813.72</v>
      </c>
      <c r="T66" s="7">
        <v>2.93</v>
      </c>
      <c r="U66" s="7">
        <v>500.04</v>
      </c>
      <c r="V66" s="7">
        <v>1.4390000000000001</v>
      </c>
      <c r="W66" s="7">
        <v>277.17849999999999</v>
      </c>
      <c r="X66" s="9">
        <v>5.12861383991366E-9</v>
      </c>
      <c r="Y66" s="7">
        <v>1.6060000000000001</v>
      </c>
      <c r="Z66" s="7">
        <v>21.28</v>
      </c>
      <c r="AA66" s="7">
        <v>2.13</v>
      </c>
      <c r="AB66" s="7">
        <v>2.97</v>
      </c>
      <c r="AC66" s="7">
        <v>10.87</v>
      </c>
      <c r="AD66" s="7">
        <v>3.52</v>
      </c>
      <c r="AE66" s="7">
        <v>158</v>
      </c>
      <c r="AF66" s="7">
        <v>91.882999999999996</v>
      </c>
      <c r="AG66" s="7">
        <v>266.44499999999999</v>
      </c>
      <c r="AH66" s="7">
        <v>12.97</v>
      </c>
      <c r="AI66" s="7">
        <v>0.87</v>
      </c>
      <c r="AJ66" s="7">
        <v>36.424999999999997</v>
      </c>
      <c r="AK66" s="7">
        <v>0</v>
      </c>
      <c r="AL66" s="7">
        <v>46.667999999999999</v>
      </c>
      <c r="AM66" s="7" t="s">
        <v>37</v>
      </c>
      <c r="AN66" s="9">
        <v>3.09029543251359E-11</v>
      </c>
      <c r="AO66" s="7" t="s">
        <v>37</v>
      </c>
      <c r="AP66" s="9">
        <v>7.7284469173516807E-6</v>
      </c>
      <c r="AQ66" s="7">
        <v>1</v>
      </c>
      <c r="AR66" s="7">
        <v>0</v>
      </c>
      <c r="AS66"/>
    </row>
    <row r="67" spans="1:45" ht="19.5" customHeight="1" x14ac:dyDescent="0.3">
      <c r="A67" s="7" t="s">
        <v>92</v>
      </c>
      <c r="B67" s="7" t="s">
        <v>2080</v>
      </c>
      <c r="C67" s="7">
        <v>90</v>
      </c>
      <c r="D67" s="7">
        <v>1699142.4454111001</v>
      </c>
      <c r="E67" s="7">
        <v>603</v>
      </c>
      <c r="F67" s="7">
        <v>8.42068965517241</v>
      </c>
      <c r="G67" s="7" t="s">
        <v>93</v>
      </c>
      <c r="H67" s="7" t="s">
        <v>94</v>
      </c>
      <c r="I67" s="7" t="s">
        <v>95</v>
      </c>
      <c r="J67" s="8" t="s">
        <v>96</v>
      </c>
      <c r="K67" s="7" t="s">
        <v>97</v>
      </c>
      <c r="L67" s="7">
        <v>347.39</v>
      </c>
      <c r="M67" s="9">
        <v>1000000</v>
      </c>
      <c r="N67" s="7" t="s">
        <v>37</v>
      </c>
      <c r="O67" s="7" t="s">
        <v>37</v>
      </c>
      <c r="P67" s="7" t="s">
        <v>37</v>
      </c>
      <c r="Q67" s="7" t="s">
        <v>37</v>
      </c>
      <c r="R67" s="7">
        <v>1000</v>
      </c>
      <c r="S67" s="7" t="s">
        <v>37</v>
      </c>
      <c r="T67" s="7" t="s">
        <v>37</v>
      </c>
      <c r="U67" s="7">
        <v>543.19500000000005</v>
      </c>
      <c r="V67" s="7">
        <v>1.5075000000000001</v>
      </c>
      <c r="W67" s="7">
        <v>381.78</v>
      </c>
      <c r="X67" s="9">
        <v>1.5488166189124799E-11</v>
      </c>
      <c r="Y67" s="7">
        <v>1.7</v>
      </c>
      <c r="Z67" s="7">
        <v>1.58</v>
      </c>
      <c r="AA67" s="7">
        <v>0.62</v>
      </c>
      <c r="AB67" s="7">
        <v>-0.21</v>
      </c>
      <c r="AC67" s="7">
        <v>9.36</v>
      </c>
      <c r="AD67" s="7">
        <v>0.65</v>
      </c>
      <c r="AE67" s="7">
        <v>326.8</v>
      </c>
      <c r="AF67" s="7">
        <v>89.415000000000006</v>
      </c>
      <c r="AG67" s="7">
        <v>231.34800000000001</v>
      </c>
      <c r="AH67" s="7">
        <v>6.6</v>
      </c>
      <c r="AI67" s="7" t="s">
        <v>37</v>
      </c>
      <c r="AJ67" s="7">
        <v>35.447000000000003</v>
      </c>
      <c r="AK67" s="7">
        <v>0</v>
      </c>
      <c r="AL67" s="7">
        <v>78.5</v>
      </c>
      <c r="AM67" s="7" t="s">
        <v>37</v>
      </c>
      <c r="AN67" s="9">
        <v>1.3708800000000001E-11</v>
      </c>
      <c r="AO67" s="7" t="s">
        <v>37</v>
      </c>
      <c r="AP67" s="7">
        <v>5.13E-3</v>
      </c>
      <c r="AQ67" s="7">
        <v>1</v>
      </c>
      <c r="AR67" s="7">
        <v>1</v>
      </c>
      <c r="AS67"/>
    </row>
    <row r="68" spans="1:45" ht="19.5" customHeight="1" x14ac:dyDescent="0.3">
      <c r="A68" s="7" t="s">
        <v>1268</v>
      </c>
      <c r="B68" s="7" t="s">
        <v>2080</v>
      </c>
      <c r="C68" s="7">
        <v>60</v>
      </c>
      <c r="D68" s="7">
        <v>9514.0825335826903</v>
      </c>
      <c r="E68" s="7">
        <v>1317</v>
      </c>
      <c r="F68" s="7">
        <v>42.429678848283501</v>
      </c>
      <c r="G68" s="7" t="s">
        <v>1269</v>
      </c>
      <c r="H68" s="7" t="s">
        <v>1270</v>
      </c>
      <c r="I68" s="7" t="s">
        <v>1271</v>
      </c>
      <c r="J68" s="8" t="s">
        <v>1272</v>
      </c>
      <c r="K68" s="7" t="s">
        <v>336</v>
      </c>
      <c r="L68" s="7">
        <v>388.89</v>
      </c>
      <c r="M68" s="7" t="s">
        <v>37</v>
      </c>
      <c r="N68" s="7" t="s">
        <v>37</v>
      </c>
      <c r="O68" s="7" t="s">
        <v>37</v>
      </c>
      <c r="P68" s="7" t="s">
        <v>37</v>
      </c>
      <c r="Q68" s="7" t="s">
        <v>37</v>
      </c>
      <c r="R68" s="7" t="s">
        <v>37</v>
      </c>
      <c r="S68" s="7" t="s">
        <v>37</v>
      </c>
      <c r="T68" s="7" t="s">
        <v>37</v>
      </c>
      <c r="U68" s="7">
        <v>488.66649999999998</v>
      </c>
      <c r="V68" s="7">
        <v>1.2395</v>
      </c>
      <c r="W68" s="7">
        <v>275.46350000000001</v>
      </c>
      <c r="X68" s="9">
        <v>1.0471285480509E-10</v>
      </c>
      <c r="Y68" s="7">
        <v>1.589</v>
      </c>
      <c r="Z68" s="7">
        <v>11.27</v>
      </c>
      <c r="AA68" s="7">
        <v>0.14000000000000001</v>
      </c>
      <c r="AB68" s="7">
        <v>-1.75</v>
      </c>
      <c r="AC68" s="7">
        <v>10.38</v>
      </c>
      <c r="AD68" s="7">
        <v>1.7</v>
      </c>
      <c r="AE68" s="7">
        <v>112.5</v>
      </c>
      <c r="AF68" s="7">
        <v>105.944</v>
      </c>
      <c r="AG68" s="7">
        <v>314.245</v>
      </c>
      <c r="AH68" s="7">
        <v>3.95</v>
      </c>
      <c r="AI68" s="7" t="s">
        <v>37</v>
      </c>
      <c r="AJ68" s="7">
        <v>42</v>
      </c>
      <c r="AK68" s="7">
        <v>0</v>
      </c>
      <c r="AL68" s="7">
        <v>49.4345</v>
      </c>
      <c r="AM68" s="7">
        <v>144.726</v>
      </c>
      <c r="AN68" s="9">
        <v>1.37721E-9</v>
      </c>
      <c r="AO68" s="7">
        <v>106.17</v>
      </c>
      <c r="AP68" s="7">
        <v>3.5307049999999999E-4</v>
      </c>
      <c r="AQ68" s="7">
        <v>1</v>
      </c>
      <c r="AR68" s="7">
        <v>0</v>
      </c>
      <c r="AS68"/>
    </row>
    <row r="69" spans="1:45" ht="19.5" customHeight="1" x14ac:dyDescent="0.3">
      <c r="A69" s="7" t="s">
        <v>2115</v>
      </c>
      <c r="B69" s="7" t="s">
        <v>2083</v>
      </c>
      <c r="C69" s="7">
        <v>100</v>
      </c>
      <c r="D69" s="7">
        <v>6081795.1600392703</v>
      </c>
      <c r="E69" s="7">
        <v>98</v>
      </c>
      <c r="F69" s="7">
        <v>24.9</v>
      </c>
      <c r="G69" s="7" t="s">
        <v>2116</v>
      </c>
      <c r="H69" s="7" t="s">
        <v>2117</v>
      </c>
      <c r="I69" s="7" t="s">
        <v>2118</v>
      </c>
      <c r="J69" s="7" t="s">
        <v>2119</v>
      </c>
      <c r="K69" s="7" t="s">
        <v>2120</v>
      </c>
      <c r="L69" s="7">
        <v>505.45</v>
      </c>
      <c r="M69" s="7" t="s">
        <v>37</v>
      </c>
      <c r="N69" s="7" t="s">
        <v>37</v>
      </c>
      <c r="O69" s="7" t="s">
        <v>37</v>
      </c>
      <c r="P69" s="7" t="s">
        <v>37</v>
      </c>
      <c r="Q69" s="7" t="s">
        <v>37</v>
      </c>
      <c r="R69" s="7" t="s">
        <v>37</v>
      </c>
      <c r="S69" s="7" t="s">
        <v>37</v>
      </c>
      <c r="T69" s="7" t="s">
        <v>37</v>
      </c>
      <c r="U69" s="7">
        <v>505.84</v>
      </c>
      <c r="V69" s="7">
        <v>1.41</v>
      </c>
      <c r="W69" s="7">
        <v>327.95499999999998</v>
      </c>
      <c r="X69" s="9">
        <v>3.9810717055349699E-10</v>
      </c>
      <c r="Y69" s="7" t="s">
        <v>37</v>
      </c>
      <c r="Z69" s="7">
        <v>32.979999999999997</v>
      </c>
      <c r="AA69" s="7">
        <v>-5.78</v>
      </c>
      <c r="AB69" s="7">
        <v>-3.88</v>
      </c>
      <c r="AC69" s="7">
        <v>9.6</v>
      </c>
      <c r="AD69" s="7">
        <v>0.08</v>
      </c>
      <c r="AE69" s="7">
        <v>134</v>
      </c>
      <c r="AF69" s="7" t="s">
        <v>37</v>
      </c>
      <c r="AG69" s="7" t="s">
        <v>37</v>
      </c>
      <c r="AH69" s="7" t="s">
        <v>37</v>
      </c>
      <c r="AI69" s="7">
        <v>11.36</v>
      </c>
      <c r="AJ69" s="7" t="s">
        <v>37</v>
      </c>
      <c r="AK69" s="7">
        <v>0</v>
      </c>
      <c r="AL69" s="7" t="s">
        <v>37</v>
      </c>
      <c r="AM69" s="7" t="s">
        <v>37</v>
      </c>
      <c r="AN69" s="9">
        <v>3.9810717055349699E-10</v>
      </c>
      <c r="AO69" s="7" t="s">
        <v>37</v>
      </c>
      <c r="AP69" s="7">
        <v>1.58135E-3</v>
      </c>
      <c r="AQ69" s="7">
        <v>0</v>
      </c>
      <c r="AR69" s="7">
        <v>0</v>
      </c>
      <c r="AS69"/>
    </row>
    <row r="70" spans="1:45" ht="19.5" customHeight="1" x14ac:dyDescent="0.3">
      <c r="A70" s="7" t="s">
        <v>1018</v>
      </c>
      <c r="B70" s="7" t="s">
        <v>2080</v>
      </c>
      <c r="C70" s="7">
        <v>70</v>
      </c>
      <c r="D70" s="7">
        <v>25148.993240434102</v>
      </c>
      <c r="E70" s="7">
        <v>519</v>
      </c>
      <c r="F70" s="7">
        <v>70.439169139465903</v>
      </c>
      <c r="G70" s="7" t="s">
        <v>1019</v>
      </c>
      <c r="H70" s="7" t="s">
        <v>1020</v>
      </c>
      <c r="I70" s="7" t="s">
        <v>1021</v>
      </c>
      <c r="J70" s="8" t="s">
        <v>1022</v>
      </c>
      <c r="K70" s="7" t="s">
        <v>1023</v>
      </c>
      <c r="L70" s="7">
        <v>338.76</v>
      </c>
      <c r="M70" s="7" t="s">
        <v>37</v>
      </c>
      <c r="N70" s="7" t="s">
        <v>37</v>
      </c>
      <c r="O70" s="7" t="s">
        <v>37</v>
      </c>
      <c r="P70" s="7" t="s">
        <v>37</v>
      </c>
      <c r="Q70" s="7" t="s">
        <v>37</v>
      </c>
      <c r="R70" s="7" t="s">
        <v>37</v>
      </c>
      <c r="S70" s="7" t="s">
        <v>37</v>
      </c>
      <c r="T70" s="7" t="s">
        <v>37</v>
      </c>
      <c r="U70" s="7">
        <v>416.92</v>
      </c>
      <c r="V70" s="7">
        <v>1.5665</v>
      </c>
      <c r="W70" s="7">
        <v>317.99299999999999</v>
      </c>
      <c r="X70" s="9">
        <v>2.1877616239495499E-11</v>
      </c>
      <c r="Y70" s="7">
        <v>1.694</v>
      </c>
      <c r="Z70" s="7">
        <v>5.99</v>
      </c>
      <c r="AA70" s="7">
        <v>0.85</v>
      </c>
      <c r="AB70" s="7">
        <v>0.61</v>
      </c>
      <c r="AC70" s="7">
        <v>9.27</v>
      </c>
      <c r="AD70" s="7">
        <v>0.85</v>
      </c>
      <c r="AE70" s="7">
        <v>239</v>
      </c>
      <c r="AF70" s="7">
        <v>81.25</v>
      </c>
      <c r="AG70" s="7">
        <v>211.55600000000001</v>
      </c>
      <c r="AH70" s="7">
        <v>7.54</v>
      </c>
      <c r="AI70" s="7" t="s">
        <v>37</v>
      </c>
      <c r="AJ70" s="7">
        <v>32.21</v>
      </c>
      <c r="AK70" s="7">
        <v>0</v>
      </c>
      <c r="AL70" s="7">
        <v>72.718999999999994</v>
      </c>
      <c r="AM70" s="7" t="s">
        <v>37</v>
      </c>
      <c r="AN70" s="9">
        <v>4.0283486104779101E-10</v>
      </c>
      <c r="AO70" s="7" t="s">
        <v>37</v>
      </c>
      <c r="AP70" s="7">
        <v>3.5412099999999999E-4</v>
      </c>
      <c r="AQ70" s="7">
        <v>1</v>
      </c>
      <c r="AR70" s="7">
        <v>1</v>
      </c>
      <c r="AS70"/>
    </row>
    <row r="71" spans="1:45" ht="19.5" customHeight="1" x14ac:dyDescent="0.3">
      <c r="A71" s="7" t="s">
        <v>1611</v>
      </c>
      <c r="B71" s="7" t="s">
        <v>2089</v>
      </c>
      <c r="C71" s="7">
        <v>100</v>
      </c>
      <c r="D71" s="7">
        <v>827.89462365591396</v>
      </c>
      <c r="E71" s="7">
        <v>62</v>
      </c>
      <c r="F71" s="7">
        <v>66.774193548387103</v>
      </c>
      <c r="G71" s="7" t="s">
        <v>1612</v>
      </c>
      <c r="H71" s="7" t="s">
        <v>1613</v>
      </c>
      <c r="I71" s="7" t="s">
        <v>1614</v>
      </c>
      <c r="J71" s="8" t="s">
        <v>1615</v>
      </c>
      <c r="K71" s="7" t="s">
        <v>1616</v>
      </c>
      <c r="L71" s="7">
        <v>540.697</v>
      </c>
      <c r="M71" s="7" t="s">
        <v>37</v>
      </c>
      <c r="N71" s="7" t="s">
        <v>37</v>
      </c>
      <c r="O71" s="7" t="s">
        <v>37</v>
      </c>
      <c r="P71" s="7" t="s">
        <v>37</v>
      </c>
      <c r="Q71" s="7" t="s">
        <v>37</v>
      </c>
      <c r="R71" s="7" t="s">
        <v>37</v>
      </c>
      <c r="S71" s="7" t="s">
        <v>37</v>
      </c>
      <c r="T71" s="7" t="s">
        <v>37</v>
      </c>
      <c r="U71" s="7">
        <v>572.86850000000004</v>
      </c>
      <c r="V71" s="7">
        <v>1.2665</v>
      </c>
      <c r="W71" s="7">
        <v>257.99599999999998</v>
      </c>
      <c r="X71" s="9">
        <v>8.9125093813374397E-11</v>
      </c>
      <c r="Y71" s="7">
        <v>1.5760000000000001</v>
      </c>
      <c r="Z71" s="7">
        <v>24.69</v>
      </c>
      <c r="AA71" s="7">
        <v>4.95</v>
      </c>
      <c r="AB71" s="7">
        <v>4.34</v>
      </c>
      <c r="AC71" s="7">
        <v>10.19</v>
      </c>
      <c r="AD71" s="7">
        <v>5.2445000000000004</v>
      </c>
      <c r="AE71" s="7">
        <v>254</v>
      </c>
      <c r="AF71" s="7">
        <v>144.517</v>
      </c>
      <c r="AG71" s="7">
        <v>436.99799999999999</v>
      </c>
      <c r="AH71" s="7">
        <v>6.88</v>
      </c>
      <c r="AI71" s="7">
        <v>14.247999999999999</v>
      </c>
      <c r="AJ71" s="7">
        <v>57.290999999999997</v>
      </c>
      <c r="AK71" s="7">
        <v>0</v>
      </c>
      <c r="AL71" s="7">
        <v>51.860999999999997</v>
      </c>
      <c r="AM71" s="7" t="s">
        <v>37</v>
      </c>
      <c r="AN71" s="9">
        <v>7.9615900000000004E-13</v>
      </c>
      <c r="AO71" s="7" t="s">
        <v>37</v>
      </c>
      <c r="AP71" s="9">
        <v>1.3845250000000001E-6</v>
      </c>
      <c r="AQ71" s="7">
        <v>1</v>
      </c>
      <c r="AR71" s="7">
        <v>1</v>
      </c>
      <c r="AS71"/>
    </row>
    <row r="72" spans="1:45" ht="19.5" customHeight="1" x14ac:dyDescent="0.3">
      <c r="A72" s="7" t="s">
        <v>2121</v>
      </c>
      <c r="B72" s="7" t="s">
        <v>2083</v>
      </c>
      <c r="C72" s="7">
        <v>100</v>
      </c>
      <c r="D72" s="7">
        <v>2806878.9614003301</v>
      </c>
      <c r="E72" s="7">
        <v>72</v>
      </c>
      <c r="F72" s="7">
        <v>24.903225806451601</v>
      </c>
      <c r="G72" s="7" t="s">
        <v>2122</v>
      </c>
      <c r="H72" s="7" t="s">
        <v>2123</v>
      </c>
      <c r="I72" s="7" t="s">
        <v>2124</v>
      </c>
      <c r="J72" s="7" t="s">
        <v>2125</v>
      </c>
      <c r="K72" s="7" t="s">
        <v>2126</v>
      </c>
      <c r="L72" s="7">
        <v>207.273</v>
      </c>
      <c r="M72" s="7" t="s">
        <v>37</v>
      </c>
      <c r="N72" s="7" t="s">
        <v>37</v>
      </c>
      <c r="O72" s="7" t="s">
        <v>37</v>
      </c>
      <c r="P72" s="7" t="s">
        <v>37</v>
      </c>
      <c r="Q72" s="7" t="s">
        <v>37</v>
      </c>
      <c r="R72" s="7" t="s">
        <v>37</v>
      </c>
      <c r="S72" s="7" t="s">
        <v>37</v>
      </c>
      <c r="T72" s="7" t="s">
        <v>37</v>
      </c>
      <c r="U72" s="7">
        <v>331.44</v>
      </c>
      <c r="V72" s="7">
        <v>1.2410000000000001</v>
      </c>
      <c r="W72" s="7">
        <v>178.845</v>
      </c>
      <c r="X72" s="9">
        <v>1.07151930523761E-7</v>
      </c>
      <c r="Y72" s="7" t="s">
        <v>37</v>
      </c>
      <c r="Z72" s="7">
        <v>13.06</v>
      </c>
      <c r="AA72" s="7">
        <v>3.37</v>
      </c>
      <c r="AB72" s="7">
        <v>3.37</v>
      </c>
      <c r="AC72" s="7">
        <v>8.6199999999999992</v>
      </c>
      <c r="AD72" s="7">
        <v>3.335</v>
      </c>
      <c r="AE72" s="7">
        <v>144</v>
      </c>
      <c r="AF72" s="7" t="s">
        <v>37</v>
      </c>
      <c r="AG72" s="7" t="s">
        <v>37</v>
      </c>
      <c r="AH72" s="7" t="s">
        <v>37</v>
      </c>
      <c r="AI72" s="7" t="s">
        <v>37</v>
      </c>
      <c r="AJ72" s="7" t="s">
        <v>37</v>
      </c>
      <c r="AK72" s="7">
        <v>0</v>
      </c>
      <c r="AL72" s="7" t="s">
        <v>37</v>
      </c>
      <c r="AM72" s="7" t="s">
        <v>37</v>
      </c>
      <c r="AN72" s="9">
        <v>9.5499258602143702E-8</v>
      </c>
      <c r="AO72" s="7" t="s">
        <v>37</v>
      </c>
      <c r="AP72" s="7">
        <v>1.54881661891248E-2</v>
      </c>
      <c r="AQ72" s="7">
        <v>0</v>
      </c>
      <c r="AR72" s="7">
        <v>1</v>
      </c>
      <c r="AS72"/>
    </row>
    <row r="73" spans="1:45" ht="19.5" customHeight="1" x14ac:dyDescent="0.3">
      <c r="A73" s="7" t="s">
        <v>44</v>
      </c>
      <c r="B73" s="7" t="s">
        <v>2092</v>
      </c>
      <c r="C73" s="7">
        <v>80</v>
      </c>
      <c r="D73" s="7">
        <v>164666.20024601099</v>
      </c>
      <c r="E73" s="7">
        <v>27</v>
      </c>
      <c r="F73" s="7">
        <v>10.252977358984401</v>
      </c>
      <c r="G73" s="7" t="s">
        <v>45</v>
      </c>
      <c r="H73" s="7" t="s">
        <v>46</v>
      </c>
      <c r="I73" s="7" t="s">
        <v>47</v>
      </c>
      <c r="J73" s="8" t="s">
        <v>48</v>
      </c>
      <c r="K73" s="7" t="s">
        <v>49</v>
      </c>
      <c r="L73" s="7">
        <v>331.34699999999901</v>
      </c>
      <c r="M73" s="7">
        <v>25000</v>
      </c>
      <c r="N73" s="7" t="s">
        <v>37</v>
      </c>
      <c r="O73" s="7">
        <v>125000</v>
      </c>
      <c r="P73" s="7">
        <v>10000</v>
      </c>
      <c r="Q73" s="7">
        <v>2500</v>
      </c>
      <c r="R73" s="7">
        <v>750</v>
      </c>
      <c r="S73" s="7">
        <v>51656.735000000001</v>
      </c>
      <c r="T73" s="7">
        <v>331.34699999999998</v>
      </c>
      <c r="U73" s="7">
        <v>486.34949999999998</v>
      </c>
      <c r="V73" s="7">
        <v>1.4175</v>
      </c>
      <c r="W73" s="7">
        <v>298.0265</v>
      </c>
      <c r="X73" s="9">
        <v>9.3325430079699202E-12</v>
      </c>
      <c r="Y73" s="7">
        <v>1.655</v>
      </c>
      <c r="Z73" s="7">
        <v>9.7100000000000009</v>
      </c>
      <c r="AA73" s="7">
        <v>-2.13</v>
      </c>
      <c r="AB73" s="7">
        <v>-0.35</v>
      </c>
      <c r="AC73" s="7">
        <v>9.43</v>
      </c>
      <c r="AD73" s="7">
        <v>0.28000000000000003</v>
      </c>
      <c r="AE73" s="7">
        <v>256</v>
      </c>
      <c r="AF73" s="7">
        <v>83.257000000000005</v>
      </c>
      <c r="AG73" s="7">
        <v>226.75800000000001</v>
      </c>
      <c r="AH73" s="7">
        <v>-0.74</v>
      </c>
      <c r="AI73" s="7">
        <v>7.91</v>
      </c>
      <c r="AJ73" s="7">
        <v>33.006</v>
      </c>
      <c r="AK73" s="7">
        <v>0</v>
      </c>
      <c r="AL73" s="7">
        <v>67.430999999999997</v>
      </c>
      <c r="AM73" s="7" t="s">
        <v>37</v>
      </c>
      <c r="AN73" s="9">
        <v>6.7608297539198199E-10</v>
      </c>
      <c r="AO73" s="7" t="s">
        <v>37</v>
      </c>
      <c r="AP73" s="7">
        <v>9.1199999999999996E-3</v>
      </c>
      <c r="AQ73" s="7">
        <v>1</v>
      </c>
      <c r="AR73" s="7">
        <v>0</v>
      </c>
      <c r="AS73"/>
    </row>
    <row r="74" spans="1:45" ht="19.5" customHeight="1" x14ac:dyDescent="0.3">
      <c r="A74" s="7" t="s">
        <v>44</v>
      </c>
      <c r="B74" s="7" t="s">
        <v>2080</v>
      </c>
      <c r="C74" s="7">
        <v>85</v>
      </c>
      <c r="D74" s="7">
        <v>3520401.7118906998</v>
      </c>
      <c r="E74" s="7">
        <v>362</v>
      </c>
      <c r="F74" s="7">
        <v>9.4761142455537595</v>
      </c>
      <c r="G74" s="7" t="s">
        <v>45</v>
      </c>
      <c r="H74" s="7" t="s">
        <v>46</v>
      </c>
      <c r="I74" s="7" t="s">
        <v>47</v>
      </c>
      <c r="J74" s="8" t="s">
        <v>48</v>
      </c>
      <c r="K74" s="7" t="s">
        <v>49</v>
      </c>
      <c r="L74" s="7">
        <v>331.34699999999901</v>
      </c>
      <c r="M74" s="7">
        <v>25000</v>
      </c>
      <c r="N74" s="7" t="s">
        <v>37</v>
      </c>
      <c r="O74" s="7">
        <v>125000</v>
      </c>
      <c r="P74" s="7">
        <v>10000</v>
      </c>
      <c r="Q74" s="7">
        <v>2500</v>
      </c>
      <c r="R74" s="7">
        <v>750</v>
      </c>
      <c r="S74" s="7">
        <v>51656.735000000001</v>
      </c>
      <c r="T74" s="7">
        <v>331.34699999999998</v>
      </c>
      <c r="U74" s="7">
        <v>486.34949999999998</v>
      </c>
      <c r="V74" s="7">
        <v>1.4175</v>
      </c>
      <c r="W74" s="7">
        <v>298.0265</v>
      </c>
      <c r="X74" s="9">
        <v>9.3325430079699202E-12</v>
      </c>
      <c r="Y74" s="7">
        <v>1.655</v>
      </c>
      <c r="Z74" s="7">
        <v>9.7100000000000009</v>
      </c>
      <c r="AA74" s="7">
        <v>-2.13</v>
      </c>
      <c r="AB74" s="7">
        <v>-0.35</v>
      </c>
      <c r="AC74" s="7">
        <v>9.43</v>
      </c>
      <c r="AD74" s="7">
        <v>0.28000000000000003</v>
      </c>
      <c r="AE74" s="7">
        <v>256</v>
      </c>
      <c r="AF74" s="7">
        <v>83.257000000000005</v>
      </c>
      <c r="AG74" s="7">
        <v>226.75800000000001</v>
      </c>
      <c r="AH74" s="7">
        <v>-0.74</v>
      </c>
      <c r="AI74" s="7">
        <v>7.91</v>
      </c>
      <c r="AJ74" s="7">
        <v>33.006</v>
      </c>
      <c r="AK74" s="7">
        <v>0</v>
      </c>
      <c r="AL74" s="7">
        <v>67.430999999999997</v>
      </c>
      <c r="AM74" s="7" t="s">
        <v>37</v>
      </c>
      <c r="AN74" s="9">
        <v>6.7608297539198199E-10</v>
      </c>
      <c r="AO74" s="7" t="s">
        <v>37</v>
      </c>
      <c r="AP74" s="7">
        <v>9.1199999999999996E-3</v>
      </c>
      <c r="AQ74" s="7">
        <v>1</v>
      </c>
      <c r="AR74" s="7">
        <v>0</v>
      </c>
      <c r="AS74"/>
    </row>
    <row r="75" spans="1:45" ht="19.5" customHeight="1" x14ac:dyDescent="0.3">
      <c r="A75" s="7" t="s">
        <v>44</v>
      </c>
      <c r="B75" s="7" t="s">
        <v>2127</v>
      </c>
      <c r="C75" s="7">
        <v>30</v>
      </c>
      <c r="D75" s="7">
        <v>133787.54171301401</v>
      </c>
      <c r="E75" s="7">
        <v>2</v>
      </c>
      <c r="F75" s="7">
        <v>9.5300353356890497</v>
      </c>
      <c r="G75" s="7" t="s">
        <v>45</v>
      </c>
      <c r="H75" s="7" t="s">
        <v>46</v>
      </c>
      <c r="I75" s="7" t="s">
        <v>47</v>
      </c>
      <c r="J75" s="8" t="s">
        <v>48</v>
      </c>
      <c r="K75" s="7" t="s">
        <v>49</v>
      </c>
      <c r="L75" s="7">
        <v>331.34699999999901</v>
      </c>
      <c r="M75" s="7">
        <v>25000</v>
      </c>
      <c r="N75" s="7" t="s">
        <v>37</v>
      </c>
      <c r="O75" s="7">
        <v>125000</v>
      </c>
      <c r="P75" s="7">
        <v>10000</v>
      </c>
      <c r="Q75" s="7">
        <v>2500</v>
      </c>
      <c r="R75" s="7">
        <v>750</v>
      </c>
      <c r="S75" s="7">
        <v>51656.735000000001</v>
      </c>
      <c r="T75" s="7">
        <v>331.34699999999998</v>
      </c>
      <c r="U75" s="7">
        <v>486.34949999999998</v>
      </c>
      <c r="V75" s="7">
        <v>1.4175</v>
      </c>
      <c r="W75" s="7">
        <v>298.0265</v>
      </c>
      <c r="X75" s="9">
        <v>9.3325430079699202E-12</v>
      </c>
      <c r="Y75" s="7">
        <v>1.655</v>
      </c>
      <c r="Z75" s="7">
        <v>9.7100000000000009</v>
      </c>
      <c r="AA75" s="7">
        <v>-2.13</v>
      </c>
      <c r="AB75" s="7">
        <v>-0.35</v>
      </c>
      <c r="AC75" s="7">
        <v>9.43</v>
      </c>
      <c r="AD75" s="7">
        <v>0.28000000000000003</v>
      </c>
      <c r="AE75" s="7">
        <v>256</v>
      </c>
      <c r="AF75" s="7">
        <v>83.257000000000005</v>
      </c>
      <c r="AG75" s="7">
        <v>226.75800000000001</v>
      </c>
      <c r="AH75" s="7">
        <v>-0.74</v>
      </c>
      <c r="AI75" s="7">
        <v>7.91</v>
      </c>
      <c r="AJ75" s="7">
        <v>33.006</v>
      </c>
      <c r="AK75" s="7">
        <v>0</v>
      </c>
      <c r="AL75" s="7">
        <v>67.430999999999997</v>
      </c>
      <c r="AM75" s="7" t="s">
        <v>37</v>
      </c>
      <c r="AN75" s="9">
        <v>6.7608297539198199E-10</v>
      </c>
      <c r="AO75" s="7" t="s">
        <v>37</v>
      </c>
      <c r="AP75" s="7">
        <v>9.1199999999999996E-3</v>
      </c>
      <c r="AQ75" s="7">
        <v>1</v>
      </c>
      <c r="AR75" s="7">
        <v>0</v>
      </c>
      <c r="AS75"/>
    </row>
    <row r="76" spans="1:45" ht="19.5" customHeight="1" x14ac:dyDescent="0.3">
      <c r="A76" s="7" t="s">
        <v>957</v>
      </c>
      <c r="B76" s="7" t="s">
        <v>2080</v>
      </c>
      <c r="C76" s="7">
        <v>28</v>
      </c>
      <c r="D76" s="7">
        <v>29369.978346536402</v>
      </c>
      <c r="E76" s="7">
        <v>1702</v>
      </c>
      <c r="F76" s="7">
        <v>53.3124539425203</v>
      </c>
      <c r="G76" s="7" t="s">
        <v>958</v>
      </c>
      <c r="H76" s="7" t="s">
        <v>959</v>
      </c>
      <c r="I76" s="7" t="s">
        <v>960</v>
      </c>
      <c r="J76" s="8" t="s">
        <v>961</v>
      </c>
      <c r="K76" s="7" t="s">
        <v>962</v>
      </c>
      <c r="L76" s="7">
        <v>324.399</v>
      </c>
      <c r="M76" s="7">
        <v>3900</v>
      </c>
      <c r="N76" s="7" t="s">
        <v>37</v>
      </c>
      <c r="O76" s="7" t="s">
        <v>37</v>
      </c>
      <c r="P76" s="7" t="s">
        <v>37</v>
      </c>
      <c r="Q76" s="7">
        <v>800</v>
      </c>
      <c r="R76" s="7" t="s">
        <v>37</v>
      </c>
      <c r="S76" s="7">
        <v>2.2999999999999998</v>
      </c>
      <c r="T76" s="7">
        <v>0.1</v>
      </c>
      <c r="U76" s="7">
        <v>393.96600000000001</v>
      </c>
      <c r="V76" s="7">
        <v>1.1755</v>
      </c>
      <c r="W76" s="7">
        <v>234.66849999999999</v>
      </c>
      <c r="X76" s="9">
        <v>3.98107170553497E-6</v>
      </c>
      <c r="Y76" s="7">
        <v>1.591</v>
      </c>
      <c r="Z76" s="7">
        <v>13.08</v>
      </c>
      <c r="AA76" s="7">
        <v>0.63</v>
      </c>
      <c r="AB76" s="7">
        <v>2.2200000000000002</v>
      </c>
      <c r="AC76" s="7">
        <v>10.63</v>
      </c>
      <c r="AD76" s="7">
        <v>2.9525000000000001</v>
      </c>
      <c r="AE76" s="7">
        <v>182.5</v>
      </c>
      <c r="AF76" s="7">
        <v>92.137</v>
      </c>
      <c r="AG76" s="7">
        <v>272.637</v>
      </c>
      <c r="AH76" s="7" t="s">
        <v>37</v>
      </c>
      <c r="AI76" s="7">
        <v>7.36</v>
      </c>
      <c r="AJ76" s="7">
        <v>36.526000000000003</v>
      </c>
      <c r="AK76" s="7">
        <v>0</v>
      </c>
      <c r="AL76" s="7">
        <v>49.896000000000001</v>
      </c>
      <c r="AM76" s="7">
        <v>157.08600000000001</v>
      </c>
      <c r="AN76" s="9">
        <v>2.8444599999999999E-8</v>
      </c>
      <c r="AO76" s="7">
        <v>12.4451</v>
      </c>
      <c r="AP76" s="9">
        <v>7.7293849999999999E-5</v>
      </c>
      <c r="AQ76" s="7">
        <v>1</v>
      </c>
      <c r="AR76" s="7">
        <v>1</v>
      </c>
      <c r="AS76"/>
    </row>
    <row r="77" spans="1:45" ht="19.5" customHeight="1" x14ac:dyDescent="0.3">
      <c r="A77" s="7" t="s">
        <v>200</v>
      </c>
      <c r="B77" s="7" t="s">
        <v>2080</v>
      </c>
      <c r="C77" s="7">
        <v>40</v>
      </c>
      <c r="D77" s="7">
        <v>1005632.64184641</v>
      </c>
      <c r="E77" s="7">
        <v>29</v>
      </c>
      <c r="F77" s="7">
        <v>10.4583333333333</v>
      </c>
      <c r="G77" s="7" t="s">
        <v>201</v>
      </c>
      <c r="H77" s="7" t="s">
        <v>202</v>
      </c>
      <c r="I77" s="7" t="s">
        <v>203</v>
      </c>
      <c r="J77" s="8" t="s">
        <v>204</v>
      </c>
      <c r="K77" s="7" t="s">
        <v>205</v>
      </c>
      <c r="L77" s="7">
        <v>747.96400000000006</v>
      </c>
      <c r="M77" s="7">
        <v>35480</v>
      </c>
      <c r="N77" s="7" t="s">
        <v>37</v>
      </c>
      <c r="O77" s="9">
        <v>100000</v>
      </c>
      <c r="P77" s="7">
        <v>10000</v>
      </c>
      <c r="Q77" s="7" t="s">
        <v>37</v>
      </c>
      <c r="R77" s="7">
        <v>40</v>
      </c>
      <c r="S77" s="9">
        <v>1000000</v>
      </c>
      <c r="T77" s="9">
        <v>100000</v>
      </c>
      <c r="U77" s="7">
        <v>542.70299999999997</v>
      </c>
      <c r="V77" s="7">
        <v>1.1705000000000001</v>
      </c>
      <c r="W77" s="7">
        <v>458.04899999999998</v>
      </c>
      <c r="X77" s="9">
        <v>9.5499258602143702E-11</v>
      </c>
      <c r="Y77" s="7">
        <v>1.526</v>
      </c>
      <c r="Z77" s="7">
        <v>24.97</v>
      </c>
      <c r="AA77" s="7">
        <v>2.13</v>
      </c>
      <c r="AB77" s="7">
        <v>3.11</v>
      </c>
      <c r="AC77" s="7">
        <v>9.52</v>
      </c>
      <c r="AD77" s="7">
        <v>3.16</v>
      </c>
      <c r="AE77" s="7">
        <v>128.24600000000001</v>
      </c>
      <c r="AF77" s="7">
        <v>194.005</v>
      </c>
      <c r="AG77" s="7">
        <v>631.90499999999997</v>
      </c>
      <c r="AH77" s="7" t="s">
        <v>37</v>
      </c>
      <c r="AI77" s="7">
        <v>6.49</v>
      </c>
      <c r="AJ77" s="7">
        <v>76.91</v>
      </c>
      <c r="AK77" s="7">
        <v>0</v>
      </c>
      <c r="AL77" s="7">
        <v>48.707000000000001</v>
      </c>
      <c r="AM77" s="7" t="s">
        <v>37</v>
      </c>
      <c r="AN77" s="9">
        <v>2.09411E-15</v>
      </c>
      <c r="AO77" s="7" t="s">
        <v>37</v>
      </c>
      <c r="AP77" s="7">
        <v>1.0232929922807501E-3</v>
      </c>
      <c r="AQ77" s="7">
        <v>1</v>
      </c>
      <c r="AR77" s="7">
        <v>1</v>
      </c>
      <c r="AS77"/>
    </row>
    <row r="78" spans="1:45" ht="19.5" customHeight="1" x14ac:dyDescent="0.3">
      <c r="A78" s="7" t="s">
        <v>390</v>
      </c>
      <c r="B78" s="7" t="s">
        <v>2080</v>
      </c>
      <c r="C78" s="7">
        <v>50</v>
      </c>
      <c r="D78" s="7">
        <v>241586.538461538</v>
      </c>
      <c r="E78" s="7">
        <v>26</v>
      </c>
      <c r="F78" s="7">
        <v>8</v>
      </c>
      <c r="G78" s="7" t="s">
        <v>391</v>
      </c>
      <c r="H78" s="7" t="s">
        <v>392</v>
      </c>
      <c r="I78" s="7" t="s">
        <v>393</v>
      </c>
      <c r="J78" s="8" t="s">
        <v>394</v>
      </c>
      <c r="K78" s="7" t="s">
        <v>395</v>
      </c>
      <c r="L78" s="7">
        <v>199.16200000000001</v>
      </c>
      <c r="M78" s="7" t="s">
        <v>37</v>
      </c>
      <c r="N78" s="7" t="s">
        <v>37</v>
      </c>
      <c r="O78" s="7" t="s">
        <v>37</v>
      </c>
      <c r="P78" s="7" t="s">
        <v>37</v>
      </c>
      <c r="Q78" s="7" t="s">
        <v>37</v>
      </c>
      <c r="R78" s="7" t="s">
        <v>37</v>
      </c>
      <c r="S78" s="7" t="s">
        <v>37</v>
      </c>
      <c r="T78" s="7" t="s">
        <v>37</v>
      </c>
      <c r="U78" s="7">
        <v>363.30849999999998</v>
      </c>
      <c r="V78" s="7">
        <v>1.492</v>
      </c>
      <c r="W78" s="7">
        <v>215.13800000000001</v>
      </c>
      <c r="X78" s="9">
        <v>1.23026877081238E-11</v>
      </c>
      <c r="Y78" s="7">
        <v>1.6439999999999999</v>
      </c>
      <c r="Z78" s="7">
        <v>0</v>
      </c>
      <c r="AA78" s="7">
        <v>-2.5</v>
      </c>
      <c r="AB78" s="7">
        <v>-4.33</v>
      </c>
      <c r="AC78" s="7">
        <v>8.1199999999999992</v>
      </c>
      <c r="AD78" s="7">
        <v>-1.847</v>
      </c>
      <c r="AE78" s="7">
        <v>117.75</v>
      </c>
      <c r="AF78" s="7">
        <v>43.561999999999998</v>
      </c>
      <c r="AG78" s="7">
        <v>120.261</v>
      </c>
      <c r="AH78" s="7">
        <v>5.0599999999999996</v>
      </c>
      <c r="AI78" s="7">
        <v>4.51</v>
      </c>
      <c r="AJ78" s="7">
        <v>17.268999999999998</v>
      </c>
      <c r="AK78" s="7">
        <v>1</v>
      </c>
      <c r="AL78" s="7">
        <v>82.262</v>
      </c>
      <c r="AM78" s="7">
        <v>164.54900000000001</v>
      </c>
      <c r="AN78" s="9">
        <v>2.6915348039269101E-8</v>
      </c>
      <c r="AO78" s="7">
        <v>87.096400000000003</v>
      </c>
      <c r="AP78" s="7">
        <v>1.51</v>
      </c>
      <c r="AQ78" s="7">
        <v>0</v>
      </c>
      <c r="AR78" s="7">
        <v>1</v>
      </c>
      <c r="AS78"/>
    </row>
    <row r="79" spans="1:45" ht="19.5" customHeight="1" x14ac:dyDescent="0.3">
      <c r="A79" s="7" t="s">
        <v>224</v>
      </c>
      <c r="B79" s="7" t="s">
        <v>2080</v>
      </c>
      <c r="C79" s="7">
        <v>13.6</v>
      </c>
      <c r="D79" s="7">
        <v>807517.635709416</v>
      </c>
      <c r="E79" s="7">
        <v>237</v>
      </c>
      <c r="F79" s="7">
        <v>9.4150843881856492</v>
      </c>
      <c r="G79" s="7" t="s">
        <v>225</v>
      </c>
      <c r="H79" s="7" t="s">
        <v>226</v>
      </c>
      <c r="I79" s="7" t="s">
        <v>227</v>
      </c>
      <c r="J79" s="8" t="s">
        <v>228</v>
      </c>
      <c r="K79" s="7" t="s">
        <v>229</v>
      </c>
      <c r="L79" s="7">
        <v>424.98</v>
      </c>
      <c r="M79" s="7" t="s">
        <v>37</v>
      </c>
      <c r="N79" s="7" t="s">
        <v>37</v>
      </c>
      <c r="O79" s="7" t="s">
        <v>37</v>
      </c>
      <c r="P79" s="7" t="s">
        <v>37</v>
      </c>
      <c r="Q79" s="7" t="s">
        <v>37</v>
      </c>
      <c r="R79" s="7" t="s">
        <v>37</v>
      </c>
      <c r="S79" s="7" t="s">
        <v>37</v>
      </c>
      <c r="T79" s="7" t="s">
        <v>37</v>
      </c>
      <c r="U79" s="7">
        <v>565.64949999999999</v>
      </c>
      <c r="V79" s="7">
        <v>1.3035000000000001</v>
      </c>
      <c r="W79" s="7">
        <v>326.77749999999997</v>
      </c>
      <c r="X79" s="9">
        <v>1.34896288259166E-11</v>
      </c>
      <c r="Y79" s="7">
        <v>1.5740000000000001</v>
      </c>
      <c r="Z79" s="7">
        <v>13.02</v>
      </c>
      <c r="AA79" s="7">
        <v>1.05</v>
      </c>
      <c r="AB79" s="7">
        <v>2.1</v>
      </c>
      <c r="AC79" s="7">
        <v>9.43</v>
      </c>
      <c r="AD79" s="7">
        <v>2.16</v>
      </c>
      <c r="AE79" s="7">
        <v>138</v>
      </c>
      <c r="AF79" s="7">
        <v>107.949</v>
      </c>
      <c r="AG79" s="7">
        <v>327.24400000000003</v>
      </c>
      <c r="AH79" s="7" t="s">
        <v>37</v>
      </c>
      <c r="AI79" s="7">
        <v>6.58</v>
      </c>
      <c r="AJ79" s="7">
        <v>42.793999999999997</v>
      </c>
      <c r="AK79" s="7">
        <v>0</v>
      </c>
      <c r="AL79" s="7">
        <v>56.247999999999998</v>
      </c>
      <c r="AM79" s="7" t="s">
        <v>37</v>
      </c>
      <c r="AN79" s="9">
        <v>4.3351099999999999E-10</v>
      </c>
      <c r="AO79" s="7">
        <v>301.30099999999999</v>
      </c>
      <c r="AP79" s="9">
        <v>7.2399999999999998E-5</v>
      </c>
      <c r="AQ79" s="7">
        <v>1</v>
      </c>
      <c r="AR79" s="7">
        <v>1</v>
      </c>
      <c r="AS79"/>
    </row>
    <row r="80" spans="1:45" ht="19.5" customHeight="1" x14ac:dyDescent="0.3">
      <c r="A80" s="7" t="s">
        <v>224</v>
      </c>
      <c r="B80" s="7" t="s">
        <v>2083</v>
      </c>
      <c r="C80" s="7">
        <v>100</v>
      </c>
      <c r="D80" s="7">
        <v>3439513.5423164899</v>
      </c>
      <c r="E80" s="7">
        <v>160</v>
      </c>
      <c r="F80" s="7">
        <v>21.566796875000001</v>
      </c>
      <c r="G80" s="7" t="s">
        <v>225</v>
      </c>
      <c r="H80" s="7" t="s">
        <v>226</v>
      </c>
      <c r="I80" s="7" t="s">
        <v>227</v>
      </c>
      <c r="J80" s="8" t="s">
        <v>228</v>
      </c>
      <c r="K80" s="7" t="s">
        <v>229</v>
      </c>
      <c r="L80" s="7">
        <v>424.98</v>
      </c>
      <c r="M80" s="7" t="s">
        <v>37</v>
      </c>
      <c r="N80" s="7" t="s">
        <v>37</v>
      </c>
      <c r="O80" s="7" t="s">
        <v>37</v>
      </c>
      <c r="P80" s="7" t="s">
        <v>37</v>
      </c>
      <c r="Q80" s="7" t="s">
        <v>37</v>
      </c>
      <c r="R80" s="7" t="s">
        <v>37</v>
      </c>
      <c r="S80" s="7" t="s">
        <v>37</v>
      </c>
      <c r="T80" s="7" t="s">
        <v>37</v>
      </c>
      <c r="U80" s="7">
        <v>565.64949999999999</v>
      </c>
      <c r="V80" s="7">
        <v>1.3035000000000001</v>
      </c>
      <c r="W80" s="7">
        <v>326.77749999999997</v>
      </c>
      <c r="X80" s="9">
        <v>1.34896288259166E-11</v>
      </c>
      <c r="Y80" s="7">
        <v>1.5740000000000001</v>
      </c>
      <c r="Z80" s="7">
        <v>13.02</v>
      </c>
      <c r="AA80" s="7">
        <v>1.05</v>
      </c>
      <c r="AB80" s="7">
        <v>2.1</v>
      </c>
      <c r="AC80" s="7">
        <v>9.43</v>
      </c>
      <c r="AD80" s="7">
        <v>2.16</v>
      </c>
      <c r="AE80" s="7">
        <v>138</v>
      </c>
      <c r="AF80" s="7">
        <v>107.949</v>
      </c>
      <c r="AG80" s="7">
        <v>327.24400000000003</v>
      </c>
      <c r="AH80" s="7" t="s">
        <v>37</v>
      </c>
      <c r="AI80" s="7">
        <v>6.58</v>
      </c>
      <c r="AJ80" s="7">
        <v>42.793999999999997</v>
      </c>
      <c r="AK80" s="7">
        <v>0</v>
      </c>
      <c r="AL80" s="7">
        <v>56.247999999999998</v>
      </c>
      <c r="AM80" s="7" t="s">
        <v>37</v>
      </c>
      <c r="AN80" s="9">
        <v>4.3351099999999999E-10</v>
      </c>
      <c r="AO80" s="7">
        <v>301.30099999999999</v>
      </c>
      <c r="AP80" s="9">
        <v>7.2399999999999998E-5</v>
      </c>
      <c r="AQ80" s="7">
        <v>1</v>
      </c>
      <c r="AR80" s="7">
        <v>1</v>
      </c>
      <c r="AS80"/>
    </row>
    <row r="81" spans="1:45" ht="19.5" customHeight="1" x14ac:dyDescent="0.3">
      <c r="A81" s="7" t="s">
        <v>2128</v>
      </c>
      <c r="B81" s="7" t="s">
        <v>2083</v>
      </c>
      <c r="C81" s="7">
        <v>100</v>
      </c>
      <c r="D81" s="7">
        <v>126667.81782678</v>
      </c>
      <c r="E81" s="7">
        <v>234</v>
      </c>
      <c r="F81" s="7">
        <v>22.9541984732824</v>
      </c>
      <c r="G81" s="7" t="s">
        <v>2129</v>
      </c>
      <c r="H81" s="7" t="s">
        <v>2130</v>
      </c>
      <c r="I81" s="7" t="s">
        <v>2131</v>
      </c>
      <c r="J81" s="7" t="s">
        <v>2132</v>
      </c>
      <c r="K81" s="7" t="s">
        <v>2133</v>
      </c>
      <c r="L81" s="7">
        <v>410.91</v>
      </c>
      <c r="M81" s="7" t="s">
        <v>37</v>
      </c>
      <c r="N81" s="7" t="s">
        <v>37</v>
      </c>
      <c r="O81" s="7" t="s">
        <v>37</v>
      </c>
      <c r="P81" s="7" t="s">
        <v>37</v>
      </c>
      <c r="Q81" s="7" t="s">
        <v>37</v>
      </c>
      <c r="R81" s="7" t="s">
        <v>37</v>
      </c>
      <c r="S81" s="7" t="s">
        <v>37</v>
      </c>
      <c r="T81" s="7" t="s">
        <v>37</v>
      </c>
      <c r="U81" s="7">
        <v>414.36399999999998</v>
      </c>
      <c r="V81" s="7">
        <v>1.32</v>
      </c>
      <c r="W81" s="7">
        <v>297.20600000000002</v>
      </c>
      <c r="X81" s="9">
        <v>6.0255958607435701E-11</v>
      </c>
      <c r="Y81" s="7" t="s">
        <v>37</v>
      </c>
      <c r="Z81" s="7">
        <v>15.18</v>
      </c>
      <c r="AA81" s="7">
        <v>1.95</v>
      </c>
      <c r="AB81" s="7">
        <v>2.4700000000000002</v>
      </c>
      <c r="AC81" s="7">
        <v>9.4499999999999993</v>
      </c>
      <c r="AD81" s="7">
        <v>2.48</v>
      </c>
      <c r="AE81" s="7">
        <v>196.25</v>
      </c>
      <c r="AF81" s="7" t="s">
        <v>37</v>
      </c>
      <c r="AG81" s="7" t="s">
        <v>37</v>
      </c>
      <c r="AH81" s="7" t="s">
        <v>37</v>
      </c>
      <c r="AI81" s="7">
        <v>5.88</v>
      </c>
      <c r="AJ81" s="7" t="s">
        <v>37</v>
      </c>
      <c r="AK81" s="7">
        <v>0</v>
      </c>
      <c r="AL81" s="7">
        <v>48.625999999999998</v>
      </c>
      <c r="AM81" s="7" t="s">
        <v>37</v>
      </c>
      <c r="AN81" s="9">
        <v>1.9475039959476899E-9</v>
      </c>
      <c r="AO81" s="7" t="s">
        <v>37</v>
      </c>
      <c r="AP81" s="9">
        <v>4.8599400000000001E-5</v>
      </c>
      <c r="AQ81" s="7">
        <v>1</v>
      </c>
      <c r="AR81" s="7">
        <v>1</v>
      </c>
      <c r="AS81"/>
    </row>
    <row r="82" spans="1:45" ht="19.5" customHeight="1" x14ac:dyDescent="0.3">
      <c r="A82" s="7" t="s">
        <v>1523</v>
      </c>
      <c r="B82" s="7" t="s">
        <v>2080</v>
      </c>
      <c r="C82" s="7">
        <v>2</v>
      </c>
      <c r="D82" s="7">
        <v>1739.83702682998</v>
      </c>
      <c r="E82" s="7">
        <v>1233</v>
      </c>
      <c r="F82" s="7">
        <v>31.732122587968199</v>
      </c>
      <c r="G82" s="7" t="s">
        <v>1524</v>
      </c>
      <c r="H82" s="7" t="s">
        <v>1525</v>
      </c>
      <c r="I82" s="7" t="s">
        <v>1526</v>
      </c>
      <c r="J82" s="8" t="s">
        <v>1527</v>
      </c>
      <c r="K82" s="7" t="s">
        <v>1528</v>
      </c>
      <c r="L82" s="7">
        <v>315.70999999999901</v>
      </c>
      <c r="M82" s="7" t="s">
        <v>37</v>
      </c>
      <c r="N82" s="7" t="s">
        <v>37</v>
      </c>
      <c r="O82" s="7" t="s">
        <v>37</v>
      </c>
      <c r="P82" s="7" t="s">
        <v>37</v>
      </c>
      <c r="Q82" s="7" t="s">
        <v>37</v>
      </c>
      <c r="R82" s="7" t="s">
        <v>37</v>
      </c>
      <c r="S82" s="7" t="s">
        <v>37</v>
      </c>
      <c r="T82" s="7" t="s">
        <v>37</v>
      </c>
      <c r="U82" s="7">
        <v>480.51150000000001</v>
      </c>
      <c r="V82" s="7">
        <v>1.4864999999999999</v>
      </c>
      <c r="W82" s="7">
        <v>270.26650000000001</v>
      </c>
      <c r="X82" s="9">
        <v>1.3182567385564E-10</v>
      </c>
      <c r="Y82" s="7">
        <v>1.7010000000000001</v>
      </c>
      <c r="Z82" s="7">
        <v>13.74</v>
      </c>
      <c r="AA82" s="7">
        <v>2.41</v>
      </c>
      <c r="AB82" s="7">
        <v>2.39</v>
      </c>
      <c r="AC82" s="7">
        <v>10.69</v>
      </c>
      <c r="AD82" s="7">
        <v>2.41</v>
      </c>
      <c r="AE82" s="7">
        <v>237.5</v>
      </c>
      <c r="AF82" s="7">
        <v>81.248000000000005</v>
      </c>
      <c r="AG82" s="7">
        <v>209.92699999999999</v>
      </c>
      <c r="AH82" s="7">
        <v>8.75</v>
      </c>
      <c r="AI82" s="7" t="s">
        <v>37</v>
      </c>
      <c r="AJ82" s="7">
        <v>32.209000000000003</v>
      </c>
      <c r="AK82" s="7">
        <v>0</v>
      </c>
      <c r="AL82" s="7">
        <v>61.807000000000002</v>
      </c>
      <c r="AM82" s="7" t="s">
        <v>37</v>
      </c>
      <c r="AN82" s="9">
        <v>4.2699999999999999E-11</v>
      </c>
      <c r="AO82" s="7" t="s">
        <v>37</v>
      </c>
      <c r="AP82" s="7">
        <v>3.1636899999999999E-4</v>
      </c>
      <c r="AQ82" s="7">
        <v>1</v>
      </c>
      <c r="AR82" s="7">
        <v>1</v>
      </c>
      <c r="AS82"/>
    </row>
    <row r="83" spans="1:45" ht="19.5" customHeight="1" x14ac:dyDescent="0.3">
      <c r="A83" s="7" t="s">
        <v>1659</v>
      </c>
      <c r="B83" s="7" t="s">
        <v>2080</v>
      </c>
      <c r="C83" s="7">
        <v>60</v>
      </c>
      <c r="D83" s="7">
        <v>253.366362588393</v>
      </c>
      <c r="E83" s="7">
        <v>729</v>
      </c>
      <c r="F83" s="7">
        <v>50.688566827697301</v>
      </c>
      <c r="G83" s="7" t="s">
        <v>1660</v>
      </c>
      <c r="H83" s="7" t="s">
        <v>1661</v>
      </c>
      <c r="I83" s="7" t="s">
        <v>1662</v>
      </c>
      <c r="J83" s="8" t="s">
        <v>1663</v>
      </c>
      <c r="K83" s="7" t="s">
        <v>1664</v>
      </c>
      <c r="L83" s="7">
        <v>230.09</v>
      </c>
      <c r="M83" s="7" t="s">
        <v>37</v>
      </c>
      <c r="N83" s="7" t="s">
        <v>37</v>
      </c>
      <c r="O83" s="7" t="s">
        <v>37</v>
      </c>
      <c r="P83" s="7" t="s">
        <v>37</v>
      </c>
      <c r="Q83" s="7">
        <v>1265.5335</v>
      </c>
      <c r="R83" s="7" t="s">
        <v>37</v>
      </c>
      <c r="S83" s="7" t="s">
        <v>37</v>
      </c>
      <c r="T83" s="7" t="s">
        <v>37</v>
      </c>
      <c r="U83" s="7">
        <v>331</v>
      </c>
      <c r="V83" s="7">
        <v>1.5165</v>
      </c>
      <c r="W83" s="7">
        <v>147.25800000000001</v>
      </c>
      <c r="X83" s="9">
        <v>1.41253754462276E-9</v>
      </c>
      <c r="Y83" s="7">
        <v>1.671</v>
      </c>
      <c r="Z83" s="7">
        <v>11.85</v>
      </c>
      <c r="AA83" s="7">
        <v>1.6</v>
      </c>
      <c r="AB83" s="7">
        <v>1.59</v>
      </c>
      <c r="AC83" s="7">
        <v>8.11</v>
      </c>
      <c r="AD83" s="7">
        <v>1.59</v>
      </c>
      <c r="AE83" s="7">
        <v>130</v>
      </c>
      <c r="AF83" s="7">
        <v>57.284999999999997</v>
      </c>
      <c r="AG83" s="7">
        <v>153.191</v>
      </c>
      <c r="AH83" s="7">
        <v>8.89</v>
      </c>
      <c r="AI83" s="7" t="s">
        <v>37</v>
      </c>
      <c r="AJ83" s="7">
        <v>22.71</v>
      </c>
      <c r="AK83" s="7">
        <v>0</v>
      </c>
      <c r="AL83" s="7">
        <v>50.921999999999997</v>
      </c>
      <c r="AM83" s="7" t="s">
        <v>37</v>
      </c>
      <c r="AN83" s="9">
        <v>1.81970085860998E-5</v>
      </c>
      <c r="AO83" s="7" t="s">
        <v>37</v>
      </c>
      <c r="AP83" s="7">
        <v>0.79400000000000004</v>
      </c>
      <c r="AQ83" s="7">
        <v>1</v>
      </c>
      <c r="AR83" s="7">
        <v>0</v>
      </c>
      <c r="AS83"/>
    </row>
    <row r="84" spans="1:45" ht="19.5" customHeight="1" x14ac:dyDescent="0.3">
      <c r="A84" s="7" t="s">
        <v>1659</v>
      </c>
      <c r="B84" s="7" t="s">
        <v>2106</v>
      </c>
      <c r="C84" s="7">
        <v>100</v>
      </c>
      <c r="D84" s="7">
        <v>25.387181971643098</v>
      </c>
      <c r="E84" s="7">
        <v>194</v>
      </c>
      <c r="F84" s="7">
        <v>46.564432989690701</v>
      </c>
      <c r="G84" s="7" t="s">
        <v>1660</v>
      </c>
      <c r="H84" s="7" t="s">
        <v>1661</v>
      </c>
      <c r="I84" s="7" t="s">
        <v>1662</v>
      </c>
      <c r="J84" s="8" t="s">
        <v>1663</v>
      </c>
      <c r="K84" s="7" t="s">
        <v>1664</v>
      </c>
      <c r="L84" s="7">
        <v>230.09</v>
      </c>
      <c r="M84" s="7" t="s">
        <v>37</v>
      </c>
      <c r="N84" s="7" t="s">
        <v>37</v>
      </c>
      <c r="O84" s="7" t="s">
        <v>37</v>
      </c>
      <c r="P84" s="7" t="s">
        <v>37</v>
      </c>
      <c r="Q84" s="7">
        <v>1265.5335</v>
      </c>
      <c r="R84" s="7" t="s">
        <v>37</v>
      </c>
      <c r="S84" s="7" t="s">
        <v>37</v>
      </c>
      <c r="T84" s="7" t="s">
        <v>37</v>
      </c>
      <c r="U84" s="7">
        <v>331</v>
      </c>
      <c r="V84" s="7">
        <v>1.5165</v>
      </c>
      <c r="W84" s="7">
        <v>147.25800000000001</v>
      </c>
      <c r="X84" s="9">
        <v>1.41253754462276E-9</v>
      </c>
      <c r="Y84" s="7">
        <v>1.671</v>
      </c>
      <c r="Z84" s="7">
        <v>11.85</v>
      </c>
      <c r="AA84" s="7">
        <v>1.6</v>
      </c>
      <c r="AB84" s="7">
        <v>1.59</v>
      </c>
      <c r="AC84" s="7">
        <v>8.11</v>
      </c>
      <c r="AD84" s="7">
        <v>1.59</v>
      </c>
      <c r="AE84" s="7">
        <v>130</v>
      </c>
      <c r="AF84" s="7">
        <v>57.284999999999997</v>
      </c>
      <c r="AG84" s="7">
        <v>153.191</v>
      </c>
      <c r="AH84" s="7">
        <v>8.89</v>
      </c>
      <c r="AI84" s="7" t="s">
        <v>37</v>
      </c>
      <c r="AJ84" s="7">
        <v>22.71</v>
      </c>
      <c r="AK84" s="7">
        <v>0</v>
      </c>
      <c r="AL84" s="7">
        <v>50.921999999999997</v>
      </c>
      <c r="AM84" s="7" t="s">
        <v>37</v>
      </c>
      <c r="AN84" s="9">
        <v>1.81970085860998E-5</v>
      </c>
      <c r="AO84" s="7" t="s">
        <v>37</v>
      </c>
      <c r="AP84" s="7">
        <v>0.79400000000000004</v>
      </c>
      <c r="AQ84" s="7">
        <v>1</v>
      </c>
      <c r="AR84" s="7">
        <v>0</v>
      </c>
      <c r="AS84"/>
    </row>
    <row r="85" spans="1:45" ht="19.5" customHeight="1" x14ac:dyDescent="0.3">
      <c r="A85" s="7" t="s">
        <v>677</v>
      </c>
      <c r="B85" s="7" t="s">
        <v>2080</v>
      </c>
      <c r="C85" s="7">
        <v>30</v>
      </c>
      <c r="D85" s="7">
        <v>77538.376172659206</v>
      </c>
      <c r="E85" s="7">
        <v>1839</v>
      </c>
      <c r="F85" s="7">
        <v>66.655930871956002</v>
      </c>
      <c r="G85" s="7" t="s">
        <v>678</v>
      </c>
      <c r="H85" s="7" t="s">
        <v>679</v>
      </c>
      <c r="I85" s="7" t="s">
        <v>680</v>
      </c>
      <c r="J85" s="8" t="s">
        <v>681</v>
      </c>
      <c r="K85" s="7" t="s">
        <v>682</v>
      </c>
      <c r="L85" s="7">
        <v>321.82</v>
      </c>
      <c r="M85" s="7" t="s">
        <v>37</v>
      </c>
      <c r="N85" s="7" t="s">
        <v>37</v>
      </c>
      <c r="O85" s="7" t="s">
        <v>37</v>
      </c>
      <c r="P85" s="7" t="s">
        <v>37</v>
      </c>
      <c r="Q85" s="7" t="s">
        <v>37</v>
      </c>
      <c r="R85" s="7" t="s">
        <v>37</v>
      </c>
      <c r="S85" s="7" t="s">
        <v>37</v>
      </c>
      <c r="T85" s="7" t="s">
        <v>37</v>
      </c>
      <c r="U85" s="7">
        <v>376.91</v>
      </c>
      <c r="V85" s="7">
        <v>1.329</v>
      </c>
      <c r="W85" s="7">
        <v>218.67949999999999</v>
      </c>
      <c r="X85" s="9">
        <v>8.5113803820237603E-9</v>
      </c>
      <c r="Y85" s="7">
        <v>1.617</v>
      </c>
      <c r="Z85" s="7">
        <v>15.07</v>
      </c>
      <c r="AA85" s="7">
        <v>2.93</v>
      </c>
      <c r="AB85" s="7">
        <v>2.93</v>
      </c>
      <c r="AC85" s="7">
        <v>9.83</v>
      </c>
      <c r="AD85" s="7">
        <v>4.0220000000000002</v>
      </c>
      <c r="AE85" s="7">
        <v>158</v>
      </c>
      <c r="AF85" s="7">
        <v>85.483000000000004</v>
      </c>
      <c r="AG85" s="7">
        <v>244.30099999999999</v>
      </c>
      <c r="AH85" s="7" t="s">
        <v>37</v>
      </c>
      <c r="AI85" s="7">
        <v>3.15</v>
      </c>
      <c r="AJ85" s="7">
        <v>33.887999999999998</v>
      </c>
      <c r="AK85" s="7">
        <v>0</v>
      </c>
      <c r="AL85" s="7">
        <v>48.731000000000002</v>
      </c>
      <c r="AM85" s="7" t="s">
        <v>37</v>
      </c>
      <c r="AN85" s="9">
        <v>2.1899999999999999E-7</v>
      </c>
      <c r="AO85" s="7" t="s">
        <v>37</v>
      </c>
      <c r="AP85" s="7">
        <v>1.12395E-4</v>
      </c>
      <c r="AQ85" s="7">
        <v>1</v>
      </c>
      <c r="AR85" s="7">
        <v>1</v>
      </c>
      <c r="AS85"/>
    </row>
    <row r="86" spans="1:45" ht="19.5" customHeight="1" x14ac:dyDescent="0.3">
      <c r="A86" s="7" t="s">
        <v>2134</v>
      </c>
      <c r="B86" s="7" t="s">
        <v>2083</v>
      </c>
      <c r="C86" s="7">
        <v>100</v>
      </c>
      <c r="D86" s="7">
        <v>2708354.3771043802</v>
      </c>
      <c r="E86" s="7">
        <v>72</v>
      </c>
      <c r="F86" s="7">
        <v>18.3333333333333</v>
      </c>
      <c r="G86" s="7" t="s">
        <v>2135</v>
      </c>
      <c r="H86" s="7" t="s">
        <v>2136</v>
      </c>
      <c r="I86" s="7" t="s">
        <v>2137</v>
      </c>
      <c r="J86" s="8" t="s">
        <v>2138</v>
      </c>
      <c r="K86" s="7" t="s">
        <v>2139</v>
      </c>
      <c r="L86" s="7">
        <v>344.84</v>
      </c>
      <c r="M86" s="7" t="s">
        <v>37</v>
      </c>
      <c r="N86" s="7" t="s">
        <v>37</v>
      </c>
      <c r="O86" s="7" t="s">
        <v>37</v>
      </c>
      <c r="P86" s="7" t="s">
        <v>37</v>
      </c>
      <c r="Q86" s="7" t="s">
        <v>37</v>
      </c>
      <c r="R86" s="7" t="s">
        <v>37</v>
      </c>
      <c r="S86" s="7" t="s">
        <v>37</v>
      </c>
      <c r="T86" s="7" t="s">
        <v>37</v>
      </c>
      <c r="U86" s="7">
        <v>423.87599999999998</v>
      </c>
      <c r="V86" s="7">
        <v>1.254</v>
      </c>
      <c r="W86" s="7">
        <v>245.703</v>
      </c>
      <c r="X86" s="9">
        <v>3.31131121482591E-7</v>
      </c>
      <c r="Y86" s="7" t="s">
        <v>37</v>
      </c>
      <c r="Z86" s="7">
        <v>27.07</v>
      </c>
      <c r="AA86" s="7">
        <v>4.51</v>
      </c>
      <c r="AB86" s="7">
        <v>4.79</v>
      </c>
      <c r="AC86" s="7">
        <v>11.74</v>
      </c>
      <c r="AD86" s="7">
        <v>5.53</v>
      </c>
      <c r="AE86" s="7">
        <v>147.5</v>
      </c>
      <c r="AF86" s="7" t="s">
        <v>37</v>
      </c>
      <c r="AG86" s="7" t="s">
        <v>37</v>
      </c>
      <c r="AH86" s="7" t="s">
        <v>37</v>
      </c>
      <c r="AI86" s="7">
        <v>5.48</v>
      </c>
      <c r="AJ86" s="7" t="s">
        <v>37</v>
      </c>
      <c r="AK86" s="7">
        <v>0</v>
      </c>
      <c r="AL86" s="7" t="s">
        <v>37</v>
      </c>
      <c r="AM86" s="7">
        <v>141.63800000000001</v>
      </c>
      <c r="AN86" s="9">
        <v>3.3839257249713997E-8</v>
      </c>
      <c r="AO86" s="7" t="s">
        <v>37</v>
      </c>
      <c r="AP86" s="9">
        <v>4.6773514128719799E-7</v>
      </c>
      <c r="AQ86" s="7">
        <v>0</v>
      </c>
      <c r="AR86" s="7">
        <v>0</v>
      </c>
      <c r="AS86"/>
    </row>
    <row r="87" spans="1:45" ht="19.5" customHeight="1" x14ac:dyDescent="0.3">
      <c r="A87" s="7" t="s">
        <v>296</v>
      </c>
      <c r="B87" s="7" t="s">
        <v>2080</v>
      </c>
      <c r="C87" s="7">
        <v>15</v>
      </c>
      <c r="D87" s="7">
        <v>387865.35261077603</v>
      </c>
      <c r="E87" s="7">
        <v>48</v>
      </c>
      <c r="F87" s="7">
        <v>22.2340425531915</v>
      </c>
      <c r="G87" s="7" t="s">
        <v>297</v>
      </c>
      <c r="H87" s="7" t="s">
        <v>298</v>
      </c>
      <c r="I87" s="7" t="s">
        <v>299</v>
      </c>
      <c r="J87" s="8" t="s">
        <v>300</v>
      </c>
      <c r="K87" s="7" t="s">
        <v>259</v>
      </c>
      <c r="L87" s="7">
        <v>299.37</v>
      </c>
      <c r="M87" s="7" t="s">
        <v>37</v>
      </c>
      <c r="N87" s="7" t="s">
        <v>37</v>
      </c>
      <c r="O87" s="7" t="s">
        <v>37</v>
      </c>
      <c r="P87" s="7" t="s">
        <v>37</v>
      </c>
      <c r="Q87" s="7" t="s">
        <v>37</v>
      </c>
      <c r="R87" s="7" t="s">
        <v>37</v>
      </c>
      <c r="S87" s="7" t="s">
        <v>37</v>
      </c>
      <c r="T87" s="7" t="s">
        <v>37</v>
      </c>
      <c r="U87" s="7">
        <v>416.64449999999999</v>
      </c>
      <c r="V87" s="7">
        <v>1.3325</v>
      </c>
      <c r="W87" s="7">
        <v>228.39699999999999</v>
      </c>
      <c r="X87" s="9">
        <v>8.1283051616409894E-9</v>
      </c>
      <c r="Y87" s="7">
        <v>1.667</v>
      </c>
      <c r="Z87" s="7">
        <v>9.52</v>
      </c>
      <c r="AA87" s="7">
        <v>-1.31</v>
      </c>
      <c r="AB87" s="7">
        <v>0.48</v>
      </c>
      <c r="AC87" s="7">
        <v>11.31</v>
      </c>
      <c r="AD87" s="7">
        <v>1.1399999999999999</v>
      </c>
      <c r="AE87" s="7">
        <v>156.25</v>
      </c>
      <c r="AF87" s="7">
        <v>82.858000000000004</v>
      </c>
      <c r="AG87" s="7">
        <v>222.602</v>
      </c>
      <c r="AH87" s="7" t="s">
        <v>37</v>
      </c>
      <c r="AI87" s="7">
        <v>7.95</v>
      </c>
      <c r="AJ87" s="7">
        <v>32.847999999999999</v>
      </c>
      <c r="AK87" s="7">
        <v>0</v>
      </c>
      <c r="AL87" s="7">
        <v>60.521999999999998</v>
      </c>
      <c r="AM87" s="7" t="s">
        <v>37</v>
      </c>
      <c r="AN87" s="9">
        <v>3.2359365692962799E-9</v>
      </c>
      <c r="AO87" s="7" t="s">
        <v>37</v>
      </c>
      <c r="AP87" s="7">
        <v>3.0199500000000001E-2</v>
      </c>
      <c r="AQ87" s="7">
        <v>1</v>
      </c>
      <c r="AR87" s="7">
        <v>0</v>
      </c>
      <c r="AS87"/>
    </row>
    <row r="88" spans="1:45" ht="19.5" customHeight="1" x14ac:dyDescent="0.3">
      <c r="A88" s="7" t="s">
        <v>1581</v>
      </c>
      <c r="B88" s="7" t="s">
        <v>2080</v>
      </c>
      <c r="C88" s="7">
        <v>84</v>
      </c>
      <c r="D88" s="7">
        <v>1053.1474204588701</v>
      </c>
      <c r="E88" s="7">
        <v>184</v>
      </c>
      <c r="F88" s="7">
        <v>38.1111111111111</v>
      </c>
      <c r="G88" s="7" t="s">
        <v>1582</v>
      </c>
      <c r="H88" s="7" t="s">
        <v>1583</v>
      </c>
      <c r="I88" s="7" t="s">
        <v>1584</v>
      </c>
      <c r="J88" s="8" t="s">
        <v>1585</v>
      </c>
      <c r="K88" s="7" t="s">
        <v>1586</v>
      </c>
      <c r="L88" s="7">
        <v>399.44299999999902</v>
      </c>
      <c r="M88" s="9">
        <v>500000</v>
      </c>
      <c r="N88" s="7" t="s">
        <v>37</v>
      </c>
      <c r="O88" s="7" t="s">
        <v>37</v>
      </c>
      <c r="P88" s="7" t="s">
        <v>37</v>
      </c>
      <c r="Q88" s="7">
        <v>2396.66</v>
      </c>
      <c r="R88" s="7">
        <v>19972.2</v>
      </c>
      <c r="S88" s="7" t="s">
        <v>37</v>
      </c>
      <c r="T88" s="7" t="s">
        <v>37</v>
      </c>
      <c r="U88" s="7">
        <v>545.66499999999996</v>
      </c>
      <c r="V88" s="7">
        <v>1.248</v>
      </c>
      <c r="W88" s="7">
        <v>335.42500000000001</v>
      </c>
      <c r="X88" s="9">
        <v>8.5113803820237597E-12</v>
      </c>
      <c r="Y88" s="7">
        <v>1.585</v>
      </c>
      <c r="Z88" s="7">
        <v>13.3</v>
      </c>
      <c r="AA88" s="7">
        <v>-0.37</v>
      </c>
      <c r="AB88" s="7">
        <v>1.1000000000000001</v>
      </c>
      <c r="AC88" s="7">
        <v>10.29</v>
      </c>
      <c r="AD88" s="7">
        <v>1.3</v>
      </c>
      <c r="AE88" s="7">
        <v>150</v>
      </c>
      <c r="AF88" s="7">
        <v>106.601</v>
      </c>
      <c r="AG88" s="7">
        <v>318.11200000000002</v>
      </c>
      <c r="AH88" s="7" t="s">
        <v>37</v>
      </c>
      <c r="AI88" s="7">
        <v>7.16</v>
      </c>
      <c r="AJ88" s="7">
        <v>42.26</v>
      </c>
      <c r="AK88" s="7">
        <v>0</v>
      </c>
      <c r="AL88" s="7">
        <v>40.513500000000001</v>
      </c>
      <c r="AM88" s="7">
        <v>217.22</v>
      </c>
      <c r="AN88" s="9">
        <v>1.51356124843621E-10</v>
      </c>
      <c r="AO88" s="7">
        <v>1.02329</v>
      </c>
      <c r="AP88" s="7">
        <v>0.113</v>
      </c>
      <c r="AQ88" s="7">
        <v>0</v>
      </c>
      <c r="AR88" s="7">
        <v>1</v>
      </c>
      <c r="AS88"/>
    </row>
    <row r="89" spans="1:45" ht="19.5" customHeight="1" x14ac:dyDescent="0.3">
      <c r="A89" s="7" t="s">
        <v>86</v>
      </c>
      <c r="B89" s="7" t="s">
        <v>2092</v>
      </c>
      <c r="C89" s="7">
        <v>0.03</v>
      </c>
      <c r="D89" s="7">
        <v>1818181.81818182</v>
      </c>
      <c r="E89" s="7">
        <v>21</v>
      </c>
      <c r="F89" s="7">
        <v>22</v>
      </c>
      <c r="G89" s="7" t="s">
        <v>87</v>
      </c>
      <c r="H89" s="7" t="s">
        <v>88</v>
      </c>
      <c r="I89" s="7" t="s">
        <v>89</v>
      </c>
      <c r="J89" s="8" t="s">
        <v>90</v>
      </c>
      <c r="K89" s="7" t="s">
        <v>91</v>
      </c>
      <c r="L89" s="7">
        <v>468.37</v>
      </c>
      <c r="M89" s="7" t="s">
        <v>37</v>
      </c>
      <c r="N89" s="7" t="s">
        <v>37</v>
      </c>
      <c r="O89" s="7" t="s">
        <v>37</v>
      </c>
      <c r="P89" s="7" t="s">
        <v>37</v>
      </c>
      <c r="Q89" s="7" t="s">
        <v>37</v>
      </c>
      <c r="R89" s="7" t="s">
        <v>37</v>
      </c>
      <c r="S89" s="7" t="s">
        <v>37</v>
      </c>
      <c r="T89" s="7" t="s">
        <v>37</v>
      </c>
      <c r="U89" s="7">
        <v>685.38800000000003</v>
      </c>
      <c r="V89" s="7">
        <v>1.6479999999999999</v>
      </c>
      <c r="W89" s="7">
        <v>311.12549999999999</v>
      </c>
      <c r="X89" s="9">
        <v>8.7096358995608005E-10</v>
      </c>
      <c r="Y89" s="7">
        <v>1.681</v>
      </c>
      <c r="Z89" s="7">
        <v>6.61</v>
      </c>
      <c r="AA89" s="7">
        <v>1.25</v>
      </c>
      <c r="AB89" s="7">
        <v>-0.55000000000000004</v>
      </c>
      <c r="AC89" s="7">
        <v>9.44</v>
      </c>
      <c r="AD89" s="7">
        <v>1.92</v>
      </c>
      <c r="AE89" s="7">
        <v>275.31700000000001</v>
      </c>
      <c r="AF89" s="7">
        <v>109.17400000000001</v>
      </c>
      <c r="AG89" s="7">
        <v>288.53500000000003</v>
      </c>
      <c r="AH89" s="7">
        <v>4.93</v>
      </c>
      <c r="AI89" s="7">
        <v>1.9430000000000001</v>
      </c>
      <c r="AJ89" s="7">
        <v>43.28</v>
      </c>
      <c r="AK89" s="7">
        <v>0</v>
      </c>
      <c r="AL89" s="7">
        <v>82.994</v>
      </c>
      <c r="AM89" s="7" t="s">
        <v>37</v>
      </c>
      <c r="AN89" s="9">
        <v>6.9024E-13</v>
      </c>
      <c r="AO89" s="7" t="s">
        <v>37</v>
      </c>
      <c r="AP89" s="7">
        <v>1.17391E-3</v>
      </c>
      <c r="AQ89" s="7">
        <v>1</v>
      </c>
      <c r="AR89" s="7">
        <v>0</v>
      </c>
      <c r="AS89"/>
    </row>
    <row r="90" spans="1:45" ht="19.5" customHeight="1" x14ac:dyDescent="0.3">
      <c r="A90" s="7" t="s">
        <v>1072</v>
      </c>
      <c r="B90" s="7" t="s">
        <v>2080</v>
      </c>
      <c r="C90" s="7">
        <v>30</v>
      </c>
      <c r="D90" s="7">
        <v>20495.208466812001</v>
      </c>
      <c r="E90" s="7">
        <v>1576</v>
      </c>
      <c r="F90" s="7">
        <v>26.141600703605999</v>
      </c>
      <c r="G90" s="7" t="s">
        <v>1073</v>
      </c>
      <c r="H90" s="7" t="s">
        <v>1074</v>
      </c>
      <c r="I90" s="7" t="s">
        <v>1075</v>
      </c>
      <c r="J90" s="8" t="s">
        <v>1076</v>
      </c>
      <c r="K90" s="7" t="s">
        <v>1077</v>
      </c>
      <c r="L90" s="7">
        <v>275.39499999999902</v>
      </c>
      <c r="M90" s="7" t="s">
        <v>37</v>
      </c>
      <c r="N90" s="7" t="s">
        <v>37</v>
      </c>
      <c r="O90" s="7" t="s">
        <v>37</v>
      </c>
      <c r="P90" s="7" t="s">
        <v>37</v>
      </c>
      <c r="Q90" s="7" t="s">
        <v>37</v>
      </c>
      <c r="R90" s="7" t="s">
        <v>37</v>
      </c>
      <c r="S90" s="7" t="s">
        <v>37</v>
      </c>
      <c r="T90" s="7" t="s">
        <v>37</v>
      </c>
      <c r="U90" s="7">
        <v>374.58</v>
      </c>
      <c r="V90" s="7">
        <v>1.07</v>
      </c>
      <c r="W90" s="7">
        <v>185.239</v>
      </c>
      <c r="X90" s="9">
        <v>3.1622776601683799E-8</v>
      </c>
      <c r="Y90" s="7">
        <v>1.6459999999999999</v>
      </c>
      <c r="Z90" s="7">
        <v>22.79</v>
      </c>
      <c r="AA90" s="7">
        <v>1.05</v>
      </c>
      <c r="AB90" s="7">
        <v>2.94</v>
      </c>
      <c r="AC90" s="7">
        <v>9.58</v>
      </c>
      <c r="AD90" s="7">
        <v>4.7149999999999999</v>
      </c>
      <c r="AE90" s="7">
        <v>135.26</v>
      </c>
      <c r="AF90" s="7">
        <v>91.123999999999995</v>
      </c>
      <c r="AG90" s="7">
        <v>251.08799999999999</v>
      </c>
      <c r="AH90" s="7" t="s">
        <v>37</v>
      </c>
      <c r="AI90" s="7">
        <v>9.15</v>
      </c>
      <c r="AJ90" s="7">
        <v>36.125</v>
      </c>
      <c r="AK90" s="7">
        <v>0</v>
      </c>
      <c r="AL90" s="7">
        <v>48.534999999999997</v>
      </c>
      <c r="AM90" s="7" t="s">
        <v>37</v>
      </c>
      <c r="AN90" s="9">
        <v>2.2130900000000001E-7</v>
      </c>
      <c r="AO90" s="7" t="s">
        <v>37</v>
      </c>
      <c r="AP90" s="9">
        <v>3.3178643516690801E-5</v>
      </c>
      <c r="AQ90" s="7">
        <v>1</v>
      </c>
      <c r="AR90" s="7">
        <v>0</v>
      </c>
      <c r="AS90"/>
    </row>
    <row r="91" spans="1:45" ht="19.5" customHeight="1" x14ac:dyDescent="0.3">
      <c r="A91" s="7" t="s">
        <v>617</v>
      </c>
      <c r="B91" s="7" t="s">
        <v>2092</v>
      </c>
      <c r="C91" s="7">
        <v>0</v>
      </c>
      <c r="D91" s="7">
        <v>101357.40102140899</v>
      </c>
      <c r="E91" s="7">
        <v>210</v>
      </c>
      <c r="F91" s="7">
        <v>52.258741258741303</v>
      </c>
      <c r="G91" s="7" t="s">
        <v>618</v>
      </c>
      <c r="H91" s="7" t="s">
        <v>619</v>
      </c>
      <c r="I91" s="7" t="s">
        <v>620</v>
      </c>
      <c r="J91" s="8" t="s">
        <v>621</v>
      </c>
      <c r="K91" s="7" t="s">
        <v>622</v>
      </c>
      <c r="L91" s="7">
        <v>1202.635</v>
      </c>
      <c r="M91" s="7">
        <v>111062.85</v>
      </c>
      <c r="N91" s="7" t="s">
        <v>37</v>
      </c>
      <c r="O91" s="7" t="s">
        <v>37</v>
      </c>
      <c r="P91" s="7" t="s">
        <v>37</v>
      </c>
      <c r="Q91" s="7" t="s">
        <v>37</v>
      </c>
      <c r="R91" s="7" t="s">
        <v>37</v>
      </c>
      <c r="S91" s="7">
        <v>12026.275</v>
      </c>
      <c r="T91" s="7">
        <v>601.31500000000005</v>
      </c>
      <c r="U91" s="7">
        <v>1293.7819999999999</v>
      </c>
      <c r="V91" s="7">
        <v>1.0075000000000001</v>
      </c>
      <c r="W91" s="7">
        <v>806.5625</v>
      </c>
      <c r="X91" s="9">
        <v>2.2387211385683399E-11</v>
      </c>
      <c r="Y91" s="7">
        <v>1.468</v>
      </c>
      <c r="Z91" s="7">
        <v>42.92</v>
      </c>
      <c r="AA91" s="7">
        <v>2.92</v>
      </c>
      <c r="AB91" s="7">
        <v>2.92</v>
      </c>
      <c r="AC91" s="7">
        <v>9.6300000000000008</v>
      </c>
      <c r="AD91" s="7">
        <v>2.92</v>
      </c>
      <c r="AE91" s="7">
        <v>149.5</v>
      </c>
      <c r="AF91" s="7">
        <v>328.83100000000002</v>
      </c>
      <c r="AG91" s="7">
        <v>1183.625</v>
      </c>
      <c r="AH91" s="7">
        <v>-0.75900000000000001</v>
      </c>
      <c r="AI91" s="7">
        <v>13.321999999999999</v>
      </c>
      <c r="AJ91" s="7">
        <v>130.35900000000001</v>
      </c>
      <c r="AK91" s="7">
        <v>0</v>
      </c>
      <c r="AL91" s="7">
        <v>31.620999999999999</v>
      </c>
      <c r="AM91" s="7" t="s">
        <v>37</v>
      </c>
      <c r="AN91" s="9">
        <v>6.2946270589708295E-8</v>
      </c>
      <c r="AO91" s="7" t="s">
        <v>37</v>
      </c>
      <c r="AP91" s="9">
        <v>9.3664027930499103E-5</v>
      </c>
      <c r="AQ91" s="7">
        <v>1</v>
      </c>
      <c r="AR91" s="7">
        <v>1</v>
      </c>
      <c r="AS91"/>
    </row>
    <row r="92" spans="1:45" ht="19.5" customHeight="1" x14ac:dyDescent="0.3">
      <c r="A92" s="7" t="s">
        <v>1285</v>
      </c>
      <c r="B92" s="7" t="s">
        <v>2080</v>
      </c>
      <c r="C92" s="7">
        <v>5.7</v>
      </c>
      <c r="D92" s="7">
        <v>9052.5844252364495</v>
      </c>
      <c r="E92" s="7">
        <v>87</v>
      </c>
      <c r="F92" s="7">
        <v>30.106666666666701</v>
      </c>
      <c r="G92" s="7" t="s">
        <v>1286</v>
      </c>
      <c r="H92" s="7" t="s">
        <v>1287</v>
      </c>
      <c r="I92" s="7" t="s">
        <v>1288</v>
      </c>
      <c r="J92" s="8" t="s">
        <v>1289</v>
      </c>
      <c r="K92" s="7" t="s">
        <v>1290</v>
      </c>
      <c r="L92" s="7">
        <v>287.40600000000001</v>
      </c>
      <c r="M92" s="7" t="s">
        <v>37</v>
      </c>
      <c r="N92" s="7" t="s">
        <v>37</v>
      </c>
      <c r="O92" s="7" t="s">
        <v>37</v>
      </c>
      <c r="P92" s="7" t="s">
        <v>37</v>
      </c>
      <c r="Q92" s="7">
        <v>75</v>
      </c>
      <c r="R92" s="7" t="s">
        <v>37</v>
      </c>
      <c r="S92" s="7" t="s">
        <v>37</v>
      </c>
      <c r="T92" s="7" t="s">
        <v>37</v>
      </c>
      <c r="U92" s="7">
        <v>394.05149999999998</v>
      </c>
      <c r="V92" s="7">
        <v>1.1005</v>
      </c>
      <c r="W92" s="7">
        <v>199.16900000000001</v>
      </c>
      <c r="X92" s="9">
        <v>2.9512092266663799E-6</v>
      </c>
      <c r="Y92" s="7">
        <v>1.63</v>
      </c>
      <c r="Z92" s="7">
        <v>22.98</v>
      </c>
      <c r="AA92" s="7">
        <v>0.94</v>
      </c>
      <c r="AB92" s="7">
        <v>2.83</v>
      </c>
      <c r="AC92" s="7">
        <v>10.62</v>
      </c>
      <c r="AD92" s="7">
        <v>4.6900000000000004</v>
      </c>
      <c r="AE92" s="7">
        <v>112.8</v>
      </c>
      <c r="AF92" s="7">
        <v>91.594999999999999</v>
      </c>
      <c r="AG92" s="7">
        <v>257.54000000000002</v>
      </c>
      <c r="AH92" s="7" t="s">
        <v>37</v>
      </c>
      <c r="AI92" s="7">
        <v>9.25</v>
      </c>
      <c r="AJ92" s="7">
        <v>36.311</v>
      </c>
      <c r="AK92" s="7">
        <v>0</v>
      </c>
      <c r="AL92" s="7">
        <v>45.695999999999998</v>
      </c>
      <c r="AM92" s="7" t="s">
        <v>37</v>
      </c>
      <c r="AN92" s="9">
        <v>5.30884E-8</v>
      </c>
      <c r="AO92" s="7" t="s">
        <v>37</v>
      </c>
      <c r="AP92" s="7">
        <v>1.26E-2</v>
      </c>
      <c r="AQ92" s="7">
        <v>1</v>
      </c>
      <c r="AR92" s="7">
        <v>0</v>
      </c>
      <c r="AS92"/>
    </row>
    <row r="93" spans="1:45" ht="19.5" customHeight="1" x14ac:dyDescent="0.3">
      <c r="A93" s="7" t="s">
        <v>366</v>
      </c>
      <c r="B93" s="7" t="s">
        <v>2080</v>
      </c>
      <c r="C93" s="7">
        <v>93</v>
      </c>
      <c r="D93" s="7">
        <v>265439.775910364</v>
      </c>
      <c r="E93" s="7">
        <v>105</v>
      </c>
      <c r="F93" s="7">
        <v>52.040816326530603</v>
      </c>
      <c r="G93" s="7" t="s">
        <v>367</v>
      </c>
      <c r="H93" s="7" t="s">
        <v>368</v>
      </c>
      <c r="I93" s="7" t="s">
        <v>369</v>
      </c>
      <c r="J93" s="8" t="s">
        <v>370</v>
      </c>
      <c r="K93" s="7" t="s">
        <v>371</v>
      </c>
      <c r="L93" s="7">
        <v>471.52100000000002</v>
      </c>
      <c r="M93" s="7" t="s">
        <v>37</v>
      </c>
      <c r="N93" s="7" t="s">
        <v>37</v>
      </c>
      <c r="O93" s="7" t="s">
        <v>37</v>
      </c>
      <c r="P93" s="7" t="s">
        <v>37</v>
      </c>
      <c r="Q93" s="7" t="s">
        <v>37</v>
      </c>
      <c r="R93" s="7" t="s">
        <v>37</v>
      </c>
      <c r="S93" s="7" t="s">
        <v>37</v>
      </c>
      <c r="T93" s="7" t="s">
        <v>37</v>
      </c>
      <c r="U93" s="7">
        <v>797</v>
      </c>
      <c r="V93" s="7">
        <v>1.486</v>
      </c>
      <c r="W93" s="7">
        <v>418.142</v>
      </c>
      <c r="X93" s="9">
        <v>1.23026877081238E-11</v>
      </c>
      <c r="Y93" s="7">
        <v>1.694</v>
      </c>
      <c r="Z93" s="7">
        <v>7.51</v>
      </c>
      <c r="AA93" s="7">
        <v>0.91</v>
      </c>
      <c r="AB93" s="7">
        <v>1.07</v>
      </c>
      <c r="AC93" s="7">
        <v>9.4700000000000006</v>
      </c>
      <c r="AD93" s="7">
        <v>1.768</v>
      </c>
      <c r="AE93" s="7">
        <v>297.81900000000002</v>
      </c>
      <c r="AF93" s="7">
        <v>130.84399999999999</v>
      </c>
      <c r="AG93" s="7">
        <v>340.75099999999998</v>
      </c>
      <c r="AH93" s="7">
        <v>4.5599999999999996</v>
      </c>
      <c r="AI93" s="7">
        <v>8.52</v>
      </c>
      <c r="AJ93" s="7">
        <v>51.87</v>
      </c>
      <c r="AK93" s="7">
        <v>0</v>
      </c>
      <c r="AL93" s="7">
        <v>60.866999999999997</v>
      </c>
      <c r="AM93" s="7" t="s">
        <v>37</v>
      </c>
      <c r="AN93" s="9">
        <v>1.4091914656322199E-9</v>
      </c>
      <c r="AO93" s="7" t="s">
        <v>37</v>
      </c>
      <c r="AP93" s="7">
        <v>3.4840318045946798E-3</v>
      </c>
      <c r="AQ93" s="7">
        <v>1</v>
      </c>
      <c r="AR93" s="7">
        <v>1</v>
      </c>
      <c r="AS93"/>
    </row>
    <row r="94" spans="1:45" ht="19.5" customHeight="1" x14ac:dyDescent="0.3">
      <c r="A94" s="7" t="s">
        <v>1244</v>
      </c>
      <c r="B94" s="7" t="s">
        <v>2080</v>
      </c>
      <c r="C94" s="7">
        <v>17</v>
      </c>
      <c r="D94" s="7">
        <v>10299.5977534912</v>
      </c>
      <c r="E94" s="7">
        <v>216</v>
      </c>
      <c r="F94" s="7">
        <v>43.701492537313399</v>
      </c>
      <c r="G94" s="7" t="s">
        <v>1245</v>
      </c>
      <c r="H94" s="7" t="s">
        <v>1246</v>
      </c>
      <c r="I94" s="7" t="s">
        <v>1247</v>
      </c>
      <c r="J94" s="8" t="s">
        <v>1248</v>
      </c>
      <c r="K94" s="7" t="s">
        <v>1249</v>
      </c>
      <c r="L94" s="7">
        <v>408.88</v>
      </c>
      <c r="M94" s="7" t="s">
        <v>37</v>
      </c>
      <c r="N94" s="7" t="s">
        <v>37</v>
      </c>
      <c r="O94" s="7" t="s">
        <v>37</v>
      </c>
      <c r="P94" s="7" t="s">
        <v>37</v>
      </c>
      <c r="Q94" s="7" t="s">
        <v>37</v>
      </c>
      <c r="R94" s="7" t="s">
        <v>37</v>
      </c>
      <c r="S94" s="7" t="s">
        <v>37</v>
      </c>
      <c r="T94" s="7" t="s">
        <v>37</v>
      </c>
      <c r="U94" s="7">
        <v>496.52249999999998</v>
      </c>
      <c r="V94" s="7">
        <v>1.349</v>
      </c>
      <c r="W94" s="7">
        <v>322.13900000000001</v>
      </c>
      <c r="X94" s="9">
        <v>1.12201845430197E-10</v>
      </c>
      <c r="Y94" s="7">
        <v>1.6140000000000001</v>
      </c>
      <c r="Z94" s="7">
        <v>12.98</v>
      </c>
      <c r="AA94" s="7">
        <v>1.89</v>
      </c>
      <c r="AB94" s="7">
        <v>1.78</v>
      </c>
      <c r="AC94" s="7">
        <v>9.43</v>
      </c>
      <c r="AD94" s="7">
        <v>2.4809999999999999</v>
      </c>
      <c r="AE94" s="7">
        <v>210</v>
      </c>
      <c r="AF94" s="7">
        <v>105.629</v>
      </c>
      <c r="AG94" s="7">
        <v>303.07400000000001</v>
      </c>
      <c r="AH94" s="7">
        <v>7.94</v>
      </c>
      <c r="AI94" s="7" t="s">
        <v>37</v>
      </c>
      <c r="AJ94" s="7">
        <v>41.875</v>
      </c>
      <c r="AK94" s="7">
        <v>0</v>
      </c>
      <c r="AL94" s="7">
        <v>54.322000000000003</v>
      </c>
      <c r="AM94" s="7" t="s">
        <v>37</v>
      </c>
      <c r="AN94" s="9">
        <v>2.1825846112008301E-10</v>
      </c>
      <c r="AO94" s="7" t="s">
        <v>37</v>
      </c>
      <c r="AP94" s="9">
        <v>1.7456254690668698E-5</v>
      </c>
      <c r="AQ94" s="7">
        <v>0</v>
      </c>
      <c r="AR94" s="7">
        <v>0</v>
      </c>
      <c r="AS94"/>
    </row>
    <row r="95" spans="1:45" ht="19.5" customHeight="1" x14ac:dyDescent="0.3">
      <c r="A95" s="7" t="s">
        <v>2140</v>
      </c>
      <c r="B95" s="7" t="s">
        <v>2083</v>
      </c>
      <c r="C95" s="7">
        <v>100</v>
      </c>
      <c r="D95" s="7">
        <v>16383928.571428601</v>
      </c>
      <c r="E95" s="7">
        <v>14</v>
      </c>
      <c r="F95" s="7">
        <v>24</v>
      </c>
      <c r="G95" s="7" t="s">
        <v>2141</v>
      </c>
      <c r="H95" s="7" t="s">
        <v>2142</v>
      </c>
      <c r="I95" s="7" t="s">
        <v>2143</v>
      </c>
      <c r="J95" s="8" t="s">
        <v>2144</v>
      </c>
      <c r="K95" s="7" t="s">
        <v>2145</v>
      </c>
      <c r="L95" s="7">
        <v>248.3</v>
      </c>
      <c r="M95" s="7" t="s">
        <v>37</v>
      </c>
      <c r="N95" s="7" t="s">
        <v>37</v>
      </c>
      <c r="O95" s="7" t="s">
        <v>37</v>
      </c>
      <c r="P95" s="7" t="s">
        <v>37</v>
      </c>
      <c r="Q95" s="7" t="s">
        <v>37</v>
      </c>
      <c r="R95" s="7" t="s">
        <v>37</v>
      </c>
      <c r="S95" s="7" t="s">
        <v>37</v>
      </c>
      <c r="T95" s="7" t="s">
        <v>37</v>
      </c>
      <c r="U95" s="7">
        <v>363</v>
      </c>
      <c r="V95" s="7">
        <v>1.4650000000000001</v>
      </c>
      <c r="W95" s="7">
        <v>254.90199999999999</v>
      </c>
      <c r="X95" s="9">
        <v>3.54813389233576E-11</v>
      </c>
      <c r="Y95" s="7" t="s">
        <v>37</v>
      </c>
      <c r="Z95" s="7">
        <v>5.76</v>
      </c>
      <c r="AA95" s="7">
        <v>0.97</v>
      </c>
      <c r="AB95" s="7">
        <v>0.97</v>
      </c>
      <c r="AC95" s="7">
        <v>9.08</v>
      </c>
      <c r="AD95" s="7">
        <v>0.97</v>
      </c>
      <c r="AE95" s="7">
        <v>176.25</v>
      </c>
      <c r="AF95" s="7" t="s">
        <v>37</v>
      </c>
      <c r="AG95" s="7" t="s">
        <v>37</v>
      </c>
      <c r="AH95" s="7" t="s">
        <v>37</v>
      </c>
      <c r="AI95" s="7">
        <v>1.49</v>
      </c>
      <c r="AJ95" s="7" t="s">
        <v>37</v>
      </c>
      <c r="AK95" s="7">
        <v>0</v>
      </c>
      <c r="AL95" s="7" t="s">
        <v>37</v>
      </c>
      <c r="AM95" s="7" t="s">
        <v>37</v>
      </c>
      <c r="AN95" s="9">
        <v>2.20015268107484E-7</v>
      </c>
      <c r="AO95" s="7" t="s">
        <v>37</v>
      </c>
      <c r="AP95" s="7">
        <v>8.1300000000000003E-4</v>
      </c>
      <c r="AQ95" s="7">
        <v>1</v>
      </c>
      <c r="AR95" s="7">
        <v>0</v>
      </c>
      <c r="AS95"/>
    </row>
    <row r="96" spans="1:45" ht="19.5" customHeight="1" x14ac:dyDescent="0.3">
      <c r="A96" s="7" t="s">
        <v>1399</v>
      </c>
      <c r="B96" s="7" t="s">
        <v>2080</v>
      </c>
      <c r="C96" s="7">
        <v>0</v>
      </c>
      <c r="D96" s="7">
        <v>5000</v>
      </c>
      <c r="E96" s="7">
        <v>13</v>
      </c>
      <c r="F96" s="7">
        <v>30</v>
      </c>
      <c r="G96" s="7" t="s">
        <v>1400</v>
      </c>
      <c r="H96" s="7" t="s">
        <v>1401</v>
      </c>
      <c r="I96" s="7" t="s">
        <v>1402</v>
      </c>
      <c r="J96" s="8" t="s">
        <v>1403</v>
      </c>
      <c r="K96" s="7" t="s">
        <v>1404</v>
      </c>
      <c r="L96" s="7">
        <v>310.83</v>
      </c>
      <c r="M96" s="7" t="s">
        <v>37</v>
      </c>
      <c r="N96" s="7" t="s">
        <v>37</v>
      </c>
      <c r="O96" s="7" t="s">
        <v>37</v>
      </c>
      <c r="P96" s="7" t="s">
        <v>37</v>
      </c>
      <c r="Q96" s="7" t="s">
        <v>37</v>
      </c>
      <c r="R96" s="7" t="s">
        <v>37</v>
      </c>
      <c r="S96" s="7" t="s">
        <v>37</v>
      </c>
      <c r="T96" s="7" t="s">
        <v>37</v>
      </c>
      <c r="U96" s="7">
        <v>422.387</v>
      </c>
      <c r="V96" s="7">
        <v>1.2095</v>
      </c>
      <c r="W96" s="7">
        <v>226.32900000000001</v>
      </c>
      <c r="X96" s="9">
        <v>1.8197008586099799E-8</v>
      </c>
      <c r="Y96" s="7">
        <v>1.6259999999999999</v>
      </c>
      <c r="Z96" s="7">
        <v>17.739999999999998</v>
      </c>
      <c r="AA96" s="7">
        <v>1.47</v>
      </c>
      <c r="AB96" s="7">
        <v>3.25</v>
      </c>
      <c r="AC96" s="7">
        <v>10.55</v>
      </c>
      <c r="AD96" s="7">
        <v>4.5670000000000002</v>
      </c>
      <c r="AE96" s="7">
        <v>150</v>
      </c>
      <c r="AF96" s="7">
        <v>90.051000000000002</v>
      </c>
      <c r="AG96" s="7">
        <v>254.399</v>
      </c>
      <c r="AH96" s="7" t="s">
        <v>37</v>
      </c>
      <c r="AI96" s="7">
        <v>7.89</v>
      </c>
      <c r="AJ96" s="7">
        <v>35.698999999999998</v>
      </c>
      <c r="AK96" s="7">
        <v>0</v>
      </c>
      <c r="AL96" s="7">
        <v>50.017000000000003</v>
      </c>
      <c r="AM96" s="7" t="s">
        <v>37</v>
      </c>
      <c r="AN96" s="9">
        <v>8.6099399999999997E-9</v>
      </c>
      <c r="AO96" s="7" t="s">
        <v>37</v>
      </c>
      <c r="AP96" s="9">
        <v>4.81902392192069E-5</v>
      </c>
      <c r="AQ96" s="7">
        <v>1</v>
      </c>
      <c r="AR96" s="7">
        <v>0</v>
      </c>
      <c r="AS96"/>
    </row>
    <row r="97" spans="1:45" ht="19.5" customHeight="1" x14ac:dyDescent="0.3">
      <c r="A97" s="7" t="s">
        <v>2146</v>
      </c>
      <c r="B97" s="7" t="s">
        <v>2083</v>
      </c>
      <c r="C97" s="7">
        <v>100</v>
      </c>
      <c r="D97" s="7">
        <v>117154.785558845</v>
      </c>
      <c r="E97" s="7">
        <v>26</v>
      </c>
      <c r="F97" s="7">
        <v>19.3571428571429</v>
      </c>
      <c r="G97" s="7" t="s">
        <v>2147</v>
      </c>
      <c r="H97" s="7" t="s">
        <v>2148</v>
      </c>
      <c r="I97" s="7" t="s">
        <v>2149</v>
      </c>
      <c r="J97" s="8" t="s">
        <v>2150</v>
      </c>
      <c r="K97" s="7" t="s">
        <v>2151</v>
      </c>
      <c r="L97" s="7">
        <v>416.51400000000001</v>
      </c>
      <c r="M97" s="7" t="s">
        <v>37</v>
      </c>
      <c r="N97" s="7" t="s">
        <v>37</v>
      </c>
      <c r="O97" s="7" t="s">
        <v>37</v>
      </c>
      <c r="P97" s="7" t="s">
        <v>37</v>
      </c>
      <c r="Q97" s="7" t="s">
        <v>37</v>
      </c>
      <c r="R97" s="7" t="s">
        <v>37</v>
      </c>
      <c r="S97" s="7" t="s">
        <v>37</v>
      </c>
      <c r="T97" s="7" t="s">
        <v>37</v>
      </c>
      <c r="U97" s="7">
        <v>580.1</v>
      </c>
      <c r="V97" s="7">
        <v>1.3029999999999999</v>
      </c>
      <c r="W97" s="7">
        <v>296.77499999999998</v>
      </c>
      <c r="X97" s="9">
        <v>5.62341325190349E-11</v>
      </c>
      <c r="Y97" s="7" t="s">
        <v>37</v>
      </c>
      <c r="Z97" s="7">
        <v>15.64</v>
      </c>
      <c r="AA97" s="7">
        <v>2.68</v>
      </c>
      <c r="AB97" s="7">
        <v>2.4</v>
      </c>
      <c r="AC97" s="7">
        <v>9.52</v>
      </c>
      <c r="AD97" s="7">
        <v>2.74</v>
      </c>
      <c r="AE97" s="7">
        <v>274</v>
      </c>
      <c r="AF97" s="7" t="s">
        <v>37</v>
      </c>
      <c r="AG97" s="7" t="s">
        <v>37</v>
      </c>
      <c r="AH97" s="7">
        <v>7.43</v>
      </c>
      <c r="AI97" s="7" t="s">
        <v>37</v>
      </c>
      <c r="AJ97" s="7" t="s">
        <v>37</v>
      </c>
      <c r="AK97" s="7">
        <v>0</v>
      </c>
      <c r="AL97" s="7" t="s">
        <v>37</v>
      </c>
      <c r="AM97" s="7" t="s">
        <v>37</v>
      </c>
      <c r="AN97" s="9">
        <v>4.3614079607548201E-10</v>
      </c>
      <c r="AO97" s="7" t="s">
        <v>37</v>
      </c>
      <c r="AP97" s="9">
        <v>3.2359365692962802E-5</v>
      </c>
      <c r="AQ97" s="7">
        <v>1</v>
      </c>
      <c r="AR97" s="7">
        <v>0</v>
      </c>
      <c r="AS97"/>
    </row>
    <row r="98" spans="1:45" ht="19.5" customHeight="1" x14ac:dyDescent="0.3">
      <c r="A98" s="7" t="s">
        <v>713</v>
      </c>
      <c r="B98" s="7" t="s">
        <v>2080</v>
      </c>
      <c r="C98" s="7">
        <v>45</v>
      </c>
      <c r="D98" s="7">
        <v>64593.512590695696</v>
      </c>
      <c r="E98" s="7">
        <v>250</v>
      </c>
      <c r="F98" s="7">
        <v>44.4170616113744</v>
      </c>
      <c r="G98" s="7" t="s">
        <v>714</v>
      </c>
      <c r="H98" s="7" t="s">
        <v>715</v>
      </c>
      <c r="I98" s="7" t="s">
        <v>716</v>
      </c>
      <c r="J98" s="8" t="s">
        <v>717</v>
      </c>
      <c r="K98" s="7" t="s">
        <v>491</v>
      </c>
      <c r="L98" s="7">
        <v>263.38099999999901</v>
      </c>
      <c r="M98" s="7" t="s">
        <v>37</v>
      </c>
      <c r="N98" s="7" t="s">
        <v>37</v>
      </c>
      <c r="O98" s="7" t="s">
        <v>37</v>
      </c>
      <c r="P98" s="7" t="s">
        <v>37</v>
      </c>
      <c r="Q98" s="7" t="s">
        <v>37</v>
      </c>
      <c r="R98" s="7" t="s">
        <v>37</v>
      </c>
      <c r="S98" s="7" t="s">
        <v>37</v>
      </c>
      <c r="T98" s="7" t="s">
        <v>37</v>
      </c>
      <c r="U98" s="7">
        <v>327.61099999999999</v>
      </c>
      <c r="V98" s="7">
        <v>1.115</v>
      </c>
      <c r="W98" s="7">
        <v>191.40950000000001</v>
      </c>
      <c r="X98" s="9">
        <v>4.7863009232263798E-7</v>
      </c>
      <c r="Y98" s="7">
        <v>1.573</v>
      </c>
      <c r="Z98" s="7">
        <v>14.43</v>
      </c>
      <c r="AA98" s="7">
        <v>-1.86</v>
      </c>
      <c r="AB98" s="7">
        <v>0.04</v>
      </c>
      <c r="AC98" s="7">
        <v>9.0299999999999994</v>
      </c>
      <c r="AD98" s="7">
        <v>2.46</v>
      </c>
      <c r="AE98" s="7">
        <v>128.375</v>
      </c>
      <c r="AF98" s="7">
        <v>77.837000000000003</v>
      </c>
      <c r="AG98" s="7">
        <v>236.125</v>
      </c>
      <c r="AH98" s="7" t="s">
        <v>37</v>
      </c>
      <c r="AI98" s="7">
        <v>9.82</v>
      </c>
      <c r="AJ98" s="7">
        <v>30.856999999999999</v>
      </c>
      <c r="AK98" s="7">
        <v>0</v>
      </c>
      <c r="AL98" s="7">
        <v>45.189</v>
      </c>
      <c r="AM98" s="7">
        <v>150.96299999999999</v>
      </c>
      <c r="AN98" s="9">
        <v>3.03E-7</v>
      </c>
      <c r="AO98" s="7">
        <v>22.181999999999999</v>
      </c>
      <c r="AP98" s="7">
        <v>1.6218100973589299E-2</v>
      </c>
      <c r="AQ98" s="7">
        <v>1</v>
      </c>
      <c r="AR98" s="7">
        <v>0</v>
      </c>
      <c r="AS98"/>
    </row>
    <row r="99" spans="1:45" ht="19.5" customHeight="1" x14ac:dyDescent="0.3">
      <c r="A99" s="7" t="s">
        <v>1297</v>
      </c>
      <c r="B99" s="7" t="s">
        <v>2080</v>
      </c>
      <c r="C99" s="7">
        <v>100</v>
      </c>
      <c r="D99" s="7">
        <v>8432.5678594909405</v>
      </c>
      <c r="E99" s="7">
        <v>115</v>
      </c>
      <c r="F99" s="7">
        <v>13.1444444444444</v>
      </c>
      <c r="G99" s="7" t="s">
        <v>1298</v>
      </c>
      <c r="H99" s="7" t="s">
        <v>1299</v>
      </c>
      <c r="I99" s="7" t="s">
        <v>1300</v>
      </c>
      <c r="J99" s="8" t="s">
        <v>1301</v>
      </c>
      <c r="K99" s="7" t="s">
        <v>1302</v>
      </c>
      <c r="L99" s="7">
        <v>392.46699999999902</v>
      </c>
      <c r="M99" s="7">
        <v>54160</v>
      </c>
      <c r="N99" s="7" t="s">
        <v>37</v>
      </c>
      <c r="O99" s="7">
        <v>254</v>
      </c>
      <c r="P99" s="7">
        <v>25.4</v>
      </c>
      <c r="Q99" s="7" t="s">
        <v>37</v>
      </c>
      <c r="R99" s="7" t="s">
        <v>37</v>
      </c>
      <c r="S99" s="7">
        <v>500</v>
      </c>
      <c r="T99" s="7">
        <v>0.39246799999999998</v>
      </c>
      <c r="U99" s="7">
        <v>467.91399999999999</v>
      </c>
      <c r="V99" s="7">
        <v>1.3214999999999999</v>
      </c>
      <c r="W99" s="7">
        <v>299.721</v>
      </c>
      <c r="X99" s="9">
        <v>6.6069344800759605E-11</v>
      </c>
      <c r="Y99" s="7">
        <v>1.5920000000000001</v>
      </c>
      <c r="Z99" s="7">
        <v>11.71</v>
      </c>
      <c r="AA99" s="7">
        <v>1.92</v>
      </c>
      <c r="AB99" s="7">
        <v>1.7</v>
      </c>
      <c r="AC99" s="7">
        <v>9.3000000000000007</v>
      </c>
      <c r="AD99" s="7">
        <v>1.92</v>
      </c>
      <c r="AE99" s="7">
        <v>262.5</v>
      </c>
      <c r="AF99" s="7">
        <v>100.238</v>
      </c>
      <c r="AG99" s="7">
        <v>296.21300000000002</v>
      </c>
      <c r="AH99" s="7">
        <v>7.57</v>
      </c>
      <c r="AI99" s="7">
        <v>12.127000000000001</v>
      </c>
      <c r="AJ99" s="7">
        <v>39.737000000000002</v>
      </c>
      <c r="AK99" s="7">
        <v>0</v>
      </c>
      <c r="AL99" s="7">
        <v>56.567999999999998</v>
      </c>
      <c r="AM99" s="7" t="s">
        <v>37</v>
      </c>
      <c r="AN99" s="9">
        <v>3.54813389233576E-10</v>
      </c>
      <c r="AO99" s="7" t="s">
        <v>37</v>
      </c>
      <c r="AP99" s="7">
        <v>2.29087E-4</v>
      </c>
      <c r="AQ99" s="7">
        <v>1</v>
      </c>
      <c r="AR99" s="7">
        <v>0</v>
      </c>
      <c r="AS99"/>
    </row>
    <row r="100" spans="1:45" ht="19.5" customHeight="1" x14ac:dyDescent="0.3">
      <c r="A100" s="7" t="s">
        <v>1297</v>
      </c>
      <c r="B100" s="7" t="s">
        <v>2127</v>
      </c>
      <c r="C100" s="7">
        <v>30</v>
      </c>
      <c r="D100" s="7">
        <v>32333.051563820802</v>
      </c>
      <c r="E100" s="7">
        <v>2</v>
      </c>
      <c r="F100" s="7">
        <v>13.1444444444444</v>
      </c>
      <c r="G100" s="7" t="s">
        <v>1298</v>
      </c>
      <c r="H100" s="7" t="s">
        <v>1299</v>
      </c>
      <c r="I100" s="7" t="s">
        <v>1300</v>
      </c>
      <c r="J100" s="8" t="s">
        <v>1301</v>
      </c>
      <c r="K100" s="7" t="s">
        <v>1302</v>
      </c>
      <c r="L100" s="7">
        <v>392.46699999999902</v>
      </c>
      <c r="M100" s="7">
        <v>54160</v>
      </c>
      <c r="N100" s="7" t="s">
        <v>37</v>
      </c>
      <c r="O100" s="7">
        <v>254</v>
      </c>
      <c r="P100" s="7">
        <v>25.4</v>
      </c>
      <c r="Q100" s="7" t="s">
        <v>37</v>
      </c>
      <c r="R100" s="7" t="s">
        <v>37</v>
      </c>
      <c r="S100" s="7">
        <v>500</v>
      </c>
      <c r="T100" s="7">
        <v>0.39246799999999998</v>
      </c>
      <c r="U100" s="7">
        <v>467.91399999999999</v>
      </c>
      <c r="V100" s="7">
        <v>1.3214999999999999</v>
      </c>
      <c r="W100" s="7">
        <v>299.721</v>
      </c>
      <c r="X100" s="9">
        <v>6.6069344800759605E-11</v>
      </c>
      <c r="Y100" s="7">
        <v>1.5920000000000001</v>
      </c>
      <c r="Z100" s="7">
        <v>11.71</v>
      </c>
      <c r="AA100" s="7">
        <v>1.92</v>
      </c>
      <c r="AB100" s="7">
        <v>1.7</v>
      </c>
      <c r="AC100" s="7">
        <v>9.3000000000000007</v>
      </c>
      <c r="AD100" s="7">
        <v>1.92</v>
      </c>
      <c r="AE100" s="7">
        <v>262.5</v>
      </c>
      <c r="AF100" s="7">
        <v>100.238</v>
      </c>
      <c r="AG100" s="7">
        <v>296.21300000000002</v>
      </c>
      <c r="AH100" s="7">
        <v>7.57</v>
      </c>
      <c r="AI100" s="7">
        <v>12.127000000000001</v>
      </c>
      <c r="AJ100" s="7">
        <v>39.737000000000002</v>
      </c>
      <c r="AK100" s="7">
        <v>0</v>
      </c>
      <c r="AL100" s="7">
        <v>56.567999999999998</v>
      </c>
      <c r="AM100" s="7" t="s">
        <v>37</v>
      </c>
      <c r="AN100" s="9">
        <v>3.54813389233576E-10</v>
      </c>
      <c r="AO100" s="7" t="s">
        <v>37</v>
      </c>
      <c r="AP100" s="7">
        <v>2.29087E-4</v>
      </c>
      <c r="AQ100" s="7">
        <v>1</v>
      </c>
      <c r="AR100" s="7">
        <v>0</v>
      </c>
      <c r="AS100"/>
    </row>
    <row r="101" spans="1:45" ht="19.5" customHeight="1" x14ac:dyDescent="0.3">
      <c r="A101" s="7" t="s">
        <v>718</v>
      </c>
      <c r="B101" s="7" t="s">
        <v>2080</v>
      </c>
      <c r="C101" s="7">
        <v>47.6</v>
      </c>
      <c r="D101" s="7">
        <v>62520.710059171601</v>
      </c>
      <c r="E101" s="7">
        <v>130</v>
      </c>
      <c r="F101" s="7">
        <v>52</v>
      </c>
      <c r="G101" s="7" t="s">
        <v>2152</v>
      </c>
      <c r="H101" s="7" t="s">
        <v>37</v>
      </c>
      <c r="I101" s="7" t="s">
        <v>37</v>
      </c>
      <c r="J101" s="7" t="s">
        <v>37</v>
      </c>
      <c r="K101" s="7" t="s">
        <v>37</v>
      </c>
      <c r="L101" s="7" t="s">
        <v>37</v>
      </c>
      <c r="M101" s="7" t="s">
        <v>37</v>
      </c>
      <c r="N101" s="7" t="s">
        <v>37</v>
      </c>
      <c r="O101" s="7" t="s">
        <v>37</v>
      </c>
      <c r="P101" s="7" t="s">
        <v>37</v>
      </c>
      <c r="Q101" s="7" t="s">
        <v>37</v>
      </c>
      <c r="R101" s="7" t="s">
        <v>37</v>
      </c>
      <c r="S101" s="7" t="s">
        <v>37</v>
      </c>
      <c r="T101" s="7" t="s">
        <v>37</v>
      </c>
      <c r="U101" s="7" t="s">
        <v>37</v>
      </c>
      <c r="V101" s="7" t="s">
        <v>37</v>
      </c>
      <c r="W101" s="7" t="s">
        <v>37</v>
      </c>
      <c r="X101" s="7" t="s">
        <v>37</v>
      </c>
      <c r="Y101" s="7" t="s">
        <v>37</v>
      </c>
      <c r="Z101" s="7" t="s">
        <v>37</v>
      </c>
      <c r="AA101" s="7" t="s">
        <v>37</v>
      </c>
      <c r="AB101" s="7" t="s">
        <v>37</v>
      </c>
      <c r="AC101" s="7" t="s">
        <v>37</v>
      </c>
      <c r="AD101" s="7" t="s">
        <v>37</v>
      </c>
      <c r="AE101" s="7" t="s">
        <v>37</v>
      </c>
      <c r="AF101" s="7" t="s">
        <v>37</v>
      </c>
      <c r="AG101" s="7" t="s">
        <v>37</v>
      </c>
      <c r="AH101" s="7" t="s">
        <v>37</v>
      </c>
      <c r="AI101" s="7" t="s">
        <v>37</v>
      </c>
      <c r="AJ101" s="7" t="s">
        <v>37</v>
      </c>
      <c r="AK101" s="7" t="s">
        <v>37</v>
      </c>
      <c r="AL101" s="7" t="s">
        <v>37</v>
      </c>
      <c r="AM101" s="7" t="s">
        <v>37</v>
      </c>
      <c r="AN101" s="7" t="s">
        <v>37</v>
      </c>
      <c r="AO101" s="7" t="s">
        <v>37</v>
      </c>
      <c r="AP101" s="7" t="s">
        <v>37</v>
      </c>
      <c r="AQ101" s="7" t="s">
        <v>37</v>
      </c>
      <c r="AR101" s="7" t="s">
        <v>37</v>
      </c>
      <c r="AS101"/>
    </row>
    <row r="102" spans="1:45" ht="19.5" customHeight="1" x14ac:dyDescent="0.3">
      <c r="A102" s="7" t="s">
        <v>1120</v>
      </c>
      <c r="B102" s="7" t="s">
        <v>2080</v>
      </c>
      <c r="C102" s="7">
        <v>11.4</v>
      </c>
      <c r="D102" s="7">
        <v>18233.839551600999</v>
      </c>
      <c r="E102" s="7">
        <v>410</v>
      </c>
      <c r="F102" s="7">
        <v>28.2395833333333</v>
      </c>
      <c r="G102" s="7" t="s">
        <v>1121</v>
      </c>
      <c r="H102" s="7" t="s">
        <v>1122</v>
      </c>
      <c r="I102" s="7" t="s">
        <v>1123</v>
      </c>
      <c r="J102" s="8" t="s">
        <v>1124</v>
      </c>
      <c r="K102" s="7" t="s">
        <v>855</v>
      </c>
      <c r="L102" s="7">
        <v>233.31100000000001</v>
      </c>
      <c r="M102" s="7" t="s">
        <v>37</v>
      </c>
      <c r="N102" s="7" t="s">
        <v>37</v>
      </c>
      <c r="O102" s="7" t="s">
        <v>37</v>
      </c>
      <c r="P102" s="7" t="s">
        <v>37</v>
      </c>
      <c r="Q102" s="7" t="s">
        <v>37</v>
      </c>
      <c r="R102" s="7" t="s">
        <v>37</v>
      </c>
      <c r="S102" s="7" t="s">
        <v>37</v>
      </c>
      <c r="T102" s="7" t="s">
        <v>37</v>
      </c>
      <c r="U102" s="7">
        <v>317.32249999999999</v>
      </c>
      <c r="V102" s="7">
        <v>1.07</v>
      </c>
      <c r="W102" s="7">
        <v>151.95500000000001</v>
      </c>
      <c r="X102" s="9">
        <v>2.8840315031266101E-10</v>
      </c>
      <c r="Y102" s="7">
        <v>1.5229999999999999</v>
      </c>
      <c r="Z102" s="7">
        <v>14</v>
      </c>
      <c r="AA102" s="7">
        <v>-4.83</v>
      </c>
      <c r="AB102" s="7">
        <v>-2.93</v>
      </c>
      <c r="AC102" s="7">
        <v>8.82</v>
      </c>
      <c r="AD102" s="7">
        <v>2.347</v>
      </c>
      <c r="AE102" s="7">
        <v>114</v>
      </c>
      <c r="AF102" s="7">
        <v>66.617000000000004</v>
      </c>
      <c r="AG102" s="7">
        <v>218.03200000000001</v>
      </c>
      <c r="AH102" s="7" t="s">
        <v>37</v>
      </c>
      <c r="AI102" s="7">
        <v>10.54</v>
      </c>
      <c r="AJ102" s="7">
        <v>26.408999999999999</v>
      </c>
      <c r="AK102" s="7">
        <v>1</v>
      </c>
      <c r="AL102" s="7">
        <v>39.634999999999998</v>
      </c>
      <c r="AM102" s="7" t="s">
        <v>37</v>
      </c>
      <c r="AN102" s="7">
        <v>1.00129462705897E-4</v>
      </c>
      <c r="AO102" s="7" t="s">
        <v>37</v>
      </c>
      <c r="AP102" s="7">
        <v>4.9059432157547902E-3</v>
      </c>
      <c r="AQ102" s="7">
        <v>1</v>
      </c>
      <c r="AR102" s="7">
        <v>1</v>
      </c>
      <c r="AS102"/>
    </row>
    <row r="103" spans="1:45" ht="19.5" customHeight="1" x14ac:dyDescent="0.3">
      <c r="A103" s="7" t="s">
        <v>1558</v>
      </c>
      <c r="B103" s="7" t="s">
        <v>2080</v>
      </c>
      <c r="C103" s="7">
        <v>38</v>
      </c>
      <c r="D103" s="7">
        <v>1250</v>
      </c>
      <c r="E103" s="7">
        <v>1</v>
      </c>
      <c r="F103" s="7">
        <v>30</v>
      </c>
      <c r="G103" s="7" t="s">
        <v>1559</v>
      </c>
      <c r="H103" s="7" t="s">
        <v>1560</v>
      </c>
      <c r="I103" s="7" t="s">
        <v>1561</v>
      </c>
      <c r="J103" s="8" t="s">
        <v>1562</v>
      </c>
      <c r="K103" s="7" t="s">
        <v>1557</v>
      </c>
      <c r="L103" s="7">
        <v>135.21</v>
      </c>
      <c r="M103" s="7" t="s">
        <v>37</v>
      </c>
      <c r="N103" s="7" t="s">
        <v>37</v>
      </c>
      <c r="O103" s="7" t="s">
        <v>37</v>
      </c>
      <c r="P103" s="7" t="s">
        <v>37</v>
      </c>
      <c r="Q103" s="7" t="s">
        <v>37</v>
      </c>
      <c r="R103" s="7" t="s">
        <v>37</v>
      </c>
      <c r="S103" s="7" t="s">
        <v>37</v>
      </c>
      <c r="T103" s="7" t="s">
        <v>37</v>
      </c>
      <c r="U103" s="7">
        <v>203</v>
      </c>
      <c r="V103" s="7">
        <v>0.94850000000000001</v>
      </c>
      <c r="W103" s="7">
        <v>86.9375</v>
      </c>
      <c r="X103" s="9">
        <v>2.69153480392691E-6</v>
      </c>
      <c r="Y103" s="7">
        <v>1.5269999999999999</v>
      </c>
      <c r="Z103" s="7">
        <v>8.64</v>
      </c>
      <c r="AA103" s="7">
        <v>-2.61</v>
      </c>
      <c r="AB103" s="7">
        <v>-0.71</v>
      </c>
      <c r="AC103" s="7">
        <v>6.84</v>
      </c>
      <c r="AD103" s="7">
        <v>1.76</v>
      </c>
      <c r="AE103" s="7">
        <v>33</v>
      </c>
      <c r="AF103" s="7">
        <v>43.929000000000002</v>
      </c>
      <c r="AG103" s="7">
        <v>142.81200000000001</v>
      </c>
      <c r="AH103" s="7" t="s">
        <v>37</v>
      </c>
      <c r="AI103" s="7">
        <v>9.8699999999999992</v>
      </c>
      <c r="AJ103" s="7">
        <v>17.414999999999999</v>
      </c>
      <c r="AK103" s="7">
        <v>0</v>
      </c>
      <c r="AL103" s="7">
        <v>33.774500000000003</v>
      </c>
      <c r="AM103" s="7">
        <v>153.73699999999999</v>
      </c>
      <c r="AN103" s="7">
        <v>0.23988329190194899</v>
      </c>
      <c r="AO103" s="7">
        <v>2.8774000000000002</v>
      </c>
      <c r="AP103" s="7">
        <v>9.1105694129582707E-2</v>
      </c>
      <c r="AQ103" s="7">
        <v>1</v>
      </c>
      <c r="AR103" s="7">
        <v>0</v>
      </c>
      <c r="AS103"/>
    </row>
    <row r="104" spans="1:45" ht="19.5" customHeight="1" x14ac:dyDescent="0.3">
      <c r="A104" s="7" t="s">
        <v>563</v>
      </c>
      <c r="B104" s="7" t="s">
        <v>2080</v>
      </c>
      <c r="C104" s="7">
        <v>26</v>
      </c>
      <c r="D104" s="7">
        <v>130000</v>
      </c>
      <c r="E104" s="7">
        <v>1</v>
      </c>
      <c r="F104" s="7">
        <v>10</v>
      </c>
      <c r="G104" s="7" t="s">
        <v>564</v>
      </c>
      <c r="H104" s="7" t="s">
        <v>565</v>
      </c>
      <c r="I104" s="7" t="s">
        <v>566</v>
      </c>
      <c r="J104" s="8" t="s">
        <v>567</v>
      </c>
      <c r="K104" s="7" t="s">
        <v>568</v>
      </c>
      <c r="L104" s="7">
        <v>271.404</v>
      </c>
      <c r="M104" s="7" t="s">
        <v>37</v>
      </c>
      <c r="N104" s="7" t="s">
        <v>37</v>
      </c>
      <c r="O104" s="7" t="s">
        <v>37</v>
      </c>
      <c r="P104" s="7" t="s">
        <v>37</v>
      </c>
      <c r="Q104" s="7" t="s">
        <v>37</v>
      </c>
      <c r="R104" s="7" t="s">
        <v>37</v>
      </c>
      <c r="S104" s="7" t="s">
        <v>37</v>
      </c>
      <c r="T104" s="7" t="s">
        <v>37</v>
      </c>
      <c r="U104" s="7">
        <v>352.9135</v>
      </c>
      <c r="V104" s="7">
        <v>1.1154999999999999</v>
      </c>
      <c r="W104" s="7">
        <v>151.988</v>
      </c>
      <c r="X104" s="9">
        <v>8.1283051616409898E-6</v>
      </c>
      <c r="Y104" s="7">
        <v>1.585</v>
      </c>
      <c r="Z104" s="7">
        <v>17.309999999999999</v>
      </c>
      <c r="AA104" s="7">
        <v>0.01</v>
      </c>
      <c r="AB104" s="7">
        <v>1.91</v>
      </c>
      <c r="AC104" s="7">
        <v>8.7200000000000006</v>
      </c>
      <c r="AD104" s="7">
        <v>3.9750000000000001</v>
      </c>
      <c r="AE104" s="7">
        <v>128.46</v>
      </c>
      <c r="AF104" s="7">
        <v>81.763999999999996</v>
      </c>
      <c r="AG104" s="7">
        <v>243.80699999999999</v>
      </c>
      <c r="AH104" s="7" t="s">
        <v>37</v>
      </c>
      <c r="AI104" s="7">
        <v>9.4700000000000006</v>
      </c>
      <c r="AJ104" s="7">
        <v>32.414000000000001</v>
      </c>
      <c r="AK104" s="7">
        <v>0</v>
      </c>
      <c r="AL104" s="7">
        <v>44.948</v>
      </c>
      <c r="AM104" s="7">
        <v>133.334</v>
      </c>
      <c r="AN104" s="9">
        <v>1.4288899999999999E-6</v>
      </c>
      <c r="AO104" s="7" t="s">
        <v>37</v>
      </c>
      <c r="AP104" s="7">
        <v>4.8252549999999999E-4</v>
      </c>
      <c r="AQ104" s="7">
        <v>1</v>
      </c>
      <c r="AR104" s="7">
        <v>0</v>
      </c>
      <c r="AS104"/>
    </row>
    <row r="105" spans="1:45" ht="19.5" customHeight="1" x14ac:dyDescent="0.3">
      <c r="A105" s="7" t="s">
        <v>1108</v>
      </c>
      <c r="B105" s="7" t="s">
        <v>2080</v>
      </c>
      <c r="C105" s="7">
        <v>30</v>
      </c>
      <c r="D105" s="7">
        <v>18323.888868491598</v>
      </c>
      <c r="E105" s="7">
        <v>400</v>
      </c>
      <c r="F105" s="7">
        <v>22.897163120567399</v>
      </c>
      <c r="G105" s="7" t="s">
        <v>1109</v>
      </c>
      <c r="H105" s="7" t="s">
        <v>1110</v>
      </c>
      <c r="I105" s="7" t="s">
        <v>1111</v>
      </c>
      <c r="J105" s="8" t="s">
        <v>1112</v>
      </c>
      <c r="K105" s="7" t="s">
        <v>1113</v>
      </c>
      <c r="L105" s="7">
        <v>284.74</v>
      </c>
      <c r="M105" s="7">
        <v>65491.3</v>
      </c>
      <c r="N105" s="7" t="s">
        <v>37</v>
      </c>
      <c r="O105" s="7">
        <v>12700</v>
      </c>
      <c r="P105" s="7">
        <v>1270</v>
      </c>
      <c r="Q105" s="7">
        <v>514.23699999999997</v>
      </c>
      <c r="R105" s="7" t="s">
        <v>37</v>
      </c>
      <c r="S105" s="7">
        <v>2130</v>
      </c>
      <c r="T105" s="7">
        <v>2.35E-2</v>
      </c>
      <c r="U105" s="7">
        <v>391.80099999999999</v>
      </c>
      <c r="V105" s="7">
        <v>1.27</v>
      </c>
      <c r="W105" s="7">
        <v>251.4725</v>
      </c>
      <c r="X105" s="9">
        <v>2.5118864315095802E-7</v>
      </c>
      <c r="Y105" s="7">
        <v>1.635</v>
      </c>
      <c r="Z105" s="7">
        <v>12.28</v>
      </c>
      <c r="AA105" s="7">
        <v>2.9</v>
      </c>
      <c r="AB105" s="7">
        <v>2.91</v>
      </c>
      <c r="AC105" s="7">
        <v>9.84</v>
      </c>
      <c r="AD105" s="7">
        <v>2.9049999999999998</v>
      </c>
      <c r="AE105" s="7">
        <v>128.6</v>
      </c>
      <c r="AF105" s="7">
        <v>80.912999999999997</v>
      </c>
      <c r="AG105" s="7">
        <v>225.88</v>
      </c>
      <c r="AH105" s="7" t="s">
        <v>37</v>
      </c>
      <c r="AI105" s="7">
        <v>3.6</v>
      </c>
      <c r="AJ105" s="7">
        <v>32.076000000000001</v>
      </c>
      <c r="AK105" s="7">
        <v>0</v>
      </c>
      <c r="AL105" s="7">
        <v>46.107999999999997</v>
      </c>
      <c r="AM105" s="7" t="s">
        <v>37</v>
      </c>
      <c r="AN105" s="9">
        <v>2.4210299999999999E-8</v>
      </c>
      <c r="AO105" s="7" t="s">
        <v>37</v>
      </c>
      <c r="AP105" s="7">
        <v>1.7670899999999999E-4</v>
      </c>
      <c r="AQ105" s="7">
        <v>1</v>
      </c>
      <c r="AR105" s="7">
        <v>1</v>
      </c>
      <c r="AS105"/>
    </row>
    <row r="106" spans="1:45" ht="19.5" customHeight="1" x14ac:dyDescent="0.3">
      <c r="A106" s="7" t="s">
        <v>569</v>
      </c>
      <c r="B106" s="7" t="s">
        <v>2080</v>
      </c>
      <c r="C106" s="7">
        <v>36</v>
      </c>
      <c r="D106" s="7">
        <v>135466.643401384</v>
      </c>
      <c r="E106" s="7">
        <v>521</v>
      </c>
      <c r="F106" s="7">
        <v>35.883983791853296</v>
      </c>
      <c r="G106" s="7" t="s">
        <v>570</v>
      </c>
      <c r="H106" s="7" t="s">
        <v>571</v>
      </c>
      <c r="I106" s="7" t="s">
        <v>572</v>
      </c>
      <c r="J106" s="8" t="s">
        <v>573</v>
      </c>
      <c r="K106" s="7" t="s">
        <v>574</v>
      </c>
      <c r="L106" s="7">
        <v>296.14999999999901</v>
      </c>
      <c r="M106" s="7">
        <v>68350</v>
      </c>
      <c r="N106" s="7" t="s">
        <v>37</v>
      </c>
      <c r="O106" s="7">
        <v>14000</v>
      </c>
      <c r="P106" s="7">
        <v>1010</v>
      </c>
      <c r="Q106" s="7">
        <v>0.796153</v>
      </c>
      <c r="R106" s="7" t="s">
        <v>37</v>
      </c>
      <c r="S106" s="7">
        <v>840</v>
      </c>
      <c r="T106" s="7">
        <v>0.106</v>
      </c>
      <c r="U106" s="7">
        <v>410.97899999999998</v>
      </c>
      <c r="V106" s="7">
        <v>1.4395</v>
      </c>
      <c r="W106" s="7">
        <v>214.16800000000001</v>
      </c>
      <c r="X106" s="9">
        <v>1.5848931924611101E-10</v>
      </c>
      <c r="Y106" s="7">
        <v>1.6619999999999999</v>
      </c>
      <c r="Z106" s="7">
        <v>14.19</v>
      </c>
      <c r="AA106" s="7">
        <v>3.08</v>
      </c>
      <c r="AB106" s="7">
        <v>1.2</v>
      </c>
      <c r="AC106" s="7">
        <v>9.3000000000000007</v>
      </c>
      <c r="AD106" s="7">
        <v>4.51</v>
      </c>
      <c r="AE106" s="7">
        <v>157</v>
      </c>
      <c r="AF106" s="7">
        <v>76.531000000000006</v>
      </c>
      <c r="AG106" s="7">
        <v>206.81899999999999</v>
      </c>
      <c r="AH106" s="7">
        <v>4.08</v>
      </c>
      <c r="AI106" s="7" t="s">
        <v>37</v>
      </c>
      <c r="AJ106" s="7">
        <v>30.338999999999999</v>
      </c>
      <c r="AK106" s="7">
        <v>0</v>
      </c>
      <c r="AL106" s="7">
        <v>57.997999999999998</v>
      </c>
      <c r="AM106" s="7">
        <v>143.02199999999999</v>
      </c>
      <c r="AN106" s="9">
        <v>2.7227E-8</v>
      </c>
      <c r="AO106" s="7">
        <v>55.080800000000004</v>
      </c>
      <c r="AP106" s="9">
        <v>7.9400000000000002E-6</v>
      </c>
      <c r="AQ106" s="7">
        <v>1</v>
      </c>
      <c r="AR106" s="7">
        <v>0</v>
      </c>
      <c r="AS106"/>
    </row>
    <row r="107" spans="1:45" ht="19.5" customHeight="1" x14ac:dyDescent="0.3">
      <c r="A107" s="7" t="s">
        <v>569</v>
      </c>
      <c r="B107" s="7" t="s">
        <v>2083</v>
      </c>
      <c r="C107" s="7">
        <v>100</v>
      </c>
      <c r="D107" s="7">
        <v>8896627.3597654197</v>
      </c>
      <c r="E107" s="7">
        <v>494</v>
      </c>
      <c r="F107" s="7">
        <v>24.935897435897399</v>
      </c>
      <c r="G107" s="7" t="s">
        <v>570</v>
      </c>
      <c r="H107" s="7" t="s">
        <v>571</v>
      </c>
      <c r="I107" s="7" t="s">
        <v>572</v>
      </c>
      <c r="J107" s="8" t="s">
        <v>573</v>
      </c>
      <c r="K107" s="7" t="s">
        <v>574</v>
      </c>
      <c r="L107" s="7">
        <v>296.14999999999901</v>
      </c>
      <c r="M107" s="7">
        <v>68350</v>
      </c>
      <c r="N107" s="7" t="s">
        <v>37</v>
      </c>
      <c r="O107" s="7">
        <v>14000</v>
      </c>
      <c r="P107" s="7">
        <v>1010</v>
      </c>
      <c r="Q107" s="7">
        <v>0.796153</v>
      </c>
      <c r="R107" s="7" t="s">
        <v>37</v>
      </c>
      <c r="S107" s="7">
        <v>840</v>
      </c>
      <c r="T107" s="7">
        <v>0.106</v>
      </c>
      <c r="U107" s="7">
        <v>410.97899999999998</v>
      </c>
      <c r="V107" s="7">
        <v>1.4395</v>
      </c>
      <c r="W107" s="7">
        <v>214.16800000000001</v>
      </c>
      <c r="X107" s="9">
        <v>1.5848931924611101E-10</v>
      </c>
      <c r="Y107" s="7">
        <v>1.6619999999999999</v>
      </c>
      <c r="Z107" s="7">
        <v>14.19</v>
      </c>
      <c r="AA107" s="7">
        <v>3.08</v>
      </c>
      <c r="AB107" s="7">
        <v>1.2</v>
      </c>
      <c r="AC107" s="7">
        <v>9.3000000000000007</v>
      </c>
      <c r="AD107" s="7">
        <v>4.51</v>
      </c>
      <c r="AE107" s="7">
        <v>157</v>
      </c>
      <c r="AF107" s="7">
        <v>76.531000000000006</v>
      </c>
      <c r="AG107" s="7">
        <v>206.81899999999999</v>
      </c>
      <c r="AH107" s="7">
        <v>4.08</v>
      </c>
      <c r="AI107" s="7" t="s">
        <v>37</v>
      </c>
      <c r="AJ107" s="7">
        <v>30.338999999999999</v>
      </c>
      <c r="AK107" s="7">
        <v>0</v>
      </c>
      <c r="AL107" s="7">
        <v>57.997999999999998</v>
      </c>
      <c r="AM107" s="7">
        <v>143.02199999999999</v>
      </c>
      <c r="AN107" s="9">
        <v>2.7227E-8</v>
      </c>
      <c r="AO107" s="7">
        <v>55.080800000000004</v>
      </c>
      <c r="AP107" s="9">
        <v>7.9400000000000002E-6</v>
      </c>
      <c r="AQ107" s="7">
        <v>1</v>
      </c>
      <c r="AR107" s="7">
        <v>0</v>
      </c>
      <c r="AS107"/>
    </row>
    <row r="108" spans="1:45" ht="19.5" customHeight="1" x14ac:dyDescent="0.3">
      <c r="A108" s="7" t="s">
        <v>749</v>
      </c>
      <c r="B108" s="7" t="s">
        <v>2080</v>
      </c>
      <c r="C108" s="7">
        <v>87.9</v>
      </c>
      <c r="D108" s="7">
        <v>54988.297371836103</v>
      </c>
      <c r="E108" s="7">
        <v>364</v>
      </c>
      <c r="F108" s="7">
        <v>29.112500000000001</v>
      </c>
      <c r="G108" s="7" t="s">
        <v>750</v>
      </c>
      <c r="H108" s="7" t="s">
        <v>751</v>
      </c>
      <c r="I108" s="7" t="s">
        <v>752</v>
      </c>
      <c r="J108" s="8" t="s">
        <v>753</v>
      </c>
      <c r="K108" s="7" t="s">
        <v>754</v>
      </c>
      <c r="L108" s="7">
        <v>309.49400000000003</v>
      </c>
      <c r="M108" s="7" t="s">
        <v>37</v>
      </c>
      <c r="N108" s="7" t="s">
        <v>37</v>
      </c>
      <c r="O108" s="7" t="s">
        <v>37</v>
      </c>
      <c r="P108" s="7" t="s">
        <v>37</v>
      </c>
      <c r="Q108" s="7" t="s">
        <v>37</v>
      </c>
      <c r="R108" s="7" t="s">
        <v>37</v>
      </c>
      <c r="S108" s="7" t="s">
        <v>37</v>
      </c>
      <c r="T108" s="7" t="s">
        <v>37</v>
      </c>
      <c r="U108" s="7">
        <v>361.32100000000003</v>
      </c>
      <c r="V108" s="7">
        <v>0.97099999999999997</v>
      </c>
      <c r="W108" s="7">
        <v>125.977</v>
      </c>
      <c r="X108" s="9">
        <v>1.14815362149688E-7</v>
      </c>
      <c r="Y108" s="7">
        <v>1.4950000000000001</v>
      </c>
      <c r="Z108" s="7">
        <v>26.12</v>
      </c>
      <c r="AA108" s="7">
        <v>1.1100000000000001</v>
      </c>
      <c r="AB108" s="7">
        <v>3</v>
      </c>
      <c r="AC108" s="7">
        <v>9.65</v>
      </c>
      <c r="AD108" s="7">
        <v>5.6505000000000001</v>
      </c>
      <c r="AE108" s="7">
        <v>114.17</v>
      </c>
      <c r="AF108" s="7">
        <v>91.126000000000005</v>
      </c>
      <c r="AG108" s="7">
        <v>312.38900000000001</v>
      </c>
      <c r="AH108" s="7" t="s">
        <v>37</v>
      </c>
      <c r="AI108" s="7">
        <v>8.9</v>
      </c>
      <c r="AJ108" s="7">
        <v>36.125</v>
      </c>
      <c r="AK108" s="7">
        <v>0</v>
      </c>
      <c r="AL108" s="7">
        <v>35.766500000000001</v>
      </c>
      <c r="AM108" s="7">
        <v>144.565</v>
      </c>
      <c r="AN108" s="9">
        <v>2.5118864315095802E-6</v>
      </c>
      <c r="AO108" s="7">
        <v>10.764699999999999</v>
      </c>
      <c r="AP108" s="7">
        <v>2.8183800000000002E-4</v>
      </c>
      <c r="AQ108" s="7">
        <v>1</v>
      </c>
      <c r="AR108" s="7">
        <v>1</v>
      </c>
      <c r="AS108"/>
    </row>
    <row r="109" spans="1:45" ht="19.5" customHeight="1" x14ac:dyDescent="0.3">
      <c r="A109" s="7" t="s">
        <v>1671</v>
      </c>
      <c r="B109" s="7" t="s">
        <v>2080</v>
      </c>
      <c r="C109" s="7">
        <v>87</v>
      </c>
      <c r="D109" s="7">
        <v>166.944555899162</v>
      </c>
      <c r="E109" s="7">
        <v>212</v>
      </c>
      <c r="F109" s="7">
        <v>64.697986577181197</v>
      </c>
      <c r="G109" s="7" t="s">
        <v>1672</v>
      </c>
      <c r="H109" s="7" t="s">
        <v>1673</v>
      </c>
      <c r="I109" s="7" t="s">
        <v>1674</v>
      </c>
      <c r="J109" s="8" t="s">
        <v>1675</v>
      </c>
      <c r="K109" s="7" t="s">
        <v>1676</v>
      </c>
      <c r="L109" s="7">
        <v>780.94899999999905</v>
      </c>
      <c r="M109" s="7">
        <v>320190</v>
      </c>
      <c r="N109" s="7" t="s">
        <v>37</v>
      </c>
      <c r="O109" s="7" t="s">
        <v>37</v>
      </c>
      <c r="P109" s="7" t="s">
        <v>37</v>
      </c>
      <c r="Q109" s="7">
        <v>1000</v>
      </c>
      <c r="R109" s="7" t="s">
        <v>37</v>
      </c>
      <c r="S109" s="7" t="s">
        <v>37</v>
      </c>
      <c r="T109" s="7" t="s">
        <v>37</v>
      </c>
      <c r="U109" s="7">
        <v>805.37450000000001</v>
      </c>
      <c r="V109" s="7">
        <v>1.411</v>
      </c>
      <c r="W109" s="7">
        <v>332.38299999999998</v>
      </c>
      <c r="X109" s="9">
        <v>1.3182567385564E-10</v>
      </c>
      <c r="Y109" s="7">
        <v>1.6020000000000001</v>
      </c>
      <c r="Z109" s="7">
        <v>30.49</v>
      </c>
      <c r="AA109" s="7">
        <v>0.77</v>
      </c>
      <c r="AB109" s="7">
        <v>1.25</v>
      </c>
      <c r="AC109" s="7">
        <v>9.56</v>
      </c>
      <c r="AD109" s="7">
        <v>1.26</v>
      </c>
      <c r="AE109" s="7">
        <v>250</v>
      </c>
      <c r="AF109" s="7">
        <v>196.387</v>
      </c>
      <c r="AG109" s="7">
        <v>572.33900000000006</v>
      </c>
      <c r="AH109" s="7" t="s">
        <v>37</v>
      </c>
      <c r="AI109" s="7">
        <v>5.82</v>
      </c>
      <c r="AJ109" s="7">
        <v>77.853999999999999</v>
      </c>
      <c r="AK109" s="7">
        <v>0</v>
      </c>
      <c r="AL109" s="7">
        <v>64.584000000000003</v>
      </c>
      <c r="AM109" s="7" t="s">
        <v>37</v>
      </c>
      <c r="AN109" s="9">
        <v>3.7065512065045799E-10</v>
      </c>
      <c r="AO109" s="7" t="s">
        <v>37</v>
      </c>
      <c r="AP109" s="9">
        <v>7.6074550000000002E-5</v>
      </c>
      <c r="AQ109" s="7">
        <v>1</v>
      </c>
      <c r="AR109" s="7">
        <v>1</v>
      </c>
      <c r="AS109"/>
    </row>
    <row r="110" spans="1:45" ht="19.5" customHeight="1" x14ac:dyDescent="0.3">
      <c r="A110" s="7" t="s">
        <v>420</v>
      </c>
      <c r="B110" s="7" t="s">
        <v>2080</v>
      </c>
      <c r="C110" s="7">
        <v>4</v>
      </c>
      <c r="D110" s="7">
        <v>226498.84528799899</v>
      </c>
      <c r="E110" s="7">
        <v>912</v>
      </c>
      <c r="F110" s="7">
        <v>69.538461538461505</v>
      </c>
      <c r="G110" s="7" t="s">
        <v>421</v>
      </c>
      <c r="H110" s="7" t="s">
        <v>422</v>
      </c>
      <c r="I110" s="7" t="s">
        <v>423</v>
      </c>
      <c r="J110" s="8" t="s">
        <v>424</v>
      </c>
      <c r="K110" s="7" t="s">
        <v>425</v>
      </c>
      <c r="L110" s="7">
        <v>414.52</v>
      </c>
      <c r="M110" s="7" t="s">
        <v>37</v>
      </c>
      <c r="N110" s="7" t="s">
        <v>37</v>
      </c>
      <c r="O110" s="7" t="s">
        <v>37</v>
      </c>
      <c r="P110" s="7" t="s">
        <v>37</v>
      </c>
      <c r="Q110" s="7" t="s">
        <v>37</v>
      </c>
      <c r="R110" s="7" t="s">
        <v>37</v>
      </c>
      <c r="S110" s="7" t="s">
        <v>37</v>
      </c>
      <c r="T110" s="7" t="s">
        <v>37</v>
      </c>
      <c r="U110" s="7">
        <v>449.61599999999999</v>
      </c>
      <c r="V110" s="7">
        <v>1.236</v>
      </c>
      <c r="W110" s="7">
        <v>290.20350000000002</v>
      </c>
      <c r="X110" s="9">
        <v>1.7782794100389199E-9</v>
      </c>
      <c r="Y110" s="7">
        <v>1.621</v>
      </c>
      <c r="Z110" s="7">
        <v>18.2</v>
      </c>
      <c r="AA110" s="7">
        <v>2.62</v>
      </c>
      <c r="AB110" s="7">
        <v>2.7</v>
      </c>
      <c r="AC110" s="7">
        <v>11.68</v>
      </c>
      <c r="AD110" s="7">
        <v>2.7</v>
      </c>
      <c r="AE110" s="7">
        <v>162.86850000000001</v>
      </c>
      <c r="AF110" s="7">
        <v>115.16</v>
      </c>
      <c r="AG110" s="7">
        <v>327.60300000000001</v>
      </c>
      <c r="AH110" s="7" t="s">
        <v>37</v>
      </c>
      <c r="AI110" s="7">
        <v>4.83</v>
      </c>
      <c r="AJ110" s="7">
        <v>45.652999999999999</v>
      </c>
      <c r="AK110" s="7">
        <v>0</v>
      </c>
      <c r="AL110" s="7">
        <v>56.225999999999999</v>
      </c>
      <c r="AM110" s="7" t="s">
        <v>37</v>
      </c>
      <c r="AN110" s="9">
        <v>2.20293E-9</v>
      </c>
      <c r="AO110" s="7" t="s">
        <v>37</v>
      </c>
      <c r="AP110" s="7">
        <v>3.0831899999999999E-4</v>
      </c>
      <c r="AQ110" s="7">
        <v>1</v>
      </c>
      <c r="AR110" s="7">
        <v>1</v>
      </c>
      <c r="AS110"/>
    </row>
    <row r="111" spans="1:45" ht="19.5" customHeight="1" x14ac:dyDescent="0.3">
      <c r="A111" s="7" t="s">
        <v>242</v>
      </c>
      <c r="B111" s="7" t="s">
        <v>2080</v>
      </c>
      <c r="C111" s="7">
        <v>100</v>
      </c>
      <c r="D111" s="7">
        <v>104165.83314786199</v>
      </c>
      <c r="E111" s="7">
        <v>152</v>
      </c>
      <c r="F111" s="7">
        <v>18.248712814645302</v>
      </c>
      <c r="G111" s="7" t="s">
        <v>243</v>
      </c>
      <c r="H111" s="7" t="s">
        <v>244</v>
      </c>
      <c r="I111" s="7" t="s">
        <v>245</v>
      </c>
      <c r="J111" s="8" t="s">
        <v>246</v>
      </c>
      <c r="K111" s="7" t="s">
        <v>247</v>
      </c>
      <c r="L111" s="7">
        <v>255.360999999999</v>
      </c>
      <c r="M111" s="7">
        <v>3940</v>
      </c>
      <c r="N111" s="7" t="s">
        <v>37</v>
      </c>
      <c r="O111" s="7">
        <v>51072</v>
      </c>
      <c r="P111" s="7">
        <v>2808.96</v>
      </c>
      <c r="Q111" s="7" t="s">
        <v>37</v>
      </c>
      <c r="R111" s="7" t="s">
        <v>37</v>
      </c>
      <c r="S111" s="7" t="s">
        <v>37</v>
      </c>
      <c r="T111" s="7" t="s">
        <v>37</v>
      </c>
      <c r="U111" s="7">
        <v>331.45850000000002</v>
      </c>
      <c r="V111" s="7">
        <v>1.0229999999999999</v>
      </c>
      <c r="W111" s="7">
        <v>129.29249999999999</v>
      </c>
      <c r="X111" s="9">
        <v>4.78630092322638E-6</v>
      </c>
      <c r="Y111" s="7">
        <v>1.5509999999999999</v>
      </c>
      <c r="Z111" s="7">
        <v>18.059999999999999</v>
      </c>
      <c r="AA111" s="7">
        <v>-0.01</v>
      </c>
      <c r="AB111" s="7">
        <v>1.87</v>
      </c>
      <c r="AC111" s="7">
        <v>8.5299999999999994</v>
      </c>
      <c r="AD111" s="7">
        <v>3.27</v>
      </c>
      <c r="AE111" s="7">
        <v>168</v>
      </c>
      <c r="AF111" s="7">
        <v>79.567999999999998</v>
      </c>
      <c r="AG111" s="7">
        <v>249.226</v>
      </c>
      <c r="AH111" s="7" t="s">
        <v>37</v>
      </c>
      <c r="AI111" s="7">
        <v>8.8800000000000008</v>
      </c>
      <c r="AJ111" s="7">
        <v>31.542999999999999</v>
      </c>
      <c r="AK111" s="7">
        <v>0</v>
      </c>
      <c r="AL111" s="7">
        <v>38.891500000000001</v>
      </c>
      <c r="AM111" s="7">
        <v>141.203</v>
      </c>
      <c r="AN111" s="9">
        <v>6.8999999999999997E-5</v>
      </c>
      <c r="AO111" s="7">
        <v>10.519600000000001</v>
      </c>
      <c r="AP111" s="7">
        <v>1.46017E-3</v>
      </c>
      <c r="AQ111" s="7">
        <v>1</v>
      </c>
      <c r="AR111" s="7">
        <v>0</v>
      </c>
      <c r="AS111"/>
    </row>
    <row r="112" spans="1:45" ht="19.5" customHeight="1" x14ac:dyDescent="0.3">
      <c r="A112" s="7" t="s">
        <v>242</v>
      </c>
      <c r="B112" s="7" t="s">
        <v>2083</v>
      </c>
      <c r="C112" s="7">
        <v>100</v>
      </c>
      <c r="D112" s="9">
        <v>8000000</v>
      </c>
      <c r="E112" s="7">
        <v>13</v>
      </c>
      <c r="F112" s="7">
        <v>15</v>
      </c>
      <c r="G112" s="7" t="s">
        <v>243</v>
      </c>
      <c r="H112" s="7" t="s">
        <v>244</v>
      </c>
      <c r="I112" s="7" t="s">
        <v>245</v>
      </c>
      <c r="J112" s="8" t="s">
        <v>246</v>
      </c>
      <c r="K112" s="7" t="s">
        <v>247</v>
      </c>
      <c r="L112" s="7">
        <v>255.360999999999</v>
      </c>
      <c r="M112" s="7">
        <v>3940</v>
      </c>
      <c r="N112" s="7" t="s">
        <v>37</v>
      </c>
      <c r="O112" s="7">
        <v>51072</v>
      </c>
      <c r="P112" s="7">
        <v>2808.96</v>
      </c>
      <c r="Q112" s="7" t="s">
        <v>37</v>
      </c>
      <c r="R112" s="7" t="s">
        <v>37</v>
      </c>
      <c r="S112" s="7" t="s">
        <v>37</v>
      </c>
      <c r="T112" s="7" t="s">
        <v>37</v>
      </c>
      <c r="U112" s="7">
        <v>331.45850000000002</v>
      </c>
      <c r="V112" s="7">
        <v>1.0229999999999999</v>
      </c>
      <c r="W112" s="7">
        <v>129.29249999999999</v>
      </c>
      <c r="X112" s="9">
        <v>4.78630092322638E-6</v>
      </c>
      <c r="Y112" s="7">
        <v>1.5509999999999999</v>
      </c>
      <c r="Z112" s="7">
        <v>18.059999999999999</v>
      </c>
      <c r="AA112" s="7">
        <v>-0.01</v>
      </c>
      <c r="AB112" s="7">
        <v>1.87</v>
      </c>
      <c r="AC112" s="7">
        <v>8.5299999999999994</v>
      </c>
      <c r="AD112" s="7">
        <v>3.27</v>
      </c>
      <c r="AE112" s="7">
        <v>168</v>
      </c>
      <c r="AF112" s="7">
        <v>79.567999999999998</v>
      </c>
      <c r="AG112" s="7">
        <v>249.226</v>
      </c>
      <c r="AH112" s="7" t="s">
        <v>37</v>
      </c>
      <c r="AI112" s="7">
        <v>8.8800000000000008</v>
      </c>
      <c r="AJ112" s="7">
        <v>31.542999999999999</v>
      </c>
      <c r="AK112" s="7">
        <v>0</v>
      </c>
      <c r="AL112" s="7">
        <v>38.891500000000001</v>
      </c>
      <c r="AM112" s="7">
        <v>141.203</v>
      </c>
      <c r="AN112" s="9">
        <v>6.8999999999999997E-5</v>
      </c>
      <c r="AO112" s="7">
        <v>10.519600000000001</v>
      </c>
      <c r="AP112" s="7">
        <v>1.46017E-3</v>
      </c>
      <c r="AQ112" s="7">
        <v>1</v>
      </c>
      <c r="AR112" s="7">
        <v>0</v>
      </c>
      <c r="AS112"/>
    </row>
    <row r="113" spans="1:45" ht="19.5" customHeight="1" x14ac:dyDescent="0.3">
      <c r="A113" s="7" t="s">
        <v>194</v>
      </c>
      <c r="B113" s="7" t="s">
        <v>2080</v>
      </c>
      <c r="C113" s="7">
        <v>3</v>
      </c>
      <c r="D113" s="7">
        <v>1035599.07903608</v>
      </c>
      <c r="E113" s="7">
        <v>488</v>
      </c>
      <c r="F113" s="7">
        <v>39.797342192690998</v>
      </c>
      <c r="G113" s="7" t="s">
        <v>195</v>
      </c>
      <c r="H113" s="7" t="s">
        <v>196</v>
      </c>
      <c r="I113" s="7" t="s">
        <v>197</v>
      </c>
      <c r="J113" s="8" t="s">
        <v>198</v>
      </c>
      <c r="K113" s="7" t="s">
        <v>199</v>
      </c>
      <c r="L113" s="7">
        <v>310.41000000000003</v>
      </c>
      <c r="M113" s="7" t="s">
        <v>37</v>
      </c>
      <c r="N113" s="7" t="s">
        <v>37</v>
      </c>
      <c r="O113" s="7" t="s">
        <v>37</v>
      </c>
      <c r="P113" s="7" t="s">
        <v>37</v>
      </c>
      <c r="Q113" s="7" t="s">
        <v>37</v>
      </c>
      <c r="R113" s="7" t="s">
        <v>37</v>
      </c>
      <c r="S113" s="7" t="s">
        <v>37</v>
      </c>
      <c r="T113" s="7" t="s">
        <v>37</v>
      </c>
      <c r="U113" s="7" t="s">
        <v>37</v>
      </c>
      <c r="V113" s="7" t="s">
        <v>37</v>
      </c>
      <c r="W113" s="7" t="s">
        <v>37</v>
      </c>
      <c r="X113" s="7" t="s">
        <v>37</v>
      </c>
      <c r="Y113" s="7" t="s">
        <v>37</v>
      </c>
      <c r="Z113" s="7" t="s">
        <v>37</v>
      </c>
      <c r="AA113" s="7" t="s">
        <v>37</v>
      </c>
      <c r="AB113" s="7" t="s">
        <v>37</v>
      </c>
      <c r="AC113" s="7" t="s">
        <v>37</v>
      </c>
      <c r="AD113" s="7" t="s">
        <v>37</v>
      </c>
      <c r="AE113" s="7" t="s">
        <v>37</v>
      </c>
      <c r="AF113" s="7" t="s">
        <v>37</v>
      </c>
      <c r="AG113" s="7" t="s">
        <v>37</v>
      </c>
      <c r="AH113" s="7" t="s">
        <v>37</v>
      </c>
      <c r="AI113" s="7" t="s">
        <v>37</v>
      </c>
      <c r="AJ113" s="7" t="s">
        <v>37</v>
      </c>
      <c r="AK113" s="7" t="s">
        <v>37</v>
      </c>
      <c r="AL113" s="7" t="s">
        <v>37</v>
      </c>
      <c r="AM113" s="7" t="s">
        <v>37</v>
      </c>
      <c r="AN113" s="7" t="s">
        <v>37</v>
      </c>
      <c r="AO113" s="7" t="s">
        <v>37</v>
      </c>
      <c r="AP113" s="7" t="s">
        <v>37</v>
      </c>
      <c r="AQ113" s="7">
        <v>0</v>
      </c>
      <c r="AR113" s="7" t="s">
        <v>37</v>
      </c>
      <c r="AS113"/>
    </row>
    <row r="114" spans="1:45" ht="19.5" customHeight="1" x14ac:dyDescent="0.3">
      <c r="A114" s="7" t="s">
        <v>474</v>
      </c>
      <c r="B114" s="7" t="s">
        <v>2080</v>
      </c>
      <c r="C114" s="7">
        <v>100</v>
      </c>
      <c r="D114" s="7">
        <v>194146.94272490899</v>
      </c>
      <c r="E114" s="7">
        <v>351</v>
      </c>
      <c r="F114" s="7">
        <v>39.2222222222222</v>
      </c>
      <c r="G114" s="7" t="s">
        <v>475</v>
      </c>
      <c r="H114" s="7" t="s">
        <v>476</v>
      </c>
      <c r="I114" s="7" t="s">
        <v>477</v>
      </c>
      <c r="J114" s="8" t="s">
        <v>478</v>
      </c>
      <c r="K114" s="7" t="s">
        <v>479</v>
      </c>
      <c r="L114" s="7">
        <v>422.58</v>
      </c>
      <c r="M114" s="7" t="s">
        <v>37</v>
      </c>
      <c r="N114" s="7" t="s">
        <v>37</v>
      </c>
      <c r="O114" s="7" t="s">
        <v>37</v>
      </c>
      <c r="P114" s="7" t="s">
        <v>37</v>
      </c>
      <c r="Q114" s="7" t="s">
        <v>37</v>
      </c>
      <c r="R114" s="7" t="s">
        <v>37</v>
      </c>
      <c r="S114" s="7" t="s">
        <v>37</v>
      </c>
      <c r="T114" s="7" t="s">
        <v>37</v>
      </c>
      <c r="U114" s="7">
        <v>430.02499999999998</v>
      </c>
      <c r="V114" s="7">
        <v>1.107</v>
      </c>
      <c r="W114" s="7" t="s">
        <v>37</v>
      </c>
      <c r="X114" s="9">
        <v>6.6069344800759602E-9</v>
      </c>
      <c r="Y114" s="7">
        <v>1.476</v>
      </c>
      <c r="Z114" s="7">
        <v>26.71</v>
      </c>
      <c r="AA114" s="7">
        <v>4.47</v>
      </c>
      <c r="AB114" s="7">
        <v>4.5199999999999996</v>
      </c>
      <c r="AC114" s="7">
        <v>10.46</v>
      </c>
      <c r="AD114" s="7">
        <v>5.2454999999999998</v>
      </c>
      <c r="AE114" s="7">
        <v>110</v>
      </c>
      <c r="AF114" s="7">
        <v>108.654</v>
      </c>
      <c r="AG114" s="7">
        <v>385.303</v>
      </c>
      <c r="AH114" s="7" t="s">
        <v>37</v>
      </c>
      <c r="AI114" s="7">
        <v>4.58</v>
      </c>
      <c r="AJ114" s="7">
        <v>43.073999999999998</v>
      </c>
      <c r="AK114" s="7">
        <v>1</v>
      </c>
      <c r="AL114" s="7">
        <v>40.064999999999998</v>
      </c>
      <c r="AM114" s="7" t="s">
        <v>37</v>
      </c>
      <c r="AN114" s="9">
        <v>1.7378008287493799E-6</v>
      </c>
      <c r="AO114" s="7" t="s">
        <v>37</v>
      </c>
      <c r="AP114" s="7">
        <v>2.53959296075482E-4</v>
      </c>
      <c r="AQ114" s="7">
        <v>1</v>
      </c>
      <c r="AR114" s="7">
        <v>1</v>
      </c>
      <c r="AS114"/>
    </row>
    <row r="115" spans="1:45" ht="19.5" customHeight="1" x14ac:dyDescent="0.3">
      <c r="A115" s="7" t="s">
        <v>1315</v>
      </c>
      <c r="B115" s="7" t="s">
        <v>2080</v>
      </c>
      <c r="C115" s="7">
        <v>32</v>
      </c>
      <c r="D115" s="7">
        <v>8386.8953089702609</v>
      </c>
      <c r="E115" s="7">
        <v>528</v>
      </c>
      <c r="F115" s="7">
        <v>69.460317460317498</v>
      </c>
      <c r="G115" s="7" t="s">
        <v>1316</v>
      </c>
      <c r="H115" s="7" t="s">
        <v>1317</v>
      </c>
      <c r="I115" s="7" t="s">
        <v>1318</v>
      </c>
      <c r="J115" s="8" t="s">
        <v>1319</v>
      </c>
      <c r="K115" s="7" t="s">
        <v>1320</v>
      </c>
      <c r="L115" s="7">
        <v>379.5</v>
      </c>
      <c r="M115" s="7" t="s">
        <v>37</v>
      </c>
      <c r="N115" s="7" t="s">
        <v>37</v>
      </c>
      <c r="O115" s="7" t="s">
        <v>37</v>
      </c>
      <c r="P115" s="7" t="s">
        <v>37</v>
      </c>
      <c r="Q115" s="7" t="s">
        <v>37</v>
      </c>
      <c r="R115" s="7" t="s">
        <v>37</v>
      </c>
      <c r="S115" s="7" t="s">
        <v>37</v>
      </c>
      <c r="T115" s="7" t="s">
        <v>37</v>
      </c>
      <c r="U115" s="7">
        <v>463.43150000000003</v>
      </c>
      <c r="V115" s="7">
        <v>1.1459999999999999</v>
      </c>
      <c r="W115" s="7">
        <v>257.6705</v>
      </c>
      <c r="X115" s="9">
        <v>1.44543977074593E-7</v>
      </c>
      <c r="Y115" s="7">
        <v>1.5780000000000001</v>
      </c>
      <c r="Z115" s="7">
        <v>19.07</v>
      </c>
      <c r="AA115" s="7">
        <v>1.5</v>
      </c>
      <c r="AB115" s="7">
        <v>3.13</v>
      </c>
      <c r="AC115" s="7">
        <v>11.7</v>
      </c>
      <c r="AD115" s="7">
        <v>4.4809999999999999</v>
      </c>
      <c r="AE115" s="7">
        <v>139.476</v>
      </c>
      <c r="AF115" s="7">
        <v>110.398</v>
      </c>
      <c r="AG115" s="7">
        <v>332.46699999999998</v>
      </c>
      <c r="AH115" s="7" t="s">
        <v>37</v>
      </c>
      <c r="AI115" s="7">
        <v>7.47</v>
      </c>
      <c r="AJ115" s="7">
        <v>43.765000000000001</v>
      </c>
      <c r="AK115" s="7">
        <v>0</v>
      </c>
      <c r="AL115" s="7">
        <v>45.2</v>
      </c>
      <c r="AM115" s="7">
        <v>150.80099999999999</v>
      </c>
      <c r="AN115" s="9">
        <v>8.5113803820237603E-10</v>
      </c>
      <c r="AO115" s="7" t="s">
        <v>37</v>
      </c>
      <c r="AP115" s="9">
        <v>1.64331041437469E-5</v>
      </c>
      <c r="AQ115" s="7">
        <v>1</v>
      </c>
      <c r="AR115" s="7">
        <v>0</v>
      </c>
      <c r="AS115"/>
    </row>
    <row r="116" spans="1:45" ht="19.5" customHeight="1" x14ac:dyDescent="0.3">
      <c r="A116" s="7" t="s">
        <v>260</v>
      </c>
      <c r="B116" s="7" t="s">
        <v>2092</v>
      </c>
      <c r="C116" s="7">
        <v>80</v>
      </c>
      <c r="D116" s="7">
        <v>548900.189235862</v>
      </c>
      <c r="E116" s="7">
        <v>187</v>
      </c>
      <c r="F116" s="7">
        <v>64.368932038834998</v>
      </c>
      <c r="G116" s="7" t="s">
        <v>261</v>
      </c>
      <c r="H116" s="7" t="s">
        <v>262</v>
      </c>
      <c r="I116" s="7" t="s">
        <v>263</v>
      </c>
      <c r="J116" s="8" t="s">
        <v>264</v>
      </c>
      <c r="K116" s="7" t="s">
        <v>265</v>
      </c>
      <c r="L116" s="7">
        <v>324.43</v>
      </c>
      <c r="M116" s="7" t="s">
        <v>37</v>
      </c>
      <c r="N116" s="7" t="s">
        <v>37</v>
      </c>
      <c r="O116" s="7" t="s">
        <v>37</v>
      </c>
      <c r="P116" s="7" t="s">
        <v>37</v>
      </c>
      <c r="Q116" s="7" t="s">
        <v>37</v>
      </c>
      <c r="R116" s="7" t="s">
        <v>37</v>
      </c>
      <c r="S116" s="7" t="s">
        <v>37</v>
      </c>
      <c r="T116" s="7" t="s">
        <v>37</v>
      </c>
      <c r="U116" s="7">
        <v>477.31</v>
      </c>
      <c r="V116" s="7">
        <v>1.508</v>
      </c>
      <c r="W116" s="7">
        <v>298.17500000000001</v>
      </c>
      <c r="X116" s="9">
        <v>1.14815362149688E-10</v>
      </c>
      <c r="Y116" s="7">
        <v>1.6339999999999999</v>
      </c>
      <c r="Z116" s="7">
        <v>6.15</v>
      </c>
      <c r="AA116" s="7">
        <v>-0.54</v>
      </c>
      <c r="AB116" s="7">
        <v>-2.2999999999999998</v>
      </c>
      <c r="AC116" s="7">
        <v>9.0299999999999994</v>
      </c>
      <c r="AD116" s="7">
        <v>-0.10150000000000001</v>
      </c>
      <c r="AE116" s="7">
        <v>275</v>
      </c>
      <c r="AF116" s="7">
        <v>75.489000000000004</v>
      </c>
      <c r="AG116" s="7">
        <v>211.00200000000001</v>
      </c>
      <c r="AH116" s="7">
        <v>6.0004999999999997</v>
      </c>
      <c r="AI116" s="7">
        <v>9.4819999999999993</v>
      </c>
      <c r="AJ116" s="7">
        <v>29.925999999999998</v>
      </c>
      <c r="AK116" s="7">
        <v>0</v>
      </c>
      <c r="AL116" s="7">
        <v>69.436000000000007</v>
      </c>
      <c r="AM116" s="7" t="s">
        <v>37</v>
      </c>
      <c r="AN116" s="9">
        <v>8.5113803820237603E-9</v>
      </c>
      <c r="AO116" s="7" t="s">
        <v>37</v>
      </c>
      <c r="AP116" s="7">
        <v>5.06164649614038E-3</v>
      </c>
      <c r="AQ116" s="7">
        <v>1</v>
      </c>
      <c r="AR116" s="7">
        <v>0</v>
      </c>
      <c r="AS116"/>
    </row>
    <row r="117" spans="1:45" ht="19.5" customHeight="1" x14ac:dyDescent="0.3">
      <c r="A117" s="7" t="s">
        <v>1446</v>
      </c>
      <c r="B117" s="7" t="s">
        <v>2080</v>
      </c>
      <c r="C117" s="7">
        <v>5.8</v>
      </c>
      <c r="D117" s="7">
        <v>4005.1532316630401</v>
      </c>
      <c r="E117" s="7">
        <v>225</v>
      </c>
      <c r="F117" s="7">
        <v>66.043165467625897</v>
      </c>
      <c r="G117" s="7" t="s">
        <v>1447</v>
      </c>
      <c r="H117" s="7" t="s">
        <v>1448</v>
      </c>
      <c r="I117" s="7" t="s">
        <v>1449</v>
      </c>
      <c r="J117" s="8" t="s">
        <v>1450</v>
      </c>
      <c r="K117" s="7" t="s">
        <v>1451</v>
      </c>
      <c r="L117" s="7">
        <v>451.483</v>
      </c>
      <c r="M117" s="7" t="s">
        <v>37</v>
      </c>
      <c r="N117" s="7" t="s">
        <v>37</v>
      </c>
      <c r="O117" s="7" t="s">
        <v>37</v>
      </c>
      <c r="P117" s="7" t="s">
        <v>37</v>
      </c>
      <c r="Q117" s="7" t="s">
        <v>37</v>
      </c>
      <c r="R117" s="7" t="s">
        <v>37</v>
      </c>
      <c r="S117" s="7" t="s">
        <v>37</v>
      </c>
      <c r="T117" s="7" t="s">
        <v>37</v>
      </c>
      <c r="U117" s="7">
        <v>593.93349999999998</v>
      </c>
      <c r="V117" s="7">
        <v>1.3740000000000001</v>
      </c>
      <c r="W117" s="7">
        <v>359.89049999999997</v>
      </c>
      <c r="X117" s="9">
        <v>1.3182567385564E-10</v>
      </c>
      <c r="Y117" s="7">
        <v>1.6579999999999999</v>
      </c>
      <c r="Z117" s="7">
        <v>14.65</v>
      </c>
      <c r="AA117" s="7">
        <v>2.56</v>
      </c>
      <c r="AB117" s="7">
        <v>3.28</v>
      </c>
      <c r="AC117" s="7">
        <v>10.19</v>
      </c>
      <c r="AD117" s="7">
        <v>3.3</v>
      </c>
      <c r="AE117" s="7">
        <v>289.5</v>
      </c>
      <c r="AF117" s="7">
        <v>121.238</v>
      </c>
      <c r="AG117" s="7">
        <v>329.26100000000002</v>
      </c>
      <c r="AH117" s="7" t="s">
        <v>37</v>
      </c>
      <c r="AI117" s="7">
        <v>6.15</v>
      </c>
      <c r="AJ117" s="7">
        <v>48.061999999999998</v>
      </c>
      <c r="AK117" s="7">
        <v>0</v>
      </c>
      <c r="AL117" s="7">
        <v>64.978999999999999</v>
      </c>
      <c r="AM117" s="7" t="s">
        <v>37</v>
      </c>
      <c r="AN117" s="9">
        <v>2.6302699999999999E-12</v>
      </c>
      <c r="AO117" s="7" t="s">
        <v>37</v>
      </c>
      <c r="AP117" s="9">
        <v>4.1810249999999998E-5</v>
      </c>
      <c r="AQ117" s="7">
        <v>1</v>
      </c>
      <c r="AR117" s="7">
        <v>1</v>
      </c>
      <c r="AS117"/>
    </row>
    <row r="118" spans="1:45" ht="19.5" customHeight="1" x14ac:dyDescent="0.3">
      <c r="A118" s="7" t="s">
        <v>856</v>
      </c>
      <c r="B118" s="7" t="s">
        <v>2080</v>
      </c>
      <c r="C118" s="7">
        <v>3</v>
      </c>
      <c r="D118" s="7">
        <v>39622.069576360598</v>
      </c>
      <c r="E118" s="7">
        <v>176</v>
      </c>
      <c r="F118" s="7">
        <v>62.037037037037003</v>
      </c>
      <c r="G118" s="7" t="s">
        <v>857</v>
      </c>
      <c r="H118" s="7" t="s">
        <v>858</v>
      </c>
      <c r="I118" s="7" t="s">
        <v>859</v>
      </c>
      <c r="J118" s="8" t="s">
        <v>860</v>
      </c>
      <c r="K118" s="7" t="s">
        <v>861</v>
      </c>
      <c r="L118" s="7">
        <v>279.38299999999902</v>
      </c>
      <c r="M118" s="7" t="s">
        <v>37</v>
      </c>
      <c r="N118" s="7" t="s">
        <v>37</v>
      </c>
      <c r="O118" s="7" t="s">
        <v>37</v>
      </c>
      <c r="P118" s="7" t="s">
        <v>37</v>
      </c>
      <c r="Q118" s="7" t="s">
        <v>37</v>
      </c>
      <c r="R118" s="7" t="s">
        <v>37</v>
      </c>
      <c r="S118" s="7" t="s">
        <v>37</v>
      </c>
      <c r="T118" s="7" t="s">
        <v>37</v>
      </c>
      <c r="U118" s="7">
        <v>364</v>
      </c>
      <c r="V118" s="7">
        <v>1.0985</v>
      </c>
      <c r="W118" s="7">
        <v>146.6635</v>
      </c>
      <c r="X118" s="9">
        <v>1.8197008586099799E-8</v>
      </c>
      <c r="Y118" s="7">
        <v>1.63</v>
      </c>
      <c r="Z118" s="7">
        <v>19.27</v>
      </c>
      <c r="AA118" s="7">
        <v>-0.32</v>
      </c>
      <c r="AB118" s="7">
        <v>1.58</v>
      </c>
      <c r="AC118" s="7">
        <v>8.89</v>
      </c>
      <c r="AD118" s="7">
        <v>4.29</v>
      </c>
      <c r="AE118" s="7">
        <v>121.352</v>
      </c>
      <c r="AF118" s="7">
        <v>88.513999999999996</v>
      </c>
      <c r="AG118" s="7">
        <v>248.83699999999999</v>
      </c>
      <c r="AH118" s="7" t="s">
        <v>37</v>
      </c>
      <c r="AI118" s="7">
        <v>10.11</v>
      </c>
      <c r="AJ118" s="7">
        <v>35.090000000000003</v>
      </c>
      <c r="AK118" s="7">
        <v>0</v>
      </c>
      <c r="AL118" s="7">
        <v>48.124000000000002</v>
      </c>
      <c r="AM118" s="7" t="s">
        <v>37</v>
      </c>
      <c r="AN118" s="9">
        <v>1.84927E-7</v>
      </c>
      <c r="AO118" s="7">
        <v>20.464400000000001</v>
      </c>
      <c r="AP118" s="7">
        <v>1.13006E-4</v>
      </c>
      <c r="AQ118" s="7">
        <v>1</v>
      </c>
      <c r="AR118" s="7">
        <v>0</v>
      </c>
      <c r="AS118"/>
    </row>
    <row r="119" spans="1:45" ht="19.5" customHeight="1" x14ac:dyDescent="0.3">
      <c r="A119" s="7" t="s">
        <v>528</v>
      </c>
      <c r="B119" s="7" t="s">
        <v>2080</v>
      </c>
      <c r="C119" s="7">
        <v>100</v>
      </c>
      <c r="D119" s="7">
        <v>148536.55432144401</v>
      </c>
      <c r="E119" s="7">
        <v>720</v>
      </c>
      <c r="F119" s="7">
        <v>23.117202268431001</v>
      </c>
      <c r="G119" s="7" t="s">
        <v>529</v>
      </c>
      <c r="H119" s="7" t="s">
        <v>530</v>
      </c>
      <c r="I119" s="7" t="s">
        <v>531</v>
      </c>
      <c r="J119" s="8" t="s">
        <v>532</v>
      </c>
      <c r="K119" s="7" t="s">
        <v>533</v>
      </c>
      <c r="L119" s="7">
        <v>444.44</v>
      </c>
      <c r="M119" s="7" t="s">
        <v>37</v>
      </c>
      <c r="N119" s="7" t="s">
        <v>37</v>
      </c>
      <c r="O119" s="7" t="s">
        <v>37</v>
      </c>
      <c r="P119" s="7" t="s">
        <v>37</v>
      </c>
      <c r="Q119" s="7" t="s">
        <v>37</v>
      </c>
      <c r="R119" s="7">
        <v>300</v>
      </c>
      <c r="S119" s="7">
        <v>20000</v>
      </c>
      <c r="T119" s="7">
        <v>2000</v>
      </c>
      <c r="U119" s="7">
        <v>692.43949999999995</v>
      </c>
      <c r="V119" s="7">
        <v>1.6745000000000001</v>
      </c>
      <c r="W119" s="7">
        <v>424.03100000000001</v>
      </c>
      <c r="X119" s="9">
        <v>1.20226443461741E-11</v>
      </c>
      <c r="Y119" s="7">
        <v>1.7370000000000001</v>
      </c>
      <c r="Z119" s="7">
        <v>7</v>
      </c>
      <c r="AA119" s="7">
        <v>-0.03</v>
      </c>
      <c r="AB119" s="7">
        <v>-0.2</v>
      </c>
      <c r="AC119" s="7">
        <v>9.4499999999999993</v>
      </c>
      <c r="AD119" s="7">
        <v>-0.02</v>
      </c>
      <c r="AE119" s="7">
        <v>201</v>
      </c>
      <c r="AF119" s="7">
        <v>109.03400000000001</v>
      </c>
      <c r="AG119" s="7">
        <v>271.11799999999999</v>
      </c>
      <c r="AH119" s="7">
        <v>7.73</v>
      </c>
      <c r="AI119" s="7" t="s">
        <v>37</v>
      </c>
      <c r="AJ119" s="7">
        <v>43.225000000000001</v>
      </c>
      <c r="AK119" s="7">
        <v>0</v>
      </c>
      <c r="AL119" s="7">
        <v>99.236999999999995</v>
      </c>
      <c r="AM119" s="7" t="s">
        <v>37</v>
      </c>
      <c r="AN119" s="9">
        <v>6.6988500000000004E-16</v>
      </c>
      <c r="AO119" s="7" t="s">
        <v>37</v>
      </c>
      <c r="AP119" s="7">
        <v>1.41E-3</v>
      </c>
      <c r="AQ119" s="7">
        <v>1</v>
      </c>
      <c r="AR119" s="7">
        <v>1</v>
      </c>
      <c r="AS119"/>
    </row>
    <row r="120" spans="1:45" ht="19.5" customHeight="1" x14ac:dyDescent="0.3">
      <c r="A120" s="7" t="s">
        <v>1677</v>
      </c>
      <c r="B120" s="7" t="s">
        <v>2153</v>
      </c>
      <c r="C120" s="7">
        <v>100</v>
      </c>
      <c r="D120" s="7">
        <v>123.40431578783399</v>
      </c>
      <c r="E120" s="7">
        <v>738</v>
      </c>
      <c r="F120" s="7">
        <v>42.3449691991786</v>
      </c>
      <c r="G120" s="7" t="s">
        <v>37</v>
      </c>
      <c r="H120" s="7" t="s">
        <v>37</v>
      </c>
      <c r="I120" s="7" t="s">
        <v>37</v>
      </c>
      <c r="J120" s="7" t="s">
        <v>37</v>
      </c>
      <c r="K120" s="7" t="s">
        <v>37</v>
      </c>
      <c r="L120" s="7" t="s">
        <v>37</v>
      </c>
      <c r="M120" s="7" t="s">
        <v>37</v>
      </c>
      <c r="N120" s="7" t="s">
        <v>37</v>
      </c>
      <c r="O120" s="7" t="s">
        <v>37</v>
      </c>
      <c r="P120" s="7" t="s">
        <v>37</v>
      </c>
      <c r="Q120" s="7" t="s">
        <v>37</v>
      </c>
      <c r="R120" s="7" t="s">
        <v>37</v>
      </c>
      <c r="S120" s="7" t="s">
        <v>37</v>
      </c>
      <c r="T120" s="7" t="s">
        <v>37</v>
      </c>
      <c r="U120" s="7" t="s">
        <v>37</v>
      </c>
      <c r="V120" s="7" t="s">
        <v>37</v>
      </c>
      <c r="W120" s="7" t="s">
        <v>37</v>
      </c>
      <c r="X120" s="7" t="s">
        <v>37</v>
      </c>
      <c r="Y120" s="7" t="s">
        <v>37</v>
      </c>
      <c r="Z120" s="7" t="s">
        <v>37</v>
      </c>
      <c r="AA120" s="7" t="s">
        <v>37</v>
      </c>
      <c r="AB120" s="7" t="s">
        <v>37</v>
      </c>
      <c r="AC120" s="7" t="s">
        <v>37</v>
      </c>
      <c r="AD120" s="7" t="s">
        <v>37</v>
      </c>
      <c r="AE120" s="7" t="s">
        <v>37</v>
      </c>
      <c r="AF120" s="7" t="s">
        <v>37</v>
      </c>
      <c r="AG120" s="7" t="s">
        <v>37</v>
      </c>
      <c r="AH120" s="7" t="s">
        <v>37</v>
      </c>
      <c r="AI120" s="7" t="s">
        <v>37</v>
      </c>
      <c r="AJ120" s="7" t="s">
        <v>37</v>
      </c>
      <c r="AK120" s="7" t="s">
        <v>37</v>
      </c>
      <c r="AL120" s="7" t="s">
        <v>37</v>
      </c>
      <c r="AM120" s="7" t="s">
        <v>37</v>
      </c>
      <c r="AN120" s="7" t="s">
        <v>37</v>
      </c>
      <c r="AO120" s="7" t="s">
        <v>37</v>
      </c>
      <c r="AP120" s="7" t="s">
        <v>37</v>
      </c>
      <c r="AQ120" s="7" t="s">
        <v>37</v>
      </c>
      <c r="AR120" s="7" t="s">
        <v>37</v>
      </c>
      <c r="AS120"/>
    </row>
    <row r="121" spans="1:45" ht="19.5" customHeight="1" x14ac:dyDescent="0.3">
      <c r="A121" s="7" t="s">
        <v>743</v>
      </c>
      <c r="B121" s="7" t="s">
        <v>2080</v>
      </c>
      <c r="C121" s="7">
        <v>21</v>
      </c>
      <c r="D121" s="7">
        <v>60336.916643774202</v>
      </c>
      <c r="E121" s="7">
        <v>2001</v>
      </c>
      <c r="F121" s="7">
        <v>49.473981191222599</v>
      </c>
      <c r="G121" s="7" t="s">
        <v>744</v>
      </c>
      <c r="H121" s="7" t="s">
        <v>745</v>
      </c>
      <c r="I121" s="7" t="s">
        <v>746</v>
      </c>
      <c r="J121" s="8" t="s">
        <v>747</v>
      </c>
      <c r="K121" s="7" t="s">
        <v>748</v>
      </c>
      <c r="L121" s="7">
        <v>297.42</v>
      </c>
      <c r="M121" s="7" t="s">
        <v>37</v>
      </c>
      <c r="N121" s="7" t="s">
        <v>37</v>
      </c>
      <c r="O121" s="7" t="s">
        <v>37</v>
      </c>
      <c r="P121" s="7" t="s">
        <v>37</v>
      </c>
      <c r="Q121" s="7" t="s">
        <v>37</v>
      </c>
      <c r="R121" s="7" t="s">
        <v>37</v>
      </c>
      <c r="S121" s="7" t="s">
        <v>37</v>
      </c>
      <c r="T121" s="7" t="s">
        <v>37</v>
      </c>
      <c r="U121" s="7">
        <v>425.45150000000001</v>
      </c>
      <c r="V121" s="7">
        <v>1.1970000000000001</v>
      </c>
      <c r="W121" s="7">
        <v>234.66399999999999</v>
      </c>
      <c r="X121" s="9">
        <v>7.4131024130091598E-10</v>
      </c>
      <c r="Y121" s="7">
        <v>1.6279999999999999</v>
      </c>
      <c r="Z121" s="7">
        <v>14.95</v>
      </c>
      <c r="AA121" s="7">
        <v>3.58</v>
      </c>
      <c r="AB121" s="7">
        <v>3.77</v>
      </c>
      <c r="AC121" s="7">
        <v>11.3</v>
      </c>
      <c r="AD121" s="7">
        <v>3.8975</v>
      </c>
      <c r="AE121" s="7">
        <v>117.486</v>
      </c>
      <c r="AF121" s="7">
        <v>91.141999999999996</v>
      </c>
      <c r="AG121" s="7">
        <v>256.81700000000001</v>
      </c>
      <c r="AH121" s="7" t="s">
        <v>37</v>
      </c>
      <c r="AI121" s="7">
        <v>5.24</v>
      </c>
      <c r="AJ121" s="7">
        <v>36.131999999999998</v>
      </c>
      <c r="AK121" s="7">
        <v>0</v>
      </c>
      <c r="AL121" s="7">
        <v>44.372999999999998</v>
      </c>
      <c r="AM121" s="7" t="s">
        <v>37</v>
      </c>
      <c r="AN121" s="9">
        <v>5.6234132519034898E-8</v>
      </c>
      <c r="AO121" s="7">
        <v>42.169699999999999</v>
      </c>
      <c r="AP121" s="9">
        <v>7.3133611736214099E-5</v>
      </c>
      <c r="AQ121" s="7">
        <v>1</v>
      </c>
      <c r="AR121" s="7">
        <v>0</v>
      </c>
      <c r="AS121"/>
    </row>
    <row r="122" spans="1:45" ht="19.5" customHeight="1" x14ac:dyDescent="0.3">
      <c r="A122" s="7" t="s">
        <v>1084</v>
      </c>
      <c r="B122" s="7" t="s">
        <v>2080</v>
      </c>
      <c r="C122" s="7">
        <v>68.400000000000006</v>
      </c>
      <c r="D122" s="7">
        <v>19407.8231757756</v>
      </c>
      <c r="E122" s="7">
        <v>672</v>
      </c>
      <c r="F122" s="7">
        <v>57.2289628180039</v>
      </c>
      <c r="G122" s="7" t="s">
        <v>1085</v>
      </c>
      <c r="H122" s="7" t="s">
        <v>1086</v>
      </c>
      <c r="I122" s="7" t="s">
        <v>1087</v>
      </c>
      <c r="J122" s="8" t="s">
        <v>1088</v>
      </c>
      <c r="K122" s="7" t="s">
        <v>1089</v>
      </c>
      <c r="L122" s="7">
        <v>450.91</v>
      </c>
      <c r="M122" s="7" t="s">
        <v>37</v>
      </c>
      <c r="N122" s="7" t="s">
        <v>37</v>
      </c>
      <c r="O122" s="7" t="s">
        <v>37</v>
      </c>
      <c r="P122" s="7" t="s">
        <v>37</v>
      </c>
      <c r="Q122" s="7" t="s">
        <v>37</v>
      </c>
      <c r="R122" s="7" t="s">
        <v>37</v>
      </c>
      <c r="S122" s="7" t="s">
        <v>37</v>
      </c>
      <c r="T122" s="7" t="s">
        <v>37</v>
      </c>
      <c r="U122" s="7">
        <v>396</v>
      </c>
      <c r="V122" s="7" t="s">
        <v>37</v>
      </c>
      <c r="W122" s="7" t="s">
        <v>37</v>
      </c>
      <c r="X122" s="9">
        <v>1.5488166189124801E-10</v>
      </c>
      <c r="Y122" s="7" t="s">
        <v>37</v>
      </c>
      <c r="Z122" s="7">
        <v>14.27</v>
      </c>
      <c r="AA122" s="7">
        <v>1.59</v>
      </c>
      <c r="AB122" s="7">
        <v>1.55</v>
      </c>
      <c r="AC122" s="7">
        <v>9.4499999999999993</v>
      </c>
      <c r="AD122" s="7">
        <v>1.59</v>
      </c>
      <c r="AE122" s="7">
        <v>191</v>
      </c>
      <c r="AF122" s="7" t="s">
        <v>37</v>
      </c>
      <c r="AG122" s="7" t="s">
        <v>37</v>
      </c>
      <c r="AH122" s="7">
        <v>8.4499999999999993</v>
      </c>
      <c r="AI122" s="7" t="s">
        <v>37</v>
      </c>
      <c r="AJ122" s="7" t="s">
        <v>37</v>
      </c>
      <c r="AK122" s="7">
        <v>0</v>
      </c>
      <c r="AL122" s="7" t="s">
        <v>37</v>
      </c>
      <c r="AM122" s="7" t="s">
        <v>37</v>
      </c>
      <c r="AN122" s="9">
        <v>9.5499258602143702E-10</v>
      </c>
      <c r="AO122" s="7" t="s">
        <v>37</v>
      </c>
      <c r="AP122" s="7">
        <v>1.07151930523761E-4</v>
      </c>
      <c r="AQ122" s="7">
        <v>1</v>
      </c>
      <c r="AR122" s="7">
        <v>0</v>
      </c>
      <c r="AS122"/>
    </row>
    <row r="123" spans="1:45" ht="19.5" customHeight="1" x14ac:dyDescent="0.3">
      <c r="A123" s="7" t="s">
        <v>1166</v>
      </c>
      <c r="B123" s="7" t="s">
        <v>2080</v>
      </c>
      <c r="C123" s="7">
        <v>60</v>
      </c>
      <c r="D123" s="7">
        <v>14076.4906127502</v>
      </c>
      <c r="E123" s="7">
        <v>74</v>
      </c>
      <c r="F123" s="7">
        <v>65.5</v>
      </c>
      <c r="G123" s="7" t="s">
        <v>1167</v>
      </c>
      <c r="H123" s="7" t="s">
        <v>1168</v>
      </c>
      <c r="I123" s="7" t="s">
        <v>1169</v>
      </c>
      <c r="J123" s="8" t="s">
        <v>1170</v>
      </c>
      <c r="K123" s="7" t="s">
        <v>1171</v>
      </c>
      <c r="L123" s="7">
        <v>376.45299999999901</v>
      </c>
      <c r="M123" s="7" t="s">
        <v>37</v>
      </c>
      <c r="N123" s="7" t="s">
        <v>37</v>
      </c>
      <c r="O123" s="7" t="s">
        <v>37</v>
      </c>
      <c r="P123" s="7" t="s">
        <v>37</v>
      </c>
      <c r="Q123" s="7" t="s">
        <v>37</v>
      </c>
      <c r="R123" s="7" t="s">
        <v>37</v>
      </c>
      <c r="S123" s="7">
        <v>3.7645300000000002</v>
      </c>
      <c r="T123" s="7">
        <v>3.7645299999999999E-3</v>
      </c>
      <c r="U123" s="7">
        <v>500.10149999999999</v>
      </c>
      <c r="V123" s="7">
        <v>1.2124999999999999</v>
      </c>
      <c r="W123" s="7">
        <v>303.14699999999999</v>
      </c>
      <c r="X123" s="9">
        <v>1.38038426460289E-11</v>
      </c>
      <c r="Y123" s="7">
        <v>1.55</v>
      </c>
      <c r="Z123" s="7">
        <v>11.97</v>
      </c>
      <c r="AA123" s="7">
        <v>0.06</v>
      </c>
      <c r="AB123" s="7">
        <v>-0.32</v>
      </c>
      <c r="AC123" s="7">
        <v>9.43</v>
      </c>
      <c r="AD123" s="7">
        <v>7.0000000000000007E-2</v>
      </c>
      <c r="AE123" s="7">
        <v>140.72499999999999</v>
      </c>
      <c r="AF123" s="7">
        <v>99.531000000000006</v>
      </c>
      <c r="AG123" s="7">
        <v>312.57799999999997</v>
      </c>
      <c r="AH123" s="7">
        <v>7.23</v>
      </c>
      <c r="AI123" s="7" t="s">
        <v>37</v>
      </c>
      <c r="AJ123" s="7">
        <v>39.457000000000001</v>
      </c>
      <c r="AK123" s="7">
        <v>0</v>
      </c>
      <c r="AL123" s="7">
        <v>51.277000000000001</v>
      </c>
      <c r="AM123" s="7">
        <v>160.36199999999999</v>
      </c>
      <c r="AN123" s="9">
        <v>2.3988329190194903E-10</v>
      </c>
      <c r="AO123" s="7">
        <v>289.06799999999998</v>
      </c>
      <c r="AP123" s="7">
        <v>4.3561200000000001E-2</v>
      </c>
      <c r="AQ123" s="7">
        <v>1</v>
      </c>
      <c r="AR123" s="7">
        <v>1</v>
      </c>
      <c r="AS123"/>
    </row>
    <row r="124" spans="1:45" ht="19.5" customHeight="1" x14ac:dyDescent="0.3">
      <c r="A124" s="7" t="s">
        <v>1183</v>
      </c>
      <c r="B124" s="7" t="s">
        <v>2092</v>
      </c>
      <c r="C124" s="7">
        <v>30</v>
      </c>
      <c r="D124" s="7">
        <v>13450.2923976608</v>
      </c>
      <c r="E124" s="7">
        <v>5</v>
      </c>
      <c r="F124" s="7">
        <v>58.8</v>
      </c>
      <c r="G124" s="7" t="s">
        <v>1184</v>
      </c>
      <c r="H124" s="7" t="s">
        <v>1185</v>
      </c>
      <c r="I124" s="7" t="s">
        <v>1186</v>
      </c>
      <c r="J124" s="8" t="s">
        <v>1187</v>
      </c>
      <c r="K124" s="7" t="s">
        <v>1188</v>
      </c>
      <c r="L124" s="7">
        <v>249.31700000000001</v>
      </c>
      <c r="M124" s="7" t="s">
        <v>37</v>
      </c>
      <c r="N124" s="7" t="s">
        <v>37</v>
      </c>
      <c r="O124" s="7" t="s">
        <v>37</v>
      </c>
      <c r="P124" s="7" t="s">
        <v>37</v>
      </c>
      <c r="Q124" s="7" t="s">
        <v>37</v>
      </c>
      <c r="R124" s="7" t="s">
        <v>37</v>
      </c>
      <c r="S124" s="7" t="s">
        <v>37</v>
      </c>
      <c r="T124" s="7" t="s">
        <v>37</v>
      </c>
      <c r="U124" s="7">
        <v>388.26</v>
      </c>
      <c r="V124" s="7">
        <v>1.4524999999999999</v>
      </c>
      <c r="W124" s="7">
        <v>198.77250000000001</v>
      </c>
      <c r="X124" s="9">
        <v>2.45470891568503E-10</v>
      </c>
      <c r="Y124" s="7">
        <v>1.728</v>
      </c>
      <c r="Z124" s="7">
        <v>16.079999999999998</v>
      </c>
      <c r="AA124" s="7">
        <v>0.69</v>
      </c>
      <c r="AB124" s="7">
        <v>2.54</v>
      </c>
      <c r="AC124" s="7">
        <v>10.62</v>
      </c>
      <c r="AD124" s="7">
        <v>3.51</v>
      </c>
      <c r="AE124" s="7">
        <v>160.4</v>
      </c>
      <c r="AF124" s="7">
        <v>75.010000000000005</v>
      </c>
      <c r="AG124" s="7">
        <v>188.41300000000001</v>
      </c>
      <c r="AH124" s="7" t="s">
        <v>37</v>
      </c>
      <c r="AI124" s="7">
        <v>10.1485</v>
      </c>
      <c r="AJ124" s="7">
        <v>29.736000000000001</v>
      </c>
      <c r="AK124" s="7">
        <v>0</v>
      </c>
      <c r="AL124" s="7">
        <v>55.374000000000002</v>
      </c>
      <c r="AM124" s="7" t="s">
        <v>37</v>
      </c>
      <c r="AN124" s="9">
        <v>1.5599999999999999E-7</v>
      </c>
      <c r="AO124" s="7" t="s">
        <v>37</v>
      </c>
      <c r="AP124" s="7">
        <v>1.47766181074844E-4</v>
      </c>
      <c r="AQ124" s="7">
        <v>1</v>
      </c>
      <c r="AR124" s="7">
        <v>0</v>
      </c>
      <c r="AS124"/>
    </row>
    <row r="125" spans="1:45" ht="19.5" customHeight="1" x14ac:dyDescent="0.3">
      <c r="A125" s="7" t="s">
        <v>1195</v>
      </c>
      <c r="B125" s="7" t="s">
        <v>2080</v>
      </c>
      <c r="C125" s="7">
        <v>35.299999999999997</v>
      </c>
      <c r="D125" s="7">
        <v>11935.483870967701</v>
      </c>
      <c r="E125" s="7">
        <v>62</v>
      </c>
      <c r="F125" s="7">
        <v>42.244897959183703</v>
      </c>
      <c r="G125" s="7" t="s">
        <v>2154</v>
      </c>
      <c r="H125" s="7" t="s">
        <v>2155</v>
      </c>
      <c r="I125" s="7" t="s">
        <v>2156</v>
      </c>
      <c r="J125" s="7" t="s">
        <v>2157</v>
      </c>
      <c r="K125" s="7" t="s">
        <v>2158</v>
      </c>
      <c r="L125" s="7">
        <v>436.89</v>
      </c>
      <c r="M125" s="7" t="s">
        <v>37</v>
      </c>
      <c r="N125" s="7" t="s">
        <v>37</v>
      </c>
      <c r="O125" s="7" t="s">
        <v>37</v>
      </c>
      <c r="P125" s="7" t="s">
        <v>37</v>
      </c>
      <c r="Q125" s="7" t="s">
        <v>37</v>
      </c>
      <c r="R125" s="7" t="s">
        <v>37</v>
      </c>
      <c r="S125" s="7" t="s">
        <v>37</v>
      </c>
      <c r="T125" s="7" t="s">
        <v>37</v>
      </c>
      <c r="U125" s="7">
        <v>477.49799999999999</v>
      </c>
      <c r="V125" s="7">
        <v>1.4850000000000001</v>
      </c>
      <c r="W125" s="7">
        <v>325.56299999999999</v>
      </c>
      <c r="X125" s="9">
        <v>1.62181009735893E-10</v>
      </c>
      <c r="Y125" s="7" t="s">
        <v>37</v>
      </c>
      <c r="Z125" s="7">
        <v>11.3</v>
      </c>
      <c r="AA125" s="7">
        <v>1.82</v>
      </c>
      <c r="AB125" s="7">
        <v>1.1299999999999999</v>
      </c>
      <c r="AC125" s="7">
        <v>9.44</v>
      </c>
      <c r="AD125" s="7">
        <v>2.6549999999999998</v>
      </c>
      <c r="AE125" s="7">
        <v>200</v>
      </c>
      <c r="AF125" s="7" t="s">
        <v>37</v>
      </c>
      <c r="AG125" s="7" t="s">
        <v>37</v>
      </c>
      <c r="AH125" s="7">
        <v>6.79</v>
      </c>
      <c r="AI125" s="7" t="s">
        <v>37</v>
      </c>
      <c r="AJ125" s="7" t="s">
        <v>37</v>
      </c>
      <c r="AK125" s="7">
        <v>0</v>
      </c>
      <c r="AL125" s="7" t="s">
        <v>37</v>
      </c>
      <c r="AM125" s="7" t="s">
        <v>37</v>
      </c>
      <c r="AN125" s="9">
        <v>1.6292812162567999E-9</v>
      </c>
      <c r="AO125" s="7" t="s">
        <v>37</v>
      </c>
      <c r="AP125" s="9">
        <v>8.5113803820237598E-6</v>
      </c>
      <c r="AQ125" s="7">
        <v>1</v>
      </c>
      <c r="AR125" s="7">
        <v>0</v>
      </c>
      <c r="AS125"/>
    </row>
    <row r="126" spans="1:45" ht="19.5" customHeight="1" x14ac:dyDescent="0.3">
      <c r="A126" s="7" t="s">
        <v>122</v>
      </c>
      <c r="B126" s="7" t="s">
        <v>2092</v>
      </c>
      <c r="C126" s="7">
        <v>80</v>
      </c>
      <c r="D126" s="7">
        <v>14975.2000136755</v>
      </c>
      <c r="E126" s="7">
        <v>99</v>
      </c>
      <c r="F126" s="7">
        <v>14.459595959595999</v>
      </c>
      <c r="G126" s="7" t="s">
        <v>123</v>
      </c>
      <c r="H126" s="7" t="s">
        <v>124</v>
      </c>
      <c r="I126" s="7" t="s">
        <v>125</v>
      </c>
      <c r="J126" s="8" t="s">
        <v>126</v>
      </c>
      <c r="K126" s="7" t="s">
        <v>127</v>
      </c>
      <c r="L126" s="7">
        <v>733.93700000000001</v>
      </c>
      <c r="M126" s="7">
        <v>27515</v>
      </c>
      <c r="N126" s="7">
        <v>11000</v>
      </c>
      <c r="O126" s="7">
        <v>349000</v>
      </c>
      <c r="P126" s="7">
        <v>10000</v>
      </c>
      <c r="Q126" s="7">
        <v>29150</v>
      </c>
      <c r="R126" s="7">
        <v>10.3</v>
      </c>
      <c r="S126" s="7">
        <v>366969</v>
      </c>
      <c r="T126" s="7">
        <v>733.93799999999999</v>
      </c>
      <c r="U126" s="7">
        <v>688.25900000000001</v>
      </c>
      <c r="V126" s="7">
        <v>1.1995</v>
      </c>
      <c r="W126" s="7">
        <v>470.286</v>
      </c>
      <c r="X126" s="9">
        <v>1.23026877081238E-11</v>
      </c>
      <c r="Y126" s="7">
        <v>1.5349999999999999</v>
      </c>
      <c r="Z126" s="7">
        <v>23.83</v>
      </c>
      <c r="AA126" s="7">
        <v>2.31</v>
      </c>
      <c r="AB126" s="7">
        <v>3.04</v>
      </c>
      <c r="AC126" s="7">
        <v>9.5299999999999994</v>
      </c>
      <c r="AD126" s="7">
        <v>3.06</v>
      </c>
      <c r="AE126" s="7">
        <v>191</v>
      </c>
      <c r="AF126" s="7">
        <v>189.16900000000001</v>
      </c>
      <c r="AG126" s="7">
        <v>607.18299999999999</v>
      </c>
      <c r="AH126" s="7" t="s">
        <v>37</v>
      </c>
      <c r="AI126" s="7">
        <v>6.16</v>
      </c>
      <c r="AJ126" s="7">
        <v>74.992000000000004</v>
      </c>
      <c r="AK126" s="7">
        <v>0</v>
      </c>
      <c r="AL126" s="7">
        <v>51.423999999999999</v>
      </c>
      <c r="AM126" s="7" t="s">
        <v>37</v>
      </c>
      <c r="AN126" s="9">
        <v>4.8528900000000003E-16</v>
      </c>
      <c r="AO126" s="7" t="s">
        <v>37</v>
      </c>
      <c r="AP126" s="7">
        <v>3.54975E-4</v>
      </c>
      <c r="AQ126" s="7">
        <v>1</v>
      </c>
      <c r="AR126" s="7">
        <v>1</v>
      </c>
      <c r="AS126"/>
    </row>
    <row r="127" spans="1:45" ht="19.5" customHeight="1" x14ac:dyDescent="0.3">
      <c r="A127" s="7" t="s">
        <v>122</v>
      </c>
      <c r="B127" s="7" t="s">
        <v>2080</v>
      </c>
      <c r="C127" s="7">
        <v>5</v>
      </c>
      <c r="D127" s="7">
        <v>1514705.88235294</v>
      </c>
      <c r="E127" s="7">
        <v>51</v>
      </c>
      <c r="F127" s="7">
        <v>13.5490196078431</v>
      </c>
      <c r="G127" s="7" t="s">
        <v>123</v>
      </c>
      <c r="H127" s="7" t="s">
        <v>124</v>
      </c>
      <c r="I127" s="7" t="s">
        <v>125</v>
      </c>
      <c r="J127" s="8" t="s">
        <v>126</v>
      </c>
      <c r="K127" s="7" t="s">
        <v>127</v>
      </c>
      <c r="L127" s="7">
        <v>733.93700000000001</v>
      </c>
      <c r="M127" s="7">
        <v>27515</v>
      </c>
      <c r="N127" s="7">
        <v>11000</v>
      </c>
      <c r="O127" s="7">
        <v>349000</v>
      </c>
      <c r="P127" s="7">
        <v>10000</v>
      </c>
      <c r="Q127" s="7">
        <v>29150</v>
      </c>
      <c r="R127" s="7">
        <v>10.3</v>
      </c>
      <c r="S127" s="7">
        <v>366969</v>
      </c>
      <c r="T127" s="7">
        <v>733.93799999999999</v>
      </c>
      <c r="U127" s="7">
        <v>688.25900000000001</v>
      </c>
      <c r="V127" s="7">
        <v>1.1995</v>
      </c>
      <c r="W127" s="7">
        <v>470.286</v>
      </c>
      <c r="X127" s="9">
        <v>1.23026877081238E-11</v>
      </c>
      <c r="Y127" s="7">
        <v>1.5349999999999999</v>
      </c>
      <c r="Z127" s="7">
        <v>23.83</v>
      </c>
      <c r="AA127" s="7">
        <v>2.31</v>
      </c>
      <c r="AB127" s="7">
        <v>3.04</v>
      </c>
      <c r="AC127" s="7">
        <v>9.5299999999999994</v>
      </c>
      <c r="AD127" s="7">
        <v>3.06</v>
      </c>
      <c r="AE127" s="7">
        <v>191</v>
      </c>
      <c r="AF127" s="7">
        <v>189.16900000000001</v>
      </c>
      <c r="AG127" s="7">
        <v>607.18299999999999</v>
      </c>
      <c r="AH127" s="7" t="s">
        <v>37</v>
      </c>
      <c r="AI127" s="7">
        <v>6.16</v>
      </c>
      <c r="AJ127" s="7">
        <v>74.992000000000004</v>
      </c>
      <c r="AK127" s="7">
        <v>0</v>
      </c>
      <c r="AL127" s="7">
        <v>51.423999999999999</v>
      </c>
      <c r="AM127" s="7" t="s">
        <v>37</v>
      </c>
      <c r="AN127" s="9">
        <v>4.8528900000000003E-16</v>
      </c>
      <c r="AO127" s="7" t="s">
        <v>37</v>
      </c>
      <c r="AP127" s="7">
        <v>3.54975E-4</v>
      </c>
      <c r="AQ127" s="7">
        <v>1</v>
      </c>
      <c r="AR127" s="7">
        <v>1</v>
      </c>
      <c r="AS127"/>
    </row>
    <row r="128" spans="1:45" ht="19.5" customHeight="1" x14ac:dyDescent="0.3">
      <c r="A128" s="7" t="s">
        <v>122</v>
      </c>
      <c r="B128" s="7" t="s">
        <v>2083</v>
      </c>
      <c r="C128" s="7">
        <v>100</v>
      </c>
      <c r="D128" s="7">
        <v>7117647.0588235296</v>
      </c>
      <c r="E128" s="7">
        <v>4</v>
      </c>
      <c r="F128" s="7">
        <v>14.7916666666667</v>
      </c>
      <c r="G128" s="7" t="s">
        <v>123</v>
      </c>
      <c r="H128" s="7" t="s">
        <v>124</v>
      </c>
      <c r="I128" s="7" t="s">
        <v>125</v>
      </c>
      <c r="J128" s="8" t="s">
        <v>126</v>
      </c>
      <c r="K128" s="7" t="s">
        <v>127</v>
      </c>
      <c r="L128" s="7">
        <v>733.93700000000001</v>
      </c>
      <c r="M128" s="7">
        <v>27515</v>
      </c>
      <c r="N128" s="7">
        <v>11000</v>
      </c>
      <c r="O128" s="7">
        <v>349000</v>
      </c>
      <c r="P128" s="7">
        <v>10000</v>
      </c>
      <c r="Q128" s="7">
        <v>29150</v>
      </c>
      <c r="R128" s="7">
        <v>10.3</v>
      </c>
      <c r="S128" s="7">
        <v>366969</v>
      </c>
      <c r="T128" s="7">
        <v>733.93799999999999</v>
      </c>
      <c r="U128" s="7">
        <v>688.25900000000001</v>
      </c>
      <c r="V128" s="7">
        <v>1.1995</v>
      </c>
      <c r="W128" s="7">
        <v>470.286</v>
      </c>
      <c r="X128" s="9">
        <v>1.23026877081238E-11</v>
      </c>
      <c r="Y128" s="7">
        <v>1.5349999999999999</v>
      </c>
      <c r="Z128" s="7">
        <v>23.83</v>
      </c>
      <c r="AA128" s="7">
        <v>2.31</v>
      </c>
      <c r="AB128" s="7">
        <v>3.04</v>
      </c>
      <c r="AC128" s="7">
        <v>9.5299999999999994</v>
      </c>
      <c r="AD128" s="7">
        <v>3.06</v>
      </c>
      <c r="AE128" s="7">
        <v>191</v>
      </c>
      <c r="AF128" s="7">
        <v>189.16900000000001</v>
      </c>
      <c r="AG128" s="7">
        <v>607.18299999999999</v>
      </c>
      <c r="AH128" s="7" t="s">
        <v>37</v>
      </c>
      <c r="AI128" s="7">
        <v>6.16</v>
      </c>
      <c r="AJ128" s="7">
        <v>74.992000000000004</v>
      </c>
      <c r="AK128" s="7">
        <v>0</v>
      </c>
      <c r="AL128" s="7">
        <v>51.423999999999999</v>
      </c>
      <c r="AM128" s="7" t="s">
        <v>37</v>
      </c>
      <c r="AN128" s="9">
        <v>4.8528900000000003E-16</v>
      </c>
      <c r="AO128" s="7" t="s">
        <v>37</v>
      </c>
      <c r="AP128" s="7">
        <v>3.54975E-4</v>
      </c>
      <c r="AQ128" s="7">
        <v>1</v>
      </c>
      <c r="AR128" s="7">
        <v>1</v>
      </c>
      <c r="AS128"/>
    </row>
    <row r="129" spans="1:45" ht="19.5" customHeight="1" x14ac:dyDescent="0.3">
      <c r="A129" s="7" t="s">
        <v>1155</v>
      </c>
      <c r="B129" s="7" t="s">
        <v>2080</v>
      </c>
      <c r="C129" s="7">
        <v>8</v>
      </c>
      <c r="D129" s="7">
        <v>15948.875815609001</v>
      </c>
      <c r="E129" s="7">
        <v>2439</v>
      </c>
      <c r="F129" s="7">
        <v>52.970624999999998</v>
      </c>
      <c r="G129" s="7" t="s">
        <v>1156</v>
      </c>
      <c r="H129" s="7" t="s">
        <v>1157</v>
      </c>
      <c r="I129" s="7" t="s">
        <v>1158</v>
      </c>
      <c r="J129" s="8" t="s">
        <v>1159</v>
      </c>
      <c r="K129" s="7" t="s">
        <v>962</v>
      </c>
      <c r="L129" s="7">
        <v>324.399</v>
      </c>
      <c r="M129" s="7" t="s">
        <v>37</v>
      </c>
      <c r="N129" s="7" t="s">
        <v>37</v>
      </c>
      <c r="O129" s="7" t="s">
        <v>37</v>
      </c>
      <c r="P129" s="7" t="s">
        <v>37</v>
      </c>
      <c r="Q129" s="7" t="s">
        <v>37</v>
      </c>
      <c r="R129" s="7" t="s">
        <v>37</v>
      </c>
      <c r="S129" s="7" t="s">
        <v>37</v>
      </c>
      <c r="T129" s="7" t="s">
        <v>37</v>
      </c>
      <c r="U129" s="7">
        <v>393.96600000000001</v>
      </c>
      <c r="V129" s="7">
        <v>1.1755</v>
      </c>
      <c r="W129" s="7">
        <v>234.66849999999999</v>
      </c>
      <c r="X129" s="9">
        <v>3.98107170553497E-6</v>
      </c>
      <c r="Y129" s="7">
        <v>1.591</v>
      </c>
      <c r="Z129" s="7">
        <v>13.08</v>
      </c>
      <c r="AA129" s="7">
        <v>0.63</v>
      </c>
      <c r="AB129" s="7">
        <v>2.2200000000000002</v>
      </c>
      <c r="AC129" s="7">
        <v>10.63</v>
      </c>
      <c r="AD129" s="7">
        <v>2.9525000000000001</v>
      </c>
      <c r="AE129" s="7">
        <v>122.066</v>
      </c>
      <c r="AF129" s="7">
        <v>92.137</v>
      </c>
      <c r="AG129" s="7">
        <v>272.637</v>
      </c>
      <c r="AH129" s="7" t="s">
        <v>37</v>
      </c>
      <c r="AI129" s="7">
        <v>7.36</v>
      </c>
      <c r="AJ129" s="7">
        <v>36.526000000000003</v>
      </c>
      <c r="AK129" s="7">
        <v>0</v>
      </c>
      <c r="AL129" s="7">
        <v>49.896000000000001</v>
      </c>
      <c r="AM129" s="7">
        <v>157.08600000000001</v>
      </c>
      <c r="AN129" s="9">
        <v>2.8444599999999999E-8</v>
      </c>
      <c r="AO129" s="7">
        <v>12.4451</v>
      </c>
      <c r="AP129" s="9">
        <v>7.7293849999999999E-5</v>
      </c>
      <c r="AQ129" s="7">
        <v>1</v>
      </c>
      <c r="AR129" s="7">
        <v>1</v>
      </c>
      <c r="AS129"/>
    </row>
    <row r="130" spans="1:45" ht="19.5" customHeight="1" x14ac:dyDescent="0.3">
      <c r="A130" s="7" t="s">
        <v>838</v>
      </c>
      <c r="B130" s="7" t="s">
        <v>2080</v>
      </c>
      <c r="C130" s="7">
        <v>1</v>
      </c>
      <c r="D130" s="7">
        <v>40901.511075239898</v>
      </c>
      <c r="E130" s="7">
        <v>531</v>
      </c>
      <c r="F130" s="7">
        <v>57.788697788697803</v>
      </c>
      <c r="G130" s="7" t="s">
        <v>839</v>
      </c>
      <c r="H130" s="7" t="s">
        <v>840</v>
      </c>
      <c r="I130" s="7" t="s">
        <v>841</v>
      </c>
      <c r="J130" s="8" t="s">
        <v>842</v>
      </c>
      <c r="K130" s="7" t="s">
        <v>843</v>
      </c>
      <c r="L130" s="7">
        <v>345.42</v>
      </c>
      <c r="M130" s="7" t="s">
        <v>37</v>
      </c>
      <c r="N130" s="7" t="s">
        <v>37</v>
      </c>
      <c r="O130" s="7" t="s">
        <v>37</v>
      </c>
      <c r="P130" s="7" t="s">
        <v>37</v>
      </c>
      <c r="Q130" s="7" t="s">
        <v>37</v>
      </c>
      <c r="R130" s="7" t="s">
        <v>37</v>
      </c>
      <c r="S130" s="7" t="s">
        <v>37</v>
      </c>
      <c r="T130" s="7" t="s">
        <v>37</v>
      </c>
      <c r="U130" s="7">
        <v>484.99549999999999</v>
      </c>
      <c r="V130" s="7">
        <v>1.4384999999999999</v>
      </c>
      <c r="W130" s="7">
        <v>306.65800000000002</v>
      </c>
      <c r="X130" s="9">
        <v>3.54813389233575E-6</v>
      </c>
      <c r="Y130" s="7">
        <v>1.669</v>
      </c>
      <c r="Z130" s="7">
        <v>10.61</v>
      </c>
      <c r="AA130" s="7">
        <v>2.2799999999999998</v>
      </c>
      <c r="AB130" s="7">
        <v>2.2799999999999998</v>
      </c>
      <c r="AC130" s="7">
        <v>10.29</v>
      </c>
      <c r="AD130" s="7">
        <v>2.173</v>
      </c>
      <c r="AE130" s="7">
        <v>170.53649999999999</v>
      </c>
      <c r="AF130" s="7">
        <v>94.021000000000001</v>
      </c>
      <c r="AG130" s="7">
        <v>251.869</v>
      </c>
      <c r="AH130" s="7" t="s">
        <v>37</v>
      </c>
      <c r="AI130" s="7">
        <v>2.1800000000000002</v>
      </c>
      <c r="AJ130" s="7">
        <v>37.273000000000003</v>
      </c>
      <c r="AK130" s="7">
        <v>0</v>
      </c>
      <c r="AL130" s="7">
        <v>75.182000000000002</v>
      </c>
      <c r="AM130" s="7" t="s">
        <v>37</v>
      </c>
      <c r="AN130" s="9">
        <v>3.7065523815045899E-8</v>
      </c>
      <c r="AO130" s="7" t="s">
        <v>37</v>
      </c>
      <c r="AP130" s="7">
        <v>2.5118864315095801E-4</v>
      </c>
      <c r="AQ130" s="7">
        <v>1</v>
      </c>
      <c r="AR130" s="7">
        <v>0</v>
      </c>
      <c r="AS130"/>
    </row>
    <row r="131" spans="1:45" ht="19.5" customHeight="1" x14ac:dyDescent="0.3">
      <c r="A131" s="7" t="s">
        <v>1476</v>
      </c>
      <c r="B131" s="7" t="s">
        <v>2080</v>
      </c>
      <c r="C131" s="7">
        <v>10</v>
      </c>
      <c r="D131" s="7">
        <v>2751.8294880246099</v>
      </c>
      <c r="E131" s="7">
        <v>185</v>
      </c>
      <c r="F131" s="7">
        <v>31.377551020408202</v>
      </c>
      <c r="G131" s="7" t="s">
        <v>1477</v>
      </c>
      <c r="H131" s="7" t="s">
        <v>1478</v>
      </c>
      <c r="I131" s="7" t="s">
        <v>1479</v>
      </c>
      <c r="J131" s="8" t="s">
        <v>1480</v>
      </c>
      <c r="K131" s="7" t="s">
        <v>1481</v>
      </c>
      <c r="L131" s="7">
        <v>388.81</v>
      </c>
      <c r="M131" s="7" t="s">
        <v>37</v>
      </c>
      <c r="N131" s="7" t="s">
        <v>37</v>
      </c>
      <c r="O131" s="7" t="s">
        <v>37</v>
      </c>
      <c r="P131" s="7" t="s">
        <v>37</v>
      </c>
      <c r="Q131" s="7" t="s">
        <v>37</v>
      </c>
      <c r="R131" s="7" t="s">
        <v>37</v>
      </c>
      <c r="S131" s="7" t="s">
        <v>37</v>
      </c>
      <c r="T131" s="7" t="s">
        <v>37</v>
      </c>
      <c r="U131" s="7">
        <v>486.78149999999999</v>
      </c>
      <c r="V131" s="7">
        <v>1.4830000000000001</v>
      </c>
      <c r="W131" s="7">
        <v>312.10250000000002</v>
      </c>
      <c r="X131" s="9">
        <v>5.75439937337157E-10</v>
      </c>
      <c r="Y131" s="7">
        <v>1.6879999999999999</v>
      </c>
      <c r="Z131" s="7">
        <v>10.86</v>
      </c>
      <c r="AA131" s="7">
        <v>2.2400000000000002</v>
      </c>
      <c r="AB131" s="7">
        <v>2.2400000000000002</v>
      </c>
      <c r="AC131" s="7">
        <v>11.69</v>
      </c>
      <c r="AD131" s="7">
        <v>1.093</v>
      </c>
      <c r="AE131" s="7">
        <v>178</v>
      </c>
      <c r="AF131" s="7">
        <v>96.236999999999995</v>
      </c>
      <c r="AG131" s="7">
        <v>252.33</v>
      </c>
      <c r="AH131" s="7" t="s">
        <v>37</v>
      </c>
      <c r="AI131" s="7">
        <v>3.56</v>
      </c>
      <c r="AJ131" s="7">
        <v>38.151000000000003</v>
      </c>
      <c r="AK131" s="7">
        <v>0</v>
      </c>
      <c r="AL131" s="7">
        <v>86.111000000000004</v>
      </c>
      <c r="AM131" s="7" t="s">
        <v>37</v>
      </c>
      <c r="AN131" s="9">
        <v>1.9952623149688799E-9</v>
      </c>
      <c r="AO131" s="7" t="s">
        <v>37</v>
      </c>
      <c r="AP131" s="7">
        <v>4.4932000000000001E-4</v>
      </c>
      <c r="AQ131" s="7">
        <v>1</v>
      </c>
      <c r="AR131" s="7">
        <v>1</v>
      </c>
      <c r="AS131"/>
    </row>
    <row r="132" spans="1:45" ht="19.5" customHeight="1" x14ac:dyDescent="0.3">
      <c r="A132" s="7" t="s">
        <v>1653</v>
      </c>
      <c r="B132" s="7" t="s">
        <v>2080</v>
      </c>
      <c r="C132" s="7">
        <v>0</v>
      </c>
      <c r="D132" s="7">
        <v>257.44680851063799</v>
      </c>
      <c r="E132" s="7">
        <v>42</v>
      </c>
      <c r="F132" s="7">
        <v>87.733333333333306</v>
      </c>
      <c r="G132" s="7" t="s">
        <v>1654</v>
      </c>
      <c r="H132" s="7" t="s">
        <v>1655</v>
      </c>
      <c r="I132" s="7" t="s">
        <v>1656</v>
      </c>
      <c r="J132" s="8" t="s">
        <v>1657</v>
      </c>
      <c r="K132" s="7" t="s">
        <v>1658</v>
      </c>
      <c r="L132" s="7">
        <v>296.41000000000003</v>
      </c>
      <c r="M132" s="7">
        <v>3200</v>
      </c>
      <c r="N132" s="7" t="s">
        <v>37</v>
      </c>
      <c r="O132" s="7">
        <v>687.67</v>
      </c>
      <c r="P132" s="9">
        <v>1E-4</v>
      </c>
      <c r="Q132" s="7">
        <v>300</v>
      </c>
      <c r="R132" s="7" t="s">
        <v>37</v>
      </c>
      <c r="S132" s="7">
        <v>1.2E-2</v>
      </c>
      <c r="T132" s="9">
        <v>2.9640899999999999E-6</v>
      </c>
      <c r="U132" s="7">
        <v>400.60500000000002</v>
      </c>
      <c r="V132" s="7">
        <v>1.1839999999999999</v>
      </c>
      <c r="W132" s="7">
        <v>207.27799999999999</v>
      </c>
      <c r="X132" s="9">
        <v>9.3325430079699006E-8</v>
      </c>
      <c r="Y132" s="7">
        <v>1.6240000000000001</v>
      </c>
      <c r="Z132" s="7">
        <v>17.52</v>
      </c>
      <c r="AA132" s="7">
        <v>3.67</v>
      </c>
      <c r="AB132" s="7">
        <v>3.67</v>
      </c>
      <c r="AC132" s="7">
        <v>9.1999999999999993</v>
      </c>
      <c r="AD132" s="7">
        <v>3.67</v>
      </c>
      <c r="AE132" s="7">
        <v>163</v>
      </c>
      <c r="AF132" s="7">
        <v>86.266000000000005</v>
      </c>
      <c r="AG132" s="7">
        <v>244.46700000000001</v>
      </c>
      <c r="AH132" s="7">
        <v>12.19</v>
      </c>
      <c r="AI132" s="7">
        <v>10.243</v>
      </c>
      <c r="AJ132" s="7">
        <v>34.198</v>
      </c>
      <c r="AK132" s="7">
        <v>0</v>
      </c>
      <c r="AL132" s="7">
        <v>52.04</v>
      </c>
      <c r="AM132" s="7">
        <v>144.184</v>
      </c>
      <c r="AN132" s="9">
        <v>3.7399999999999999E-9</v>
      </c>
      <c r="AO132" s="7" t="s">
        <v>37</v>
      </c>
      <c r="AP132" s="9">
        <v>5.0118699999999998E-5</v>
      </c>
      <c r="AQ132" s="7">
        <v>0</v>
      </c>
      <c r="AR132" s="7">
        <v>0</v>
      </c>
      <c r="AS132"/>
    </row>
    <row r="133" spans="1:45" ht="19.5" customHeight="1" x14ac:dyDescent="0.3">
      <c r="A133" s="7" t="s">
        <v>236</v>
      </c>
      <c r="B133" s="7" t="s">
        <v>2080</v>
      </c>
      <c r="C133" s="7">
        <v>17</v>
      </c>
      <c r="D133" s="7">
        <v>830949.88519516797</v>
      </c>
      <c r="E133" s="7">
        <v>27</v>
      </c>
      <c r="F133" s="7">
        <v>42.4</v>
      </c>
      <c r="G133" s="7" t="s">
        <v>237</v>
      </c>
      <c r="H133" s="7" t="s">
        <v>238</v>
      </c>
      <c r="I133" s="7" t="s">
        <v>239</v>
      </c>
      <c r="J133" s="8" t="s">
        <v>240</v>
      </c>
      <c r="K133" s="7" t="s">
        <v>241</v>
      </c>
      <c r="L133" s="7">
        <v>287.35899999999901</v>
      </c>
      <c r="M133" s="7" t="s">
        <v>37</v>
      </c>
      <c r="N133" s="7" t="s">
        <v>37</v>
      </c>
      <c r="O133" s="7" t="s">
        <v>37</v>
      </c>
      <c r="P133" s="7" t="s">
        <v>37</v>
      </c>
      <c r="Q133" s="7" t="s">
        <v>37</v>
      </c>
      <c r="R133" s="7" t="s">
        <v>37</v>
      </c>
      <c r="S133" s="7" t="s">
        <v>37</v>
      </c>
      <c r="T133" s="7" t="s">
        <v>37</v>
      </c>
      <c r="U133" s="7">
        <v>458.27300000000002</v>
      </c>
      <c r="V133" s="7">
        <v>1.2344999999999999</v>
      </c>
      <c r="W133" s="7">
        <v>263.94600000000003</v>
      </c>
      <c r="X133" s="9">
        <v>1.38038426460289E-9</v>
      </c>
      <c r="Y133" s="7">
        <v>1.597</v>
      </c>
      <c r="Z133" s="7">
        <v>12.35</v>
      </c>
      <c r="AA133" s="7">
        <v>4.87</v>
      </c>
      <c r="AB133" s="7">
        <v>4.88</v>
      </c>
      <c r="AC133" s="7">
        <v>9.1999999999999993</v>
      </c>
      <c r="AD133" s="7">
        <v>3.7614999999999998</v>
      </c>
      <c r="AE133" s="7">
        <v>146.5</v>
      </c>
      <c r="AF133" s="7">
        <v>81.980999999999995</v>
      </c>
      <c r="AG133" s="7">
        <v>240.762</v>
      </c>
      <c r="AH133" s="7">
        <v>4.88</v>
      </c>
      <c r="AI133" s="7">
        <v>3.68</v>
      </c>
      <c r="AJ133" s="7">
        <v>32.5</v>
      </c>
      <c r="AK133" s="7">
        <v>0</v>
      </c>
      <c r="AL133" s="7">
        <v>53.963000000000001</v>
      </c>
      <c r="AM133" s="7" t="s">
        <v>37</v>
      </c>
      <c r="AN133" s="9">
        <v>6.0953700000000002E-10</v>
      </c>
      <c r="AO133" s="7" t="s">
        <v>37</v>
      </c>
      <c r="AP133" s="7">
        <v>3.3071799999999997E-4</v>
      </c>
      <c r="AQ133" s="7">
        <v>0</v>
      </c>
      <c r="AR133" s="7">
        <v>0</v>
      </c>
      <c r="AS133"/>
    </row>
    <row r="134" spans="1:45" ht="19.5" customHeight="1" x14ac:dyDescent="0.3">
      <c r="A134" s="7" t="s">
        <v>1232</v>
      </c>
      <c r="B134" s="7" t="s">
        <v>2080</v>
      </c>
      <c r="C134" s="7">
        <v>71</v>
      </c>
      <c r="D134" s="7">
        <v>10378.1686883043</v>
      </c>
      <c r="E134" s="7">
        <v>655</v>
      </c>
      <c r="F134" s="7">
        <v>62.072398190045199</v>
      </c>
      <c r="G134" s="7" t="s">
        <v>1233</v>
      </c>
      <c r="H134" s="7" t="s">
        <v>1234</v>
      </c>
      <c r="I134" s="7" t="s">
        <v>1235</v>
      </c>
      <c r="J134" s="8" t="s">
        <v>1236</v>
      </c>
      <c r="K134" s="7" t="s">
        <v>1237</v>
      </c>
      <c r="L134" s="7">
        <v>409.43299999999903</v>
      </c>
      <c r="M134" s="7" t="s">
        <v>37</v>
      </c>
      <c r="N134" s="7" t="s">
        <v>37</v>
      </c>
      <c r="O134" s="7" t="s">
        <v>37</v>
      </c>
      <c r="P134" s="7" t="s">
        <v>37</v>
      </c>
      <c r="Q134" s="7" t="s">
        <v>37</v>
      </c>
      <c r="R134" s="7" t="s">
        <v>37</v>
      </c>
      <c r="S134" s="7">
        <v>1033.8158000000001</v>
      </c>
      <c r="T134" s="7">
        <v>2.0471599999999999</v>
      </c>
      <c r="U134" s="7">
        <v>521.42849999999999</v>
      </c>
      <c r="V134" s="7">
        <v>1.345</v>
      </c>
      <c r="W134" s="7">
        <v>337.13</v>
      </c>
      <c r="X134" s="9">
        <v>1.02329299228075E-11</v>
      </c>
      <c r="Y134" s="7">
        <v>1.6240000000000001</v>
      </c>
      <c r="Z134" s="7">
        <v>22.28</v>
      </c>
      <c r="AA134" s="7">
        <v>4.0199999999999996</v>
      </c>
      <c r="AB134" s="7">
        <v>4.03</v>
      </c>
      <c r="AC134" s="7">
        <v>9.59</v>
      </c>
      <c r="AD134" s="7">
        <v>3.8079999999999998</v>
      </c>
      <c r="AE134" s="7">
        <v>165</v>
      </c>
      <c r="AF134" s="7">
        <v>108.27500000000001</v>
      </c>
      <c r="AG134" s="7">
        <v>306.79000000000002</v>
      </c>
      <c r="AH134" s="7" t="s">
        <v>37</v>
      </c>
      <c r="AI134" s="7">
        <v>3.72</v>
      </c>
      <c r="AJ134" s="7">
        <v>42.923000000000002</v>
      </c>
      <c r="AK134" s="7">
        <v>0</v>
      </c>
      <c r="AL134" s="7">
        <v>54.755000000000003</v>
      </c>
      <c r="AM134" s="7">
        <v>156.821</v>
      </c>
      <c r="AN134" s="9">
        <v>2.3550500000000001E-10</v>
      </c>
      <c r="AO134" s="7" t="s">
        <v>37</v>
      </c>
      <c r="AP134" s="9">
        <v>9.8805999999999999E-6</v>
      </c>
      <c r="AQ134" s="7">
        <v>1</v>
      </c>
      <c r="AR134" s="7">
        <v>1</v>
      </c>
      <c r="AS134"/>
    </row>
    <row r="135" spans="1:45" ht="19.5" customHeight="1" x14ac:dyDescent="0.3">
      <c r="A135" s="7" t="s">
        <v>826</v>
      </c>
      <c r="B135" s="7" t="s">
        <v>2080</v>
      </c>
      <c r="C135" s="7">
        <v>30</v>
      </c>
      <c r="D135" s="7">
        <v>41934.108163622797</v>
      </c>
      <c r="E135" s="7">
        <v>982</v>
      </c>
      <c r="F135" s="7">
        <v>50.332867132867101</v>
      </c>
      <c r="G135" s="7" t="s">
        <v>827</v>
      </c>
      <c r="H135" s="7" t="s">
        <v>828</v>
      </c>
      <c r="I135" s="7" t="s">
        <v>829</v>
      </c>
      <c r="J135" s="8" t="s">
        <v>830</v>
      </c>
      <c r="K135" s="7" t="s">
        <v>831</v>
      </c>
      <c r="L135" s="7">
        <v>337.44</v>
      </c>
      <c r="M135" s="9">
        <v>100000</v>
      </c>
      <c r="N135" s="7" t="s">
        <v>37</v>
      </c>
      <c r="O135" s="7" t="s">
        <v>37</v>
      </c>
      <c r="P135" s="7" t="s">
        <v>37</v>
      </c>
      <c r="Q135" s="7" t="s">
        <v>37</v>
      </c>
      <c r="R135" s="7" t="s">
        <v>37</v>
      </c>
      <c r="S135" s="7" t="s">
        <v>37</v>
      </c>
      <c r="T135" s="7" t="s">
        <v>37</v>
      </c>
      <c r="U135" s="7">
        <v>521.45000000000005</v>
      </c>
      <c r="V135" s="7">
        <v>1.8380000000000001</v>
      </c>
      <c r="W135" s="7">
        <v>354.39699999999999</v>
      </c>
      <c r="X135" s="9">
        <v>1.0471285480509E-10</v>
      </c>
      <c r="Y135" s="7">
        <v>1.8080000000000001</v>
      </c>
      <c r="Z135" s="7">
        <v>4.16</v>
      </c>
      <c r="AA135" s="7">
        <v>-1.06</v>
      </c>
      <c r="AB135" s="7">
        <v>-0.65</v>
      </c>
      <c r="AC135" s="7">
        <v>9.39</v>
      </c>
      <c r="AD135" s="7">
        <v>-0.64</v>
      </c>
      <c r="AE135" s="7">
        <v>163.25</v>
      </c>
      <c r="AF135" s="7">
        <v>79.06</v>
      </c>
      <c r="AG135" s="7">
        <v>183.554</v>
      </c>
      <c r="AH135" s="7" t="s">
        <v>37</v>
      </c>
      <c r="AI135" s="7">
        <v>5.71</v>
      </c>
      <c r="AJ135" s="7">
        <v>31.341999999999999</v>
      </c>
      <c r="AK135" s="7">
        <v>0</v>
      </c>
      <c r="AL135" s="7">
        <v>97.307000000000002</v>
      </c>
      <c r="AM135" s="7" t="s">
        <v>37</v>
      </c>
      <c r="AN135" s="9">
        <v>9.3104357858143296E-10</v>
      </c>
      <c r="AO135" s="7" t="s">
        <v>37</v>
      </c>
      <c r="AP135" s="7">
        <v>2.7399999999999998E-3</v>
      </c>
      <c r="AQ135" s="7">
        <v>1</v>
      </c>
      <c r="AR135" s="7">
        <v>0</v>
      </c>
      <c r="AS135"/>
    </row>
    <row r="136" spans="1:45" ht="19.5" customHeight="1" x14ac:dyDescent="0.3">
      <c r="A136" s="7" t="s">
        <v>1309</v>
      </c>
      <c r="B136" s="7" t="s">
        <v>2080</v>
      </c>
      <c r="C136" s="7">
        <v>0.5</v>
      </c>
      <c r="D136" s="7">
        <v>8656.25</v>
      </c>
      <c r="E136" s="7">
        <v>48</v>
      </c>
      <c r="F136" s="7">
        <v>66.6666666666667</v>
      </c>
      <c r="G136" s="7" t="s">
        <v>1310</v>
      </c>
      <c r="H136" s="7" t="s">
        <v>1311</v>
      </c>
      <c r="I136" s="7" t="s">
        <v>1312</v>
      </c>
      <c r="J136" s="8" t="s">
        <v>1313</v>
      </c>
      <c r="K136" s="7" t="s">
        <v>1314</v>
      </c>
      <c r="L136" s="7">
        <v>384.25</v>
      </c>
      <c r="M136" s="7" t="s">
        <v>37</v>
      </c>
      <c r="N136" s="7" t="s">
        <v>37</v>
      </c>
      <c r="O136" s="7" t="s">
        <v>37</v>
      </c>
      <c r="P136" s="7" t="s">
        <v>37</v>
      </c>
      <c r="Q136" s="7" t="s">
        <v>37</v>
      </c>
      <c r="R136" s="7" t="s">
        <v>37</v>
      </c>
      <c r="S136" s="7" t="s">
        <v>37</v>
      </c>
      <c r="T136" s="7" t="s">
        <v>37</v>
      </c>
      <c r="U136" s="7">
        <v>471.5</v>
      </c>
      <c r="V136" s="7">
        <v>1.2905</v>
      </c>
      <c r="W136" s="7">
        <v>235.499</v>
      </c>
      <c r="X136" s="9">
        <v>2.8183829312644502E-7</v>
      </c>
      <c r="Y136" s="7">
        <v>1.55</v>
      </c>
      <c r="Z136" s="7">
        <v>12.08</v>
      </c>
      <c r="AA136" s="7">
        <v>3.73</v>
      </c>
      <c r="AB136" s="7">
        <v>3.92</v>
      </c>
      <c r="AC136" s="7">
        <v>10.210000000000001</v>
      </c>
      <c r="AD136" s="7">
        <v>3.86</v>
      </c>
      <c r="AE136" s="7">
        <v>144</v>
      </c>
      <c r="AF136" s="7">
        <v>95.781999999999996</v>
      </c>
      <c r="AG136" s="7">
        <v>300.84399999999999</v>
      </c>
      <c r="AH136" s="7" t="s">
        <v>37</v>
      </c>
      <c r="AI136" s="7">
        <v>5.25</v>
      </c>
      <c r="AJ136" s="7">
        <v>37.970999999999997</v>
      </c>
      <c r="AK136" s="7">
        <v>0</v>
      </c>
      <c r="AL136" s="7">
        <v>42.194000000000003</v>
      </c>
      <c r="AM136" s="7" t="s">
        <v>37</v>
      </c>
      <c r="AN136" s="9">
        <v>1.97697E-7</v>
      </c>
      <c r="AO136" s="7" t="s">
        <v>37</v>
      </c>
      <c r="AP136" s="9">
        <v>1.2899999999999999E-6</v>
      </c>
      <c r="AQ136" s="7">
        <v>1</v>
      </c>
      <c r="AR136" s="7">
        <v>1</v>
      </c>
      <c r="AS136"/>
    </row>
    <row r="137" spans="1:45" ht="19.5" customHeight="1" x14ac:dyDescent="0.3">
      <c r="A137" s="7" t="s">
        <v>516</v>
      </c>
      <c r="B137" s="7" t="s">
        <v>2080</v>
      </c>
      <c r="C137" s="7">
        <v>25</v>
      </c>
      <c r="D137" s="7">
        <v>150891.74604416901</v>
      </c>
      <c r="E137" s="7">
        <v>710</v>
      </c>
      <c r="F137" s="7">
        <v>61.721074380165298</v>
      </c>
      <c r="G137" s="7" t="s">
        <v>517</v>
      </c>
      <c r="H137" s="7" t="s">
        <v>518</v>
      </c>
      <c r="I137" s="7" t="s">
        <v>519</v>
      </c>
      <c r="J137" s="8" t="s">
        <v>520</v>
      </c>
      <c r="K137" s="7" t="s">
        <v>521</v>
      </c>
      <c r="L137" s="7">
        <v>360.83</v>
      </c>
      <c r="M137" s="7">
        <v>64985</v>
      </c>
      <c r="N137" s="7" t="s">
        <v>37</v>
      </c>
      <c r="O137" s="7">
        <v>169</v>
      </c>
      <c r="P137" s="7">
        <v>16.899999999999999</v>
      </c>
      <c r="Q137" s="7">
        <v>97.5</v>
      </c>
      <c r="R137" s="7">
        <v>3120</v>
      </c>
      <c r="S137" s="7">
        <v>1015.7569999999999</v>
      </c>
      <c r="T137" s="7">
        <v>2.5</v>
      </c>
      <c r="U137" s="7">
        <v>410.19400000000002</v>
      </c>
      <c r="V137" s="7">
        <v>1.1759999999999999</v>
      </c>
      <c r="W137" s="7">
        <v>180.02600000000001</v>
      </c>
      <c r="X137" s="9">
        <v>4.3651583224016703E-9</v>
      </c>
      <c r="Y137" s="7">
        <v>1.5469999999999999</v>
      </c>
      <c r="Z137" s="7">
        <v>21.9</v>
      </c>
      <c r="AA137" s="7">
        <v>4.9400000000000004</v>
      </c>
      <c r="AB137" s="7">
        <v>4.9400000000000004</v>
      </c>
      <c r="AC137" s="7">
        <v>10.46</v>
      </c>
      <c r="AD137" s="7">
        <v>4.9749999999999996</v>
      </c>
      <c r="AE137" s="7">
        <v>80.5</v>
      </c>
      <c r="AF137" s="7">
        <v>97.116</v>
      </c>
      <c r="AG137" s="7">
        <v>306.44900000000001</v>
      </c>
      <c r="AH137" s="7" t="s">
        <v>37</v>
      </c>
      <c r="AI137" s="7" t="s">
        <v>37</v>
      </c>
      <c r="AJ137" s="7">
        <v>38.5</v>
      </c>
      <c r="AK137" s="7">
        <v>0</v>
      </c>
      <c r="AL137" s="7">
        <v>40.981999999999999</v>
      </c>
      <c r="AM137" s="7" t="s">
        <v>37</v>
      </c>
      <c r="AN137" s="9">
        <v>8.7297099999999996E-8</v>
      </c>
      <c r="AO137" s="7">
        <v>15.6675</v>
      </c>
      <c r="AP137" s="9">
        <v>4.3939049999999999E-6</v>
      </c>
      <c r="AQ137" s="7">
        <v>1</v>
      </c>
      <c r="AR137" s="7">
        <v>1</v>
      </c>
      <c r="AS137"/>
    </row>
    <row r="138" spans="1:45" ht="19.5" customHeight="1" x14ac:dyDescent="0.3">
      <c r="A138" s="7" t="s">
        <v>456</v>
      </c>
      <c r="B138" s="7" t="s">
        <v>2080</v>
      </c>
      <c r="C138" s="7">
        <v>95</v>
      </c>
      <c r="D138" s="7">
        <v>208422.33667660601</v>
      </c>
      <c r="E138" s="7">
        <v>136</v>
      </c>
      <c r="F138" s="7">
        <v>42.5490196078431</v>
      </c>
      <c r="G138" s="7" t="s">
        <v>457</v>
      </c>
      <c r="H138" s="7" t="s">
        <v>458</v>
      </c>
      <c r="I138" s="7" t="s">
        <v>459</v>
      </c>
      <c r="J138" s="8" t="s">
        <v>460</v>
      </c>
      <c r="K138" s="7" t="s">
        <v>461</v>
      </c>
      <c r="L138" s="7">
        <v>501.66699999999901</v>
      </c>
      <c r="M138" s="7" t="s">
        <v>37</v>
      </c>
      <c r="N138" s="7" t="s">
        <v>37</v>
      </c>
      <c r="O138" s="7" t="s">
        <v>37</v>
      </c>
      <c r="P138" s="7" t="s">
        <v>37</v>
      </c>
      <c r="Q138" s="7" t="s">
        <v>37</v>
      </c>
      <c r="R138" s="7" t="s">
        <v>37</v>
      </c>
      <c r="S138" s="7" t="s">
        <v>37</v>
      </c>
      <c r="T138" s="7" t="s">
        <v>37</v>
      </c>
      <c r="U138" s="7">
        <v>514.69500000000005</v>
      </c>
      <c r="V138" s="7">
        <v>1.1875</v>
      </c>
      <c r="W138" s="7">
        <v>351.25349999999997</v>
      </c>
      <c r="X138" s="9">
        <v>2.4547089156850299E-8</v>
      </c>
      <c r="Y138" s="7">
        <v>1.597</v>
      </c>
      <c r="Z138" s="7">
        <v>23.69</v>
      </c>
      <c r="AA138" s="7">
        <v>1.23</v>
      </c>
      <c r="AB138" s="7">
        <v>3.11</v>
      </c>
      <c r="AC138" s="7">
        <v>9.4499999999999993</v>
      </c>
      <c r="AD138" s="7">
        <v>4.8040000000000003</v>
      </c>
      <c r="AE138" s="7">
        <v>142.5</v>
      </c>
      <c r="AF138" s="7">
        <v>145.86600000000001</v>
      </c>
      <c r="AG138" s="7">
        <v>428.12700000000001</v>
      </c>
      <c r="AH138" s="7">
        <v>4.17</v>
      </c>
      <c r="AI138" s="7">
        <v>8.7799999999999994</v>
      </c>
      <c r="AJ138" s="7">
        <v>57.826000000000001</v>
      </c>
      <c r="AK138" s="7">
        <v>0</v>
      </c>
      <c r="AL138" s="7">
        <v>52.43</v>
      </c>
      <c r="AM138" s="7" t="s">
        <v>37</v>
      </c>
      <c r="AN138" s="9">
        <v>1.45211E-11</v>
      </c>
      <c r="AO138" s="7" t="s">
        <v>37</v>
      </c>
      <c r="AP138" s="9">
        <v>1.37088E-5</v>
      </c>
      <c r="AQ138" s="7">
        <v>1</v>
      </c>
      <c r="AR138" s="7">
        <v>0</v>
      </c>
      <c r="AS138"/>
    </row>
    <row r="139" spans="1:45" ht="19.5" customHeight="1" x14ac:dyDescent="0.3">
      <c r="A139" s="7" t="s">
        <v>1428</v>
      </c>
      <c r="B139" s="7" t="s">
        <v>2080</v>
      </c>
      <c r="C139" s="7">
        <v>30</v>
      </c>
      <c r="D139" s="7">
        <v>4529.3100655240296</v>
      </c>
      <c r="E139" s="7">
        <v>784</v>
      </c>
      <c r="F139" s="7">
        <v>79.098865478119905</v>
      </c>
      <c r="G139" s="7" t="s">
        <v>1429</v>
      </c>
      <c r="H139" s="7" t="s">
        <v>1430</v>
      </c>
      <c r="I139" s="7" t="s">
        <v>1431</v>
      </c>
      <c r="J139" s="8" t="s">
        <v>1432</v>
      </c>
      <c r="K139" s="7" t="s">
        <v>1433</v>
      </c>
      <c r="L139" s="7">
        <v>372.553</v>
      </c>
      <c r="M139" s="7" t="s">
        <v>37</v>
      </c>
      <c r="N139" s="7" t="s">
        <v>37</v>
      </c>
      <c r="O139" s="7" t="s">
        <v>37</v>
      </c>
      <c r="P139" s="7" t="s">
        <v>37</v>
      </c>
      <c r="Q139" s="7" t="s">
        <v>37</v>
      </c>
      <c r="R139" s="7" t="s">
        <v>37</v>
      </c>
      <c r="S139" s="7">
        <v>18632.55</v>
      </c>
      <c r="T139" s="7">
        <v>1</v>
      </c>
      <c r="U139" s="7">
        <v>477.10899999999998</v>
      </c>
      <c r="V139" s="7">
        <v>1.0555000000000001</v>
      </c>
      <c r="W139" s="7">
        <v>220.38149999999999</v>
      </c>
      <c r="X139" s="9">
        <v>2.2387211385683398E-9</v>
      </c>
      <c r="Y139" s="7">
        <v>1.524</v>
      </c>
      <c r="Z139" s="7">
        <v>21.15</v>
      </c>
      <c r="AA139" s="7">
        <v>3.03</v>
      </c>
      <c r="AB139" s="7">
        <v>2.93</v>
      </c>
      <c r="AC139" s="7">
        <v>9.51</v>
      </c>
      <c r="AD139" s="7">
        <v>3.03</v>
      </c>
      <c r="AE139" s="7">
        <v>253</v>
      </c>
      <c r="AF139" s="7">
        <v>106.91</v>
      </c>
      <c r="AG139" s="7">
        <v>349.59399999999999</v>
      </c>
      <c r="AH139" s="7">
        <v>7.98</v>
      </c>
      <c r="AI139" s="7" t="s">
        <v>37</v>
      </c>
      <c r="AJ139" s="7">
        <v>42.381999999999998</v>
      </c>
      <c r="AK139" s="7">
        <v>0</v>
      </c>
      <c r="AL139" s="7">
        <v>37.752000000000002</v>
      </c>
      <c r="AM139" s="7" t="s">
        <v>37</v>
      </c>
      <c r="AN139" s="9">
        <v>1.2246200000000001E-9</v>
      </c>
      <c r="AO139" s="7" t="s">
        <v>37</v>
      </c>
      <c r="AP139" s="9">
        <v>4.6675650000000001E-5</v>
      </c>
      <c r="AQ139" s="7">
        <v>1</v>
      </c>
      <c r="AR139" s="7">
        <v>1</v>
      </c>
      <c r="AS139"/>
    </row>
    <row r="140" spans="1:45" ht="19.5" customHeight="1" x14ac:dyDescent="0.3">
      <c r="A140" s="7" t="s">
        <v>498</v>
      </c>
      <c r="B140" s="7" t="s">
        <v>2080</v>
      </c>
      <c r="C140" s="7">
        <v>35</v>
      </c>
      <c r="D140" s="7">
        <v>161580.17830698</v>
      </c>
      <c r="E140" s="7">
        <v>249</v>
      </c>
      <c r="F140" s="7">
        <v>54.657894736842103</v>
      </c>
      <c r="G140" s="7" t="s">
        <v>499</v>
      </c>
      <c r="H140" s="7" t="s">
        <v>500</v>
      </c>
      <c r="I140" s="7" t="s">
        <v>501</v>
      </c>
      <c r="J140" s="8" t="s">
        <v>502</v>
      </c>
      <c r="K140" s="7" t="s">
        <v>503</v>
      </c>
      <c r="L140" s="7">
        <v>414.34800000000001</v>
      </c>
      <c r="M140" s="7" t="s">
        <v>37</v>
      </c>
      <c r="N140" s="7" t="s">
        <v>37</v>
      </c>
      <c r="O140" s="7" t="s">
        <v>37</v>
      </c>
      <c r="P140" s="7" t="s">
        <v>37</v>
      </c>
      <c r="Q140" s="7" t="s">
        <v>37</v>
      </c>
      <c r="R140" s="7" t="s">
        <v>37</v>
      </c>
      <c r="S140" s="7" t="s">
        <v>37</v>
      </c>
      <c r="T140" s="7" t="s">
        <v>37</v>
      </c>
      <c r="U140" s="7">
        <v>417.64150000000001</v>
      </c>
      <c r="V140" s="7">
        <v>1.3520000000000001</v>
      </c>
      <c r="W140" s="7">
        <v>228.24299999999999</v>
      </c>
      <c r="X140" s="9">
        <v>8.5113803820237603E-9</v>
      </c>
      <c r="Y140" s="7">
        <v>1.458</v>
      </c>
      <c r="Z140" s="7">
        <v>23.51</v>
      </c>
      <c r="AA140" s="7">
        <v>1.08</v>
      </c>
      <c r="AB140" s="7">
        <v>2.92</v>
      </c>
      <c r="AC140" s="7">
        <v>9.16</v>
      </c>
      <c r="AD140" s="7">
        <v>3.78</v>
      </c>
      <c r="AE140" s="7">
        <v>146</v>
      </c>
      <c r="AF140" s="7">
        <v>87.831000000000003</v>
      </c>
      <c r="AG140" s="7">
        <v>322.09100000000001</v>
      </c>
      <c r="AH140" s="7">
        <v>7.87</v>
      </c>
      <c r="AI140" s="7">
        <v>8.52</v>
      </c>
      <c r="AJ140" s="7">
        <v>34.819000000000003</v>
      </c>
      <c r="AK140" s="7">
        <v>0</v>
      </c>
      <c r="AL140" s="7">
        <v>31.984999999999999</v>
      </c>
      <c r="AM140" s="7" t="s">
        <v>37</v>
      </c>
      <c r="AN140" s="9">
        <v>9.1100000000000002E-8</v>
      </c>
      <c r="AO140" s="7" t="s">
        <v>37</v>
      </c>
      <c r="AP140" s="7">
        <v>1.83318932385051E-4</v>
      </c>
      <c r="AQ140" s="7">
        <v>1</v>
      </c>
      <c r="AR140" s="7">
        <v>1</v>
      </c>
      <c r="AS140"/>
    </row>
    <row r="141" spans="1:45" ht="19.5" customHeight="1" x14ac:dyDescent="0.3">
      <c r="A141" s="7" t="s">
        <v>611</v>
      </c>
      <c r="B141" s="7" t="s">
        <v>2080</v>
      </c>
      <c r="C141" s="7">
        <v>80</v>
      </c>
      <c r="D141" s="7">
        <v>101529.19903886699</v>
      </c>
      <c r="E141" s="7">
        <v>264</v>
      </c>
      <c r="F141" s="7">
        <v>15.458760683760699</v>
      </c>
      <c r="G141" s="7" t="s">
        <v>612</v>
      </c>
      <c r="H141" s="7" t="s">
        <v>613</v>
      </c>
      <c r="I141" s="7" t="s">
        <v>614</v>
      </c>
      <c r="J141" s="8" t="s">
        <v>615</v>
      </c>
      <c r="K141" s="7" t="s">
        <v>616</v>
      </c>
      <c r="L141" s="7">
        <v>306.27699999999902</v>
      </c>
      <c r="M141" s="7">
        <v>593945</v>
      </c>
      <c r="N141" s="7" t="s">
        <v>37</v>
      </c>
      <c r="O141" s="7">
        <v>4910</v>
      </c>
      <c r="P141" s="7">
        <v>491</v>
      </c>
      <c r="Q141" s="7">
        <v>28713.25</v>
      </c>
      <c r="R141" s="7">
        <v>3061.375</v>
      </c>
      <c r="S141" s="7">
        <v>200</v>
      </c>
      <c r="T141" s="7">
        <v>20</v>
      </c>
      <c r="U141" s="7">
        <v>409.09399999999999</v>
      </c>
      <c r="V141" s="7">
        <v>1.468</v>
      </c>
      <c r="W141" s="7">
        <v>273.56400000000002</v>
      </c>
      <c r="X141" s="9">
        <v>7.5857757502918505E-9</v>
      </c>
      <c r="Y141" s="7">
        <v>1.663</v>
      </c>
      <c r="Z141" s="7">
        <v>5.6</v>
      </c>
      <c r="AA141" s="7">
        <v>0.5</v>
      </c>
      <c r="AB141" s="7">
        <v>0.5</v>
      </c>
      <c r="AC141" s="7">
        <v>10.050000000000001</v>
      </c>
      <c r="AD141" s="7">
        <v>0.5</v>
      </c>
      <c r="AE141" s="7">
        <v>139</v>
      </c>
      <c r="AF141" s="7">
        <v>76.063999999999993</v>
      </c>
      <c r="AG141" s="7">
        <v>205.26599999999999</v>
      </c>
      <c r="AH141" s="7" t="s">
        <v>37</v>
      </c>
      <c r="AI141" s="7">
        <v>2.12</v>
      </c>
      <c r="AJ141" s="7">
        <v>30.154</v>
      </c>
      <c r="AK141" s="7">
        <v>0</v>
      </c>
      <c r="AL141" s="7">
        <v>55.430999999999997</v>
      </c>
      <c r="AM141" s="7" t="s">
        <v>37</v>
      </c>
      <c r="AN141" s="9">
        <v>8.7096358995608005E-10</v>
      </c>
      <c r="AO141" s="7" t="s">
        <v>37</v>
      </c>
      <c r="AP141" s="7">
        <v>1.5800000000000002E-2</v>
      </c>
      <c r="AQ141" s="7">
        <v>0</v>
      </c>
      <c r="AR141" s="7">
        <v>0</v>
      </c>
      <c r="AS141"/>
    </row>
    <row r="142" spans="1:45" ht="19.5" customHeight="1" x14ac:dyDescent="0.3">
      <c r="A142" s="7" t="s">
        <v>1066</v>
      </c>
      <c r="B142" s="7" t="s">
        <v>2091</v>
      </c>
      <c r="C142" s="7">
        <v>67.5</v>
      </c>
      <c r="D142" s="7">
        <v>20833.333333333299</v>
      </c>
      <c r="E142" s="7">
        <v>15</v>
      </c>
      <c r="F142" s="7">
        <v>30</v>
      </c>
      <c r="G142" s="7" t="s">
        <v>1067</v>
      </c>
      <c r="H142" s="7" t="s">
        <v>1068</v>
      </c>
      <c r="I142" s="7" t="s">
        <v>1069</v>
      </c>
      <c r="J142" s="8" t="s">
        <v>1070</v>
      </c>
      <c r="K142" s="7" t="s">
        <v>1071</v>
      </c>
      <c r="L142" s="7">
        <v>434.50400000000002</v>
      </c>
      <c r="M142" s="7" t="s">
        <v>37</v>
      </c>
      <c r="N142" s="7" t="s">
        <v>37</v>
      </c>
      <c r="O142" s="7" t="s">
        <v>37</v>
      </c>
      <c r="P142" s="7" t="s">
        <v>37</v>
      </c>
      <c r="Q142" s="7" t="s">
        <v>37</v>
      </c>
      <c r="R142" s="7" t="s">
        <v>37</v>
      </c>
      <c r="S142" s="7" t="s">
        <v>37</v>
      </c>
      <c r="T142" s="7" t="s">
        <v>37</v>
      </c>
      <c r="U142" s="7">
        <v>480.28500000000003</v>
      </c>
      <c r="V142" s="7">
        <v>1.3334999999999999</v>
      </c>
      <c r="W142" s="7">
        <v>301.0505</v>
      </c>
      <c r="X142" s="9">
        <v>1.3182567385563999E-11</v>
      </c>
      <c r="Y142" s="7">
        <v>1.5860000000000001</v>
      </c>
      <c r="Z142" s="7">
        <v>15.09</v>
      </c>
      <c r="AA142" s="7">
        <v>2.5499999999999998</v>
      </c>
      <c r="AB142" s="7">
        <v>1.38</v>
      </c>
      <c r="AC142" s="7">
        <v>9.5</v>
      </c>
      <c r="AD142" s="7">
        <v>2.585</v>
      </c>
      <c r="AE142" s="7">
        <v>245</v>
      </c>
      <c r="AF142" s="7">
        <v>109.36</v>
      </c>
      <c r="AG142" s="7">
        <v>325.64100000000002</v>
      </c>
      <c r="AH142" s="7">
        <v>6.18</v>
      </c>
      <c r="AI142" s="7">
        <v>12.865</v>
      </c>
      <c r="AJ142" s="7">
        <v>43.353999999999999</v>
      </c>
      <c r="AK142" s="7">
        <v>0</v>
      </c>
      <c r="AL142" s="7">
        <v>53.965000000000003</v>
      </c>
      <c r="AM142" s="7" t="s">
        <v>37</v>
      </c>
      <c r="AN142" s="9">
        <v>1.6865499999999999E-11</v>
      </c>
      <c r="AO142" s="7" t="s">
        <v>37</v>
      </c>
      <c r="AP142" s="9">
        <v>4.8250056074129498E-5</v>
      </c>
      <c r="AQ142" s="7">
        <v>1</v>
      </c>
      <c r="AR142" s="7">
        <v>0</v>
      </c>
      <c r="AS142"/>
    </row>
    <row r="143" spans="1:45" ht="19.5" customHeight="1" x14ac:dyDescent="0.3">
      <c r="A143" s="7" t="s">
        <v>2159</v>
      </c>
      <c r="B143" s="7" t="s">
        <v>2083</v>
      </c>
      <c r="C143" s="7">
        <v>100</v>
      </c>
      <c r="D143" s="7">
        <v>111137.212460742</v>
      </c>
      <c r="E143" s="7">
        <v>102</v>
      </c>
      <c r="F143" s="7">
        <v>24.146341463414601</v>
      </c>
      <c r="G143" s="7" t="s">
        <v>2160</v>
      </c>
      <c r="H143" s="7" t="s">
        <v>2161</v>
      </c>
      <c r="I143" s="7" t="s">
        <v>2162</v>
      </c>
      <c r="J143" s="7" t="s">
        <v>2163</v>
      </c>
      <c r="K143" s="7" t="s">
        <v>2164</v>
      </c>
      <c r="L143" s="7">
        <v>494.53199999999902</v>
      </c>
      <c r="M143" s="7" t="s">
        <v>37</v>
      </c>
      <c r="N143" s="7" t="s">
        <v>37</v>
      </c>
      <c r="O143" s="7" t="s">
        <v>37</v>
      </c>
      <c r="P143" s="7" t="s">
        <v>37</v>
      </c>
      <c r="Q143" s="7" t="s">
        <v>37</v>
      </c>
      <c r="R143" s="7" t="s">
        <v>37</v>
      </c>
      <c r="S143" s="7" t="s">
        <v>37</v>
      </c>
      <c r="T143" s="7" t="s">
        <v>37</v>
      </c>
      <c r="U143" s="7">
        <v>434.4</v>
      </c>
      <c r="V143" s="7">
        <v>1.3480000000000001</v>
      </c>
      <c r="W143" s="7">
        <v>295.875</v>
      </c>
      <c r="X143" s="9">
        <v>1.20226443461741E-11</v>
      </c>
      <c r="Y143" s="7" t="s">
        <v>37</v>
      </c>
      <c r="Z143" s="7">
        <v>14.97</v>
      </c>
      <c r="AA143" s="7">
        <v>2.92</v>
      </c>
      <c r="AB143" s="7">
        <v>1.34</v>
      </c>
      <c r="AC143" s="7">
        <v>10.29</v>
      </c>
      <c r="AD143" s="7">
        <v>3.19</v>
      </c>
      <c r="AE143" s="7">
        <v>309</v>
      </c>
      <c r="AF143" s="7" t="s">
        <v>37</v>
      </c>
      <c r="AG143" s="7" t="s">
        <v>37</v>
      </c>
      <c r="AH143" s="7">
        <v>5.56</v>
      </c>
      <c r="AI143" s="7" t="s">
        <v>37</v>
      </c>
      <c r="AJ143" s="7" t="s">
        <v>37</v>
      </c>
      <c r="AK143" s="7">
        <v>0</v>
      </c>
      <c r="AL143" s="7" t="s">
        <v>37</v>
      </c>
      <c r="AM143" s="7" t="s">
        <v>37</v>
      </c>
      <c r="AN143" s="9">
        <v>5.4535300261880203E-10</v>
      </c>
      <c r="AO143" s="7" t="s">
        <v>37</v>
      </c>
      <c r="AP143" s="9">
        <v>1.6595869074375602E-5</v>
      </c>
      <c r="AQ143" s="7">
        <v>1</v>
      </c>
      <c r="AR143" s="7">
        <v>1</v>
      </c>
      <c r="AS143"/>
    </row>
    <row r="144" spans="1:45" ht="19.5" customHeight="1" x14ac:dyDescent="0.3">
      <c r="A144" s="7" t="s">
        <v>2165</v>
      </c>
      <c r="B144" s="7" t="s">
        <v>2083</v>
      </c>
      <c r="C144" s="7">
        <v>100</v>
      </c>
      <c r="D144" s="7">
        <v>8626741.6926344205</v>
      </c>
      <c r="E144" s="7">
        <v>85</v>
      </c>
      <c r="F144" s="7">
        <v>24.513513513513502</v>
      </c>
      <c r="G144" s="7" t="s">
        <v>2166</v>
      </c>
      <c r="H144" s="7" t="s">
        <v>2167</v>
      </c>
      <c r="I144" s="7" t="s">
        <v>2168</v>
      </c>
      <c r="J144" s="7" t="s">
        <v>2169</v>
      </c>
      <c r="K144" s="7" t="s">
        <v>2170</v>
      </c>
      <c r="L144" s="7">
        <v>130.078</v>
      </c>
      <c r="M144" s="7" t="s">
        <v>37</v>
      </c>
      <c r="N144" s="7" t="s">
        <v>37</v>
      </c>
      <c r="O144" s="7" t="s">
        <v>37</v>
      </c>
      <c r="P144" s="7" t="s">
        <v>37</v>
      </c>
      <c r="Q144" s="7" t="s">
        <v>37</v>
      </c>
      <c r="R144" s="7" t="s">
        <v>37</v>
      </c>
      <c r="S144" s="7">
        <v>100</v>
      </c>
      <c r="T144" s="7">
        <v>1</v>
      </c>
      <c r="U144" s="7">
        <v>264.83100000000002</v>
      </c>
      <c r="V144" s="7">
        <v>1.4690000000000001</v>
      </c>
      <c r="W144" s="7">
        <v>108.352</v>
      </c>
      <c r="X144" s="9">
        <v>1.5135612484362099E-8</v>
      </c>
      <c r="Y144" s="7" t="s">
        <v>37</v>
      </c>
      <c r="Z144" s="7">
        <v>0</v>
      </c>
      <c r="AA144" s="7">
        <v>-0.9</v>
      </c>
      <c r="AB144" s="7">
        <v>-1.23</v>
      </c>
      <c r="AC144" s="7">
        <v>7.06</v>
      </c>
      <c r="AD144" s="7">
        <v>-0.89</v>
      </c>
      <c r="AE144" s="7">
        <v>282</v>
      </c>
      <c r="AF144" s="7" t="s">
        <v>37</v>
      </c>
      <c r="AG144" s="7" t="s">
        <v>37</v>
      </c>
      <c r="AH144" s="7">
        <v>7.33</v>
      </c>
      <c r="AI144" s="7" t="s">
        <v>37</v>
      </c>
      <c r="AJ144" s="7" t="s">
        <v>37</v>
      </c>
      <c r="AK144" s="7">
        <v>1</v>
      </c>
      <c r="AL144" s="7" t="s">
        <v>37</v>
      </c>
      <c r="AM144" s="7" t="s">
        <v>37</v>
      </c>
      <c r="AN144" s="7">
        <v>4.5476596906687301E-4</v>
      </c>
      <c r="AO144" s="7" t="s">
        <v>37</v>
      </c>
      <c r="AP144" s="7">
        <v>8.9314850000000001E-2</v>
      </c>
      <c r="AQ144" s="7">
        <v>1</v>
      </c>
      <c r="AR144" s="7">
        <v>1</v>
      </c>
      <c r="AS144"/>
    </row>
    <row r="145" spans="1:45" ht="19.5" customHeight="1" x14ac:dyDescent="0.3">
      <c r="A145" s="7" t="s">
        <v>945</v>
      </c>
      <c r="B145" s="7" t="s">
        <v>2080</v>
      </c>
      <c r="C145" s="7">
        <v>30</v>
      </c>
      <c r="D145" s="7">
        <v>31288.0486452035</v>
      </c>
      <c r="E145" s="7">
        <v>2026</v>
      </c>
      <c r="F145" s="7">
        <v>48.052884615384599</v>
      </c>
      <c r="G145" s="7" t="s">
        <v>946</v>
      </c>
      <c r="H145" s="7" t="s">
        <v>947</v>
      </c>
      <c r="I145" s="7" t="s">
        <v>948</v>
      </c>
      <c r="J145" s="8" t="s">
        <v>949</v>
      </c>
      <c r="K145" s="7" t="s">
        <v>950</v>
      </c>
      <c r="L145" s="7">
        <v>309.33199999999903</v>
      </c>
      <c r="M145" s="7">
        <v>510</v>
      </c>
      <c r="N145" s="7">
        <v>36000</v>
      </c>
      <c r="O145" s="7">
        <v>250.55799999999999</v>
      </c>
      <c r="P145" s="7">
        <v>25.055800000000001</v>
      </c>
      <c r="Q145" s="7">
        <v>89</v>
      </c>
      <c r="R145" s="7">
        <v>72</v>
      </c>
      <c r="S145" s="7">
        <v>54</v>
      </c>
      <c r="T145" s="9">
        <v>9.9999999999999995E-7</v>
      </c>
      <c r="U145" s="7">
        <v>345.26749999999998</v>
      </c>
      <c r="V145" s="7">
        <v>1.19</v>
      </c>
      <c r="W145" s="7">
        <v>186.02</v>
      </c>
      <c r="X145" s="9">
        <v>3.09029543251359E-8</v>
      </c>
      <c r="Y145" s="7">
        <v>1.5109999999999999</v>
      </c>
      <c r="Z145" s="7">
        <v>18.21</v>
      </c>
      <c r="AA145" s="7">
        <v>-2.99</v>
      </c>
      <c r="AB145" s="7">
        <v>-1.0900000000000001</v>
      </c>
      <c r="AC145" s="7">
        <v>9.7899999999999991</v>
      </c>
      <c r="AD145" s="7">
        <v>4.05</v>
      </c>
      <c r="AE145" s="7">
        <v>180.5</v>
      </c>
      <c r="AF145" s="7">
        <v>79.894999999999996</v>
      </c>
      <c r="AG145" s="7">
        <v>266.733</v>
      </c>
      <c r="AH145" s="7" t="s">
        <v>37</v>
      </c>
      <c r="AI145" s="7">
        <v>12.54</v>
      </c>
      <c r="AJ145" s="7">
        <v>31.672999999999998</v>
      </c>
      <c r="AK145" s="7">
        <v>0</v>
      </c>
      <c r="AL145" s="7">
        <v>32.994</v>
      </c>
      <c r="AM145" s="7" t="s">
        <v>37</v>
      </c>
      <c r="AN145" s="9">
        <v>1.42561E-6</v>
      </c>
      <c r="AO145" s="7" t="s">
        <v>37</v>
      </c>
      <c r="AP145" s="7">
        <v>1.95E-4</v>
      </c>
      <c r="AQ145" s="7">
        <v>1</v>
      </c>
      <c r="AR145" s="7">
        <v>0</v>
      </c>
      <c r="AS145"/>
    </row>
    <row r="146" spans="1:45" ht="19.5" customHeight="1" x14ac:dyDescent="0.3">
      <c r="A146" s="7" t="s">
        <v>462</v>
      </c>
      <c r="B146" s="7" t="s">
        <v>2080</v>
      </c>
      <c r="C146" s="7">
        <v>3</v>
      </c>
      <c r="D146" s="7">
        <v>207142.85714285701</v>
      </c>
      <c r="E146" s="7">
        <v>14</v>
      </c>
      <c r="F146" s="7">
        <v>30</v>
      </c>
      <c r="G146" s="7" t="s">
        <v>463</v>
      </c>
      <c r="H146" s="7" t="s">
        <v>464</v>
      </c>
      <c r="I146" s="7" t="s">
        <v>465</v>
      </c>
      <c r="J146" s="8" t="s">
        <v>466</v>
      </c>
      <c r="K146" s="7" t="s">
        <v>467</v>
      </c>
      <c r="L146" s="7">
        <v>244.26499999999899</v>
      </c>
      <c r="M146" s="7" t="s">
        <v>37</v>
      </c>
      <c r="N146" s="7" t="s">
        <v>37</v>
      </c>
      <c r="O146" s="7" t="s">
        <v>37</v>
      </c>
      <c r="P146" s="7" t="s">
        <v>37</v>
      </c>
      <c r="Q146" s="7" t="s">
        <v>37</v>
      </c>
      <c r="R146" s="7" t="s">
        <v>37</v>
      </c>
      <c r="S146" s="7" t="s">
        <v>37</v>
      </c>
      <c r="T146" s="7" t="s">
        <v>37</v>
      </c>
      <c r="U146" s="7">
        <v>363.964</v>
      </c>
      <c r="V146" s="7">
        <v>1.1975</v>
      </c>
      <c r="W146" s="7">
        <v>197.55600000000001</v>
      </c>
      <c r="X146" s="9">
        <v>9.5499258602143702E-10</v>
      </c>
      <c r="Y146" s="7">
        <v>1.5680000000000001</v>
      </c>
      <c r="Z146" s="7">
        <v>12.31</v>
      </c>
      <c r="AA146" s="7">
        <v>2.4900000000000002</v>
      </c>
      <c r="AB146" s="7">
        <v>0.6</v>
      </c>
      <c r="AC146" s="7">
        <v>9.81</v>
      </c>
      <c r="AD146" s="7">
        <v>4.16</v>
      </c>
      <c r="AE146" s="7">
        <v>111</v>
      </c>
      <c r="AF146" s="7">
        <v>66.587999999999994</v>
      </c>
      <c r="AG146" s="7">
        <v>203.626</v>
      </c>
      <c r="AH146" s="7">
        <v>4.22</v>
      </c>
      <c r="AI146" s="7" t="s">
        <v>37</v>
      </c>
      <c r="AJ146" s="7">
        <v>26.398</v>
      </c>
      <c r="AK146" s="7">
        <v>0</v>
      </c>
      <c r="AL146" s="7">
        <v>44.052</v>
      </c>
      <c r="AM146" s="7">
        <v>130.06800000000001</v>
      </c>
      <c r="AN146" s="9">
        <v>2.5000000000000002E-6</v>
      </c>
      <c r="AO146" s="7" t="s">
        <v>37</v>
      </c>
      <c r="AP146" s="9">
        <v>5.1774599999999997E-5</v>
      </c>
      <c r="AQ146" s="7">
        <v>0</v>
      </c>
      <c r="AR146" s="7">
        <v>0</v>
      </c>
      <c r="AS146"/>
    </row>
    <row r="147" spans="1:45" ht="19.5" customHeight="1" x14ac:dyDescent="0.3">
      <c r="A147" s="7" t="s">
        <v>1647</v>
      </c>
      <c r="B147" s="7" t="s">
        <v>2089</v>
      </c>
      <c r="C147" s="7">
        <v>95</v>
      </c>
      <c r="D147" s="7">
        <v>80.239969792090406</v>
      </c>
      <c r="E147" s="7">
        <v>696</v>
      </c>
      <c r="F147" s="7">
        <v>43.0063969781894</v>
      </c>
      <c r="G147" s="7" t="s">
        <v>1648</v>
      </c>
      <c r="H147" s="7" t="s">
        <v>1649</v>
      </c>
      <c r="I147" s="7" t="s">
        <v>1650</v>
      </c>
      <c r="J147" s="8" t="s">
        <v>1651</v>
      </c>
      <c r="K147" s="7" t="s">
        <v>1652</v>
      </c>
      <c r="L147" s="7">
        <v>444.51</v>
      </c>
      <c r="M147" s="7" t="s">
        <v>37</v>
      </c>
      <c r="N147" s="7" t="s">
        <v>37</v>
      </c>
      <c r="O147" s="7" t="s">
        <v>37</v>
      </c>
      <c r="P147" s="7" t="s">
        <v>37</v>
      </c>
      <c r="Q147" s="7" t="s">
        <v>37</v>
      </c>
      <c r="R147" s="7" t="s">
        <v>37</v>
      </c>
      <c r="S147" s="7" t="s">
        <v>37</v>
      </c>
      <c r="T147" s="7" t="s">
        <v>37</v>
      </c>
      <c r="U147" s="7">
        <v>482.61599999999999</v>
      </c>
      <c r="V147" s="7">
        <v>1.3754999999999999</v>
      </c>
      <c r="W147" s="7">
        <v>302.44749999999999</v>
      </c>
      <c r="X147" s="9">
        <v>9.7723722095581107E-12</v>
      </c>
      <c r="Y147" s="7">
        <v>1.5760000000000001</v>
      </c>
      <c r="Z147" s="7">
        <v>15.48</v>
      </c>
      <c r="AA147" s="7">
        <v>2.41</v>
      </c>
      <c r="AB147" s="7">
        <v>2.41</v>
      </c>
      <c r="AC147" s="7">
        <v>9.4700000000000006</v>
      </c>
      <c r="AD147" s="7">
        <v>2.476</v>
      </c>
      <c r="AE147" s="7">
        <v>211.15549999999999</v>
      </c>
      <c r="AF147" s="7">
        <v>106.934</v>
      </c>
      <c r="AG147" s="7">
        <v>323.161</v>
      </c>
      <c r="AH147" s="7" t="s">
        <v>37</v>
      </c>
      <c r="AI147" s="7">
        <v>1.28</v>
      </c>
      <c r="AJ147" s="7">
        <v>42.392000000000003</v>
      </c>
      <c r="AK147" s="7">
        <v>0</v>
      </c>
      <c r="AL147" s="7">
        <v>51.094999999999999</v>
      </c>
      <c r="AM147" s="7" t="s">
        <v>37</v>
      </c>
      <c r="AN147" s="9">
        <v>1.3182567385564E-9</v>
      </c>
      <c r="AO147" s="7" t="s">
        <v>37</v>
      </c>
      <c r="AP147" s="9">
        <v>1.1E-5</v>
      </c>
      <c r="AQ147" s="7">
        <v>1</v>
      </c>
      <c r="AR147" s="7">
        <v>0</v>
      </c>
      <c r="AS147"/>
    </row>
    <row r="148" spans="1:45" ht="19.5" customHeight="1" x14ac:dyDescent="0.3">
      <c r="A148" s="7" t="s">
        <v>1647</v>
      </c>
      <c r="B148" s="7" t="s">
        <v>2091</v>
      </c>
      <c r="C148" s="7">
        <v>30</v>
      </c>
      <c r="D148" s="7">
        <v>386.45607093070203</v>
      </c>
      <c r="E148" s="7">
        <v>1821</v>
      </c>
      <c r="F148" s="7">
        <v>44.829102170787202</v>
      </c>
      <c r="G148" s="7" t="s">
        <v>1648</v>
      </c>
      <c r="H148" s="7" t="s">
        <v>1649</v>
      </c>
      <c r="I148" s="7" t="s">
        <v>1650</v>
      </c>
      <c r="J148" s="8" t="s">
        <v>1651</v>
      </c>
      <c r="K148" s="7" t="s">
        <v>1652</v>
      </c>
      <c r="L148" s="7">
        <v>444.51</v>
      </c>
      <c r="M148" s="7" t="s">
        <v>37</v>
      </c>
      <c r="N148" s="7" t="s">
        <v>37</v>
      </c>
      <c r="O148" s="7" t="s">
        <v>37</v>
      </c>
      <c r="P148" s="7" t="s">
        <v>37</v>
      </c>
      <c r="Q148" s="7" t="s">
        <v>37</v>
      </c>
      <c r="R148" s="7" t="s">
        <v>37</v>
      </c>
      <c r="S148" s="7" t="s">
        <v>37</v>
      </c>
      <c r="T148" s="7" t="s">
        <v>37</v>
      </c>
      <c r="U148" s="7">
        <v>482.61599999999999</v>
      </c>
      <c r="V148" s="7">
        <v>1.3754999999999999</v>
      </c>
      <c r="W148" s="7">
        <v>302.44749999999999</v>
      </c>
      <c r="X148" s="9">
        <v>9.7723722095581107E-12</v>
      </c>
      <c r="Y148" s="7">
        <v>1.5760000000000001</v>
      </c>
      <c r="Z148" s="7">
        <v>15.48</v>
      </c>
      <c r="AA148" s="7">
        <v>2.41</v>
      </c>
      <c r="AB148" s="7">
        <v>2.41</v>
      </c>
      <c r="AC148" s="7">
        <v>9.4700000000000006</v>
      </c>
      <c r="AD148" s="7">
        <v>2.476</v>
      </c>
      <c r="AE148" s="7">
        <v>211.15549999999999</v>
      </c>
      <c r="AF148" s="7">
        <v>106.934</v>
      </c>
      <c r="AG148" s="7">
        <v>323.161</v>
      </c>
      <c r="AH148" s="7" t="s">
        <v>37</v>
      </c>
      <c r="AI148" s="7">
        <v>1.28</v>
      </c>
      <c r="AJ148" s="7">
        <v>42.392000000000003</v>
      </c>
      <c r="AK148" s="7">
        <v>0</v>
      </c>
      <c r="AL148" s="7">
        <v>51.094999999999999</v>
      </c>
      <c r="AM148" s="7" t="s">
        <v>37</v>
      </c>
      <c r="AN148" s="9">
        <v>1.3182567385564E-9</v>
      </c>
      <c r="AO148" s="7" t="s">
        <v>37</v>
      </c>
      <c r="AP148" s="9">
        <v>1.1E-5</v>
      </c>
      <c r="AQ148" s="7">
        <v>1</v>
      </c>
      <c r="AR148" s="7">
        <v>0</v>
      </c>
      <c r="AS148"/>
    </row>
    <row r="149" spans="1:45" ht="19.5" customHeight="1" x14ac:dyDescent="0.3">
      <c r="A149" s="7" t="s">
        <v>1605</v>
      </c>
      <c r="B149" s="7" t="s">
        <v>2089</v>
      </c>
      <c r="C149" s="7">
        <v>100</v>
      </c>
      <c r="D149" s="7">
        <v>919.22400000000005</v>
      </c>
      <c r="E149" s="7">
        <v>5</v>
      </c>
      <c r="F149" s="7">
        <v>30</v>
      </c>
      <c r="G149" s="7" t="s">
        <v>1606</v>
      </c>
      <c r="H149" s="7" t="s">
        <v>1607</v>
      </c>
      <c r="I149" s="7" t="s">
        <v>1608</v>
      </c>
      <c r="J149" s="8" t="s">
        <v>1609</v>
      </c>
      <c r="K149" s="7" t="s">
        <v>1610</v>
      </c>
      <c r="L149" s="7">
        <v>344.411</v>
      </c>
      <c r="M149" s="7" t="s">
        <v>37</v>
      </c>
      <c r="N149" s="7" t="s">
        <v>37</v>
      </c>
      <c r="O149" s="7" t="s">
        <v>37</v>
      </c>
      <c r="P149" s="7" t="s">
        <v>37</v>
      </c>
      <c r="Q149" s="7" t="s">
        <v>37</v>
      </c>
      <c r="R149" s="7" t="s">
        <v>37</v>
      </c>
      <c r="S149" s="7" t="s">
        <v>37</v>
      </c>
      <c r="T149" s="7" t="s">
        <v>37</v>
      </c>
      <c r="U149" s="7">
        <v>524.471</v>
      </c>
      <c r="V149" s="7">
        <v>1.2324999999999999</v>
      </c>
      <c r="W149" s="7">
        <v>312.18650000000002</v>
      </c>
      <c r="X149" s="9">
        <v>1.5488166189124799E-11</v>
      </c>
      <c r="Y149" s="7">
        <v>1.617</v>
      </c>
      <c r="Z149" s="7">
        <v>13.57</v>
      </c>
      <c r="AA149" s="7">
        <v>-2.38</v>
      </c>
      <c r="AB149" s="7">
        <v>-0.53</v>
      </c>
      <c r="AC149" s="7">
        <v>9.42</v>
      </c>
      <c r="AD149" s="7">
        <v>0.4</v>
      </c>
      <c r="AE149" s="7">
        <v>174</v>
      </c>
      <c r="AF149" s="7">
        <v>97.635999999999996</v>
      </c>
      <c r="AG149" s="7">
        <v>279.12599999999998</v>
      </c>
      <c r="AH149" s="7" t="s">
        <v>37</v>
      </c>
      <c r="AI149" s="7">
        <v>8.2799999999999994</v>
      </c>
      <c r="AJ149" s="7">
        <v>38.706000000000003</v>
      </c>
      <c r="AK149" s="7">
        <v>0</v>
      </c>
      <c r="AL149" s="7">
        <v>53.686999999999998</v>
      </c>
      <c r="AM149" s="7" t="s">
        <v>37</v>
      </c>
      <c r="AN149" s="9">
        <v>2.1978600000000001E-11</v>
      </c>
      <c r="AO149" s="7">
        <v>90.991299999999995</v>
      </c>
      <c r="AP149" s="7">
        <v>1.0324080000000001E-3</v>
      </c>
      <c r="AQ149" s="7">
        <v>1</v>
      </c>
      <c r="AR149" s="7">
        <v>0</v>
      </c>
      <c r="AS149"/>
    </row>
    <row r="150" spans="1:45" ht="19.5" customHeight="1" x14ac:dyDescent="0.3">
      <c r="A150" s="7" t="s">
        <v>832</v>
      </c>
      <c r="B150" s="7" t="s">
        <v>2080</v>
      </c>
      <c r="C150" s="7">
        <v>100</v>
      </c>
      <c r="D150" s="7">
        <v>41542.085058921999</v>
      </c>
      <c r="E150" s="7">
        <v>2830</v>
      </c>
      <c r="F150" s="7">
        <v>60.769654481722597</v>
      </c>
      <c r="G150" s="7" t="s">
        <v>833</v>
      </c>
      <c r="H150" s="7" t="s">
        <v>834</v>
      </c>
      <c r="I150" s="7" t="s">
        <v>835</v>
      </c>
      <c r="J150" s="8" t="s">
        <v>836</v>
      </c>
      <c r="K150" s="7" t="s">
        <v>837</v>
      </c>
      <c r="L150" s="7">
        <v>330.74</v>
      </c>
      <c r="M150" s="7" t="s">
        <v>37</v>
      </c>
      <c r="N150" s="7" t="s">
        <v>37</v>
      </c>
      <c r="O150" s="7" t="s">
        <v>37</v>
      </c>
      <c r="P150" s="7" t="s">
        <v>37</v>
      </c>
      <c r="Q150" s="7">
        <v>10000</v>
      </c>
      <c r="R150" s="7">
        <v>10</v>
      </c>
      <c r="S150" s="7">
        <v>165.67704000000001</v>
      </c>
      <c r="T150" s="7">
        <v>6.1108000000000003E-2</v>
      </c>
      <c r="U150" s="7">
        <v>497.89</v>
      </c>
      <c r="V150" s="7">
        <v>1.5834999999999999</v>
      </c>
      <c r="W150" s="7">
        <v>299.84449999999998</v>
      </c>
      <c r="X150" s="9">
        <v>2.5118864315095799E-10</v>
      </c>
      <c r="Y150" s="7">
        <v>1.6579999999999999</v>
      </c>
      <c r="Z150" s="7">
        <v>1.77</v>
      </c>
      <c r="AA150" s="7">
        <v>0.24</v>
      </c>
      <c r="AB150" s="7">
        <v>-1.65</v>
      </c>
      <c r="AC150" s="7">
        <v>9.24</v>
      </c>
      <c r="AD150" s="7">
        <v>2.0299999999999998</v>
      </c>
      <c r="AE150" s="7">
        <v>205</v>
      </c>
      <c r="AF150" s="7">
        <v>75.766999999999996</v>
      </c>
      <c r="AG150" s="7">
        <v>205.81399999999999</v>
      </c>
      <c r="AH150" s="7">
        <v>7.04</v>
      </c>
      <c r="AI150" s="7" t="s">
        <v>37</v>
      </c>
      <c r="AJ150" s="7">
        <v>30.036000000000001</v>
      </c>
      <c r="AK150" s="7">
        <v>0</v>
      </c>
      <c r="AL150" s="7">
        <v>75.271000000000001</v>
      </c>
      <c r="AM150" s="7" t="s">
        <v>37</v>
      </c>
      <c r="AN150" s="9">
        <v>6.25173E-11</v>
      </c>
      <c r="AO150" s="7" t="s">
        <v>37</v>
      </c>
      <c r="AP150" s="7">
        <v>2.1877600000000001E-4</v>
      </c>
      <c r="AQ150" s="7">
        <v>1</v>
      </c>
      <c r="AR150" s="7">
        <v>0</v>
      </c>
      <c r="AS150"/>
    </row>
    <row r="151" spans="1:45" ht="19.5" customHeight="1" x14ac:dyDescent="0.3">
      <c r="A151" s="7" t="s">
        <v>188</v>
      </c>
      <c r="B151" s="7" t="s">
        <v>2080</v>
      </c>
      <c r="C151" s="7">
        <v>99</v>
      </c>
      <c r="D151" s="7">
        <v>1099485.74344424</v>
      </c>
      <c r="E151" s="7">
        <v>5041</v>
      </c>
      <c r="F151" s="7">
        <v>45.728567589357702</v>
      </c>
      <c r="G151" s="7" t="s">
        <v>189</v>
      </c>
      <c r="H151" s="7" t="s">
        <v>190</v>
      </c>
      <c r="I151" s="7" t="s">
        <v>191</v>
      </c>
      <c r="J151" s="8" t="s">
        <v>192</v>
      </c>
      <c r="K151" s="7" t="s">
        <v>193</v>
      </c>
      <c r="L151" s="7">
        <v>171.24</v>
      </c>
      <c r="M151" s="7" t="s">
        <v>37</v>
      </c>
      <c r="N151" s="7" t="s">
        <v>37</v>
      </c>
      <c r="O151" s="7" t="s">
        <v>37</v>
      </c>
      <c r="P151" s="7" t="s">
        <v>37</v>
      </c>
      <c r="Q151" s="7" t="s">
        <v>37</v>
      </c>
      <c r="R151" s="7" t="s">
        <v>37</v>
      </c>
      <c r="S151" s="7">
        <v>8561980</v>
      </c>
      <c r="T151" s="7">
        <v>856198</v>
      </c>
      <c r="U151" s="7">
        <v>295.21899999999999</v>
      </c>
      <c r="V151" s="7">
        <v>1.0780000000000001</v>
      </c>
      <c r="W151" s="7">
        <v>144.32749999999999</v>
      </c>
      <c r="X151" s="9">
        <v>3.0199517204020201E-8</v>
      </c>
      <c r="Y151" s="7">
        <v>1.4890000000000001</v>
      </c>
      <c r="Z151" s="7">
        <v>4.5599999999999996</v>
      </c>
      <c r="AA151" s="7">
        <v>-2.69</v>
      </c>
      <c r="AB151" s="7">
        <v>-4.58</v>
      </c>
      <c r="AC151" s="7">
        <v>7.92</v>
      </c>
      <c r="AD151" s="7">
        <v>-1.1000000000000001</v>
      </c>
      <c r="AE151" s="7">
        <v>163</v>
      </c>
      <c r="AF151" s="7">
        <v>46.695999999999998</v>
      </c>
      <c r="AG151" s="7">
        <v>161.82499999999999</v>
      </c>
      <c r="AH151" s="7">
        <v>3.92</v>
      </c>
      <c r="AI151" s="7" t="s">
        <v>37</v>
      </c>
      <c r="AJ151" s="7">
        <v>18.512</v>
      </c>
      <c r="AK151" s="7">
        <v>1</v>
      </c>
      <c r="AL151" s="7">
        <v>47.09</v>
      </c>
      <c r="AM151" s="7">
        <v>173.06800000000001</v>
      </c>
      <c r="AN151" s="7">
        <v>3.68978E-4</v>
      </c>
      <c r="AO151" s="7">
        <v>22.961500000000001</v>
      </c>
      <c r="AP151" s="7">
        <v>5.7113150000000001E-2</v>
      </c>
      <c r="AQ151" s="7">
        <v>1</v>
      </c>
      <c r="AR151" s="7">
        <v>0</v>
      </c>
      <c r="AS151"/>
    </row>
    <row r="152" spans="1:45" ht="19.5" customHeight="1" x14ac:dyDescent="0.3">
      <c r="A152" s="7" t="s">
        <v>176</v>
      </c>
      <c r="B152" s="7" t="s">
        <v>2080</v>
      </c>
      <c r="C152" s="7">
        <v>8</v>
      </c>
      <c r="D152" s="7">
        <v>1133637.21236751</v>
      </c>
      <c r="E152" s="7">
        <v>262</v>
      </c>
      <c r="F152" s="7">
        <v>57.9166666666667</v>
      </c>
      <c r="G152" s="7" t="s">
        <v>177</v>
      </c>
      <c r="H152" s="7" t="s">
        <v>178</v>
      </c>
      <c r="I152" s="7" t="s">
        <v>179</v>
      </c>
      <c r="J152" s="8" t="s">
        <v>180</v>
      </c>
      <c r="K152" s="7" t="s">
        <v>181</v>
      </c>
      <c r="L152" s="7">
        <v>250.337999999999</v>
      </c>
      <c r="M152" s="7">
        <v>74000</v>
      </c>
      <c r="N152" s="7">
        <v>58000</v>
      </c>
      <c r="O152" s="7">
        <v>17675</v>
      </c>
      <c r="P152" s="7">
        <v>85.114900000000006</v>
      </c>
      <c r="Q152" s="7">
        <v>156</v>
      </c>
      <c r="R152" s="7">
        <v>7815</v>
      </c>
      <c r="S152" s="7">
        <v>1779</v>
      </c>
      <c r="T152" s="7">
        <v>3.7999999999999999E-2</v>
      </c>
      <c r="U152" s="7">
        <v>355.786</v>
      </c>
      <c r="V152" s="7">
        <v>1.0349999999999999</v>
      </c>
      <c r="W152" s="7">
        <v>162.08199999999999</v>
      </c>
      <c r="X152" s="9">
        <v>5.7543993733715702E-9</v>
      </c>
      <c r="Y152" s="7">
        <v>1.512</v>
      </c>
      <c r="Z152" s="7">
        <v>9.4</v>
      </c>
      <c r="AA152" s="7">
        <v>4.01</v>
      </c>
      <c r="AB152" s="7">
        <v>2.3199999999999998</v>
      </c>
      <c r="AC152" s="7">
        <v>9.6</v>
      </c>
      <c r="AD152" s="7">
        <v>4.4085000000000001</v>
      </c>
      <c r="AE152" s="7">
        <v>62</v>
      </c>
      <c r="AF152" s="7">
        <v>71.909000000000006</v>
      </c>
      <c r="AG152" s="7">
        <v>239.7</v>
      </c>
      <c r="AH152" s="7">
        <v>5.29</v>
      </c>
      <c r="AI152" s="7" t="s">
        <v>37</v>
      </c>
      <c r="AJ152" s="7">
        <v>28.507000000000001</v>
      </c>
      <c r="AK152" s="7">
        <v>0</v>
      </c>
      <c r="AL152" s="7">
        <v>37.883000000000003</v>
      </c>
      <c r="AM152" s="7">
        <v>135.40100000000001</v>
      </c>
      <c r="AN152" s="9">
        <v>1.72187E-6</v>
      </c>
      <c r="AO152" s="7">
        <v>26.181799999999999</v>
      </c>
      <c r="AP152" s="7">
        <v>1.5700984578425199E-4</v>
      </c>
      <c r="AQ152" s="7">
        <v>1</v>
      </c>
      <c r="AR152" s="7">
        <v>0</v>
      </c>
      <c r="AS152"/>
    </row>
    <row r="153" spans="1:45" ht="19.5" customHeight="1" x14ac:dyDescent="0.3">
      <c r="A153" s="7" t="s">
        <v>2171</v>
      </c>
      <c r="B153" s="7" t="s">
        <v>2083</v>
      </c>
      <c r="C153" s="7">
        <v>100</v>
      </c>
      <c r="D153" s="7">
        <v>910714.28571428603</v>
      </c>
      <c r="E153" s="7">
        <v>4</v>
      </c>
      <c r="F153" s="7">
        <v>12.75</v>
      </c>
      <c r="G153" s="7" t="s">
        <v>2172</v>
      </c>
      <c r="H153" s="7" t="s">
        <v>37</v>
      </c>
      <c r="I153" s="7" t="s">
        <v>37</v>
      </c>
      <c r="J153" s="7" t="s">
        <v>37</v>
      </c>
      <c r="K153" s="7" t="s">
        <v>37</v>
      </c>
      <c r="L153" s="7" t="s">
        <v>37</v>
      </c>
      <c r="M153" s="7" t="s">
        <v>37</v>
      </c>
      <c r="N153" s="7" t="s">
        <v>37</v>
      </c>
      <c r="O153" s="7" t="s">
        <v>37</v>
      </c>
      <c r="P153" s="7" t="s">
        <v>37</v>
      </c>
      <c r="Q153" s="7" t="s">
        <v>37</v>
      </c>
      <c r="R153" s="7" t="s">
        <v>37</v>
      </c>
      <c r="S153" s="7" t="s">
        <v>37</v>
      </c>
      <c r="T153" s="7" t="s">
        <v>37</v>
      </c>
      <c r="U153" s="7" t="s">
        <v>37</v>
      </c>
      <c r="V153" s="7" t="s">
        <v>37</v>
      </c>
      <c r="W153" s="7" t="s">
        <v>37</v>
      </c>
      <c r="X153" s="7" t="s">
        <v>37</v>
      </c>
      <c r="Y153" s="7" t="s">
        <v>37</v>
      </c>
      <c r="Z153" s="7" t="s">
        <v>37</v>
      </c>
      <c r="AA153" s="7" t="s">
        <v>37</v>
      </c>
      <c r="AB153" s="7" t="s">
        <v>37</v>
      </c>
      <c r="AC153" s="7" t="s">
        <v>37</v>
      </c>
      <c r="AD153" s="7" t="s">
        <v>37</v>
      </c>
      <c r="AE153" s="7" t="s">
        <v>37</v>
      </c>
      <c r="AF153" s="7" t="s">
        <v>37</v>
      </c>
      <c r="AG153" s="7" t="s">
        <v>37</v>
      </c>
      <c r="AH153" s="7" t="s">
        <v>37</v>
      </c>
      <c r="AI153" s="7" t="s">
        <v>37</v>
      </c>
      <c r="AJ153" s="7" t="s">
        <v>37</v>
      </c>
      <c r="AK153" s="7" t="s">
        <v>37</v>
      </c>
      <c r="AL153" s="7" t="s">
        <v>37</v>
      </c>
      <c r="AM153" s="7" t="s">
        <v>37</v>
      </c>
      <c r="AN153" s="7" t="s">
        <v>37</v>
      </c>
      <c r="AO153" s="7" t="s">
        <v>37</v>
      </c>
      <c r="AP153" s="7" t="s">
        <v>37</v>
      </c>
      <c r="AQ153" s="7" t="s">
        <v>37</v>
      </c>
      <c r="AR153" s="7" t="s">
        <v>37</v>
      </c>
      <c r="AS153"/>
    </row>
    <row r="154" spans="1:45" ht="19.5" customHeight="1" x14ac:dyDescent="0.3">
      <c r="A154" s="7" t="s">
        <v>1410</v>
      </c>
      <c r="B154" s="7" t="s">
        <v>2080</v>
      </c>
      <c r="C154" s="7">
        <v>0</v>
      </c>
      <c r="D154" s="7">
        <v>4596.0217962556399</v>
      </c>
      <c r="E154" s="7">
        <v>900</v>
      </c>
      <c r="F154" s="7">
        <v>66.664661654135301</v>
      </c>
      <c r="G154" s="7" t="s">
        <v>1411</v>
      </c>
      <c r="H154" s="7" t="s">
        <v>1412</v>
      </c>
      <c r="I154" s="7" t="s">
        <v>1413</v>
      </c>
      <c r="J154" s="8" t="s">
        <v>1414</v>
      </c>
      <c r="K154" s="7" t="s">
        <v>1415</v>
      </c>
      <c r="L154" s="7">
        <v>490.62</v>
      </c>
      <c r="M154" s="7" t="s">
        <v>37</v>
      </c>
      <c r="N154" s="7" t="s">
        <v>37</v>
      </c>
      <c r="O154" s="7" t="s">
        <v>37</v>
      </c>
      <c r="P154" s="7" t="s">
        <v>37</v>
      </c>
      <c r="Q154" s="7" t="s">
        <v>37</v>
      </c>
      <c r="R154" s="7" t="s">
        <v>37</v>
      </c>
      <c r="S154" s="7" t="s">
        <v>37</v>
      </c>
      <c r="T154" s="7" t="s">
        <v>37</v>
      </c>
      <c r="U154" s="7">
        <v>265</v>
      </c>
      <c r="V154" s="7" t="s">
        <v>37</v>
      </c>
      <c r="W154" s="7" t="s">
        <v>37</v>
      </c>
      <c r="X154" s="9">
        <v>7.9432823472428203E-9</v>
      </c>
      <c r="Y154" s="7" t="s">
        <v>37</v>
      </c>
      <c r="Z154" s="7">
        <v>24.52</v>
      </c>
      <c r="AA154" s="7">
        <v>-0.42</v>
      </c>
      <c r="AB154" s="7">
        <v>-2.3199999999999998</v>
      </c>
      <c r="AC154" s="7">
        <v>9.49</v>
      </c>
      <c r="AD154" s="7">
        <v>2.72</v>
      </c>
      <c r="AE154" s="7">
        <v>213</v>
      </c>
      <c r="AF154" s="7" t="s">
        <v>37</v>
      </c>
      <c r="AG154" s="7" t="s">
        <v>37</v>
      </c>
      <c r="AH154" s="7">
        <v>2.36</v>
      </c>
      <c r="AI154" s="7" t="s">
        <v>37</v>
      </c>
      <c r="AJ154" s="7" t="s">
        <v>37</v>
      </c>
      <c r="AK154" s="7">
        <v>0</v>
      </c>
      <c r="AL154" s="7" t="s">
        <v>37</v>
      </c>
      <c r="AM154" s="7" t="s">
        <v>37</v>
      </c>
      <c r="AN154" s="9">
        <v>2.81838293126445E-10</v>
      </c>
      <c r="AO154" s="7" t="s">
        <v>37</v>
      </c>
      <c r="AP154" s="9">
        <v>3.7153522909717298E-5</v>
      </c>
      <c r="AQ154" s="7">
        <v>1</v>
      </c>
      <c r="AR154" s="7">
        <v>1</v>
      </c>
      <c r="AS154"/>
    </row>
    <row r="155" spans="1:45" ht="19.5" customHeight="1" x14ac:dyDescent="0.3">
      <c r="A155" s="7" t="s">
        <v>1189</v>
      </c>
      <c r="B155" s="7" t="s">
        <v>2080</v>
      </c>
      <c r="C155" s="7">
        <v>10</v>
      </c>
      <c r="D155" s="7">
        <v>12688.0046426794</v>
      </c>
      <c r="E155" s="7">
        <v>1437</v>
      </c>
      <c r="F155" s="7">
        <v>69.277978339350199</v>
      </c>
      <c r="G155" s="7" t="s">
        <v>1190</v>
      </c>
      <c r="H155" s="7" t="s">
        <v>1191</v>
      </c>
      <c r="I155" s="7" t="s">
        <v>1192</v>
      </c>
      <c r="J155" s="8" t="s">
        <v>1193</v>
      </c>
      <c r="K155" s="7" t="s">
        <v>1194</v>
      </c>
      <c r="L155" s="7">
        <v>445.54</v>
      </c>
      <c r="M155" s="7" t="s">
        <v>37</v>
      </c>
      <c r="N155" s="7" t="s">
        <v>37</v>
      </c>
      <c r="O155" s="7" t="s">
        <v>37</v>
      </c>
      <c r="P155" s="7" t="s">
        <v>37</v>
      </c>
      <c r="Q155" s="7" t="s">
        <v>37</v>
      </c>
      <c r="R155" s="7" t="s">
        <v>37</v>
      </c>
      <c r="S155" s="7" t="s">
        <v>37</v>
      </c>
      <c r="T155" s="7" t="s">
        <v>37</v>
      </c>
      <c r="U155" s="7">
        <v>485</v>
      </c>
      <c r="V155" s="7">
        <v>1.3685</v>
      </c>
      <c r="W155" s="7">
        <v>359.96800000000002</v>
      </c>
      <c r="X155" s="9">
        <v>8.5113803820237603E-11</v>
      </c>
      <c r="Y155" s="7">
        <v>1.6160000000000001</v>
      </c>
      <c r="Z155" s="7">
        <v>18.2</v>
      </c>
      <c r="AA155" s="7">
        <v>1.7</v>
      </c>
      <c r="AB155" s="7">
        <v>0.2</v>
      </c>
      <c r="AC155" s="7">
        <v>9.44</v>
      </c>
      <c r="AD155" s="7">
        <v>1.91</v>
      </c>
      <c r="AE155" s="7">
        <v>208</v>
      </c>
      <c r="AF155" s="7">
        <v>115.928</v>
      </c>
      <c r="AG155" s="7">
        <v>331.899</v>
      </c>
      <c r="AH155" s="7">
        <v>5.7</v>
      </c>
      <c r="AI155" s="7" t="s">
        <v>37</v>
      </c>
      <c r="AJ155" s="7">
        <v>45.957000000000001</v>
      </c>
      <c r="AK155" s="7">
        <v>0</v>
      </c>
      <c r="AL155" s="7">
        <v>66.846000000000004</v>
      </c>
      <c r="AM155" s="7" t="s">
        <v>37</v>
      </c>
      <c r="AN155" s="9">
        <v>3.7611232065045797E-10</v>
      </c>
      <c r="AO155" s="7" t="s">
        <v>37</v>
      </c>
      <c r="AP155" s="9">
        <v>3.2399999999999999E-6</v>
      </c>
      <c r="AQ155" s="7">
        <v>1</v>
      </c>
      <c r="AR155" s="7">
        <v>1</v>
      </c>
      <c r="AS155"/>
    </row>
    <row r="156" spans="1:45" ht="19.5" customHeight="1" x14ac:dyDescent="0.3">
      <c r="A156" s="7" t="s">
        <v>1363</v>
      </c>
      <c r="B156" s="7" t="s">
        <v>2080</v>
      </c>
      <c r="C156" s="7">
        <v>0</v>
      </c>
      <c r="D156" s="7">
        <v>6847.6805876635399</v>
      </c>
      <c r="E156" s="7">
        <v>207</v>
      </c>
      <c r="F156" s="7">
        <v>52.709497206703901</v>
      </c>
      <c r="G156" s="7" t="s">
        <v>1364</v>
      </c>
      <c r="H156" s="7" t="s">
        <v>1365</v>
      </c>
      <c r="I156" s="7" t="s">
        <v>1366</v>
      </c>
      <c r="J156" s="8" t="s">
        <v>1367</v>
      </c>
      <c r="K156" s="7" t="s">
        <v>1368</v>
      </c>
      <c r="L156" s="7">
        <v>494</v>
      </c>
      <c r="M156" s="7" t="s">
        <v>37</v>
      </c>
      <c r="N156" s="7" t="s">
        <v>37</v>
      </c>
      <c r="O156" s="7" t="s">
        <v>37</v>
      </c>
      <c r="P156" s="7" t="s">
        <v>37</v>
      </c>
      <c r="Q156" s="7" t="s">
        <v>37</v>
      </c>
      <c r="R156" s="7" t="s">
        <v>37</v>
      </c>
      <c r="S156" s="7" t="s">
        <v>37</v>
      </c>
      <c r="T156" s="7" t="s">
        <v>37</v>
      </c>
      <c r="U156" s="7">
        <v>490.935</v>
      </c>
      <c r="V156" s="7">
        <v>1.3794999999999999</v>
      </c>
      <c r="W156" s="7">
        <v>369.75799999999998</v>
      </c>
      <c r="X156" s="9">
        <v>1.90546071796324E-10</v>
      </c>
      <c r="Y156" s="7">
        <v>1.6160000000000001</v>
      </c>
      <c r="Z156" s="7">
        <v>25.36</v>
      </c>
      <c r="AA156" s="7">
        <v>1.63</v>
      </c>
      <c r="AB156" s="7">
        <v>0.24</v>
      </c>
      <c r="AC156" s="7">
        <v>9.4700000000000006</v>
      </c>
      <c r="AD156" s="7">
        <v>3.77</v>
      </c>
      <c r="AE156" s="7">
        <v>171</v>
      </c>
      <c r="AF156" s="7">
        <v>126.9</v>
      </c>
      <c r="AG156" s="7">
        <v>362.91199999999998</v>
      </c>
      <c r="AH156" s="7">
        <v>5.86</v>
      </c>
      <c r="AI156" s="7" t="s">
        <v>37</v>
      </c>
      <c r="AJ156" s="7">
        <v>50.307000000000002</v>
      </c>
      <c r="AK156" s="7">
        <v>0</v>
      </c>
      <c r="AL156" s="7">
        <v>61.283000000000001</v>
      </c>
      <c r="AM156" s="7" t="s">
        <v>37</v>
      </c>
      <c r="AN156" s="9">
        <v>4.7029127539849605E-10</v>
      </c>
      <c r="AO156" s="7" t="s">
        <v>37</v>
      </c>
      <c r="AP156" s="9">
        <v>8.1124299999999992E-6</v>
      </c>
      <c r="AQ156" s="7">
        <v>1</v>
      </c>
      <c r="AR156" s="7">
        <v>1</v>
      </c>
      <c r="AS156"/>
    </row>
    <row r="157" spans="1:45" ht="19.5" customHeight="1" x14ac:dyDescent="0.3">
      <c r="A157" s="7" t="s">
        <v>170</v>
      </c>
      <c r="B157" s="7" t="s">
        <v>2080</v>
      </c>
      <c r="C157" s="7">
        <v>100</v>
      </c>
      <c r="D157" s="7">
        <v>1164433.5487705199</v>
      </c>
      <c r="E157" s="7">
        <v>119</v>
      </c>
      <c r="F157" s="7">
        <v>29.136363636363601</v>
      </c>
      <c r="G157" s="7" t="s">
        <v>171</v>
      </c>
      <c r="H157" s="7" t="s">
        <v>172</v>
      </c>
      <c r="I157" s="7" t="s">
        <v>173</v>
      </c>
      <c r="J157" s="8" t="s">
        <v>174</v>
      </c>
      <c r="K157" s="7" t="s">
        <v>175</v>
      </c>
      <c r="L157" s="7">
        <v>198.21799999999899</v>
      </c>
      <c r="M157" s="7" t="s">
        <v>37</v>
      </c>
      <c r="N157" s="7" t="s">
        <v>37</v>
      </c>
      <c r="O157" s="7" t="s">
        <v>37</v>
      </c>
      <c r="P157" s="7" t="s">
        <v>37</v>
      </c>
      <c r="Q157" s="7" t="s">
        <v>37</v>
      </c>
      <c r="R157" s="7" t="s">
        <v>37</v>
      </c>
      <c r="S157" s="7" t="s">
        <v>37</v>
      </c>
      <c r="T157" s="7" t="s">
        <v>37</v>
      </c>
      <c r="U157" s="7">
        <v>215</v>
      </c>
      <c r="V157" s="7">
        <v>1.1835</v>
      </c>
      <c r="W157" s="7">
        <v>163.892</v>
      </c>
      <c r="X157" s="9">
        <v>6.3095734448019404E-10</v>
      </c>
      <c r="Y157" s="7">
        <v>1.538</v>
      </c>
      <c r="Z157" s="7">
        <v>5.03</v>
      </c>
      <c r="AA157" s="7">
        <v>1.39</v>
      </c>
      <c r="AB157" s="7">
        <v>1.39</v>
      </c>
      <c r="AC157" s="7">
        <v>7.96</v>
      </c>
      <c r="AD157" s="7">
        <v>1.39</v>
      </c>
      <c r="AE157" s="7">
        <v>79.25</v>
      </c>
      <c r="AF157" s="7">
        <v>51.904000000000003</v>
      </c>
      <c r="AG157" s="7">
        <v>165.84</v>
      </c>
      <c r="AH157" s="7">
        <v>9.59</v>
      </c>
      <c r="AI157" s="7" t="s">
        <v>37</v>
      </c>
      <c r="AJ157" s="7">
        <v>20.576000000000001</v>
      </c>
      <c r="AK157" s="7">
        <v>0</v>
      </c>
      <c r="AL157" s="7">
        <v>41.865000000000002</v>
      </c>
      <c r="AM157" s="7">
        <v>162.09800000000001</v>
      </c>
      <c r="AN157" s="9">
        <v>1.04E-5</v>
      </c>
      <c r="AO157" s="7">
        <v>31.1172</v>
      </c>
      <c r="AP157" s="7">
        <v>0.252</v>
      </c>
      <c r="AQ157" s="7">
        <v>1</v>
      </c>
      <c r="AR157" s="7">
        <v>0</v>
      </c>
      <c r="AS157"/>
    </row>
    <row r="158" spans="1:45" ht="19.5" customHeight="1" x14ac:dyDescent="0.3">
      <c r="A158" s="7" t="s">
        <v>1494</v>
      </c>
      <c r="B158" s="7" t="s">
        <v>2080</v>
      </c>
      <c r="C158" s="7">
        <v>75</v>
      </c>
      <c r="D158" s="7">
        <v>2323.0769230769201</v>
      </c>
      <c r="E158" s="7">
        <v>78</v>
      </c>
      <c r="F158" s="7">
        <v>30</v>
      </c>
      <c r="G158" s="7" t="s">
        <v>1495</v>
      </c>
      <c r="H158" s="7" t="s">
        <v>1496</v>
      </c>
      <c r="I158" s="7" t="s">
        <v>1497</v>
      </c>
      <c r="J158" s="8" t="s">
        <v>1498</v>
      </c>
      <c r="K158" s="7" t="s">
        <v>1499</v>
      </c>
      <c r="L158" s="7">
        <v>246.09</v>
      </c>
      <c r="M158" s="7" t="s">
        <v>37</v>
      </c>
      <c r="N158" s="7" t="s">
        <v>37</v>
      </c>
      <c r="O158" s="7" t="s">
        <v>37</v>
      </c>
      <c r="P158" s="7" t="s">
        <v>37</v>
      </c>
      <c r="Q158" s="7" t="s">
        <v>37</v>
      </c>
      <c r="R158" s="7" t="s">
        <v>37</v>
      </c>
      <c r="S158" s="7" t="s">
        <v>37</v>
      </c>
      <c r="T158" s="7" t="s">
        <v>37</v>
      </c>
      <c r="U158" s="7">
        <v>337.78</v>
      </c>
      <c r="V158" s="7">
        <v>1.4355</v>
      </c>
      <c r="W158" s="7">
        <v>203.583</v>
      </c>
      <c r="X158" s="9">
        <v>6.1659500186148103E-10</v>
      </c>
      <c r="Y158" s="7">
        <v>1.635</v>
      </c>
      <c r="Z158" s="7">
        <v>9.44</v>
      </c>
      <c r="AA158" s="7">
        <v>1.91</v>
      </c>
      <c r="AB158" s="7">
        <v>1.92</v>
      </c>
      <c r="AC158" s="7">
        <v>8.5299999999999994</v>
      </c>
      <c r="AD158" s="7">
        <v>1.4379999999999999</v>
      </c>
      <c r="AE158" s="7">
        <v>226</v>
      </c>
      <c r="AF158" s="7">
        <v>58.408000000000001</v>
      </c>
      <c r="AG158" s="7">
        <v>163.16800000000001</v>
      </c>
      <c r="AH158" s="7" t="s">
        <v>37</v>
      </c>
      <c r="AI158" s="7">
        <v>3.92</v>
      </c>
      <c r="AJ158" s="7">
        <v>23.155000000000001</v>
      </c>
      <c r="AK158" s="7">
        <v>0</v>
      </c>
      <c r="AL158" s="7">
        <v>55.067999999999998</v>
      </c>
      <c r="AM158" s="7" t="s">
        <v>37</v>
      </c>
      <c r="AN158" s="9">
        <v>2.88403150312661E-9</v>
      </c>
      <c r="AO158" s="7" t="s">
        <v>37</v>
      </c>
      <c r="AP158" s="7">
        <v>2.7951477162568E-3</v>
      </c>
      <c r="AQ158" s="7">
        <v>1</v>
      </c>
      <c r="AR158" s="7">
        <v>1</v>
      </c>
      <c r="AS158"/>
    </row>
    <row r="159" spans="1:45" ht="19.5" customHeight="1" x14ac:dyDescent="0.3">
      <c r="A159" s="7" t="s">
        <v>1339</v>
      </c>
      <c r="B159" s="7" t="s">
        <v>2090</v>
      </c>
      <c r="C159" s="7">
        <v>100</v>
      </c>
      <c r="D159" s="7">
        <v>6128.6413134824797</v>
      </c>
      <c r="E159" s="7">
        <v>21</v>
      </c>
      <c r="F159" s="7">
        <v>28.497619047619001</v>
      </c>
      <c r="G159" s="7" t="s">
        <v>1340</v>
      </c>
      <c r="H159" s="7" t="s">
        <v>1341</v>
      </c>
      <c r="I159" s="7" t="s">
        <v>1342</v>
      </c>
      <c r="J159" s="8" t="s">
        <v>1343</v>
      </c>
      <c r="K159" s="7" t="s">
        <v>1344</v>
      </c>
      <c r="L159" s="7">
        <v>375.87</v>
      </c>
      <c r="M159" s="7" t="s">
        <v>37</v>
      </c>
      <c r="N159" s="7" t="s">
        <v>37</v>
      </c>
      <c r="O159" s="7" t="s">
        <v>37</v>
      </c>
      <c r="P159" s="7" t="s">
        <v>37</v>
      </c>
      <c r="Q159" s="7" t="s">
        <v>37</v>
      </c>
      <c r="R159" s="7" t="s">
        <v>37</v>
      </c>
      <c r="S159" s="7">
        <v>3006.96</v>
      </c>
      <c r="T159" s="7">
        <v>206.72900000000001</v>
      </c>
      <c r="U159" s="7">
        <v>444.149</v>
      </c>
      <c r="V159" s="7">
        <v>1.246</v>
      </c>
      <c r="W159" s="7">
        <v>265.98200000000003</v>
      </c>
      <c r="X159" s="9">
        <v>4.8977881936844599E-11</v>
      </c>
      <c r="Y159" s="7">
        <v>1.581</v>
      </c>
      <c r="Z159" s="7">
        <v>16.690000000000001</v>
      </c>
      <c r="AA159" s="7">
        <v>4.29</v>
      </c>
      <c r="AB159" s="7">
        <v>4.29</v>
      </c>
      <c r="AC159" s="7">
        <v>10.43</v>
      </c>
      <c r="AD159" s="7">
        <v>4.29</v>
      </c>
      <c r="AE159" s="7">
        <v>150.1</v>
      </c>
      <c r="AF159" s="7">
        <v>101.012</v>
      </c>
      <c r="AG159" s="7">
        <v>303.279</v>
      </c>
      <c r="AH159" s="7" t="s">
        <v>37</v>
      </c>
      <c r="AI159" s="7" t="s">
        <v>37</v>
      </c>
      <c r="AJ159" s="7">
        <v>40.043999999999997</v>
      </c>
      <c r="AK159" s="7">
        <v>0</v>
      </c>
      <c r="AL159" s="7">
        <v>47.905999999999999</v>
      </c>
      <c r="AM159" s="7">
        <v>152.447</v>
      </c>
      <c r="AN159" s="9">
        <v>5.0118723362727098E-9</v>
      </c>
      <c r="AO159" s="7">
        <v>56.104799999999997</v>
      </c>
      <c r="AP159" s="9">
        <v>3.7200000000000003E-5</v>
      </c>
      <c r="AQ159" s="7">
        <v>1</v>
      </c>
      <c r="AR159" s="7">
        <v>0</v>
      </c>
      <c r="AS159"/>
    </row>
    <row r="160" spans="1:45" ht="19.5" customHeight="1" x14ac:dyDescent="0.3">
      <c r="A160" s="7" t="s">
        <v>1339</v>
      </c>
      <c r="B160" s="7" t="s">
        <v>2080</v>
      </c>
      <c r="C160" s="7">
        <v>100</v>
      </c>
      <c r="D160" s="7">
        <v>8029.1075694801502</v>
      </c>
      <c r="E160" s="7">
        <v>86</v>
      </c>
      <c r="F160" s="7">
        <v>40.880232558139497</v>
      </c>
      <c r="G160" s="7" t="s">
        <v>1340</v>
      </c>
      <c r="H160" s="7" t="s">
        <v>1341</v>
      </c>
      <c r="I160" s="7" t="s">
        <v>1342</v>
      </c>
      <c r="J160" s="8" t="s">
        <v>1343</v>
      </c>
      <c r="K160" s="7" t="s">
        <v>1344</v>
      </c>
      <c r="L160" s="7">
        <v>375.87</v>
      </c>
      <c r="M160" s="7" t="s">
        <v>37</v>
      </c>
      <c r="N160" s="7" t="s">
        <v>37</v>
      </c>
      <c r="O160" s="7" t="s">
        <v>37</v>
      </c>
      <c r="P160" s="7" t="s">
        <v>37</v>
      </c>
      <c r="Q160" s="7" t="s">
        <v>37</v>
      </c>
      <c r="R160" s="7" t="s">
        <v>37</v>
      </c>
      <c r="S160" s="7">
        <v>3006.96</v>
      </c>
      <c r="T160" s="7">
        <v>206.72900000000001</v>
      </c>
      <c r="U160" s="7">
        <v>444.149</v>
      </c>
      <c r="V160" s="7">
        <v>1.246</v>
      </c>
      <c r="W160" s="7">
        <v>265.98200000000003</v>
      </c>
      <c r="X160" s="9">
        <v>4.8977881936844599E-11</v>
      </c>
      <c r="Y160" s="7">
        <v>1.581</v>
      </c>
      <c r="Z160" s="7">
        <v>16.690000000000001</v>
      </c>
      <c r="AA160" s="7">
        <v>4.29</v>
      </c>
      <c r="AB160" s="7">
        <v>4.29</v>
      </c>
      <c r="AC160" s="7">
        <v>10.43</v>
      </c>
      <c r="AD160" s="7">
        <v>4.29</v>
      </c>
      <c r="AE160" s="7">
        <v>150.1</v>
      </c>
      <c r="AF160" s="7">
        <v>101.012</v>
      </c>
      <c r="AG160" s="7">
        <v>303.279</v>
      </c>
      <c r="AH160" s="7" t="s">
        <v>37</v>
      </c>
      <c r="AI160" s="7" t="s">
        <v>37</v>
      </c>
      <c r="AJ160" s="7">
        <v>40.043999999999997</v>
      </c>
      <c r="AK160" s="7">
        <v>0</v>
      </c>
      <c r="AL160" s="7">
        <v>47.905999999999999</v>
      </c>
      <c r="AM160" s="7">
        <v>152.447</v>
      </c>
      <c r="AN160" s="9">
        <v>5.0118723362727098E-9</v>
      </c>
      <c r="AO160" s="7">
        <v>56.104799999999997</v>
      </c>
      <c r="AP160" s="9">
        <v>3.7200000000000003E-5</v>
      </c>
      <c r="AQ160" s="7">
        <v>1</v>
      </c>
      <c r="AR160" s="7">
        <v>0</v>
      </c>
      <c r="AS160"/>
    </row>
    <row r="161" spans="1:45" ht="19.5" customHeight="1" x14ac:dyDescent="0.3">
      <c r="A161" s="7" t="s">
        <v>552</v>
      </c>
      <c r="B161" s="7" t="s">
        <v>2080</v>
      </c>
      <c r="C161" s="7">
        <v>30</v>
      </c>
      <c r="D161" s="7">
        <v>135102.41809833099</v>
      </c>
      <c r="E161" s="7">
        <v>718</v>
      </c>
      <c r="F161" s="7">
        <v>62.343692870201103</v>
      </c>
      <c r="G161" s="7" t="s">
        <v>553</v>
      </c>
      <c r="H161" s="7" t="s">
        <v>554</v>
      </c>
      <c r="I161" s="7" t="s">
        <v>555</v>
      </c>
      <c r="J161" s="8" t="s">
        <v>556</v>
      </c>
      <c r="K161" s="7" t="s">
        <v>557</v>
      </c>
      <c r="L161" s="7">
        <v>160.18</v>
      </c>
      <c r="M161" s="7" t="s">
        <v>37</v>
      </c>
      <c r="N161" s="7" t="s">
        <v>37</v>
      </c>
      <c r="O161" s="7" t="s">
        <v>37</v>
      </c>
      <c r="P161" s="7" t="s">
        <v>37</v>
      </c>
      <c r="Q161" s="7" t="s">
        <v>37</v>
      </c>
      <c r="R161" s="7" t="s">
        <v>37</v>
      </c>
      <c r="S161" s="7" t="s">
        <v>37</v>
      </c>
      <c r="T161" s="7" t="s">
        <v>37</v>
      </c>
      <c r="U161" s="7">
        <v>359.06</v>
      </c>
      <c r="V161" s="7">
        <v>1.3534999999999999</v>
      </c>
      <c r="W161" s="7">
        <v>214.09049999999999</v>
      </c>
      <c r="X161" s="9">
        <v>4.3651583224016599E-8</v>
      </c>
      <c r="Y161" s="7">
        <v>1.7769999999999999</v>
      </c>
      <c r="Z161" s="7">
        <v>5.77</v>
      </c>
      <c r="AA161" s="7">
        <v>-0.66</v>
      </c>
      <c r="AB161" s="7">
        <v>0.81</v>
      </c>
      <c r="AC161" s="7">
        <v>7.94</v>
      </c>
      <c r="AD161" s="7">
        <v>1</v>
      </c>
      <c r="AE161" s="7">
        <v>172.5</v>
      </c>
      <c r="AF161" s="7">
        <v>48.79</v>
      </c>
      <c r="AG161" s="7">
        <v>116.624</v>
      </c>
      <c r="AH161" s="7" t="s">
        <v>37</v>
      </c>
      <c r="AI161" s="7">
        <v>5.0750000000000002</v>
      </c>
      <c r="AJ161" s="7">
        <v>19.341999999999999</v>
      </c>
      <c r="AK161" s="7">
        <v>0</v>
      </c>
      <c r="AL161" s="7">
        <v>78.864999999999995</v>
      </c>
      <c r="AM161" s="7" t="s">
        <v>37</v>
      </c>
      <c r="AN161" s="9">
        <v>6.4565422903465599E-9</v>
      </c>
      <c r="AO161" s="7" t="s">
        <v>37</v>
      </c>
      <c r="AP161" s="7">
        <v>2.6302699999999998E-2</v>
      </c>
      <c r="AQ161" s="7">
        <v>0</v>
      </c>
      <c r="AR161" s="7">
        <v>0</v>
      </c>
      <c r="AS161"/>
    </row>
    <row r="162" spans="1:45" ht="19.5" customHeight="1" x14ac:dyDescent="0.3">
      <c r="A162" s="7" t="s">
        <v>1054</v>
      </c>
      <c r="B162" s="7" t="s">
        <v>2080</v>
      </c>
      <c r="C162" s="7">
        <v>95</v>
      </c>
      <c r="D162" s="7">
        <v>22601.224647180701</v>
      </c>
      <c r="E162" s="7">
        <v>4021</v>
      </c>
      <c r="F162" s="7">
        <v>68.897944966910501</v>
      </c>
      <c r="G162" s="7" t="s">
        <v>1055</v>
      </c>
      <c r="H162" s="7" t="s">
        <v>1056</v>
      </c>
      <c r="I162" s="7" t="s">
        <v>1057</v>
      </c>
      <c r="J162" s="8" t="s">
        <v>1058</v>
      </c>
      <c r="K162" s="7" t="s">
        <v>1059</v>
      </c>
      <c r="L162" s="7">
        <v>297.73</v>
      </c>
      <c r="M162" s="7" t="s">
        <v>37</v>
      </c>
      <c r="N162" s="7" t="s">
        <v>37</v>
      </c>
      <c r="O162" s="7" t="s">
        <v>37</v>
      </c>
      <c r="P162" s="7" t="s">
        <v>37</v>
      </c>
      <c r="Q162" s="7" t="s">
        <v>37</v>
      </c>
      <c r="R162" s="7" t="s">
        <v>37</v>
      </c>
      <c r="S162" s="7">
        <v>154.8201</v>
      </c>
      <c r="T162" s="7">
        <v>1.19092</v>
      </c>
      <c r="U162" s="7">
        <v>477.93</v>
      </c>
      <c r="V162" s="7">
        <v>1.6605000000000001</v>
      </c>
      <c r="W162" s="7">
        <v>301.19049999999999</v>
      </c>
      <c r="X162" s="9">
        <v>2.7542287033381601E-10</v>
      </c>
      <c r="Y162" s="7">
        <v>1.6319999999999999</v>
      </c>
      <c r="Z162" s="7">
        <v>1.78</v>
      </c>
      <c r="AA162" s="7">
        <v>-7.0000000000000007E-2</v>
      </c>
      <c r="AB162" s="7">
        <v>-0.12</v>
      </c>
      <c r="AC162" s="7">
        <v>8.5299999999999994</v>
      </c>
      <c r="AD162" s="7">
        <v>-7.0000000000000007E-2</v>
      </c>
      <c r="AE162" s="7">
        <v>274</v>
      </c>
      <c r="AF162" s="7">
        <v>62.719000000000001</v>
      </c>
      <c r="AG162" s="7">
        <v>175.80099999999999</v>
      </c>
      <c r="AH162" s="7">
        <v>9.2449999999999992</v>
      </c>
      <c r="AI162" s="7" t="s">
        <v>37</v>
      </c>
      <c r="AJ162" s="7">
        <v>24.864000000000001</v>
      </c>
      <c r="AK162" s="7">
        <v>0</v>
      </c>
      <c r="AL162" s="7">
        <v>62.015999999999998</v>
      </c>
      <c r="AM162" s="7" t="s">
        <v>37</v>
      </c>
      <c r="AN162" s="9">
        <v>1.0471285480509E-10</v>
      </c>
      <c r="AO162" s="7" t="s">
        <v>37</v>
      </c>
      <c r="AP162" s="7">
        <v>2.4249300000000001E-3</v>
      </c>
      <c r="AQ162" s="7">
        <v>1</v>
      </c>
      <c r="AR162" s="7">
        <v>0</v>
      </c>
      <c r="AS162"/>
    </row>
    <row r="163" spans="1:45" ht="19.5" customHeight="1" x14ac:dyDescent="0.3">
      <c r="A163" s="7" t="s">
        <v>254</v>
      </c>
      <c r="B163" s="7" t="s">
        <v>2080</v>
      </c>
      <c r="C163" s="7">
        <v>6.5</v>
      </c>
      <c r="D163" s="7">
        <v>687736.99942133098</v>
      </c>
      <c r="E163" s="7">
        <v>289</v>
      </c>
      <c r="F163" s="7">
        <v>15.421052631578901</v>
      </c>
      <c r="G163" s="7" t="s">
        <v>255</v>
      </c>
      <c r="H163" s="7" t="s">
        <v>256</v>
      </c>
      <c r="I163" s="7" t="s">
        <v>257</v>
      </c>
      <c r="J163" s="8" t="s">
        <v>258</v>
      </c>
      <c r="K163" s="7" t="s">
        <v>259</v>
      </c>
      <c r="L163" s="7">
        <v>299.37</v>
      </c>
      <c r="M163" s="7" t="s">
        <v>37</v>
      </c>
      <c r="N163" s="7" t="s">
        <v>37</v>
      </c>
      <c r="O163" s="7" t="s">
        <v>37</v>
      </c>
      <c r="P163" s="7" t="s">
        <v>37</v>
      </c>
      <c r="Q163" s="7" t="s">
        <v>37</v>
      </c>
      <c r="R163" s="7" t="s">
        <v>37</v>
      </c>
      <c r="S163" s="7" t="s">
        <v>37</v>
      </c>
      <c r="T163" s="7" t="s">
        <v>37</v>
      </c>
      <c r="U163" s="7">
        <v>410.0795</v>
      </c>
      <c r="V163" s="7">
        <v>1.3025</v>
      </c>
      <c r="W163" s="7">
        <v>214.4965</v>
      </c>
      <c r="X163" s="9">
        <v>6.7608297539198199E-9</v>
      </c>
      <c r="Y163" s="7">
        <v>1.633</v>
      </c>
      <c r="Z163" s="7">
        <v>10.75</v>
      </c>
      <c r="AA163" s="7">
        <v>-0.02</v>
      </c>
      <c r="AB163" s="7">
        <v>1.5</v>
      </c>
      <c r="AC163" s="7">
        <v>9.82</v>
      </c>
      <c r="AD163" s="7">
        <v>1.7745</v>
      </c>
      <c r="AE163" s="7">
        <v>198</v>
      </c>
      <c r="AF163" s="7">
        <v>81.551000000000002</v>
      </c>
      <c r="AG163" s="7">
        <v>228.21100000000001</v>
      </c>
      <c r="AH163" s="7" t="s">
        <v>37</v>
      </c>
      <c r="AI163" s="7">
        <v>7.23</v>
      </c>
      <c r="AJ163" s="7">
        <v>32.329000000000001</v>
      </c>
      <c r="AK163" s="7">
        <v>0</v>
      </c>
      <c r="AL163" s="7">
        <v>55.707999999999998</v>
      </c>
      <c r="AM163" s="7" t="s">
        <v>37</v>
      </c>
      <c r="AN163" s="9">
        <v>7.5509200000000002E-9</v>
      </c>
      <c r="AO163" s="7" t="s">
        <v>37</v>
      </c>
      <c r="AP163" s="7">
        <v>2.0087149999999999E-3</v>
      </c>
      <c r="AQ163" s="7">
        <v>1</v>
      </c>
      <c r="AR163" s="7">
        <v>0</v>
      </c>
      <c r="AS163"/>
    </row>
    <row r="164" spans="1:45" ht="19.5" customHeight="1" x14ac:dyDescent="0.3">
      <c r="A164" s="7" t="s">
        <v>844</v>
      </c>
      <c r="B164" s="7" t="s">
        <v>2080</v>
      </c>
      <c r="C164" s="7">
        <v>14</v>
      </c>
      <c r="D164" s="7">
        <v>54950.721854092597</v>
      </c>
      <c r="E164" s="7">
        <v>90</v>
      </c>
      <c r="F164" s="7">
        <v>28.928540305010898</v>
      </c>
      <c r="G164" s="7" t="s">
        <v>845</v>
      </c>
      <c r="H164" s="7" t="s">
        <v>846</v>
      </c>
      <c r="I164" s="7" t="s">
        <v>847</v>
      </c>
      <c r="J164" s="8" t="s">
        <v>848</v>
      </c>
      <c r="K164" s="7" t="s">
        <v>849</v>
      </c>
      <c r="L164" s="7">
        <v>362.46600000000001</v>
      </c>
      <c r="M164" s="7" t="s">
        <v>37</v>
      </c>
      <c r="N164" s="7" t="s">
        <v>37</v>
      </c>
      <c r="O164" s="7" t="s">
        <v>37</v>
      </c>
      <c r="P164" s="7" t="s">
        <v>37</v>
      </c>
      <c r="Q164" s="7" t="s">
        <v>37</v>
      </c>
      <c r="R164" s="7" t="s">
        <v>37</v>
      </c>
      <c r="S164" s="7">
        <v>10333.333333333299</v>
      </c>
      <c r="T164" s="7">
        <v>10.199999999999999</v>
      </c>
      <c r="U164" s="7">
        <v>466.15649999999999</v>
      </c>
      <c r="V164" s="7">
        <v>1.2925</v>
      </c>
      <c r="W164" s="7">
        <v>307.42399999999998</v>
      </c>
      <c r="X164" s="9">
        <v>9.1201083935591205E-12</v>
      </c>
      <c r="Y164" s="7">
        <v>1.595</v>
      </c>
      <c r="Z164" s="7">
        <v>13.01</v>
      </c>
      <c r="AA164" s="7">
        <v>1.61</v>
      </c>
      <c r="AB164" s="7">
        <v>1.6</v>
      </c>
      <c r="AC164" s="7">
        <v>9.3000000000000007</v>
      </c>
      <c r="AD164" s="7">
        <v>1.61</v>
      </c>
      <c r="AE164" s="7">
        <v>218</v>
      </c>
      <c r="AF164" s="7">
        <v>95.57</v>
      </c>
      <c r="AG164" s="7">
        <v>281.37400000000002</v>
      </c>
      <c r="AH164" s="7">
        <v>9.06</v>
      </c>
      <c r="AI164" s="7">
        <v>12.472</v>
      </c>
      <c r="AJ164" s="7">
        <v>37.887</v>
      </c>
      <c r="AK164" s="7">
        <v>0</v>
      </c>
      <c r="AL164" s="7">
        <v>55.884</v>
      </c>
      <c r="AM164" s="7" t="s">
        <v>37</v>
      </c>
      <c r="AN164" s="9">
        <v>3.54813389233576E-10</v>
      </c>
      <c r="AO164" s="7" t="s">
        <v>37</v>
      </c>
      <c r="AP164" s="7">
        <v>8.9099999999999997E-4</v>
      </c>
      <c r="AQ164" s="7">
        <v>1</v>
      </c>
      <c r="AR164" s="7">
        <v>0</v>
      </c>
      <c r="AS164"/>
    </row>
    <row r="165" spans="1:45" ht="19.5" customHeight="1" x14ac:dyDescent="0.3">
      <c r="A165" s="7" t="s">
        <v>844</v>
      </c>
      <c r="B165" s="7" t="s">
        <v>2081</v>
      </c>
      <c r="C165" s="7">
        <v>100</v>
      </c>
      <c r="D165" s="7">
        <v>52126.578330008299</v>
      </c>
      <c r="E165" s="7">
        <v>19</v>
      </c>
      <c r="F165" s="7">
        <v>12.9339525283798</v>
      </c>
      <c r="G165" s="7" t="s">
        <v>845</v>
      </c>
      <c r="H165" s="7" t="s">
        <v>846</v>
      </c>
      <c r="I165" s="7" t="s">
        <v>847</v>
      </c>
      <c r="J165" s="8" t="s">
        <v>848</v>
      </c>
      <c r="K165" s="7" t="s">
        <v>849</v>
      </c>
      <c r="L165" s="7">
        <v>362.46600000000001</v>
      </c>
      <c r="M165" s="7" t="s">
        <v>37</v>
      </c>
      <c r="N165" s="7" t="s">
        <v>37</v>
      </c>
      <c r="O165" s="7" t="s">
        <v>37</v>
      </c>
      <c r="P165" s="7" t="s">
        <v>37</v>
      </c>
      <c r="Q165" s="7" t="s">
        <v>37</v>
      </c>
      <c r="R165" s="7" t="s">
        <v>37</v>
      </c>
      <c r="S165" s="7">
        <v>10333.333333333299</v>
      </c>
      <c r="T165" s="7">
        <v>10.199999999999999</v>
      </c>
      <c r="U165" s="7">
        <v>466.15649999999999</v>
      </c>
      <c r="V165" s="7">
        <v>1.2925</v>
      </c>
      <c r="W165" s="7">
        <v>307.42399999999998</v>
      </c>
      <c r="X165" s="9">
        <v>9.1201083935591205E-12</v>
      </c>
      <c r="Y165" s="7">
        <v>1.595</v>
      </c>
      <c r="Z165" s="7">
        <v>13.01</v>
      </c>
      <c r="AA165" s="7">
        <v>1.61</v>
      </c>
      <c r="AB165" s="7">
        <v>1.6</v>
      </c>
      <c r="AC165" s="7">
        <v>9.3000000000000007</v>
      </c>
      <c r="AD165" s="7">
        <v>1.61</v>
      </c>
      <c r="AE165" s="7">
        <v>218</v>
      </c>
      <c r="AF165" s="7">
        <v>95.57</v>
      </c>
      <c r="AG165" s="7">
        <v>281.37400000000002</v>
      </c>
      <c r="AH165" s="7">
        <v>9.06</v>
      </c>
      <c r="AI165" s="7">
        <v>12.472</v>
      </c>
      <c r="AJ165" s="7">
        <v>37.887</v>
      </c>
      <c r="AK165" s="7">
        <v>0</v>
      </c>
      <c r="AL165" s="7">
        <v>55.884</v>
      </c>
      <c r="AM165" s="7" t="s">
        <v>37</v>
      </c>
      <c r="AN165" s="9">
        <v>3.54813389233576E-10</v>
      </c>
      <c r="AO165" s="7" t="s">
        <v>37</v>
      </c>
      <c r="AP165" s="7">
        <v>8.9099999999999997E-4</v>
      </c>
      <c r="AQ165" s="7">
        <v>1</v>
      </c>
      <c r="AR165" s="7">
        <v>0</v>
      </c>
      <c r="AS165"/>
    </row>
    <row r="166" spans="1:45" ht="19.5" customHeight="1" x14ac:dyDescent="0.3">
      <c r="A166" s="7" t="s">
        <v>844</v>
      </c>
      <c r="B166" s="7" t="s">
        <v>2083</v>
      </c>
      <c r="C166" s="7">
        <v>100</v>
      </c>
      <c r="D166" s="7">
        <v>5412815.5101531101</v>
      </c>
      <c r="E166" s="7">
        <v>202</v>
      </c>
      <c r="F166" s="7">
        <v>20.822364589400099</v>
      </c>
      <c r="G166" s="7" t="s">
        <v>845</v>
      </c>
      <c r="H166" s="7" t="s">
        <v>846</v>
      </c>
      <c r="I166" s="7" t="s">
        <v>847</v>
      </c>
      <c r="J166" s="8" t="s">
        <v>848</v>
      </c>
      <c r="K166" s="7" t="s">
        <v>849</v>
      </c>
      <c r="L166" s="7">
        <v>362.46600000000001</v>
      </c>
      <c r="M166" s="7" t="s">
        <v>37</v>
      </c>
      <c r="N166" s="7" t="s">
        <v>37</v>
      </c>
      <c r="O166" s="7" t="s">
        <v>37</v>
      </c>
      <c r="P166" s="7" t="s">
        <v>37</v>
      </c>
      <c r="Q166" s="7" t="s">
        <v>37</v>
      </c>
      <c r="R166" s="7" t="s">
        <v>37</v>
      </c>
      <c r="S166" s="7">
        <v>10333.333333333299</v>
      </c>
      <c r="T166" s="7">
        <v>10.199999999999999</v>
      </c>
      <c r="U166" s="7">
        <v>466.15649999999999</v>
      </c>
      <c r="V166" s="7">
        <v>1.2925</v>
      </c>
      <c r="W166" s="7">
        <v>307.42399999999998</v>
      </c>
      <c r="X166" s="9">
        <v>9.1201083935591205E-12</v>
      </c>
      <c r="Y166" s="7">
        <v>1.595</v>
      </c>
      <c r="Z166" s="7">
        <v>13.01</v>
      </c>
      <c r="AA166" s="7">
        <v>1.61</v>
      </c>
      <c r="AB166" s="7">
        <v>1.6</v>
      </c>
      <c r="AC166" s="7">
        <v>9.3000000000000007</v>
      </c>
      <c r="AD166" s="7">
        <v>1.61</v>
      </c>
      <c r="AE166" s="7">
        <v>218</v>
      </c>
      <c r="AF166" s="7">
        <v>95.57</v>
      </c>
      <c r="AG166" s="7">
        <v>281.37400000000002</v>
      </c>
      <c r="AH166" s="7">
        <v>9.06</v>
      </c>
      <c r="AI166" s="7">
        <v>12.472</v>
      </c>
      <c r="AJ166" s="7">
        <v>37.887</v>
      </c>
      <c r="AK166" s="7">
        <v>0</v>
      </c>
      <c r="AL166" s="7">
        <v>55.884</v>
      </c>
      <c r="AM166" s="7" t="s">
        <v>37</v>
      </c>
      <c r="AN166" s="9">
        <v>3.54813389233576E-10</v>
      </c>
      <c r="AO166" s="7" t="s">
        <v>37</v>
      </c>
      <c r="AP166" s="7">
        <v>8.9099999999999997E-4</v>
      </c>
      <c r="AQ166" s="7">
        <v>1</v>
      </c>
      <c r="AR166" s="7">
        <v>0</v>
      </c>
      <c r="AS166"/>
    </row>
    <row r="167" spans="1:45" ht="19.5" customHeight="1" x14ac:dyDescent="0.3">
      <c r="A167" s="7" t="s">
        <v>1172</v>
      </c>
      <c r="B167" s="7" t="s">
        <v>2173</v>
      </c>
      <c r="C167" s="7">
        <v>5</v>
      </c>
      <c r="D167" s="7">
        <v>1798.7804878048801</v>
      </c>
      <c r="E167" s="7">
        <v>10</v>
      </c>
      <c r="F167" s="7">
        <v>22.2372881355932</v>
      </c>
      <c r="G167" s="7" t="s">
        <v>1173</v>
      </c>
      <c r="H167" s="7" t="s">
        <v>1174</v>
      </c>
      <c r="I167" s="7" t="s">
        <v>1175</v>
      </c>
      <c r="J167" s="8" t="s">
        <v>1176</v>
      </c>
      <c r="K167" s="7" t="s">
        <v>736</v>
      </c>
      <c r="L167" s="7">
        <v>285.34300000000002</v>
      </c>
      <c r="M167" s="7" t="s">
        <v>37</v>
      </c>
      <c r="N167" s="7" t="s">
        <v>37</v>
      </c>
      <c r="O167" s="7" t="s">
        <v>37</v>
      </c>
      <c r="P167" s="7" t="s">
        <v>37</v>
      </c>
      <c r="Q167" s="7" t="s">
        <v>37</v>
      </c>
      <c r="R167" s="7" t="s">
        <v>37</v>
      </c>
      <c r="S167" s="7" t="s">
        <v>37</v>
      </c>
      <c r="T167" s="7" t="s">
        <v>37</v>
      </c>
      <c r="U167" s="7">
        <v>415.68650000000002</v>
      </c>
      <c r="V167" s="7">
        <v>1.3935</v>
      </c>
      <c r="W167" s="7">
        <v>233.952</v>
      </c>
      <c r="X167" s="9">
        <v>5.0118723362727098E-9</v>
      </c>
      <c r="Y167" s="7">
        <v>1.679</v>
      </c>
      <c r="Z167" s="7">
        <v>9.7799999999999994</v>
      </c>
      <c r="AA167" s="7">
        <v>-0.32</v>
      </c>
      <c r="AB167" s="7">
        <v>1.28</v>
      </c>
      <c r="AC167" s="7">
        <v>11.44</v>
      </c>
      <c r="AD167" s="7">
        <v>1.4305000000000001</v>
      </c>
      <c r="AE167" s="7">
        <v>266.5</v>
      </c>
      <c r="AF167" s="7">
        <v>76.715000000000003</v>
      </c>
      <c r="AG167" s="7">
        <v>203.256</v>
      </c>
      <c r="AH167" s="7" t="s">
        <v>37</v>
      </c>
      <c r="AI167" s="7">
        <v>7.38</v>
      </c>
      <c r="AJ167" s="7">
        <v>30.411999999999999</v>
      </c>
      <c r="AK167" s="7">
        <v>0</v>
      </c>
      <c r="AL167" s="7">
        <v>66.338999999999999</v>
      </c>
      <c r="AM167" s="7" t="s">
        <v>37</v>
      </c>
      <c r="AN167" s="9">
        <v>2.04173794466953E-9</v>
      </c>
      <c r="AO167" s="7" t="s">
        <v>37</v>
      </c>
      <c r="AP167" s="7">
        <v>6.3334200000000002E-3</v>
      </c>
      <c r="AQ167" s="7">
        <v>1</v>
      </c>
      <c r="AR167" s="7">
        <v>0</v>
      </c>
      <c r="AS167"/>
    </row>
    <row r="168" spans="1:45" ht="19.5" customHeight="1" x14ac:dyDescent="0.3">
      <c r="A168" s="7" t="s">
        <v>1172</v>
      </c>
      <c r="B168" s="7" t="s">
        <v>2080</v>
      </c>
      <c r="C168" s="7">
        <v>8</v>
      </c>
      <c r="D168" s="7">
        <v>14350.1566184493</v>
      </c>
      <c r="E168" s="7">
        <v>154</v>
      </c>
      <c r="F168" s="7">
        <v>22.2372881355932</v>
      </c>
      <c r="G168" s="7" t="s">
        <v>1173</v>
      </c>
      <c r="H168" s="7" t="s">
        <v>1174</v>
      </c>
      <c r="I168" s="7" t="s">
        <v>1175</v>
      </c>
      <c r="J168" s="8" t="s">
        <v>1176</v>
      </c>
      <c r="K168" s="7" t="s">
        <v>736</v>
      </c>
      <c r="L168" s="7">
        <v>285.34300000000002</v>
      </c>
      <c r="M168" s="7" t="s">
        <v>37</v>
      </c>
      <c r="N168" s="7" t="s">
        <v>37</v>
      </c>
      <c r="O168" s="7" t="s">
        <v>37</v>
      </c>
      <c r="P168" s="7" t="s">
        <v>37</v>
      </c>
      <c r="Q168" s="7" t="s">
        <v>37</v>
      </c>
      <c r="R168" s="7" t="s">
        <v>37</v>
      </c>
      <c r="S168" s="7" t="s">
        <v>37</v>
      </c>
      <c r="T168" s="7" t="s">
        <v>37</v>
      </c>
      <c r="U168" s="7">
        <v>415.68650000000002</v>
      </c>
      <c r="V168" s="7">
        <v>1.3935</v>
      </c>
      <c r="W168" s="7">
        <v>233.952</v>
      </c>
      <c r="X168" s="9">
        <v>5.0118723362727098E-9</v>
      </c>
      <c r="Y168" s="7">
        <v>1.679</v>
      </c>
      <c r="Z168" s="7">
        <v>9.7799999999999994</v>
      </c>
      <c r="AA168" s="7">
        <v>-0.32</v>
      </c>
      <c r="AB168" s="7">
        <v>1.28</v>
      </c>
      <c r="AC168" s="7">
        <v>11.44</v>
      </c>
      <c r="AD168" s="7">
        <v>1.4305000000000001</v>
      </c>
      <c r="AE168" s="7">
        <v>266.5</v>
      </c>
      <c r="AF168" s="7">
        <v>76.715000000000003</v>
      </c>
      <c r="AG168" s="7">
        <v>203.256</v>
      </c>
      <c r="AH168" s="7" t="s">
        <v>37</v>
      </c>
      <c r="AI168" s="7">
        <v>7.38</v>
      </c>
      <c r="AJ168" s="7">
        <v>30.411999999999999</v>
      </c>
      <c r="AK168" s="7">
        <v>0</v>
      </c>
      <c r="AL168" s="7">
        <v>66.338999999999999</v>
      </c>
      <c r="AM168" s="7" t="s">
        <v>37</v>
      </c>
      <c r="AN168" s="9">
        <v>2.04173794466953E-9</v>
      </c>
      <c r="AO168" s="7" t="s">
        <v>37</v>
      </c>
      <c r="AP168" s="7">
        <v>6.3334200000000002E-3</v>
      </c>
      <c r="AQ168" s="7">
        <v>1</v>
      </c>
      <c r="AR168" s="7">
        <v>0</v>
      </c>
      <c r="AS168"/>
    </row>
    <row r="169" spans="1:45" ht="19.5" customHeight="1" x14ac:dyDescent="0.3">
      <c r="A169" s="7" t="s">
        <v>301</v>
      </c>
      <c r="B169" s="7" t="s">
        <v>2080</v>
      </c>
      <c r="C169" s="7">
        <v>30</v>
      </c>
      <c r="D169" s="7">
        <v>355975.83165710099</v>
      </c>
      <c r="E169" s="7">
        <v>451</v>
      </c>
      <c r="F169" s="7">
        <v>50.016483516483497</v>
      </c>
      <c r="G169" s="7" t="s">
        <v>302</v>
      </c>
      <c r="H169" s="7" t="s">
        <v>303</v>
      </c>
      <c r="I169" s="7" t="s">
        <v>304</v>
      </c>
      <c r="J169" s="8" t="s">
        <v>305</v>
      </c>
      <c r="K169" s="7" t="s">
        <v>306</v>
      </c>
      <c r="L169" s="7">
        <v>335.88</v>
      </c>
      <c r="M169" s="7" t="s">
        <v>37</v>
      </c>
      <c r="N169" s="7" t="s">
        <v>37</v>
      </c>
      <c r="O169" s="7" t="s">
        <v>37</v>
      </c>
      <c r="P169" s="7" t="s">
        <v>37</v>
      </c>
      <c r="Q169" s="7" t="s">
        <v>37</v>
      </c>
      <c r="R169" s="7" t="s">
        <v>37</v>
      </c>
      <c r="S169" s="7" t="s">
        <v>37</v>
      </c>
      <c r="T169" s="7" t="s">
        <v>37</v>
      </c>
      <c r="U169" s="7">
        <v>413.66449999999998</v>
      </c>
      <c r="V169" s="7">
        <v>1.1839999999999999</v>
      </c>
      <c r="W169" s="7">
        <v>267.46699999999998</v>
      </c>
      <c r="X169" s="9">
        <v>5.3703179637025296E-9</v>
      </c>
      <c r="Y169" s="7">
        <v>1.61</v>
      </c>
      <c r="Z169" s="7">
        <v>18.54</v>
      </c>
      <c r="AA169" s="7">
        <v>0.88</v>
      </c>
      <c r="AB169" s="7">
        <v>2.77</v>
      </c>
      <c r="AC169" s="7">
        <v>9.4</v>
      </c>
      <c r="AD169" s="7">
        <v>3.6364999999999998</v>
      </c>
      <c r="AE169" s="7">
        <v>90</v>
      </c>
      <c r="AF169" s="7">
        <v>98.968999999999994</v>
      </c>
      <c r="AG169" s="7">
        <v>285.37</v>
      </c>
      <c r="AH169" s="7">
        <v>9.8800000000000008</v>
      </c>
      <c r="AI169" s="7">
        <v>8.56</v>
      </c>
      <c r="AJ169" s="7">
        <v>39.234000000000002</v>
      </c>
      <c r="AK169" s="7">
        <v>0</v>
      </c>
      <c r="AL169" s="7">
        <v>49.802999999999997</v>
      </c>
      <c r="AM169" s="7">
        <v>160.589</v>
      </c>
      <c r="AN169" s="9">
        <v>1.7378008287493799E-10</v>
      </c>
      <c r="AO169" s="7">
        <v>76.559700000000007</v>
      </c>
      <c r="AP169" s="7">
        <v>1.9708689723347601E-4</v>
      </c>
      <c r="AQ169" s="7">
        <v>1</v>
      </c>
      <c r="AR169" s="7">
        <v>0</v>
      </c>
      <c r="AS169"/>
    </row>
    <row r="170" spans="1:45" ht="19.5" customHeight="1" x14ac:dyDescent="0.3">
      <c r="A170" s="7" t="s">
        <v>659</v>
      </c>
      <c r="B170" s="7" t="s">
        <v>2080</v>
      </c>
      <c r="C170" s="7">
        <v>100</v>
      </c>
      <c r="D170" s="7">
        <v>85932.012432624993</v>
      </c>
      <c r="E170" s="7">
        <v>1004</v>
      </c>
      <c r="F170" s="7">
        <v>31.183453237410099</v>
      </c>
      <c r="G170" s="7" t="s">
        <v>660</v>
      </c>
      <c r="H170" s="7" t="s">
        <v>661</v>
      </c>
      <c r="I170" s="7" t="s">
        <v>662</v>
      </c>
      <c r="J170" s="8" t="s">
        <v>663</v>
      </c>
      <c r="K170" s="7" t="s">
        <v>664</v>
      </c>
      <c r="L170" s="7">
        <v>374.91</v>
      </c>
      <c r="M170" s="7" t="s">
        <v>37</v>
      </c>
      <c r="N170" s="7" t="s">
        <v>37</v>
      </c>
      <c r="O170" s="7" t="s">
        <v>37</v>
      </c>
      <c r="P170" s="7" t="s">
        <v>37</v>
      </c>
      <c r="Q170" s="7" t="s">
        <v>37</v>
      </c>
      <c r="R170" s="7" t="s">
        <v>37</v>
      </c>
      <c r="S170" s="7" t="s">
        <v>37</v>
      </c>
      <c r="T170" s="7" t="s">
        <v>37</v>
      </c>
      <c r="U170" s="7">
        <v>428.875</v>
      </c>
      <c r="V170" s="7">
        <v>1.1755</v>
      </c>
      <c r="W170" s="7">
        <v>253.34</v>
      </c>
      <c r="X170" s="9">
        <v>4.89778819368446E-9</v>
      </c>
      <c r="Y170" s="7">
        <v>1.583</v>
      </c>
      <c r="Z170" s="7">
        <v>15.92</v>
      </c>
      <c r="AA170" s="7">
        <v>1.85</v>
      </c>
      <c r="AB170" s="7">
        <v>2.92</v>
      </c>
      <c r="AC170" s="7">
        <v>10.41</v>
      </c>
      <c r="AD170" s="7">
        <v>2.5459999999999998</v>
      </c>
      <c r="AE170" s="7">
        <v>190</v>
      </c>
      <c r="AF170" s="7">
        <v>105.91500000000001</v>
      </c>
      <c r="AG170" s="7">
        <v>317.125</v>
      </c>
      <c r="AH170" s="7" t="s">
        <v>37</v>
      </c>
      <c r="AI170" s="7">
        <v>6.61</v>
      </c>
      <c r="AJ170" s="7">
        <v>41.988</v>
      </c>
      <c r="AK170" s="7">
        <v>0</v>
      </c>
      <c r="AL170" s="7">
        <v>47.753</v>
      </c>
      <c r="AM170" s="7">
        <v>147.18799999999999</v>
      </c>
      <c r="AN170" s="9">
        <v>8.3176377110267102E-10</v>
      </c>
      <c r="AO170" s="7" t="s">
        <v>37</v>
      </c>
      <c r="AP170" s="7">
        <v>5.8613800000000005E-4</v>
      </c>
      <c r="AQ170" s="7">
        <v>1</v>
      </c>
      <c r="AR170" s="7">
        <v>0</v>
      </c>
      <c r="AS170"/>
    </row>
    <row r="171" spans="1:45" ht="19.5" customHeight="1" x14ac:dyDescent="0.3">
      <c r="A171" s="7" t="s">
        <v>1617</v>
      </c>
      <c r="B171" s="7" t="s">
        <v>2080</v>
      </c>
      <c r="C171" s="7">
        <v>70</v>
      </c>
      <c r="D171" s="7">
        <v>674.24242424242402</v>
      </c>
      <c r="E171" s="7">
        <v>44</v>
      </c>
      <c r="F171" s="7">
        <v>28.772727272727298</v>
      </c>
      <c r="G171" s="7" t="s">
        <v>1618</v>
      </c>
      <c r="H171" s="7" t="s">
        <v>1619</v>
      </c>
      <c r="I171" s="7" t="s">
        <v>1620</v>
      </c>
      <c r="J171" s="8" t="s">
        <v>1621</v>
      </c>
      <c r="K171" s="7" t="s">
        <v>1622</v>
      </c>
      <c r="L171" s="7">
        <v>289.375</v>
      </c>
      <c r="M171" s="7" t="s">
        <v>37</v>
      </c>
      <c r="N171" s="7" t="s">
        <v>37</v>
      </c>
      <c r="O171" s="7" t="s">
        <v>37</v>
      </c>
      <c r="P171" s="7" t="s">
        <v>37</v>
      </c>
      <c r="Q171" s="7" t="s">
        <v>37</v>
      </c>
      <c r="R171" s="7" t="s">
        <v>37</v>
      </c>
      <c r="S171" s="7" t="s">
        <v>37</v>
      </c>
      <c r="T171" s="7" t="s">
        <v>37</v>
      </c>
      <c r="U171" s="7">
        <v>381.40199999999999</v>
      </c>
      <c r="V171" s="7">
        <v>1.194</v>
      </c>
      <c r="W171" s="7">
        <v>213.738</v>
      </c>
      <c r="X171" s="9">
        <v>4.0738027780411201E-10</v>
      </c>
      <c r="Y171" s="7">
        <v>1.581</v>
      </c>
      <c r="Z171" s="7">
        <v>14.31</v>
      </c>
      <c r="AA171" s="7">
        <v>-1.92</v>
      </c>
      <c r="AB171" s="7">
        <v>-0.03</v>
      </c>
      <c r="AC171" s="7">
        <v>10.62</v>
      </c>
      <c r="AD171" s="7">
        <v>1.83</v>
      </c>
      <c r="AE171" s="7">
        <v>113.5</v>
      </c>
      <c r="AF171" s="7">
        <v>80.787999999999997</v>
      </c>
      <c r="AG171" s="7">
        <v>242.42099999999999</v>
      </c>
      <c r="AH171" s="7" t="s">
        <v>37</v>
      </c>
      <c r="AI171" s="7">
        <v>9.25</v>
      </c>
      <c r="AJ171" s="7">
        <v>32.027000000000001</v>
      </c>
      <c r="AK171" s="7">
        <v>1</v>
      </c>
      <c r="AL171" s="7">
        <v>50.459000000000003</v>
      </c>
      <c r="AM171" s="7" t="s">
        <v>37</v>
      </c>
      <c r="AN171" s="9">
        <v>2.37057916120083E-7</v>
      </c>
      <c r="AO171" s="7" t="s">
        <v>37</v>
      </c>
      <c r="AP171" s="7">
        <v>1.23E-2</v>
      </c>
      <c r="AQ171" s="7">
        <v>1</v>
      </c>
      <c r="AR171" s="7">
        <v>1</v>
      </c>
      <c r="AS171"/>
    </row>
    <row r="172" spans="1:45" ht="19.5" customHeight="1" x14ac:dyDescent="0.3">
      <c r="A172" s="7" t="s">
        <v>1617</v>
      </c>
      <c r="B172" s="7" t="s">
        <v>2105</v>
      </c>
      <c r="C172" s="7">
        <v>70</v>
      </c>
      <c r="D172" s="7">
        <v>622.21017439233799</v>
      </c>
      <c r="E172" s="7">
        <v>17</v>
      </c>
      <c r="F172" s="7">
        <v>8.9558823529411793</v>
      </c>
      <c r="G172" s="7" t="s">
        <v>1618</v>
      </c>
      <c r="H172" s="7" t="s">
        <v>1619</v>
      </c>
      <c r="I172" s="7" t="s">
        <v>1620</v>
      </c>
      <c r="J172" s="8" t="s">
        <v>1621</v>
      </c>
      <c r="K172" s="7" t="s">
        <v>1622</v>
      </c>
      <c r="L172" s="7">
        <v>289.375</v>
      </c>
      <c r="M172" s="7" t="s">
        <v>37</v>
      </c>
      <c r="N172" s="7" t="s">
        <v>37</v>
      </c>
      <c r="O172" s="7" t="s">
        <v>37</v>
      </c>
      <c r="P172" s="7" t="s">
        <v>37</v>
      </c>
      <c r="Q172" s="7" t="s">
        <v>37</v>
      </c>
      <c r="R172" s="7" t="s">
        <v>37</v>
      </c>
      <c r="S172" s="7" t="s">
        <v>37</v>
      </c>
      <c r="T172" s="7" t="s">
        <v>37</v>
      </c>
      <c r="U172" s="7">
        <v>381.40199999999999</v>
      </c>
      <c r="V172" s="7">
        <v>1.194</v>
      </c>
      <c r="W172" s="7">
        <v>213.738</v>
      </c>
      <c r="X172" s="9">
        <v>4.0738027780411201E-10</v>
      </c>
      <c r="Y172" s="7">
        <v>1.581</v>
      </c>
      <c r="Z172" s="7">
        <v>14.31</v>
      </c>
      <c r="AA172" s="7">
        <v>-1.92</v>
      </c>
      <c r="AB172" s="7">
        <v>-0.03</v>
      </c>
      <c r="AC172" s="7">
        <v>10.62</v>
      </c>
      <c r="AD172" s="7">
        <v>1.83</v>
      </c>
      <c r="AE172" s="7">
        <v>113.5</v>
      </c>
      <c r="AF172" s="7">
        <v>80.787999999999997</v>
      </c>
      <c r="AG172" s="7">
        <v>242.42099999999999</v>
      </c>
      <c r="AH172" s="7" t="s">
        <v>37</v>
      </c>
      <c r="AI172" s="7">
        <v>9.25</v>
      </c>
      <c r="AJ172" s="7">
        <v>32.027000000000001</v>
      </c>
      <c r="AK172" s="7">
        <v>1</v>
      </c>
      <c r="AL172" s="7">
        <v>50.459000000000003</v>
      </c>
      <c r="AM172" s="7" t="s">
        <v>37</v>
      </c>
      <c r="AN172" s="9">
        <v>2.37057916120083E-7</v>
      </c>
      <c r="AO172" s="7" t="s">
        <v>37</v>
      </c>
      <c r="AP172" s="7">
        <v>1.23E-2</v>
      </c>
      <c r="AQ172" s="7">
        <v>1</v>
      </c>
      <c r="AR172" s="7">
        <v>1</v>
      </c>
      <c r="AS172"/>
    </row>
    <row r="173" spans="1:45" ht="19.5" customHeight="1" x14ac:dyDescent="0.3">
      <c r="A173" s="7" t="s">
        <v>1345</v>
      </c>
      <c r="B173" s="7" t="s">
        <v>2080</v>
      </c>
      <c r="C173" s="7">
        <v>99.76</v>
      </c>
      <c r="D173" s="7">
        <v>7641.1846848309697</v>
      </c>
      <c r="E173" s="7">
        <v>106</v>
      </c>
      <c r="F173" s="7">
        <v>74.328358208955194</v>
      </c>
      <c r="G173" s="7" t="s">
        <v>1346</v>
      </c>
      <c r="H173" s="7" t="s">
        <v>1347</v>
      </c>
      <c r="I173" s="7" t="s">
        <v>1348</v>
      </c>
      <c r="J173" s="8" t="s">
        <v>1349</v>
      </c>
      <c r="K173" s="7" t="s">
        <v>1350</v>
      </c>
      <c r="L173" s="7">
        <v>319.23099999999903</v>
      </c>
      <c r="M173" s="7" t="s">
        <v>37</v>
      </c>
      <c r="N173" s="7" t="s">
        <v>37</v>
      </c>
      <c r="O173" s="7" t="s">
        <v>37</v>
      </c>
      <c r="P173" s="7" t="s">
        <v>37</v>
      </c>
      <c r="Q173" s="7" t="s">
        <v>37</v>
      </c>
      <c r="R173" s="7" t="s">
        <v>37</v>
      </c>
      <c r="S173" s="7" t="s">
        <v>37</v>
      </c>
      <c r="T173" s="7" t="s">
        <v>37</v>
      </c>
      <c r="U173" s="7">
        <v>435.32150000000001</v>
      </c>
      <c r="V173" s="7">
        <v>1.5580000000000001</v>
      </c>
      <c r="W173" s="7">
        <v>291.19450000000001</v>
      </c>
      <c r="X173" s="9">
        <v>3.2359365692962799E-9</v>
      </c>
      <c r="Y173" s="7">
        <v>1.538</v>
      </c>
      <c r="Z173" s="7">
        <v>0</v>
      </c>
      <c r="AA173" s="7">
        <v>-2.36</v>
      </c>
      <c r="AB173" s="7">
        <v>-4.26</v>
      </c>
      <c r="AC173" s="7">
        <v>9.48</v>
      </c>
      <c r="AD173" s="7">
        <v>-0.32300000000000001</v>
      </c>
      <c r="AE173" s="7">
        <v>229</v>
      </c>
      <c r="AF173" s="7">
        <v>68.853999999999999</v>
      </c>
      <c r="AG173" s="7">
        <v>220.221</v>
      </c>
      <c r="AH173" s="7">
        <v>3.14</v>
      </c>
      <c r="AI173" s="7" t="s">
        <v>37</v>
      </c>
      <c r="AJ173" s="7">
        <v>27.295999999999999</v>
      </c>
      <c r="AK173" s="7">
        <v>1</v>
      </c>
      <c r="AL173" s="7">
        <v>70.825999999999993</v>
      </c>
      <c r="AM173" s="7" t="s">
        <v>37</v>
      </c>
      <c r="AN173" s="9">
        <v>8.4912197023087298E-10</v>
      </c>
      <c r="AO173" s="7" t="s">
        <v>37</v>
      </c>
      <c r="AP173" s="7">
        <v>0.64195599999999997</v>
      </c>
      <c r="AQ173" s="7">
        <v>0</v>
      </c>
      <c r="AR173" s="7">
        <v>0</v>
      </c>
      <c r="AS173"/>
    </row>
    <row r="174" spans="1:45" ht="19.5" customHeight="1" x14ac:dyDescent="0.3">
      <c r="A174" s="7" t="s">
        <v>62</v>
      </c>
      <c r="B174" s="7" t="s">
        <v>2080</v>
      </c>
      <c r="C174" s="7">
        <v>41</v>
      </c>
      <c r="D174" s="7">
        <v>2165858.92878658</v>
      </c>
      <c r="E174" s="7">
        <v>1651</v>
      </c>
      <c r="F174" s="7">
        <v>23.7942583732057</v>
      </c>
      <c r="G174" s="7" t="s">
        <v>63</v>
      </c>
      <c r="H174" s="7" t="s">
        <v>64</v>
      </c>
      <c r="I174" s="7" t="s">
        <v>65</v>
      </c>
      <c r="J174" s="8" t="s">
        <v>66</v>
      </c>
      <c r="K174" s="7" t="s">
        <v>67</v>
      </c>
      <c r="L174" s="7">
        <v>206.285</v>
      </c>
      <c r="M174" s="7">
        <v>22380</v>
      </c>
      <c r="N174" s="7" t="s">
        <v>37</v>
      </c>
      <c r="O174" s="9">
        <v>100000</v>
      </c>
      <c r="P174" s="7">
        <v>68</v>
      </c>
      <c r="Q174" s="7">
        <v>3700</v>
      </c>
      <c r="R174" s="7">
        <v>1250</v>
      </c>
      <c r="S174" s="7">
        <v>209.64250000000001</v>
      </c>
      <c r="T174" s="7">
        <v>1E-3</v>
      </c>
      <c r="U174" s="7">
        <v>157</v>
      </c>
      <c r="V174" s="7">
        <v>1.0449999999999999</v>
      </c>
      <c r="W174" s="7">
        <v>196.72749999999999</v>
      </c>
      <c r="X174" s="9">
        <v>8.1283051616410003E-8</v>
      </c>
      <c r="Y174" s="7">
        <v>1.5189999999999999</v>
      </c>
      <c r="Z174" s="7">
        <v>12.77</v>
      </c>
      <c r="AA174" s="7">
        <v>3.05</v>
      </c>
      <c r="AB174" s="7">
        <v>1.25</v>
      </c>
      <c r="AC174" s="7">
        <v>8.76</v>
      </c>
      <c r="AD174" s="7">
        <v>3.7349999999999999</v>
      </c>
      <c r="AE174" s="7">
        <v>76</v>
      </c>
      <c r="AF174" s="7">
        <v>60.776000000000003</v>
      </c>
      <c r="AG174" s="7">
        <v>200.339</v>
      </c>
      <c r="AH174" s="7">
        <v>4.57</v>
      </c>
      <c r="AI174" s="7" t="s">
        <v>37</v>
      </c>
      <c r="AJ174" s="7">
        <v>24.093</v>
      </c>
      <c r="AK174" s="7">
        <v>0</v>
      </c>
      <c r="AL174" s="7">
        <v>36.603499999999997</v>
      </c>
      <c r="AM174" s="7">
        <v>132.81299999999999</v>
      </c>
      <c r="AN174" s="7">
        <v>1.3899999999999999E-4</v>
      </c>
      <c r="AO174" s="7">
        <v>18.365400000000001</v>
      </c>
      <c r="AP174" s="7">
        <v>1.7378000000000001E-4</v>
      </c>
      <c r="AQ174" s="7">
        <v>1</v>
      </c>
      <c r="AR174" s="7">
        <v>0</v>
      </c>
      <c r="AS174"/>
    </row>
    <row r="175" spans="1:45" ht="19.5" customHeight="1" x14ac:dyDescent="0.3">
      <c r="A175" s="7" t="s">
        <v>2174</v>
      </c>
      <c r="B175" s="7" t="s">
        <v>2083</v>
      </c>
      <c r="C175" s="7">
        <v>100</v>
      </c>
      <c r="D175" s="7">
        <v>4480373.2303732298</v>
      </c>
      <c r="E175" s="7">
        <v>37</v>
      </c>
      <c r="F175" s="7">
        <v>23.2258064516129</v>
      </c>
      <c r="G175" s="7" t="s">
        <v>2175</v>
      </c>
      <c r="H175" s="7" t="s">
        <v>2176</v>
      </c>
      <c r="I175" s="7" t="s">
        <v>2177</v>
      </c>
      <c r="J175" s="7" t="s">
        <v>2178</v>
      </c>
      <c r="K175" s="7" t="s">
        <v>2179</v>
      </c>
      <c r="L175" s="7">
        <v>240.31</v>
      </c>
      <c r="M175" s="7" t="s">
        <v>37</v>
      </c>
      <c r="N175" s="7" t="s">
        <v>37</v>
      </c>
      <c r="O175" s="7" t="s">
        <v>37</v>
      </c>
      <c r="P175" s="7" t="s">
        <v>37</v>
      </c>
      <c r="Q175" s="7" t="s">
        <v>37</v>
      </c>
      <c r="R175" s="7" t="s">
        <v>37</v>
      </c>
      <c r="S175" s="7" t="s">
        <v>37</v>
      </c>
      <c r="T175" s="7" t="s">
        <v>37</v>
      </c>
      <c r="U175" s="7">
        <v>389.00400000000002</v>
      </c>
      <c r="V175" s="7">
        <v>1.3859999999999999</v>
      </c>
      <c r="W175" s="7">
        <v>249.68700000000001</v>
      </c>
      <c r="X175" s="9">
        <v>1.44543977074593E-7</v>
      </c>
      <c r="Y175" s="7" t="s">
        <v>37</v>
      </c>
      <c r="Z175" s="7">
        <v>15.17</v>
      </c>
      <c r="AA175" s="7">
        <v>1.19</v>
      </c>
      <c r="AB175" s="7">
        <v>2.67</v>
      </c>
      <c r="AC175" s="7">
        <v>11.46</v>
      </c>
      <c r="AD175" s="7">
        <v>2.9649999999999999</v>
      </c>
      <c r="AE175" s="7">
        <v>293</v>
      </c>
      <c r="AF175" s="7" t="s">
        <v>37</v>
      </c>
      <c r="AG175" s="7" t="s">
        <v>37</v>
      </c>
      <c r="AH175" s="7" t="s">
        <v>37</v>
      </c>
      <c r="AI175" s="7">
        <v>7.17</v>
      </c>
      <c r="AJ175" s="7" t="s">
        <v>37</v>
      </c>
      <c r="AK175" s="7">
        <v>0</v>
      </c>
      <c r="AL175" s="7" t="s">
        <v>37</v>
      </c>
      <c r="AM175" s="7">
        <v>138.126</v>
      </c>
      <c r="AN175" s="9">
        <v>3.6436612705897101E-8</v>
      </c>
      <c r="AO175" s="7" t="s">
        <v>37</v>
      </c>
      <c r="AP175" s="7">
        <v>6.4268799999999998E-4</v>
      </c>
      <c r="AQ175" s="7">
        <v>0</v>
      </c>
      <c r="AR175" s="7">
        <v>0</v>
      </c>
      <c r="AS175"/>
    </row>
    <row r="176" spans="1:45" ht="19.5" customHeight="1" x14ac:dyDescent="0.3">
      <c r="A176" s="7" t="s">
        <v>587</v>
      </c>
      <c r="B176" s="7" t="s">
        <v>2080</v>
      </c>
      <c r="C176" s="7">
        <v>27.5</v>
      </c>
      <c r="D176" s="7">
        <v>111602.61274321</v>
      </c>
      <c r="E176" s="7">
        <v>84</v>
      </c>
      <c r="F176" s="7">
        <v>17.326923076923102</v>
      </c>
      <c r="G176" s="7" t="s">
        <v>588</v>
      </c>
      <c r="H176" s="7" t="s">
        <v>589</v>
      </c>
      <c r="I176" s="7" t="s">
        <v>590</v>
      </c>
      <c r="J176" s="8" t="s">
        <v>591</v>
      </c>
      <c r="K176" s="7" t="s">
        <v>592</v>
      </c>
      <c r="L176" s="7">
        <v>357.79</v>
      </c>
      <c r="M176" s="7">
        <v>16120</v>
      </c>
      <c r="N176" s="7" t="s">
        <v>37</v>
      </c>
      <c r="O176" s="7">
        <v>81920</v>
      </c>
      <c r="P176" s="7">
        <v>5366.9</v>
      </c>
      <c r="Q176" s="7">
        <v>500</v>
      </c>
      <c r="R176" s="7" t="s">
        <v>37</v>
      </c>
      <c r="S176" s="7">
        <v>100</v>
      </c>
      <c r="T176" s="7">
        <v>0.1</v>
      </c>
      <c r="U176" s="7">
        <v>484.6035</v>
      </c>
      <c r="V176" s="7">
        <v>1.345</v>
      </c>
      <c r="W176" s="7">
        <v>270.93099999999998</v>
      </c>
      <c r="X176" s="9">
        <v>8.5113803820237603E-10</v>
      </c>
      <c r="Y176" s="7">
        <v>1.619</v>
      </c>
      <c r="Z176" s="7">
        <v>12.79</v>
      </c>
      <c r="AA176" s="7">
        <v>4.2699999999999996</v>
      </c>
      <c r="AB176" s="7">
        <v>4.2699999999999996</v>
      </c>
      <c r="AC176" s="7">
        <v>10.37</v>
      </c>
      <c r="AD176" s="7">
        <v>4.2699999999999996</v>
      </c>
      <c r="AE176" s="7">
        <v>159</v>
      </c>
      <c r="AF176" s="7">
        <v>94.593999999999994</v>
      </c>
      <c r="AG176" s="7">
        <v>269.565</v>
      </c>
      <c r="AH176" s="7">
        <v>9.94</v>
      </c>
      <c r="AI176" s="7" t="s">
        <v>37</v>
      </c>
      <c r="AJ176" s="7">
        <v>37.5</v>
      </c>
      <c r="AK176" s="7">
        <v>0</v>
      </c>
      <c r="AL176" s="7">
        <v>47.494999999999997</v>
      </c>
      <c r="AM176" s="7" t="s">
        <v>37</v>
      </c>
      <c r="AN176" s="9">
        <v>3.55631E-10</v>
      </c>
      <c r="AO176" s="7" t="s">
        <v>37</v>
      </c>
      <c r="AP176" s="9">
        <v>3.7749999999999999E-6</v>
      </c>
      <c r="AQ176" s="7">
        <v>0</v>
      </c>
      <c r="AR176" s="7">
        <v>0</v>
      </c>
      <c r="AS176"/>
    </row>
    <row r="177" spans="1:45" ht="19.5" customHeight="1" x14ac:dyDescent="0.3">
      <c r="A177" s="7" t="s">
        <v>898</v>
      </c>
      <c r="B177" s="7" t="s">
        <v>2089</v>
      </c>
      <c r="C177" s="7">
        <v>100</v>
      </c>
      <c r="D177" s="7">
        <v>37.650844730490697</v>
      </c>
      <c r="E177" s="7">
        <v>22</v>
      </c>
      <c r="F177" s="7">
        <v>31.871794871794901</v>
      </c>
      <c r="G177" s="7" t="s">
        <v>899</v>
      </c>
      <c r="H177" s="7" t="s">
        <v>900</v>
      </c>
      <c r="I177" s="7" t="s">
        <v>901</v>
      </c>
      <c r="J177" s="8" t="s">
        <v>902</v>
      </c>
      <c r="K177" s="7" t="s">
        <v>903</v>
      </c>
      <c r="L177" s="7">
        <v>332.46300000000002</v>
      </c>
      <c r="M177" s="7" t="s">
        <v>37</v>
      </c>
      <c r="N177" s="7" t="s">
        <v>37</v>
      </c>
      <c r="O177" s="7" t="s">
        <v>37</v>
      </c>
      <c r="P177" s="7" t="s">
        <v>37</v>
      </c>
      <c r="Q177" s="7" t="s">
        <v>37</v>
      </c>
      <c r="R177" s="7" t="s">
        <v>37</v>
      </c>
      <c r="S177" s="7" t="s">
        <v>37</v>
      </c>
      <c r="T177" s="7" t="s">
        <v>37</v>
      </c>
      <c r="U177" s="7">
        <v>306</v>
      </c>
      <c r="V177" s="7" t="s">
        <v>37</v>
      </c>
      <c r="W177" s="7" t="s">
        <v>37</v>
      </c>
      <c r="X177" s="9">
        <v>3.1622776601683799E-9</v>
      </c>
      <c r="Y177" s="7" t="s">
        <v>37</v>
      </c>
      <c r="Z177" s="7">
        <v>17.45</v>
      </c>
      <c r="AA177" s="7">
        <v>-1.02</v>
      </c>
      <c r="AB177" s="7">
        <v>0.88</v>
      </c>
      <c r="AC177" s="7">
        <v>11.41</v>
      </c>
      <c r="AD177" s="7">
        <v>-1.6240000000000001</v>
      </c>
      <c r="AE177" s="7">
        <v>109.80200000000001</v>
      </c>
      <c r="AF177" s="7" t="s">
        <v>37</v>
      </c>
      <c r="AG177" s="7" t="s">
        <v>37</v>
      </c>
      <c r="AH177" s="7" t="s">
        <v>37</v>
      </c>
      <c r="AI177" s="7">
        <v>11.8545</v>
      </c>
      <c r="AJ177" s="7" t="s">
        <v>37</v>
      </c>
      <c r="AK177" s="7">
        <v>0</v>
      </c>
      <c r="AL177" s="7" t="s">
        <v>37</v>
      </c>
      <c r="AM177" s="7" t="s">
        <v>37</v>
      </c>
      <c r="AN177" s="9">
        <v>1.94984459975805E-7</v>
      </c>
      <c r="AO177" s="7" t="s">
        <v>37</v>
      </c>
      <c r="AP177" s="7">
        <v>0.30514091914656299</v>
      </c>
      <c r="AQ177" s="7">
        <v>1</v>
      </c>
      <c r="AR177" s="7">
        <v>1</v>
      </c>
      <c r="AS177"/>
    </row>
    <row r="178" spans="1:45" ht="19.5" customHeight="1" x14ac:dyDescent="0.3">
      <c r="A178" s="7" t="s">
        <v>898</v>
      </c>
      <c r="B178" s="7" t="s">
        <v>2091</v>
      </c>
      <c r="C178" s="7">
        <v>100</v>
      </c>
      <c r="D178" s="7">
        <v>44161.597263784599</v>
      </c>
      <c r="E178" s="7">
        <v>89</v>
      </c>
      <c r="F178" s="7">
        <v>31.871794871794901</v>
      </c>
      <c r="G178" s="7" t="s">
        <v>899</v>
      </c>
      <c r="H178" s="7" t="s">
        <v>900</v>
      </c>
      <c r="I178" s="7" t="s">
        <v>901</v>
      </c>
      <c r="J178" s="8" t="s">
        <v>902</v>
      </c>
      <c r="K178" s="7" t="s">
        <v>903</v>
      </c>
      <c r="L178" s="7">
        <v>332.46300000000002</v>
      </c>
      <c r="M178" s="7" t="s">
        <v>37</v>
      </c>
      <c r="N178" s="7" t="s">
        <v>37</v>
      </c>
      <c r="O178" s="7" t="s">
        <v>37</v>
      </c>
      <c r="P178" s="7" t="s">
        <v>37</v>
      </c>
      <c r="Q178" s="7" t="s">
        <v>37</v>
      </c>
      <c r="R178" s="7" t="s">
        <v>37</v>
      </c>
      <c r="S178" s="7" t="s">
        <v>37</v>
      </c>
      <c r="T178" s="7" t="s">
        <v>37</v>
      </c>
      <c r="U178" s="7">
        <v>306</v>
      </c>
      <c r="V178" s="7" t="s">
        <v>37</v>
      </c>
      <c r="W178" s="7" t="s">
        <v>37</v>
      </c>
      <c r="X178" s="9">
        <v>3.1622776601683799E-9</v>
      </c>
      <c r="Y178" s="7" t="s">
        <v>37</v>
      </c>
      <c r="Z178" s="7">
        <v>17.45</v>
      </c>
      <c r="AA178" s="7">
        <v>-1.02</v>
      </c>
      <c r="AB178" s="7">
        <v>0.88</v>
      </c>
      <c r="AC178" s="7">
        <v>11.41</v>
      </c>
      <c r="AD178" s="7">
        <v>-1.6240000000000001</v>
      </c>
      <c r="AE178" s="7">
        <v>109.80200000000001</v>
      </c>
      <c r="AF178" s="7" t="s">
        <v>37</v>
      </c>
      <c r="AG178" s="7" t="s">
        <v>37</v>
      </c>
      <c r="AH178" s="7" t="s">
        <v>37</v>
      </c>
      <c r="AI178" s="7">
        <v>11.8545</v>
      </c>
      <c r="AJ178" s="7" t="s">
        <v>37</v>
      </c>
      <c r="AK178" s="7">
        <v>0</v>
      </c>
      <c r="AL178" s="7" t="s">
        <v>37</v>
      </c>
      <c r="AM178" s="7" t="s">
        <v>37</v>
      </c>
      <c r="AN178" s="9">
        <v>1.94984459975805E-7</v>
      </c>
      <c r="AO178" s="7" t="s">
        <v>37</v>
      </c>
      <c r="AP178" s="7">
        <v>0.30514091914656299</v>
      </c>
      <c r="AQ178" s="7">
        <v>1</v>
      </c>
      <c r="AR178" s="7">
        <v>1</v>
      </c>
      <c r="AS178"/>
    </row>
    <row r="179" spans="1:45" ht="19.5" customHeight="1" x14ac:dyDescent="0.3">
      <c r="A179" s="7" t="s">
        <v>450</v>
      </c>
      <c r="B179" s="7" t="s">
        <v>2080</v>
      </c>
      <c r="C179" s="7">
        <v>100</v>
      </c>
      <c r="D179" s="7">
        <v>209161.43880619199</v>
      </c>
      <c r="E179" s="7">
        <v>341</v>
      </c>
      <c r="F179" s="7">
        <v>66.095617529880499</v>
      </c>
      <c r="G179" s="7" t="s">
        <v>451</v>
      </c>
      <c r="H179" s="7" t="s">
        <v>452</v>
      </c>
      <c r="I179" s="7" t="s">
        <v>453</v>
      </c>
      <c r="J179" s="8" t="s">
        <v>454</v>
      </c>
      <c r="K179" s="7" t="s">
        <v>455</v>
      </c>
      <c r="L179" s="7">
        <v>428.54</v>
      </c>
      <c r="M179" s="7" t="s">
        <v>37</v>
      </c>
      <c r="N179" s="7" t="s">
        <v>37</v>
      </c>
      <c r="O179" s="7" t="s">
        <v>37</v>
      </c>
      <c r="P179" s="7" t="s">
        <v>37</v>
      </c>
      <c r="Q179" s="7" t="s">
        <v>37</v>
      </c>
      <c r="R179" s="7" t="s">
        <v>37</v>
      </c>
      <c r="S179" s="7">
        <v>428.53699999999998</v>
      </c>
      <c r="T179" s="7">
        <v>42.853700000000003</v>
      </c>
      <c r="U179" s="7">
        <v>648.57500000000005</v>
      </c>
      <c r="V179" s="7">
        <v>1.347</v>
      </c>
      <c r="W179" s="7">
        <v>344.642</v>
      </c>
      <c r="X179" s="9">
        <v>2.8183829312644502E-9</v>
      </c>
      <c r="Y179" s="7">
        <v>1.69</v>
      </c>
      <c r="Z179" s="7">
        <v>16.7</v>
      </c>
      <c r="AA179" s="7">
        <v>3.35</v>
      </c>
      <c r="AB179" s="7">
        <v>2.37</v>
      </c>
      <c r="AC179" s="7">
        <v>10.24</v>
      </c>
      <c r="AD179" s="7">
        <v>4.1950000000000003</v>
      </c>
      <c r="AE179" s="7">
        <v>180.25</v>
      </c>
      <c r="AF179" s="7">
        <v>125.446</v>
      </c>
      <c r="AG179" s="7">
        <v>328.24599999999998</v>
      </c>
      <c r="AH179" s="7">
        <v>5.0199999999999996</v>
      </c>
      <c r="AI179" s="7">
        <v>6.77</v>
      </c>
      <c r="AJ179" s="7">
        <v>49.731000000000002</v>
      </c>
      <c r="AK179" s="7">
        <v>0</v>
      </c>
      <c r="AL179" s="7">
        <v>54.433999999999997</v>
      </c>
      <c r="AM179" s="7" t="s">
        <v>37</v>
      </c>
      <c r="AN179" s="9">
        <v>1.47560466583319E-9</v>
      </c>
      <c r="AO179" s="7" t="s">
        <v>37</v>
      </c>
      <c r="AP179" s="9">
        <v>7.4994412065045897E-6</v>
      </c>
      <c r="AQ179" s="7">
        <v>1</v>
      </c>
      <c r="AR179" s="7">
        <v>1</v>
      </c>
      <c r="AS179"/>
    </row>
    <row r="180" spans="1:45" ht="19.5" customHeight="1" x14ac:dyDescent="0.3">
      <c r="A180" s="7" t="s">
        <v>790</v>
      </c>
      <c r="B180" s="7" t="s">
        <v>2080</v>
      </c>
      <c r="C180" s="7">
        <v>10</v>
      </c>
      <c r="D180" s="7">
        <v>44983.471237974598</v>
      </c>
      <c r="E180" s="7">
        <v>104</v>
      </c>
      <c r="F180" s="7">
        <v>40.4791666666667</v>
      </c>
      <c r="G180" s="7" t="s">
        <v>791</v>
      </c>
      <c r="H180" s="7" t="s">
        <v>792</v>
      </c>
      <c r="I180" s="7" t="s">
        <v>793</v>
      </c>
      <c r="J180" s="8" t="s">
        <v>794</v>
      </c>
      <c r="K180" s="7" t="s">
        <v>795</v>
      </c>
      <c r="L180" s="7">
        <v>236.136</v>
      </c>
      <c r="M180" s="7" t="s">
        <v>37</v>
      </c>
      <c r="N180" s="7" t="s">
        <v>37</v>
      </c>
      <c r="O180" s="7" t="s">
        <v>37</v>
      </c>
      <c r="P180" s="7" t="s">
        <v>37</v>
      </c>
      <c r="Q180" s="7" t="s">
        <v>37</v>
      </c>
      <c r="R180" s="7" t="s">
        <v>37</v>
      </c>
      <c r="S180" s="7" t="s">
        <v>37</v>
      </c>
      <c r="T180" s="7" t="s">
        <v>37</v>
      </c>
      <c r="U180" s="7">
        <v>274.89499999999998</v>
      </c>
      <c r="V180" s="7">
        <v>1.6174999999999999</v>
      </c>
      <c r="W180" s="7">
        <v>160.3725</v>
      </c>
      <c r="X180" s="9">
        <v>1.7378008287493799E-6</v>
      </c>
      <c r="Y180" s="7">
        <v>1.538</v>
      </c>
      <c r="Z180" s="7">
        <v>5.07</v>
      </c>
      <c r="AA180" s="7">
        <v>1.1599999999999999</v>
      </c>
      <c r="AB180" s="7">
        <v>-0.21</v>
      </c>
      <c r="AC180" s="7">
        <v>5.77</v>
      </c>
      <c r="AD180" s="7">
        <v>1.31</v>
      </c>
      <c r="AE180" s="7">
        <v>70</v>
      </c>
      <c r="AF180" s="7">
        <v>44.692999999999998</v>
      </c>
      <c r="AG180" s="7">
        <v>142.93299999999999</v>
      </c>
      <c r="AH180" s="7">
        <v>5.89</v>
      </c>
      <c r="AI180" s="7" t="s">
        <v>37</v>
      </c>
      <c r="AJ180" s="7">
        <v>17.718</v>
      </c>
      <c r="AK180" s="7">
        <v>1</v>
      </c>
      <c r="AL180" s="7">
        <v>62.652999999999999</v>
      </c>
      <c r="AM180" s="7" t="s">
        <v>37</v>
      </c>
      <c r="AN180" s="9">
        <v>3.1900000000000003E-5</v>
      </c>
      <c r="AO180" s="7">
        <v>7.5683299999999996</v>
      </c>
      <c r="AP180" s="7">
        <v>2.3400000000000001E-3</v>
      </c>
      <c r="AQ180" s="7">
        <v>1</v>
      </c>
      <c r="AR180" s="7">
        <v>0</v>
      </c>
      <c r="AS180"/>
    </row>
    <row r="181" spans="1:45" ht="19.5" customHeight="1" x14ac:dyDescent="0.3">
      <c r="A181" s="7" t="s">
        <v>779</v>
      </c>
      <c r="B181" s="7" t="s">
        <v>2080</v>
      </c>
      <c r="C181" s="7">
        <v>3</v>
      </c>
      <c r="D181" s="7">
        <v>46881.465154595797</v>
      </c>
      <c r="E181" s="7">
        <v>600</v>
      </c>
      <c r="F181" s="7">
        <v>71.404255319148902</v>
      </c>
      <c r="G181" s="7" t="s">
        <v>780</v>
      </c>
      <c r="H181" s="7" t="s">
        <v>781</v>
      </c>
      <c r="I181" s="7" t="s">
        <v>782</v>
      </c>
      <c r="J181" s="8" t="s">
        <v>783</v>
      </c>
      <c r="K181" s="7" t="s">
        <v>784</v>
      </c>
      <c r="L181" s="7">
        <v>191.13900000000001</v>
      </c>
      <c r="M181" s="7" t="s">
        <v>37</v>
      </c>
      <c r="N181" s="7" t="s">
        <v>37</v>
      </c>
      <c r="O181" s="7" t="s">
        <v>37</v>
      </c>
      <c r="P181" s="7" t="s">
        <v>37</v>
      </c>
      <c r="Q181" s="7" t="s">
        <v>37</v>
      </c>
      <c r="R181" s="7" t="s">
        <v>37</v>
      </c>
      <c r="S181" s="7" t="s">
        <v>37</v>
      </c>
      <c r="T181" s="7" t="s">
        <v>37</v>
      </c>
      <c r="U181" s="7">
        <v>279.8</v>
      </c>
      <c r="V181" s="7">
        <v>1.5515000000000001</v>
      </c>
      <c r="W181" s="7">
        <v>155.304</v>
      </c>
      <c r="X181" s="9">
        <v>1.99526231496888E-7</v>
      </c>
      <c r="Y181" s="7">
        <v>1.5429999999999999</v>
      </c>
      <c r="Z181" s="7">
        <v>0.64</v>
      </c>
      <c r="AA181" s="7">
        <v>-0.5</v>
      </c>
      <c r="AB181" s="7">
        <v>-2.15</v>
      </c>
      <c r="AC181" s="7">
        <v>7.38</v>
      </c>
      <c r="AD181" s="7">
        <v>-0.15</v>
      </c>
      <c r="AE181" s="7">
        <v>71.5</v>
      </c>
      <c r="AF181" s="7">
        <v>38.447000000000003</v>
      </c>
      <c r="AG181" s="7">
        <v>122.014</v>
      </c>
      <c r="AH181" s="7">
        <v>5.4</v>
      </c>
      <c r="AI181" s="7" t="s">
        <v>37</v>
      </c>
      <c r="AJ181" s="7">
        <v>15.241</v>
      </c>
      <c r="AK181" s="7">
        <v>1</v>
      </c>
      <c r="AL181" s="7">
        <v>60.253999999999998</v>
      </c>
      <c r="AM181" s="7" t="s">
        <v>37</v>
      </c>
      <c r="AN181" s="9">
        <v>2.7542287033381701E-5</v>
      </c>
      <c r="AO181" s="7">
        <v>37.844299999999997</v>
      </c>
      <c r="AP181" s="7">
        <v>0.488593</v>
      </c>
      <c r="AQ181" s="7">
        <v>1</v>
      </c>
      <c r="AR181" s="7">
        <v>0</v>
      </c>
      <c r="AS181"/>
    </row>
    <row r="182" spans="1:45" ht="19.5" customHeight="1" x14ac:dyDescent="0.3">
      <c r="A182" s="7" t="s">
        <v>808</v>
      </c>
      <c r="B182" s="7" t="s">
        <v>2080</v>
      </c>
      <c r="C182" s="7">
        <v>35</v>
      </c>
      <c r="D182" s="7">
        <v>42788.461538461503</v>
      </c>
      <c r="E182" s="7">
        <v>104</v>
      </c>
      <c r="F182" s="7">
        <v>30</v>
      </c>
      <c r="G182" s="7" t="s">
        <v>809</v>
      </c>
      <c r="H182" s="7" t="s">
        <v>810</v>
      </c>
      <c r="I182" s="7" t="s">
        <v>811</v>
      </c>
      <c r="J182" s="8" t="s">
        <v>812</v>
      </c>
      <c r="K182" s="7" t="s">
        <v>813</v>
      </c>
      <c r="L182" s="7">
        <v>300.44200000000001</v>
      </c>
      <c r="M182" s="7" t="s">
        <v>37</v>
      </c>
      <c r="N182" s="7" t="s">
        <v>37</v>
      </c>
      <c r="O182" s="7">
        <v>36</v>
      </c>
      <c r="P182" s="7">
        <v>1.8</v>
      </c>
      <c r="Q182" s="7" t="s">
        <v>37</v>
      </c>
      <c r="R182" s="7" t="s">
        <v>37</v>
      </c>
      <c r="S182" s="7" t="s">
        <v>37</v>
      </c>
      <c r="T182" s="7" t="s">
        <v>37</v>
      </c>
      <c r="U182" s="7">
        <v>380.94349999999997</v>
      </c>
      <c r="V182" s="7">
        <v>1.0049999999999999</v>
      </c>
      <c r="W182" s="7">
        <v>289.59449999999998</v>
      </c>
      <c r="X182" s="9">
        <v>3.9810717055349701E-5</v>
      </c>
      <c r="Y182" s="7">
        <v>1.556</v>
      </c>
      <c r="Z182" s="7">
        <v>18.170000000000002</v>
      </c>
      <c r="AA182" s="7">
        <v>6.29</v>
      </c>
      <c r="AB182" s="7">
        <v>5.89</v>
      </c>
      <c r="AC182" s="7">
        <v>11.11</v>
      </c>
      <c r="AD182" s="7">
        <v>6.5650000000000004</v>
      </c>
      <c r="AE182" s="7">
        <v>175</v>
      </c>
      <c r="AF182" s="7">
        <v>95.527000000000001</v>
      </c>
      <c r="AG182" s="7">
        <v>297.15100000000001</v>
      </c>
      <c r="AH182" s="7">
        <v>7.2</v>
      </c>
      <c r="AI182" s="7" t="s">
        <v>37</v>
      </c>
      <c r="AJ182" s="7">
        <v>37.869999999999997</v>
      </c>
      <c r="AK182" s="7">
        <v>0</v>
      </c>
      <c r="AL182" s="7">
        <v>33.274500000000003</v>
      </c>
      <c r="AM182" s="7">
        <v>133.934</v>
      </c>
      <c r="AN182" s="9">
        <v>8.8920100000000002E-7</v>
      </c>
      <c r="AO182" s="7" t="s">
        <v>37</v>
      </c>
      <c r="AP182" s="9">
        <v>7.1853527402544901E-6</v>
      </c>
      <c r="AQ182" s="7">
        <v>0</v>
      </c>
      <c r="AR182" s="7">
        <v>0</v>
      </c>
      <c r="AS182"/>
    </row>
    <row r="183" spans="1:45" ht="19.5" customHeight="1" x14ac:dyDescent="0.3">
      <c r="A183" s="7" t="s">
        <v>2180</v>
      </c>
      <c r="B183" s="7" t="s">
        <v>2083</v>
      </c>
      <c r="C183" s="7">
        <v>100</v>
      </c>
      <c r="D183" s="7">
        <v>1500000</v>
      </c>
      <c r="E183" s="7">
        <v>10</v>
      </c>
      <c r="F183" s="7">
        <v>30</v>
      </c>
      <c r="G183" s="7" t="s">
        <v>2181</v>
      </c>
      <c r="H183" s="7" t="s">
        <v>37</v>
      </c>
      <c r="I183" s="7" t="s">
        <v>37</v>
      </c>
      <c r="J183" s="7" t="s">
        <v>37</v>
      </c>
      <c r="K183" s="7" t="s">
        <v>37</v>
      </c>
      <c r="L183" s="7" t="s">
        <v>37</v>
      </c>
      <c r="M183" s="7" t="s">
        <v>37</v>
      </c>
      <c r="N183" s="7" t="s">
        <v>37</v>
      </c>
      <c r="O183" s="7" t="s">
        <v>37</v>
      </c>
      <c r="P183" s="7" t="s">
        <v>37</v>
      </c>
      <c r="Q183" s="7" t="s">
        <v>37</v>
      </c>
      <c r="R183" s="7" t="s">
        <v>37</v>
      </c>
      <c r="S183" s="7" t="s">
        <v>37</v>
      </c>
      <c r="T183" s="7" t="s">
        <v>37</v>
      </c>
      <c r="U183" s="7" t="s">
        <v>37</v>
      </c>
      <c r="V183" s="7" t="s">
        <v>37</v>
      </c>
      <c r="W183" s="7" t="s">
        <v>37</v>
      </c>
      <c r="X183" s="7" t="s">
        <v>37</v>
      </c>
      <c r="Y183" s="7" t="s">
        <v>37</v>
      </c>
      <c r="Z183" s="7" t="s">
        <v>37</v>
      </c>
      <c r="AA183" s="7" t="s">
        <v>37</v>
      </c>
      <c r="AB183" s="7" t="s">
        <v>37</v>
      </c>
      <c r="AC183" s="7" t="s">
        <v>37</v>
      </c>
      <c r="AD183" s="7" t="s">
        <v>37</v>
      </c>
      <c r="AE183" s="7" t="s">
        <v>37</v>
      </c>
      <c r="AF183" s="7" t="s">
        <v>37</v>
      </c>
      <c r="AG183" s="7" t="s">
        <v>37</v>
      </c>
      <c r="AH183" s="7" t="s">
        <v>37</v>
      </c>
      <c r="AI183" s="7" t="s">
        <v>37</v>
      </c>
      <c r="AJ183" s="7" t="s">
        <v>37</v>
      </c>
      <c r="AK183" s="7" t="s">
        <v>37</v>
      </c>
      <c r="AL183" s="7" t="s">
        <v>37</v>
      </c>
      <c r="AM183" s="7" t="s">
        <v>37</v>
      </c>
      <c r="AN183" s="7" t="s">
        <v>37</v>
      </c>
      <c r="AO183" s="7" t="s">
        <v>37</v>
      </c>
      <c r="AP183" s="7" t="s">
        <v>37</v>
      </c>
      <c r="AQ183" s="7" t="s">
        <v>37</v>
      </c>
      <c r="AR183" s="7" t="s">
        <v>37</v>
      </c>
      <c r="AS183"/>
    </row>
    <row r="184" spans="1:45" ht="19.5" customHeight="1" x14ac:dyDescent="0.3">
      <c r="A184" s="7" t="s">
        <v>2182</v>
      </c>
      <c r="B184" s="7" t="s">
        <v>2083</v>
      </c>
      <c r="C184" s="7">
        <v>100</v>
      </c>
      <c r="D184" s="7">
        <v>6879447.3480449095</v>
      </c>
      <c r="E184" s="7">
        <v>336</v>
      </c>
      <c r="F184" s="7">
        <v>27.3333333333333</v>
      </c>
      <c r="G184" s="7" t="s">
        <v>2183</v>
      </c>
      <c r="H184" s="7" t="s">
        <v>2184</v>
      </c>
      <c r="I184" s="7" t="s">
        <v>2185</v>
      </c>
      <c r="J184" s="8" t="s">
        <v>2186</v>
      </c>
      <c r="K184" s="7" t="s">
        <v>2187</v>
      </c>
      <c r="L184" s="7">
        <v>531.42999999999904</v>
      </c>
      <c r="M184" s="7" t="s">
        <v>37</v>
      </c>
      <c r="N184" s="7" t="s">
        <v>37</v>
      </c>
      <c r="O184" s="7" t="s">
        <v>37</v>
      </c>
      <c r="P184" s="7" t="s">
        <v>37</v>
      </c>
      <c r="Q184" s="7" t="s">
        <v>37</v>
      </c>
      <c r="R184" s="7" t="s">
        <v>37</v>
      </c>
      <c r="S184" s="7">
        <v>30000</v>
      </c>
      <c r="T184" s="7">
        <v>3000</v>
      </c>
      <c r="U184" s="7">
        <v>393</v>
      </c>
      <c r="V184" s="7" t="s">
        <v>37</v>
      </c>
      <c r="W184" s="7" t="s">
        <v>37</v>
      </c>
      <c r="X184" s="9">
        <v>4.46683592150963E-8</v>
      </c>
      <c r="Y184" s="7" t="s">
        <v>37</v>
      </c>
      <c r="Z184" s="7">
        <v>19.079999999999998</v>
      </c>
      <c r="AA184" s="7">
        <v>4.3499999999999996</v>
      </c>
      <c r="AB184" s="7">
        <v>4.25</v>
      </c>
      <c r="AC184" s="7">
        <v>11.68</v>
      </c>
      <c r="AD184" s="7">
        <v>4.3499999999999996</v>
      </c>
      <c r="AE184" s="7">
        <v>146</v>
      </c>
      <c r="AF184" s="7" t="s">
        <v>37</v>
      </c>
      <c r="AG184" s="7" t="s">
        <v>37</v>
      </c>
      <c r="AH184" s="7">
        <v>7.97</v>
      </c>
      <c r="AI184" s="7" t="s">
        <v>37</v>
      </c>
      <c r="AJ184" s="7" t="s">
        <v>37</v>
      </c>
      <c r="AK184" s="7">
        <v>0</v>
      </c>
      <c r="AL184" s="7" t="s">
        <v>37</v>
      </c>
      <c r="AM184" s="7" t="s">
        <v>37</v>
      </c>
      <c r="AN184" s="9">
        <v>2.6915348039269101E-10</v>
      </c>
      <c r="AO184" s="7" t="s">
        <v>37</v>
      </c>
      <c r="AP184" s="7">
        <v>1.5799999999999999E-4</v>
      </c>
      <c r="AQ184" s="7">
        <v>1</v>
      </c>
      <c r="AR184" s="7">
        <v>1</v>
      </c>
      <c r="AS184"/>
    </row>
    <row r="185" spans="1:45" ht="19.5" customHeight="1" x14ac:dyDescent="0.3">
      <c r="A185" s="7" t="s">
        <v>1030</v>
      </c>
      <c r="B185" s="7" t="s">
        <v>2080</v>
      </c>
      <c r="C185" s="7">
        <v>50</v>
      </c>
      <c r="D185" s="7">
        <v>25000</v>
      </c>
      <c r="E185" s="7">
        <v>1</v>
      </c>
      <c r="F185" s="7">
        <v>90</v>
      </c>
      <c r="G185" s="7" t="s">
        <v>1031</v>
      </c>
      <c r="H185" s="7" t="s">
        <v>1032</v>
      </c>
      <c r="I185" s="7" t="s">
        <v>1033</v>
      </c>
      <c r="J185" s="8" t="s">
        <v>1034</v>
      </c>
      <c r="K185" s="7" t="s">
        <v>1035</v>
      </c>
      <c r="L185" s="7">
        <v>254.285</v>
      </c>
      <c r="M185" s="7" t="s">
        <v>37</v>
      </c>
      <c r="N185" s="7" t="s">
        <v>37</v>
      </c>
      <c r="O185" s="7" t="s">
        <v>37</v>
      </c>
      <c r="P185" s="7" t="s">
        <v>37</v>
      </c>
      <c r="Q185" s="7" t="s">
        <v>37</v>
      </c>
      <c r="R185" s="7" t="s">
        <v>37</v>
      </c>
      <c r="S185" s="7">
        <v>1000</v>
      </c>
      <c r="T185" s="7">
        <v>0.1</v>
      </c>
      <c r="U185" s="7">
        <v>392.29399999999998</v>
      </c>
      <c r="V185" s="7">
        <v>1.198</v>
      </c>
      <c r="W185" s="7">
        <v>224.16900000000001</v>
      </c>
      <c r="X185" s="9">
        <v>1.3489628825916599E-9</v>
      </c>
      <c r="Y185" s="7">
        <v>1.5920000000000001</v>
      </c>
      <c r="Z185" s="7">
        <v>10.62</v>
      </c>
      <c r="AA185" s="7">
        <v>1.75</v>
      </c>
      <c r="AB185" s="7">
        <v>-0.13</v>
      </c>
      <c r="AC185" s="7">
        <v>10.57</v>
      </c>
      <c r="AD185" s="7">
        <v>3.12</v>
      </c>
      <c r="AE185" s="7">
        <v>94</v>
      </c>
      <c r="AF185" s="7">
        <v>71.795000000000002</v>
      </c>
      <c r="AG185" s="7">
        <v>212.24600000000001</v>
      </c>
      <c r="AH185" s="7">
        <v>4.2</v>
      </c>
      <c r="AI185" s="7" t="s">
        <v>37</v>
      </c>
      <c r="AJ185" s="7">
        <v>28.462</v>
      </c>
      <c r="AK185" s="7">
        <v>0</v>
      </c>
      <c r="AL185" s="7">
        <v>49.771000000000001</v>
      </c>
      <c r="AM185" s="7" t="s">
        <v>37</v>
      </c>
      <c r="AN185" s="9">
        <v>2.3442288153199201E-8</v>
      </c>
      <c r="AO185" s="7">
        <v>37.325000000000003</v>
      </c>
      <c r="AP185" s="7">
        <v>3.8146350000000002E-4</v>
      </c>
      <c r="AQ185" s="7">
        <v>1</v>
      </c>
      <c r="AR185" s="7">
        <v>0</v>
      </c>
      <c r="AS185"/>
    </row>
    <row r="186" spans="1:45" ht="19.5" customHeight="1" x14ac:dyDescent="0.3">
      <c r="A186" s="7" t="s">
        <v>665</v>
      </c>
      <c r="B186" s="7" t="s">
        <v>2090</v>
      </c>
      <c r="C186" s="7">
        <v>66</v>
      </c>
      <c r="D186" s="7">
        <v>2605.9763724808899</v>
      </c>
      <c r="E186" s="7">
        <v>6</v>
      </c>
      <c r="F186" s="7">
        <v>11.512</v>
      </c>
      <c r="G186" s="7" t="s">
        <v>666</v>
      </c>
      <c r="H186" s="7" t="s">
        <v>667</v>
      </c>
      <c r="I186" s="7" t="s">
        <v>668</v>
      </c>
      <c r="J186" s="8" t="s">
        <v>669</v>
      </c>
      <c r="K186" s="7" t="s">
        <v>670</v>
      </c>
      <c r="L186" s="7">
        <v>255.273</v>
      </c>
      <c r="M186" s="7" t="s">
        <v>37</v>
      </c>
      <c r="N186" s="7" t="s">
        <v>37</v>
      </c>
      <c r="O186" s="7" t="s">
        <v>37</v>
      </c>
      <c r="P186" s="7" t="s">
        <v>37</v>
      </c>
      <c r="Q186" s="7" t="s">
        <v>37</v>
      </c>
      <c r="R186" s="7" t="s">
        <v>37</v>
      </c>
      <c r="S186" s="7" t="s">
        <v>37</v>
      </c>
      <c r="T186" s="7" t="s">
        <v>37</v>
      </c>
      <c r="U186" s="7">
        <v>399.83</v>
      </c>
      <c r="V186" s="7">
        <v>1.3214999999999999</v>
      </c>
      <c r="W186" s="7">
        <v>247.14400000000001</v>
      </c>
      <c r="X186" s="9">
        <v>7.4131024130091598E-10</v>
      </c>
      <c r="Y186" s="7">
        <v>1.659</v>
      </c>
      <c r="Z186" s="7">
        <v>8.31</v>
      </c>
      <c r="AA186" s="7">
        <v>2.88</v>
      </c>
      <c r="AB186" s="7">
        <v>2.77</v>
      </c>
      <c r="AC186" s="7">
        <v>10.72</v>
      </c>
      <c r="AD186" s="7">
        <v>2.4489999999999998</v>
      </c>
      <c r="AE186" s="7">
        <v>160.5</v>
      </c>
      <c r="AF186" s="7">
        <v>70.537999999999997</v>
      </c>
      <c r="AG186" s="7">
        <v>191.20099999999999</v>
      </c>
      <c r="AH186" s="7">
        <v>7.95</v>
      </c>
      <c r="AI186" s="7" t="s">
        <v>37</v>
      </c>
      <c r="AJ186" s="7">
        <v>27.963999999999999</v>
      </c>
      <c r="AK186" s="7">
        <v>0</v>
      </c>
      <c r="AL186" s="7">
        <v>54.807000000000002</v>
      </c>
      <c r="AM186" s="7" t="s">
        <v>37</v>
      </c>
      <c r="AN186" s="9">
        <v>9.3325430079699198E-9</v>
      </c>
      <c r="AO186" s="7">
        <v>59.703499999999998</v>
      </c>
      <c r="AP186" s="7">
        <v>6.4336842522626605E-4</v>
      </c>
      <c r="AQ186" s="7">
        <v>1</v>
      </c>
      <c r="AR186" s="7">
        <v>0</v>
      </c>
      <c r="AS186"/>
    </row>
    <row r="187" spans="1:45" ht="19.5" customHeight="1" x14ac:dyDescent="0.3">
      <c r="A187" s="7" t="s">
        <v>665</v>
      </c>
      <c r="B187" s="7" t="s">
        <v>2092</v>
      </c>
      <c r="C187" s="7">
        <v>80</v>
      </c>
      <c r="D187" s="7">
        <v>173675.09423419001</v>
      </c>
      <c r="E187" s="7">
        <v>67</v>
      </c>
      <c r="F187" s="7">
        <v>20.3854328358209</v>
      </c>
      <c r="G187" s="7" t="s">
        <v>666</v>
      </c>
      <c r="H187" s="7" t="s">
        <v>667</v>
      </c>
      <c r="I187" s="7" t="s">
        <v>668</v>
      </c>
      <c r="J187" s="8" t="s">
        <v>669</v>
      </c>
      <c r="K187" s="7" t="s">
        <v>670</v>
      </c>
      <c r="L187" s="7">
        <v>255.273</v>
      </c>
      <c r="M187" s="7" t="s">
        <v>37</v>
      </c>
      <c r="N187" s="7" t="s">
        <v>37</v>
      </c>
      <c r="O187" s="7" t="s">
        <v>37</v>
      </c>
      <c r="P187" s="7" t="s">
        <v>37</v>
      </c>
      <c r="Q187" s="7" t="s">
        <v>37</v>
      </c>
      <c r="R187" s="7" t="s">
        <v>37</v>
      </c>
      <c r="S187" s="7" t="s">
        <v>37</v>
      </c>
      <c r="T187" s="7" t="s">
        <v>37</v>
      </c>
      <c r="U187" s="7">
        <v>399.83</v>
      </c>
      <c r="V187" s="7">
        <v>1.3214999999999999</v>
      </c>
      <c r="W187" s="7">
        <v>247.14400000000001</v>
      </c>
      <c r="X187" s="9">
        <v>7.4131024130091598E-10</v>
      </c>
      <c r="Y187" s="7">
        <v>1.659</v>
      </c>
      <c r="Z187" s="7">
        <v>8.31</v>
      </c>
      <c r="AA187" s="7">
        <v>2.88</v>
      </c>
      <c r="AB187" s="7">
        <v>2.77</v>
      </c>
      <c r="AC187" s="7">
        <v>10.72</v>
      </c>
      <c r="AD187" s="7">
        <v>2.4489999999999998</v>
      </c>
      <c r="AE187" s="7">
        <v>160.5</v>
      </c>
      <c r="AF187" s="7">
        <v>70.537999999999997</v>
      </c>
      <c r="AG187" s="7">
        <v>191.20099999999999</v>
      </c>
      <c r="AH187" s="7">
        <v>7.95</v>
      </c>
      <c r="AI187" s="7" t="s">
        <v>37</v>
      </c>
      <c r="AJ187" s="7">
        <v>27.963999999999999</v>
      </c>
      <c r="AK187" s="7">
        <v>0</v>
      </c>
      <c r="AL187" s="7">
        <v>54.807000000000002</v>
      </c>
      <c r="AM187" s="7" t="s">
        <v>37</v>
      </c>
      <c r="AN187" s="9">
        <v>9.3325430079699198E-9</v>
      </c>
      <c r="AO187" s="7">
        <v>59.703499999999998</v>
      </c>
      <c r="AP187" s="7">
        <v>6.4336842522626605E-4</v>
      </c>
      <c r="AQ187" s="7">
        <v>1</v>
      </c>
      <c r="AR187" s="7">
        <v>0</v>
      </c>
      <c r="AS187"/>
    </row>
    <row r="188" spans="1:45" ht="19.5" customHeight="1" x14ac:dyDescent="0.3">
      <c r="A188" s="7" t="s">
        <v>665</v>
      </c>
      <c r="B188" s="7" t="s">
        <v>2080</v>
      </c>
      <c r="C188" s="7">
        <v>66</v>
      </c>
      <c r="D188" s="7">
        <v>30532.9200172077</v>
      </c>
      <c r="E188" s="7">
        <v>100</v>
      </c>
      <c r="F188" s="7">
        <v>5.5667999999999997</v>
      </c>
      <c r="G188" s="7" t="s">
        <v>666</v>
      </c>
      <c r="H188" s="7" t="s">
        <v>667</v>
      </c>
      <c r="I188" s="7" t="s">
        <v>668</v>
      </c>
      <c r="J188" s="8" t="s">
        <v>669</v>
      </c>
      <c r="K188" s="7" t="s">
        <v>670</v>
      </c>
      <c r="L188" s="7">
        <v>255.273</v>
      </c>
      <c r="M188" s="7" t="s">
        <v>37</v>
      </c>
      <c r="N188" s="7" t="s">
        <v>37</v>
      </c>
      <c r="O188" s="7" t="s">
        <v>37</v>
      </c>
      <c r="P188" s="7" t="s">
        <v>37</v>
      </c>
      <c r="Q188" s="7" t="s">
        <v>37</v>
      </c>
      <c r="R188" s="7" t="s">
        <v>37</v>
      </c>
      <c r="S188" s="7" t="s">
        <v>37</v>
      </c>
      <c r="T188" s="7" t="s">
        <v>37</v>
      </c>
      <c r="U188" s="7">
        <v>399.83</v>
      </c>
      <c r="V188" s="7">
        <v>1.3214999999999999</v>
      </c>
      <c r="W188" s="7">
        <v>247.14400000000001</v>
      </c>
      <c r="X188" s="9">
        <v>7.4131024130091598E-10</v>
      </c>
      <c r="Y188" s="7">
        <v>1.659</v>
      </c>
      <c r="Z188" s="7">
        <v>8.31</v>
      </c>
      <c r="AA188" s="7">
        <v>2.88</v>
      </c>
      <c r="AB188" s="7">
        <v>2.77</v>
      </c>
      <c r="AC188" s="7">
        <v>10.72</v>
      </c>
      <c r="AD188" s="7">
        <v>2.4489999999999998</v>
      </c>
      <c r="AE188" s="7">
        <v>160.5</v>
      </c>
      <c r="AF188" s="7">
        <v>70.537999999999997</v>
      </c>
      <c r="AG188" s="7">
        <v>191.20099999999999</v>
      </c>
      <c r="AH188" s="7">
        <v>7.95</v>
      </c>
      <c r="AI188" s="7" t="s">
        <v>37</v>
      </c>
      <c r="AJ188" s="7">
        <v>27.963999999999999</v>
      </c>
      <c r="AK188" s="7">
        <v>0</v>
      </c>
      <c r="AL188" s="7">
        <v>54.807000000000002</v>
      </c>
      <c r="AM188" s="7" t="s">
        <v>37</v>
      </c>
      <c r="AN188" s="9">
        <v>9.3325430079699198E-9</v>
      </c>
      <c r="AO188" s="7">
        <v>59.703499999999998</v>
      </c>
      <c r="AP188" s="7">
        <v>6.4336842522626605E-4</v>
      </c>
      <c r="AQ188" s="7">
        <v>1</v>
      </c>
      <c r="AR188" s="7">
        <v>0</v>
      </c>
      <c r="AS188"/>
    </row>
    <row r="189" spans="1:45" ht="19.5" customHeight="1" x14ac:dyDescent="0.3">
      <c r="A189" s="7" t="s">
        <v>1434</v>
      </c>
      <c r="B189" s="7" t="s">
        <v>2092</v>
      </c>
      <c r="C189" s="7">
        <v>80</v>
      </c>
      <c r="D189" s="7">
        <v>4328.8094052421702</v>
      </c>
      <c r="E189" s="7">
        <v>83</v>
      </c>
      <c r="F189" s="7">
        <v>31.2083333333333</v>
      </c>
      <c r="G189" s="7" t="s">
        <v>1435</v>
      </c>
      <c r="H189" s="7" t="s">
        <v>1436</v>
      </c>
      <c r="I189" s="7" t="s">
        <v>1437</v>
      </c>
      <c r="J189" s="8" t="s">
        <v>1438</v>
      </c>
      <c r="K189" s="7" t="s">
        <v>1439</v>
      </c>
      <c r="L189" s="7">
        <v>309.43</v>
      </c>
      <c r="M189" s="7" t="s">
        <v>37</v>
      </c>
      <c r="N189" s="7" t="s">
        <v>37</v>
      </c>
      <c r="O189" s="7" t="s">
        <v>37</v>
      </c>
      <c r="P189" s="7" t="s">
        <v>37</v>
      </c>
      <c r="Q189" s="7" t="s">
        <v>37</v>
      </c>
      <c r="R189" s="7" t="s">
        <v>37</v>
      </c>
      <c r="S189" s="7" t="s">
        <v>37</v>
      </c>
      <c r="T189" s="7" t="s">
        <v>37</v>
      </c>
      <c r="U189" s="7">
        <v>420.25299999999999</v>
      </c>
      <c r="V189" s="7">
        <v>155.3305</v>
      </c>
      <c r="W189" s="7">
        <v>121.0025</v>
      </c>
      <c r="X189" s="7" t="s">
        <v>37</v>
      </c>
      <c r="Y189" s="7">
        <v>760</v>
      </c>
      <c r="Z189" s="7" t="s">
        <v>37</v>
      </c>
      <c r="AA189" s="7" t="s">
        <v>37</v>
      </c>
      <c r="AB189" s="7" t="s">
        <v>37</v>
      </c>
      <c r="AC189" s="7" t="s">
        <v>37</v>
      </c>
      <c r="AD189" s="7">
        <v>3.85</v>
      </c>
      <c r="AE189" s="7">
        <v>152.5</v>
      </c>
      <c r="AF189" s="7">
        <v>25</v>
      </c>
      <c r="AG189" s="7">
        <v>0.86399999999999999</v>
      </c>
      <c r="AH189" s="7">
        <v>75.507999999999996</v>
      </c>
      <c r="AI189" s="7">
        <v>52.03</v>
      </c>
      <c r="AJ189" s="7">
        <v>0.13600000000000001</v>
      </c>
      <c r="AK189" s="7" t="s">
        <v>37</v>
      </c>
      <c r="AL189" s="7">
        <v>0</v>
      </c>
      <c r="AM189" s="7" t="s">
        <v>37</v>
      </c>
      <c r="AN189" s="7">
        <v>0.50000000712805004</v>
      </c>
      <c r="AO189" s="7" t="s">
        <v>37</v>
      </c>
      <c r="AP189" s="9">
        <v>6.6374300000000006E-5</v>
      </c>
      <c r="AQ189" s="7">
        <v>1</v>
      </c>
      <c r="AR189" s="7">
        <v>0</v>
      </c>
      <c r="AS189"/>
    </row>
    <row r="190" spans="1:45" ht="19.5" customHeight="1" x14ac:dyDescent="0.3">
      <c r="A190" s="7" t="s">
        <v>284</v>
      </c>
      <c r="B190" s="7" t="s">
        <v>2080</v>
      </c>
      <c r="C190" s="7">
        <v>60</v>
      </c>
      <c r="D190" s="7">
        <v>443122.59851256799</v>
      </c>
      <c r="E190" s="7">
        <v>223</v>
      </c>
      <c r="F190" s="7">
        <v>65.2</v>
      </c>
      <c r="G190" s="7" t="s">
        <v>285</v>
      </c>
      <c r="H190" s="7" t="s">
        <v>286</v>
      </c>
      <c r="I190" s="7" t="s">
        <v>287</v>
      </c>
      <c r="J190" s="8" t="s">
        <v>288</v>
      </c>
      <c r="K190" s="7" t="s">
        <v>289</v>
      </c>
      <c r="L190" s="7">
        <v>328.41199999999901</v>
      </c>
      <c r="M190" s="7" t="s">
        <v>37</v>
      </c>
      <c r="N190" s="7" t="s">
        <v>37</v>
      </c>
      <c r="O190" s="7" t="s">
        <v>37</v>
      </c>
      <c r="P190" s="7" t="s">
        <v>37</v>
      </c>
      <c r="Q190" s="7" t="s">
        <v>37</v>
      </c>
      <c r="R190" s="7" t="s">
        <v>37</v>
      </c>
      <c r="S190" s="7">
        <v>328.411</v>
      </c>
      <c r="T190" s="7">
        <v>32.841099999999997</v>
      </c>
      <c r="U190" s="7">
        <v>501.34649999999999</v>
      </c>
      <c r="V190" s="7">
        <v>1.242</v>
      </c>
      <c r="W190" s="7">
        <v>295.30650000000003</v>
      </c>
      <c r="X190" s="9">
        <v>6.9183097091893599E-12</v>
      </c>
      <c r="Y190" s="7">
        <v>1.609</v>
      </c>
      <c r="Z190" s="7">
        <v>13.32</v>
      </c>
      <c r="AA190" s="7">
        <v>3.09</v>
      </c>
      <c r="AB190" s="7">
        <v>3.03</v>
      </c>
      <c r="AC190" s="7">
        <v>9.42</v>
      </c>
      <c r="AD190" s="7">
        <v>3.09</v>
      </c>
      <c r="AE190" s="7">
        <v>188</v>
      </c>
      <c r="AF190" s="7">
        <v>94.724000000000004</v>
      </c>
      <c r="AG190" s="7">
        <v>273.55700000000002</v>
      </c>
      <c r="AH190" s="7">
        <v>8.1999999999999993</v>
      </c>
      <c r="AI190" s="7" t="s">
        <v>37</v>
      </c>
      <c r="AJ190" s="7">
        <v>37.552</v>
      </c>
      <c r="AK190" s="7">
        <v>0</v>
      </c>
      <c r="AL190" s="7">
        <v>55.106999999999999</v>
      </c>
      <c r="AM190" s="7" t="s">
        <v>37</v>
      </c>
      <c r="AN190" s="9">
        <v>1.76604E-9</v>
      </c>
      <c r="AO190" s="7" t="s">
        <v>37</v>
      </c>
      <c r="AP190" s="7">
        <v>3.56287E-4</v>
      </c>
      <c r="AQ190" s="7">
        <v>1</v>
      </c>
      <c r="AR190" s="7">
        <v>1</v>
      </c>
      <c r="AS190"/>
    </row>
    <row r="191" spans="1:45" ht="19.5" customHeight="1" x14ac:dyDescent="0.3">
      <c r="A191" s="7" t="s">
        <v>31</v>
      </c>
      <c r="B191" s="7" t="s">
        <v>2080</v>
      </c>
      <c r="C191" s="7">
        <v>3</v>
      </c>
      <c r="D191" s="7">
        <v>450562054.29219598</v>
      </c>
      <c r="E191" s="7">
        <v>47</v>
      </c>
      <c r="F191" s="7">
        <v>37.512195121951201</v>
      </c>
      <c r="G191" s="7" t="s">
        <v>32</v>
      </c>
      <c r="H191" s="7" t="s">
        <v>33</v>
      </c>
      <c r="I191" s="7" t="s">
        <v>34</v>
      </c>
      <c r="J191" s="8" t="s">
        <v>35</v>
      </c>
      <c r="K191" s="7" t="s">
        <v>36</v>
      </c>
      <c r="L191" s="7">
        <v>342.29700000000003</v>
      </c>
      <c r="M191" s="7" t="s">
        <v>37</v>
      </c>
      <c r="N191" s="7" t="s">
        <v>37</v>
      </c>
      <c r="O191" s="7" t="s">
        <v>37</v>
      </c>
      <c r="P191" s="7" t="s">
        <v>37</v>
      </c>
      <c r="Q191" s="7" t="s">
        <v>37</v>
      </c>
      <c r="R191" s="7" t="s">
        <v>37</v>
      </c>
      <c r="S191" s="7" t="s">
        <v>37</v>
      </c>
      <c r="T191" s="7" t="s">
        <v>37</v>
      </c>
      <c r="U191" s="7">
        <v>512.05650000000003</v>
      </c>
      <c r="V191" s="7">
        <v>1.7565</v>
      </c>
      <c r="W191" s="7">
        <v>371.06150000000002</v>
      </c>
      <c r="X191" s="9">
        <v>2.1379620895022301E-11</v>
      </c>
      <c r="Y191" s="7">
        <v>1.6559999999999999</v>
      </c>
      <c r="Z191" s="7">
        <v>0.75</v>
      </c>
      <c r="AA191" s="7">
        <v>-3.46</v>
      </c>
      <c r="AB191" s="7">
        <v>-3.37</v>
      </c>
      <c r="AC191" s="7">
        <v>9.57</v>
      </c>
      <c r="AD191" s="7">
        <v>-3.3450000000000002</v>
      </c>
      <c r="AE191" s="7">
        <v>175.5</v>
      </c>
      <c r="AF191" s="7">
        <v>70.858999999999995</v>
      </c>
      <c r="AG191" s="7">
        <v>192.83</v>
      </c>
      <c r="AH191" s="7" t="s">
        <v>37</v>
      </c>
      <c r="AI191" s="7">
        <v>4.8600000000000003</v>
      </c>
      <c r="AJ191" s="7">
        <v>28.091000000000001</v>
      </c>
      <c r="AK191" s="7">
        <v>1</v>
      </c>
      <c r="AL191" s="7">
        <v>113.03400000000001</v>
      </c>
      <c r="AM191" s="7" t="s">
        <v>37</v>
      </c>
      <c r="AN191" s="9">
        <v>5.4954087385762498E-11</v>
      </c>
      <c r="AO191" s="7">
        <v>9.2896599999999996</v>
      </c>
      <c r="AP191" s="7">
        <v>1.12201845430196</v>
      </c>
      <c r="AQ191" s="7">
        <v>0</v>
      </c>
      <c r="AR191" s="7">
        <v>0</v>
      </c>
      <c r="AS191"/>
    </row>
    <row r="192" spans="1:45" ht="19.5" customHeight="1" x14ac:dyDescent="0.3">
      <c r="A192" s="7" t="s">
        <v>414</v>
      </c>
      <c r="B192" s="7" t="s">
        <v>2080</v>
      </c>
      <c r="C192" s="7">
        <v>12</v>
      </c>
      <c r="D192" s="7">
        <v>229344.04897392399</v>
      </c>
      <c r="E192" s="7">
        <v>887</v>
      </c>
      <c r="F192" s="7">
        <v>44.806646525679803</v>
      </c>
      <c r="G192" s="7" t="s">
        <v>415</v>
      </c>
      <c r="H192" s="7" t="s">
        <v>416</v>
      </c>
      <c r="I192" s="7" t="s">
        <v>417</v>
      </c>
      <c r="J192" s="8" t="s">
        <v>418</v>
      </c>
      <c r="K192" s="7" t="s">
        <v>419</v>
      </c>
      <c r="L192" s="7">
        <v>256.08999999999901</v>
      </c>
      <c r="M192" s="7" t="s">
        <v>37</v>
      </c>
      <c r="N192" s="7" t="s">
        <v>37</v>
      </c>
      <c r="O192" s="7" t="s">
        <v>37</v>
      </c>
      <c r="P192" s="7" t="s">
        <v>37</v>
      </c>
      <c r="Q192" s="7" t="s">
        <v>37</v>
      </c>
      <c r="R192" s="7" t="s">
        <v>37</v>
      </c>
      <c r="S192" s="7" t="s">
        <v>37</v>
      </c>
      <c r="T192" s="7" t="s">
        <v>37</v>
      </c>
      <c r="U192" s="7">
        <v>417.71100000000001</v>
      </c>
      <c r="V192" s="7">
        <v>1.5974999999999999</v>
      </c>
      <c r="W192" s="7">
        <v>268.13099999999997</v>
      </c>
      <c r="X192" s="9">
        <v>1.1220184543019701E-9</v>
      </c>
      <c r="Y192" s="7">
        <v>1.706</v>
      </c>
      <c r="Z192" s="7">
        <v>10.62</v>
      </c>
      <c r="AA192" s="7">
        <v>2.44</v>
      </c>
      <c r="AB192" s="7">
        <v>2.57</v>
      </c>
      <c r="AC192" s="7">
        <v>9.1999999999999993</v>
      </c>
      <c r="AD192" s="7">
        <v>2.57</v>
      </c>
      <c r="AE192" s="7">
        <v>217</v>
      </c>
      <c r="AF192" s="7">
        <v>63.381</v>
      </c>
      <c r="AG192" s="7">
        <v>162.851</v>
      </c>
      <c r="AH192" s="7" t="s">
        <v>37</v>
      </c>
      <c r="AI192" s="7">
        <v>5.05</v>
      </c>
      <c r="AJ192" s="7">
        <v>25.126000000000001</v>
      </c>
      <c r="AK192" s="7">
        <v>0</v>
      </c>
      <c r="AL192" s="7">
        <v>79.632999999999996</v>
      </c>
      <c r="AM192" s="7" t="s">
        <v>37</v>
      </c>
      <c r="AN192" s="9">
        <v>3.8018939632056102E-10</v>
      </c>
      <c r="AO192" s="7" t="s">
        <v>37</v>
      </c>
      <c r="AP192" s="7">
        <v>1.9849921000000001E-3</v>
      </c>
      <c r="AQ192" s="7">
        <v>0</v>
      </c>
      <c r="AR192" s="7">
        <v>0</v>
      </c>
      <c r="AS192"/>
    </row>
    <row r="193" spans="1:45" ht="19.5" customHeight="1" x14ac:dyDescent="0.3">
      <c r="A193" s="7" t="s">
        <v>916</v>
      </c>
      <c r="B193" s="7" t="s">
        <v>2080</v>
      </c>
      <c r="C193" s="7">
        <v>30</v>
      </c>
      <c r="D193" s="7">
        <v>33049.259497746301</v>
      </c>
      <c r="E193" s="7">
        <v>190</v>
      </c>
      <c r="F193" s="7">
        <v>64.7083333333333</v>
      </c>
      <c r="G193" s="7" t="s">
        <v>917</v>
      </c>
      <c r="H193" s="7" t="s">
        <v>918</v>
      </c>
      <c r="I193" s="7" t="s">
        <v>919</v>
      </c>
      <c r="J193" s="8" t="s">
        <v>920</v>
      </c>
      <c r="K193" s="7" t="s">
        <v>921</v>
      </c>
      <c r="L193" s="7">
        <v>369.36</v>
      </c>
      <c r="M193" s="7" t="s">
        <v>37</v>
      </c>
      <c r="N193" s="7" t="s">
        <v>37</v>
      </c>
      <c r="O193" s="7" t="s">
        <v>37</v>
      </c>
      <c r="P193" s="7" t="s">
        <v>37</v>
      </c>
      <c r="Q193" s="7" t="s">
        <v>37</v>
      </c>
      <c r="R193" s="7" t="s">
        <v>37</v>
      </c>
      <c r="S193" s="7" t="s">
        <v>37</v>
      </c>
      <c r="T193" s="7" t="s">
        <v>37</v>
      </c>
      <c r="U193" s="7">
        <v>547.54</v>
      </c>
      <c r="V193" s="7">
        <v>1.5814999999999999</v>
      </c>
      <c r="W193" s="7">
        <v>299.11</v>
      </c>
      <c r="X193" s="9">
        <v>1.3182567385564101E-7</v>
      </c>
      <c r="Y193" s="7">
        <v>1.635</v>
      </c>
      <c r="Z193" s="7">
        <v>17.829999999999998</v>
      </c>
      <c r="AA193" s="7">
        <v>2.98</v>
      </c>
      <c r="AB193" s="7">
        <v>2.98</v>
      </c>
      <c r="AC193" s="7">
        <v>10.38</v>
      </c>
      <c r="AD193" s="7">
        <v>2.8704999999999998</v>
      </c>
      <c r="AE193" s="7">
        <v>179</v>
      </c>
      <c r="AF193" s="7">
        <v>88.031000000000006</v>
      </c>
      <c r="AG193" s="7">
        <v>245.863</v>
      </c>
      <c r="AH193" s="7" t="s">
        <v>37</v>
      </c>
      <c r="AI193" s="7">
        <v>2.0699999999999998</v>
      </c>
      <c r="AJ193" s="7">
        <v>34.898000000000003</v>
      </c>
      <c r="AK193" s="7">
        <v>0</v>
      </c>
      <c r="AL193" s="7">
        <v>68.980999999999995</v>
      </c>
      <c r="AM193" s="7" t="s">
        <v>37</v>
      </c>
      <c r="AN193" s="9">
        <v>3.9717491736214097E-8</v>
      </c>
      <c r="AO193" s="7" t="s">
        <v>37</v>
      </c>
      <c r="AP193" s="7">
        <v>1.2534199999999999E-4</v>
      </c>
      <c r="AQ193" s="7">
        <v>1</v>
      </c>
      <c r="AR193" s="7">
        <v>0</v>
      </c>
      <c r="AS193"/>
    </row>
    <row r="194" spans="1:45" ht="19.5" customHeight="1" x14ac:dyDescent="0.3">
      <c r="A194" s="7" t="s">
        <v>1623</v>
      </c>
      <c r="B194" s="7" t="s">
        <v>2092</v>
      </c>
      <c r="C194" s="7">
        <v>98</v>
      </c>
      <c r="D194" s="7">
        <v>561.58406179158499</v>
      </c>
      <c r="E194" s="7">
        <v>979</v>
      </c>
      <c r="F194" s="7">
        <v>62.167159763313599</v>
      </c>
      <c r="G194" s="7" t="s">
        <v>1624</v>
      </c>
      <c r="H194" s="7" t="s">
        <v>1625</v>
      </c>
      <c r="I194" s="7" t="s">
        <v>1626</v>
      </c>
      <c r="J194" s="8" t="s">
        <v>1627</v>
      </c>
      <c r="K194" s="7" t="s">
        <v>1628</v>
      </c>
      <c r="L194" s="7">
        <v>432.601</v>
      </c>
      <c r="M194" s="7" t="s">
        <v>37</v>
      </c>
      <c r="N194" s="7" t="s">
        <v>37</v>
      </c>
      <c r="O194" s="7" t="s">
        <v>37</v>
      </c>
      <c r="P194" s="7" t="s">
        <v>37</v>
      </c>
      <c r="Q194" s="7" t="s">
        <v>37</v>
      </c>
      <c r="R194" s="7" t="s">
        <v>37</v>
      </c>
      <c r="S194" s="7" t="s">
        <v>37</v>
      </c>
      <c r="T194" s="7" t="s">
        <v>37</v>
      </c>
      <c r="U194" s="7">
        <v>524.79700000000003</v>
      </c>
      <c r="V194" s="7">
        <v>1.1100000000000001</v>
      </c>
      <c r="W194" s="7">
        <v>240.03749999999999</v>
      </c>
      <c r="X194" s="9">
        <v>9.3325430079699202E-11</v>
      </c>
      <c r="Y194" s="7">
        <v>1.538</v>
      </c>
      <c r="Z194" s="7">
        <v>28.82</v>
      </c>
      <c r="AA194" s="7">
        <v>3.83</v>
      </c>
      <c r="AB194" s="7">
        <v>2.82</v>
      </c>
      <c r="AC194" s="7">
        <v>9.3699999999999992</v>
      </c>
      <c r="AD194" s="7">
        <v>4.2359999999999998</v>
      </c>
      <c r="AE194" s="7">
        <v>176</v>
      </c>
      <c r="AF194" s="7">
        <v>123.627</v>
      </c>
      <c r="AG194" s="7">
        <v>395.46499999999997</v>
      </c>
      <c r="AH194" s="7">
        <v>7.87</v>
      </c>
      <c r="AI194" s="7">
        <v>9.3610000000000007</v>
      </c>
      <c r="AJ194" s="7">
        <v>49.009</v>
      </c>
      <c r="AK194" s="7">
        <v>1</v>
      </c>
      <c r="AL194" s="7">
        <v>41.249499999999998</v>
      </c>
      <c r="AM194" s="7">
        <v>168.52799999999999</v>
      </c>
      <c r="AN194" s="9">
        <v>4.89778819368446E-10</v>
      </c>
      <c r="AO194" s="7">
        <v>46.881300000000003</v>
      </c>
      <c r="AP194" s="9">
        <v>2.1441247758465701E-5</v>
      </c>
      <c r="AQ194" s="7">
        <v>0</v>
      </c>
      <c r="AR194" s="7">
        <v>1</v>
      </c>
      <c r="AS194"/>
    </row>
    <row r="195" spans="1:45" ht="19.5" customHeight="1" x14ac:dyDescent="0.3">
      <c r="A195" s="7" t="s">
        <v>1131</v>
      </c>
      <c r="B195" s="7" t="s">
        <v>2080</v>
      </c>
      <c r="C195" s="7">
        <v>37.5</v>
      </c>
      <c r="D195" s="7">
        <v>17684.782608695699</v>
      </c>
      <c r="E195" s="7">
        <v>80</v>
      </c>
      <c r="F195" s="7">
        <v>53.076923076923102</v>
      </c>
      <c r="G195" s="7" t="s">
        <v>1132</v>
      </c>
      <c r="H195" s="7" t="s">
        <v>1133</v>
      </c>
      <c r="I195" s="7" t="s">
        <v>1134</v>
      </c>
      <c r="J195" s="8" t="s">
        <v>1135</v>
      </c>
      <c r="K195" s="7" t="s">
        <v>1136</v>
      </c>
      <c r="L195" s="7">
        <v>270.21100000000001</v>
      </c>
      <c r="M195" s="7" t="s">
        <v>37</v>
      </c>
      <c r="N195" s="7" t="s">
        <v>37</v>
      </c>
      <c r="O195" s="7" t="s">
        <v>37</v>
      </c>
      <c r="P195" s="7" t="s">
        <v>37</v>
      </c>
      <c r="Q195" s="7" t="s">
        <v>37</v>
      </c>
      <c r="R195" s="7" t="s">
        <v>37</v>
      </c>
      <c r="S195" s="7" t="s">
        <v>37</v>
      </c>
      <c r="T195" s="7" t="s">
        <v>37</v>
      </c>
      <c r="U195" s="7">
        <v>325.55599999999998</v>
      </c>
      <c r="V195" s="7">
        <v>1.3694999999999999</v>
      </c>
      <c r="W195" s="7">
        <v>149.2345</v>
      </c>
      <c r="X195" s="9">
        <v>2.3442288153199201E-10</v>
      </c>
      <c r="Y195" s="7">
        <v>1.5409999999999999</v>
      </c>
      <c r="Z195" s="7">
        <v>11.79</v>
      </c>
      <c r="AA195" s="7">
        <v>3.14</v>
      </c>
      <c r="AB195" s="7">
        <v>3.13</v>
      </c>
      <c r="AC195" s="7">
        <v>9.36</v>
      </c>
      <c r="AD195" s="7">
        <v>2.3159999999999998</v>
      </c>
      <c r="AE195" s="7">
        <v>166.25</v>
      </c>
      <c r="AF195" s="7">
        <v>61.024000000000001</v>
      </c>
      <c r="AG195" s="7">
        <v>194.108</v>
      </c>
      <c r="AH195" s="7">
        <v>9.2200000000000006</v>
      </c>
      <c r="AI195" s="7" t="s">
        <v>37</v>
      </c>
      <c r="AJ195" s="7">
        <v>24.192</v>
      </c>
      <c r="AK195" s="7">
        <v>0</v>
      </c>
      <c r="AL195" s="7">
        <v>40.566000000000003</v>
      </c>
      <c r="AM195" s="7" t="s">
        <v>37</v>
      </c>
      <c r="AN195" s="9">
        <v>1.14815362149688E-6</v>
      </c>
      <c r="AO195" s="7" t="s">
        <v>37</v>
      </c>
      <c r="AP195" s="7">
        <v>1.20226443461741E-4</v>
      </c>
      <c r="AQ195" s="7">
        <v>1</v>
      </c>
      <c r="AR195" s="7">
        <v>1</v>
      </c>
      <c r="AS195"/>
    </row>
    <row r="196" spans="1:45" ht="19.5" customHeight="1" x14ac:dyDescent="0.3">
      <c r="A196" s="7" t="s">
        <v>1464</v>
      </c>
      <c r="B196" s="7" t="s">
        <v>2080</v>
      </c>
      <c r="C196" s="7">
        <v>6</v>
      </c>
      <c r="D196" s="7">
        <v>3053.6146626867098</v>
      </c>
      <c r="E196" s="7">
        <v>161</v>
      </c>
      <c r="F196" s="7">
        <v>40.704761904761902</v>
      </c>
      <c r="G196" s="7" t="s">
        <v>1465</v>
      </c>
      <c r="H196" s="7" t="s">
        <v>1466</v>
      </c>
      <c r="I196" s="7" t="s">
        <v>1467</v>
      </c>
      <c r="J196" s="8" t="s">
        <v>1468</v>
      </c>
      <c r="K196" s="7" t="s">
        <v>1469</v>
      </c>
      <c r="L196" s="7">
        <v>285.31</v>
      </c>
      <c r="M196" s="7" t="s">
        <v>37</v>
      </c>
      <c r="N196" s="7" t="s">
        <v>37</v>
      </c>
      <c r="O196" s="7" t="s">
        <v>37</v>
      </c>
      <c r="P196" s="7" t="s">
        <v>37</v>
      </c>
      <c r="Q196" s="7" t="s">
        <v>37</v>
      </c>
      <c r="R196" s="7" t="s">
        <v>37</v>
      </c>
      <c r="S196" s="7">
        <v>2853.08</v>
      </c>
      <c r="T196" s="7">
        <v>285.30799999999999</v>
      </c>
      <c r="U196" s="7">
        <v>441.31799999999998</v>
      </c>
      <c r="V196" s="7">
        <v>1.288</v>
      </c>
      <c r="W196" s="7">
        <v>281.7355</v>
      </c>
      <c r="X196" s="9">
        <v>3.6307805477010099E-6</v>
      </c>
      <c r="Y196" s="7">
        <v>1.665</v>
      </c>
      <c r="Z196" s="7">
        <v>13.26</v>
      </c>
      <c r="AA196" s="7">
        <v>2.1800000000000002</v>
      </c>
      <c r="AB196" s="7">
        <v>2.1800000000000002</v>
      </c>
      <c r="AC196" s="7">
        <v>9.64</v>
      </c>
      <c r="AD196" s="7">
        <v>2.1974999999999998</v>
      </c>
      <c r="AE196" s="7">
        <v>181.5</v>
      </c>
      <c r="AF196" s="7">
        <v>87.138999999999996</v>
      </c>
      <c r="AG196" s="7">
        <v>234.50899999999999</v>
      </c>
      <c r="AH196" s="7" t="s">
        <v>37</v>
      </c>
      <c r="AI196" s="7">
        <v>0.22</v>
      </c>
      <c r="AJ196" s="7">
        <v>34.545000000000002</v>
      </c>
      <c r="AK196" s="7">
        <v>0</v>
      </c>
      <c r="AL196" s="7">
        <v>53.524000000000001</v>
      </c>
      <c r="AM196" s="7" t="s">
        <v>37</v>
      </c>
      <c r="AN196" s="9">
        <v>1.0471300000000001E-9</v>
      </c>
      <c r="AO196" s="7" t="s">
        <v>37</v>
      </c>
      <c r="AP196" s="9">
        <v>1E-4</v>
      </c>
      <c r="AQ196" s="7">
        <v>1</v>
      </c>
      <c r="AR196" s="7">
        <v>0</v>
      </c>
      <c r="AS196"/>
    </row>
    <row r="197" spans="1:45" ht="19.5" customHeight="1" x14ac:dyDescent="0.3">
      <c r="A197" s="7" t="s">
        <v>1541</v>
      </c>
      <c r="B197" s="7" t="s">
        <v>2089</v>
      </c>
      <c r="C197" s="7">
        <v>100</v>
      </c>
      <c r="D197" s="7">
        <v>1428.76862725457</v>
      </c>
      <c r="E197" s="7">
        <v>67</v>
      </c>
      <c r="F197" s="7">
        <v>34.651162790697697</v>
      </c>
      <c r="G197" s="7" t="s">
        <v>1542</v>
      </c>
      <c r="H197" s="7" t="s">
        <v>1543</v>
      </c>
      <c r="I197" s="7" t="s">
        <v>1544</v>
      </c>
      <c r="J197" s="8" t="s">
        <v>1545</v>
      </c>
      <c r="K197" s="7" t="s">
        <v>646</v>
      </c>
      <c r="L197" s="7">
        <v>239.315</v>
      </c>
      <c r="M197" s="7" t="s">
        <v>37</v>
      </c>
      <c r="N197" s="7" t="s">
        <v>37</v>
      </c>
      <c r="O197" s="7" t="s">
        <v>37</v>
      </c>
      <c r="P197" s="7" t="s">
        <v>37</v>
      </c>
      <c r="Q197" s="7" t="s">
        <v>37</v>
      </c>
      <c r="R197" s="7" t="s">
        <v>37</v>
      </c>
      <c r="S197" s="7" t="s">
        <v>37</v>
      </c>
      <c r="T197" s="7" t="s">
        <v>37</v>
      </c>
      <c r="U197" s="7">
        <v>368.89449999999999</v>
      </c>
      <c r="V197" s="7">
        <v>1.1519999999999999</v>
      </c>
      <c r="W197" s="7">
        <v>172.93799999999999</v>
      </c>
      <c r="X197" s="9">
        <v>8.1283051616410003E-11</v>
      </c>
      <c r="Y197" s="7">
        <v>1.5660000000000001</v>
      </c>
      <c r="Z197" s="7">
        <v>7.65</v>
      </c>
      <c r="AA197" s="7">
        <v>-3.04</v>
      </c>
      <c r="AB197" s="7">
        <v>-1.1399999999999999</v>
      </c>
      <c r="AC197" s="7">
        <v>8.6300000000000008</v>
      </c>
      <c r="AD197" s="7">
        <v>0.623</v>
      </c>
      <c r="AE197" s="7">
        <v>145.79</v>
      </c>
      <c r="AF197" s="7">
        <v>67.765000000000001</v>
      </c>
      <c r="AG197" s="7">
        <v>207.643</v>
      </c>
      <c r="AH197" s="7">
        <v>10.119999999999999</v>
      </c>
      <c r="AI197" s="7">
        <v>8.9600000000000009</v>
      </c>
      <c r="AJ197" s="7">
        <v>26.864000000000001</v>
      </c>
      <c r="AK197" s="7">
        <v>1</v>
      </c>
      <c r="AL197" s="7">
        <v>45.264000000000003</v>
      </c>
      <c r="AM197" s="7">
        <v>195.35400000000001</v>
      </c>
      <c r="AN197" s="9">
        <v>5.3703179637025298E-8</v>
      </c>
      <c r="AO197" s="7">
        <v>24.6037</v>
      </c>
      <c r="AP197" s="7">
        <v>0.65733297930371803</v>
      </c>
      <c r="AQ197" s="7">
        <v>1</v>
      </c>
      <c r="AR197" s="7">
        <v>0</v>
      </c>
      <c r="AS197"/>
    </row>
    <row r="198" spans="1:45" ht="19.5" customHeight="1" x14ac:dyDescent="0.3">
      <c r="A198" s="7" t="s">
        <v>116</v>
      </c>
      <c r="B198" s="7" t="s">
        <v>2080</v>
      </c>
      <c r="C198" s="7">
        <v>66</v>
      </c>
      <c r="D198" s="7">
        <v>1534928.6954374099</v>
      </c>
      <c r="E198" s="7">
        <v>666</v>
      </c>
      <c r="F198" s="7">
        <v>53.420537897310503</v>
      </c>
      <c r="G198" s="7" t="s">
        <v>117</v>
      </c>
      <c r="H198" s="7" t="s">
        <v>118</v>
      </c>
      <c r="I198" s="7" t="s">
        <v>119</v>
      </c>
      <c r="J198" s="8" t="s">
        <v>120</v>
      </c>
      <c r="K198" s="7" t="s">
        <v>121</v>
      </c>
      <c r="L198" s="7">
        <v>170.21199999999899</v>
      </c>
      <c r="M198" s="7" t="s">
        <v>37</v>
      </c>
      <c r="N198" s="7" t="s">
        <v>37</v>
      </c>
      <c r="O198" s="7" t="s">
        <v>37</v>
      </c>
      <c r="P198" s="7" t="s">
        <v>37</v>
      </c>
      <c r="Q198" s="7" t="s">
        <v>37</v>
      </c>
      <c r="R198" s="7" t="s">
        <v>37</v>
      </c>
      <c r="S198" s="7" t="s">
        <v>37</v>
      </c>
      <c r="T198" s="7" t="s">
        <v>37</v>
      </c>
      <c r="U198" s="7">
        <v>348.654</v>
      </c>
      <c r="V198" s="7">
        <v>1.113</v>
      </c>
      <c r="W198" s="7">
        <v>169.78399999999999</v>
      </c>
      <c r="X198" s="9">
        <v>2.34422881531992E-9</v>
      </c>
      <c r="Y198" s="7">
        <v>1.5189999999999999</v>
      </c>
      <c r="Z198" s="7">
        <v>4.29</v>
      </c>
      <c r="AA198" s="7">
        <v>-0.82</v>
      </c>
      <c r="AB198" s="7">
        <v>-0.82</v>
      </c>
      <c r="AC198" s="7">
        <v>9.06</v>
      </c>
      <c r="AD198" s="7">
        <v>-0.70450000000000002</v>
      </c>
      <c r="AE198" s="7">
        <v>118</v>
      </c>
      <c r="AF198" s="7">
        <v>44.206000000000003</v>
      </c>
      <c r="AG198" s="7">
        <v>145.69</v>
      </c>
      <c r="AH198" s="7">
        <v>9.42</v>
      </c>
      <c r="AI198" s="7" t="s">
        <v>37</v>
      </c>
      <c r="AJ198" s="7">
        <v>17.524999999999999</v>
      </c>
      <c r="AK198" s="7">
        <v>0</v>
      </c>
      <c r="AL198" s="7">
        <v>48.869</v>
      </c>
      <c r="AM198" s="7">
        <v>173.50700000000001</v>
      </c>
      <c r="AN198" s="9">
        <v>3.7497299999999998E-6</v>
      </c>
      <c r="AO198" s="7" t="s">
        <v>37</v>
      </c>
      <c r="AP198" s="7">
        <v>0.13424449999999999</v>
      </c>
      <c r="AQ198" s="7">
        <v>1</v>
      </c>
      <c r="AR198" s="7">
        <v>1</v>
      </c>
      <c r="AS198"/>
    </row>
    <row r="199" spans="1:45" ht="19.5" customHeight="1" x14ac:dyDescent="0.3">
      <c r="A199" s="7" t="s">
        <v>1405</v>
      </c>
      <c r="B199" s="7" t="s">
        <v>2080</v>
      </c>
      <c r="C199" s="7">
        <v>86</v>
      </c>
      <c r="D199" s="7">
        <v>4929.3734154291897</v>
      </c>
      <c r="E199" s="7">
        <v>251</v>
      </c>
      <c r="F199" s="7">
        <v>55</v>
      </c>
      <c r="G199" s="7" t="s">
        <v>1406</v>
      </c>
      <c r="H199" s="7" t="s">
        <v>1407</v>
      </c>
      <c r="I199" s="7" t="s">
        <v>1408</v>
      </c>
      <c r="J199" s="8" t="s">
        <v>1409</v>
      </c>
      <c r="K199" s="7" t="s">
        <v>336</v>
      </c>
      <c r="L199" s="7">
        <v>388.89</v>
      </c>
      <c r="M199" s="7" t="s">
        <v>37</v>
      </c>
      <c r="N199" s="7" t="s">
        <v>37</v>
      </c>
      <c r="O199" s="7" t="s">
        <v>37</v>
      </c>
      <c r="P199" s="7" t="s">
        <v>37</v>
      </c>
      <c r="Q199" s="7" t="s">
        <v>37</v>
      </c>
      <c r="R199" s="7" t="s">
        <v>37</v>
      </c>
      <c r="S199" s="7" t="s">
        <v>37</v>
      </c>
      <c r="T199" s="7" t="s">
        <v>37</v>
      </c>
      <c r="U199" s="7">
        <v>488.66649999999998</v>
      </c>
      <c r="V199" s="7">
        <v>1.2395</v>
      </c>
      <c r="W199" s="7">
        <v>275.46350000000001</v>
      </c>
      <c r="X199" s="9">
        <v>1.0471285480509E-10</v>
      </c>
      <c r="Y199" s="7">
        <v>1.589</v>
      </c>
      <c r="Z199" s="7">
        <v>11.27</v>
      </c>
      <c r="AA199" s="7">
        <v>0.14000000000000001</v>
      </c>
      <c r="AB199" s="7">
        <v>-1.75</v>
      </c>
      <c r="AC199" s="7">
        <v>10.38</v>
      </c>
      <c r="AD199" s="7">
        <v>1.9325000000000001</v>
      </c>
      <c r="AE199" s="7">
        <v>148.988</v>
      </c>
      <c r="AF199" s="7">
        <v>105.944</v>
      </c>
      <c r="AG199" s="7">
        <v>314.245</v>
      </c>
      <c r="AH199" s="7">
        <v>3.95</v>
      </c>
      <c r="AI199" s="7" t="s">
        <v>37</v>
      </c>
      <c r="AJ199" s="7">
        <v>42</v>
      </c>
      <c r="AK199" s="7">
        <v>0</v>
      </c>
      <c r="AL199" s="7">
        <v>49.4345</v>
      </c>
      <c r="AM199" s="7">
        <v>144.726</v>
      </c>
      <c r="AN199" s="9">
        <v>1.37721E-9</v>
      </c>
      <c r="AO199" s="7">
        <v>106.17</v>
      </c>
      <c r="AP199" s="7">
        <v>3.5307049999999999E-4</v>
      </c>
      <c r="AQ199" s="7">
        <v>1</v>
      </c>
      <c r="AR199" s="7">
        <v>0</v>
      </c>
      <c r="AS199"/>
    </row>
    <row r="200" spans="1:45" ht="19.5" customHeight="1" x14ac:dyDescent="0.3">
      <c r="A200" s="7" t="s">
        <v>266</v>
      </c>
      <c r="B200" s="7" t="s">
        <v>2080</v>
      </c>
      <c r="C200" s="7">
        <v>91</v>
      </c>
      <c r="D200" s="7">
        <v>522521.36599952402</v>
      </c>
      <c r="E200" s="7">
        <v>176</v>
      </c>
      <c r="F200" s="7">
        <v>10.9256198347107</v>
      </c>
      <c r="G200" s="7" t="s">
        <v>267</v>
      </c>
      <c r="H200" s="7" t="s">
        <v>268</v>
      </c>
      <c r="I200" s="7" t="s">
        <v>269</v>
      </c>
      <c r="J200" s="8" t="s">
        <v>270</v>
      </c>
      <c r="K200" s="7" t="s">
        <v>271</v>
      </c>
      <c r="L200" s="7">
        <v>361.37299999999902</v>
      </c>
      <c r="M200" s="7">
        <v>10000</v>
      </c>
      <c r="N200" s="7" t="s">
        <v>37</v>
      </c>
      <c r="O200" s="9">
        <v>100000</v>
      </c>
      <c r="P200" s="7">
        <v>10000</v>
      </c>
      <c r="Q200" s="7">
        <v>7500</v>
      </c>
      <c r="R200" s="7">
        <v>30</v>
      </c>
      <c r="S200" s="7">
        <v>55000</v>
      </c>
      <c r="T200" s="7">
        <v>1000</v>
      </c>
      <c r="U200" s="7">
        <v>498.92950000000002</v>
      </c>
      <c r="V200" s="7">
        <v>1.425</v>
      </c>
      <c r="W200" s="7">
        <v>287.57600000000002</v>
      </c>
      <c r="X200" s="9">
        <v>1.1481536214968799E-9</v>
      </c>
      <c r="Y200" s="7">
        <v>1.67</v>
      </c>
      <c r="Z200" s="7">
        <v>10.59</v>
      </c>
      <c r="AA200" s="7">
        <v>-4.6900000000000004</v>
      </c>
      <c r="AB200" s="7">
        <v>-6.59</v>
      </c>
      <c r="AC200" s="7">
        <v>10.42</v>
      </c>
      <c r="AD200" s="7">
        <v>-1.4E-2</v>
      </c>
      <c r="AE200" s="7">
        <v>221.5</v>
      </c>
      <c r="AF200" s="7">
        <v>91.097999999999999</v>
      </c>
      <c r="AG200" s="7">
        <v>243.96700000000001</v>
      </c>
      <c r="AH200" s="7">
        <v>1.2</v>
      </c>
      <c r="AI200" s="7" t="s">
        <v>37</v>
      </c>
      <c r="AJ200" s="7">
        <v>36.113999999999997</v>
      </c>
      <c r="AK200" s="7">
        <v>0</v>
      </c>
      <c r="AL200" s="7">
        <v>70.317999999999998</v>
      </c>
      <c r="AM200" s="7" t="s">
        <v>37</v>
      </c>
      <c r="AN200" s="9">
        <v>9.3110799999999999E-10</v>
      </c>
      <c r="AO200" s="7" t="s">
        <v>37</v>
      </c>
      <c r="AP200" s="7">
        <v>3.9662355831434598E-2</v>
      </c>
      <c r="AQ200" s="7">
        <v>1</v>
      </c>
      <c r="AR200" s="7">
        <v>0</v>
      </c>
      <c r="AS200"/>
    </row>
    <row r="201" spans="1:45" ht="19.5" customHeight="1" x14ac:dyDescent="0.3">
      <c r="A201" s="7" t="s">
        <v>1563</v>
      </c>
      <c r="B201" s="7" t="s">
        <v>2080</v>
      </c>
      <c r="C201" s="7">
        <v>30</v>
      </c>
      <c r="D201" s="7">
        <v>1230.9090909090901</v>
      </c>
      <c r="E201" s="7">
        <v>66</v>
      </c>
      <c r="F201" s="7">
        <v>16.939393939393899</v>
      </c>
      <c r="G201" s="7" t="s">
        <v>1564</v>
      </c>
      <c r="H201" s="7" t="s">
        <v>1565</v>
      </c>
      <c r="I201" s="7" t="s">
        <v>1566</v>
      </c>
      <c r="J201" s="8" t="s">
        <v>1567</v>
      </c>
      <c r="K201" s="7" t="s">
        <v>1568</v>
      </c>
      <c r="L201" s="7">
        <v>312.45299999999901</v>
      </c>
      <c r="M201" s="7" t="s">
        <v>37</v>
      </c>
      <c r="N201" s="7" t="s">
        <v>37</v>
      </c>
      <c r="O201" s="7" t="s">
        <v>37</v>
      </c>
      <c r="P201" s="7" t="s">
        <v>37</v>
      </c>
      <c r="Q201" s="7" t="s">
        <v>37</v>
      </c>
      <c r="R201" s="7" t="s">
        <v>37</v>
      </c>
      <c r="S201" s="7">
        <v>8.7349999999999997E-2</v>
      </c>
      <c r="T201" s="7">
        <v>1.8699999999999999E-3</v>
      </c>
      <c r="U201" s="7">
        <v>399.76549999999997</v>
      </c>
      <c r="V201" s="7">
        <v>1.1225000000000001</v>
      </c>
      <c r="W201" s="7">
        <v>195.99350000000001</v>
      </c>
      <c r="X201" s="9">
        <v>4.0738027780411198E-9</v>
      </c>
      <c r="Y201" s="7">
        <v>1.571</v>
      </c>
      <c r="Z201" s="7">
        <v>18.510000000000002</v>
      </c>
      <c r="AA201" s="7">
        <v>3.07</v>
      </c>
      <c r="AB201" s="7">
        <v>3.07</v>
      </c>
      <c r="AC201" s="7">
        <v>11.15</v>
      </c>
      <c r="AD201" s="7">
        <v>3.3984999999999999</v>
      </c>
      <c r="AE201" s="7">
        <v>236</v>
      </c>
      <c r="AF201" s="7">
        <v>90.182000000000002</v>
      </c>
      <c r="AG201" s="7">
        <v>274.31200000000001</v>
      </c>
      <c r="AH201" s="7">
        <v>10.17</v>
      </c>
      <c r="AI201" s="7">
        <v>13.093</v>
      </c>
      <c r="AJ201" s="7">
        <v>35.750999999999998</v>
      </c>
      <c r="AK201" s="7">
        <v>0</v>
      </c>
      <c r="AL201" s="7">
        <v>47.156500000000001</v>
      </c>
      <c r="AM201" s="7" t="s">
        <v>37</v>
      </c>
      <c r="AN201" s="9">
        <v>1.9498445997580399E-9</v>
      </c>
      <c r="AO201" s="7" t="s">
        <v>37</v>
      </c>
      <c r="AP201" s="9">
        <v>1.5885005000000002E-5</v>
      </c>
      <c r="AQ201" s="7">
        <v>0</v>
      </c>
      <c r="AR201" s="7">
        <v>0</v>
      </c>
      <c r="AS201"/>
    </row>
    <row r="202" spans="1:45" ht="19.5" customHeight="1" x14ac:dyDescent="0.3">
      <c r="A202" s="7" t="s">
        <v>2188</v>
      </c>
      <c r="B202" s="7" t="s">
        <v>2083</v>
      </c>
      <c r="C202" s="7">
        <v>100</v>
      </c>
      <c r="D202" s="7">
        <v>15772806.643784299</v>
      </c>
      <c r="E202" s="7">
        <v>71</v>
      </c>
      <c r="F202" s="7">
        <v>24.9218599266834</v>
      </c>
      <c r="G202" s="7" t="s">
        <v>2189</v>
      </c>
      <c r="H202" s="7" t="s">
        <v>2190</v>
      </c>
      <c r="I202" s="7" t="s">
        <v>2191</v>
      </c>
      <c r="J202" s="7" t="s">
        <v>2192</v>
      </c>
      <c r="K202" s="7" t="s">
        <v>2193</v>
      </c>
      <c r="L202" s="7">
        <v>234.34299999999899</v>
      </c>
      <c r="M202" s="7" t="s">
        <v>37</v>
      </c>
      <c r="N202" s="7" t="s">
        <v>37</v>
      </c>
      <c r="O202" s="7" t="s">
        <v>37</v>
      </c>
      <c r="P202" s="7" t="s">
        <v>37</v>
      </c>
      <c r="Q202" s="7" t="s">
        <v>37</v>
      </c>
      <c r="R202" s="7" t="s">
        <v>37</v>
      </c>
      <c r="S202" s="7" t="s">
        <v>37</v>
      </c>
      <c r="T202" s="7" t="s">
        <v>37</v>
      </c>
      <c r="U202" s="7">
        <v>323.774</v>
      </c>
      <c r="V202" s="7">
        <v>1.014</v>
      </c>
      <c r="W202" s="7">
        <v>191.09100000000001</v>
      </c>
      <c r="X202" s="9">
        <v>1.9498445997580401E-10</v>
      </c>
      <c r="Y202" s="7" t="s">
        <v>37</v>
      </c>
      <c r="Z202" s="7">
        <v>13.37</v>
      </c>
      <c r="AA202" s="7">
        <v>1.36</v>
      </c>
      <c r="AB202" s="7">
        <v>2.2999999999999998</v>
      </c>
      <c r="AC202" s="7">
        <v>10.29</v>
      </c>
      <c r="AD202" s="7">
        <v>2.35</v>
      </c>
      <c r="AE202" s="7">
        <v>68.5</v>
      </c>
      <c r="AF202" s="7" t="s">
        <v>37</v>
      </c>
      <c r="AG202" s="7" t="s">
        <v>37</v>
      </c>
      <c r="AH202" s="7" t="s">
        <v>37</v>
      </c>
      <c r="AI202" s="7">
        <v>7.72</v>
      </c>
      <c r="AJ202" s="7" t="s">
        <v>37</v>
      </c>
      <c r="AK202" s="7">
        <v>0</v>
      </c>
      <c r="AL202" s="7" t="s">
        <v>37</v>
      </c>
      <c r="AM202" s="7">
        <v>155.15600000000001</v>
      </c>
      <c r="AN202" s="9">
        <v>5.0957791173621402E-7</v>
      </c>
      <c r="AO202" s="7">
        <v>51.7607</v>
      </c>
      <c r="AP202" s="7">
        <v>1.7436199999999999E-2</v>
      </c>
      <c r="AQ202" s="7">
        <v>1</v>
      </c>
      <c r="AR202" s="7">
        <v>1</v>
      </c>
      <c r="AS202"/>
    </row>
    <row r="203" spans="1:45" ht="19.5" customHeight="1" x14ac:dyDescent="0.3">
      <c r="A203" s="7" t="s">
        <v>2188</v>
      </c>
      <c r="B203" s="7" t="s">
        <v>2106</v>
      </c>
      <c r="C203" s="7">
        <v>5</v>
      </c>
      <c r="D203" s="7">
        <v>2011204.48179272</v>
      </c>
      <c r="E203" s="7">
        <v>8</v>
      </c>
      <c r="F203" s="7">
        <v>20.282534246575299</v>
      </c>
      <c r="G203" s="7" t="s">
        <v>2189</v>
      </c>
      <c r="H203" s="7" t="s">
        <v>2190</v>
      </c>
      <c r="I203" s="7" t="s">
        <v>2191</v>
      </c>
      <c r="J203" s="7" t="s">
        <v>2192</v>
      </c>
      <c r="K203" s="7" t="s">
        <v>2193</v>
      </c>
      <c r="L203" s="7">
        <v>234.34299999999899</v>
      </c>
      <c r="M203" s="7" t="s">
        <v>37</v>
      </c>
      <c r="N203" s="7" t="s">
        <v>37</v>
      </c>
      <c r="O203" s="7" t="s">
        <v>37</v>
      </c>
      <c r="P203" s="7" t="s">
        <v>37</v>
      </c>
      <c r="Q203" s="7" t="s">
        <v>37</v>
      </c>
      <c r="R203" s="7" t="s">
        <v>37</v>
      </c>
      <c r="S203" s="7" t="s">
        <v>37</v>
      </c>
      <c r="T203" s="7" t="s">
        <v>37</v>
      </c>
      <c r="U203" s="7">
        <v>323.774</v>
      </c>
      <c r="V203" s="7">
        <v>1.014</v>
      </c>
      <c r="W203" s="7">
        <v>191.09100000000001</v>
      </c>
      <c r="X203" s="9">
        <v>1.9498445997580401E-10</v>
      </c>
      <c r="Y203" s="7" t="s">
        <v>37</v>
      </c>
      <c r="Z203" s="7">
        <v>13.37</v>
      </c>
      <c r="AA203" s="7">
        <v>1.36</v>
      </c>
      <c r="AB203" s="7">
        <v>2.2999999999999998</v>
      </c>
      <c r="AC203" s="7">
        <v>10.29</v>
      </c>
      <c r="AD203" s="7">
        <v>2.35</v>
      </c>
      <c r="AE203" s="7">
        <v>68.5</v>
      </c>
      <c r="AF203" s="7" t="s">
        <v>37</v>
      </c>
      <c r="AG203" s="7" t="s">
        <v>37</v>
      </c>
      <c r="AH203" s="7" t="s">
        <v>37</v>
      </c>
      <c r="AI203" s="7">
        <v>7.72</v>
      </c>
      <c r="AJ203" s="7" t="s">
        <v>37</v>
      </c>
      <c r="AK203" s="7">
        <v>0</v>
      </c>
      <c r="AL203" s="7" t="s">
        <v>37</v>
      </c>
      <c r="AM203" s="7">
        <v>155.15600000000001</v>
      </c>
      <c r="AN203" s="9">
        <v>5.0957791173621402E-7</v>
      </c>
      <c r="AO203" s="7">
        <v>51.7607</v>
      </c>
      <c r="AP203" s="7">
        <v>1.7436199999999999E-2</v>
      </c>
      <c r="AQ203" s="7">
        <v>1</v>
      </c>
      <c r="AR203" s="7">
        <v>1</v>
      </c>
      <c r="AS203"/>
    </row>
    <row r="204" spans="1:45" ht="19.5" customHeight="1" x14ac:dyDescent="0.3">
      <c r="A204" s="7" t="s">
        <v>1665</v>
      </c>
      <c r="B204" s="7" t="s">
        <v>2080</v>
      </c>
      <c r="C204" s="7">
        <v>0</v>
      </c>
      <c r="D204" s="7">
        <v>204.65221661055</v>
      </c>
      <c r="E204" s="7">
        <v>162</v>
      </c>
      <c r="F204" s="7">
        <v>56.170212765957402</v>
      </c>
      <c r="G204" s="7" t="s">
        <v>1666</v>
      </c>
      <c r="H204" s="7" t="s">
        <v>1667</v>
      </c>
      <c r="I204" s="7" t="s">
        <v>1668</v>
      </c>
      <c r="J204" s="8" t="s">
        <v>1669</v>
      </c>
      <c r="K204" s="7" t="s">
        <v>1670</v>
      </c>
      <c r="L204" s="7">
        <v>1526.73</v>
      </c>
      <c r="M204" s="7" t="s">
        <v>37</v>
      </c>
      <c r="N204" s="7" t="s">
        <v>37</v>
      </c>
      <c r="O204" s="7" t="s">
        <v>37</v>
      </c>
      <c r="P204" s="7" t="s">
        <v>37</v>
      </c>
      <c r="Q204" s="7" t="s">
        <v>37</v>
      </c>
      <c r="R204" s="7" t="s">
        <v>37</v>
      </c>
      <c r="S204" s="7" t="s">
        <v>37</v>
      </c>
      <c r="T204" s="7" t="s">
        <v>37</v>
      </c>
      <c r="U204" s="7">
        <v>2044.96</v>
      </c>
      <c r="V204" s="7">
        <v>1.6020000000000001</v>
      </c>
      <c r="W204" s="7">
        <v>1044.6305</v>
      </c>
      <c r="X204" s="9">
        <v>2.69153480392691E-11</v>
      </c>
      <c r="Y204" s="7">
        <v>1.712</v>
      </c>
      <c r="Z204" s="7">
        <v>5.4</v>
      </c>
      <c r="AA204" s="7">
        <v>-0.68</v>
      </c>
      <c r="AB204" s="7">
        <v>-2.57</v>
      </c>
      <c r="AC204" s="7">
        <v>9.65</v>
      </c>
      <c r="AD204" s="7">
        <v>-5.9844999999999997</v>
      </c>
      <c r="AE204" s="7">
        <v>349.84</v>
      </c>
      <c r="AF204" s="7">
        <v>373.20499999999998</v>
      </c>
      <c r="AG204" s="7">
        <v>952.72900000000004</v>
      </c>
      <c r="AH204" s="7">
        <v>3.77</v>
      </c>
      <c r="AI204" s="7" t="s">
        <v>37</v>
      </c>
      <c r="AJ204" s="7">
        <v>147.94999999999999</v>
      </c>
      <c r="AK204" s="7">
        <v>0</v>
      </c>
      <c r="AL204" s="7">
        <v>100.691</v>
      </c>
      <c r="AM204" s="7" t="s">
        <v>37</v>
      </c>
      <c r="AN204" s="9">
        <v>1.40919146563223E-8</v>
      </c>
      <c r="AO204" s="7" t="s">
        <v>37</v>
      </c>
      <c r="AP204" s="7">
        <v>3.8689240830945597E-2</v>
      </c>
      <c r="AQ204" s="7">
        <v>1</v>
      </c>
      <c r="AR204" s="7">
        <v>1</v>
      </c>
      <c r="AS204"/>
    </row>
    <row r="205" spans="1:45" ht="19.5" customHeight="1" x14ac:dyDescent="0.3">
      <c r="A205" s="7" t="s">
        <v>1416</v>
      </c>
      <c r="B205" s="7" t="s">
        <v>2080</v>
      </c>
      <c r="C205" s="7">
        <v>90</v>
      </c>
      <c r="D205" s="7">
        <v>4592.6035502958603</v>
      </c>
      <c r="E205" s="7">
        <v>130</v>
      </c>
      <c r="F205" s="7">
        <v>57.352941176470601</v>
      </c>
      <c r="G205" s="7" t="s">
        <v>1417</v>
      </c>
      <c r="H205" s="7" t="s">
        <v>1418</v>
      </c>
      <c r="I205" s="7" t="s">
        <v>1419</v>
      </c>
      <c r="J205" s="8" t="s">
        <v>1420</v>
      </c>
      <c r="K205" s="7" t="s">
        <v>1421</v>
      </c>
      <c r="L205" s="7">
        <v>472.553</v>
      </c>
      <c r="M205" s="7" t="s">
        <v>37</v>
      </c>
      <c r="N205" s="7" t="s">
        <v>37</v>
      </c>
      <c r="O205" s="7" t="s">
        <v>37</v>
      </c>
      <c r="P205" s="7" t="s">
        <v>37</v>
      </c>
      <c r="Q205" s="7" t="s">
        <v>37</v>
      </c>
      <c r="R205" s="7" t="s">
        <v>37</v>
      </c>
      <c r="S205" s="7" t="s">
        <v>37</v>
      </c>
      <c r="T205" s="7" t="s">
        <v>37</v>
      </c>
      <c r="U205" s="7">
        <v>163.5</v>
      </c>
      <c r="V205" s="7">
        <v>472.54199999999997</v>
      </c>
      <c r="W205" s="7">
        <v>5</v>
      </c>
      <c r="X205" s="9">
        <v>7.41310241300916E-9</v>
      </c>
      <c r="Y205" s="7">
        <v>760</v>
      </c>
      <c r="Z205" s="7">
        <v>16.239999999999998</v>
      </c>
      <c r="AA205" s="7">
        <v>0.83</v>
      </c>
      <c r="AB205" s="7">
        <v>2.5</v>
      </c>
      <c r="AC205" s="7">
        <v>10.57</v>
      </c>
      <c r="AD205" s="7">
        <v>2.89</v>
      </c>
      <c r="AE205" s="7">
        <v>187</v>
      </c>
      <c r="AF205" s="7">
        <v>25</v>
      </c>
      <c r="AG205" s="7">
        <v>0.71399999999999997</v>
      </c>
      <c r="AH205" s="7">
        <v>97.284999999999997</v>
      </c>
      <c r="AI205" s="7">
        <v>33.348500000000001</v>
      </c>
      <c r="AJ205" s="7">
        <v>0.28599999999999998</v>
      </c>
      <c r="AK205" s="7">
        <v>0</v>
      </c>
      <c r="AL205" s="7">
        <v>0</v>
      </c>
      <c r="AM205" s="7" t="s">
        <v>37</v>
      </c>
      <c r="AN205" s="7">
        <v>0.50000000027476998</v>
      </c>
      <c r="AO205" s="7" t="s">
        <v>37</v>
      </c>
      <c r="AP205" s="7">
        <v>26.376501409191501</v>
      </c>
      <c r="AQ205" s="7">
        <v>0</v>
      </c>
      <c r="AR205" s="7">
        <v>1</v>
      </c>
      <c r="AS205"/>
    </row>
    <row r="206" spans="1:45" ht="19.5" customHeight="1" x14ac:dyDescent="0.3">
      <c r="A206" s="7" t="s">
        <v>1381</v>
      </c>
      <c r="B206" s="7" t="s">
        <v>2153</v>
      </c>
      <c r="C206" s="7">
        <v>0</v>
      </c>
      <c r="D206" s="7">
        <v>5731.2366105463898</v>
      </c>
      <c r="E206" s="7">
        <v>397</v>
      </c>
      <c r="F206" s="7">
        <v>45.076666666666704</v>
      </c>
      <c r="G206" s="7" t="s">
        <v>1382</v>
      </c>
      <c r="H206" s="7" t="s">
        <v>1383</v>
      </c>
      <c r="I206" s="7" t="s">
        <v>1384</v>
      </c>
      <c r="J206" s="8" t="s">
        <v>1385</v>
      </c>
      <c r="K206" s="7" t="s">
        <v>1386</v>
      </c>
      <c r="L206" s="7">
        <v>3751.2620000000002</v>
      </c>
      <c r="M206" s="7" t="s">
        <v>37</v>
      </c>
      <c r="N206" s="7" t="s">
        <v>37</v>
      </c>
      <c r="O206" s="7" t="s">
        <v>37</v>
      </c>
      <c r="P206" s="7" t="s">
        <v>37</v>
      </c>
      <c r="Q206" s="7" t="s">
        <v>37</v>
      </c>
      <c r="R206" s="7" t="s">
        <v>37</v>
      </c>
      <c r="S206" s="7" t="s">
        <v>37</v>
      </c>
      <c r="T206" s="7" t="s">
        <v>37</v>
      </c>
      <c r="U206" s="7" t="s">
        <v>37</v>
      </c>
      <c r="V206" s="7" t="s">
        <v>37</v>
      </c>
      <c r="W206" s="7" t="s">
        <v>37</v>
      </c>
      <c r="X206" s="7" t="s">
        <v>37</v>
      </c>
      <c r="Y206" s="7" t="s">
        <v>37</v>
      </c>
      <c r="Z206" s="7" t="s">
        <v>37</v>
      </c>
      <c r="AA206" s="7" t="s">
        <v>37</v>
      </c>
      <c r="AB206" s="7" t="s">
        <v>37</v>
      </c>
      <c r="AC206" s="7" t="s">
        <v>37</v>
      </c>
      <c r="AD206" s="7" t="s">
        <v>37</v>
      </c>
      <c r="AE206" s="7" t="s">
        <v>37</v>
      </c>
      <c r="AF206" s="7" t="s">
        <v>37</v>
      </c>
      <c r="AG206" s="7" t="s">
        <v>37</v>
      </c>
      <c r="AH206" s="7" t="s">
        <v>37</v>
      </c>
      <c r="AI206" s="7" t="s">
        <v>37</v>
      </c>
      <c r="AJ206" s="7" t="s">
        <v>37</v>
      </c>
      <c r="AK206" s="7" t="s">
        <v>37</v>
      </c>
      <c r="AL206" s="7" t="s">
        <v>37</v>
      </c>
      <c r="AM206" s="7" t="s">
        <v>37</v>
      </c>
      <c r="AN206" s="7" t="s">
        <v>37</v>
      </c>
      <c r="AO206" s="7" t="s">
        <v>37</v>
      </c>
      <c r="AP206" s="7" t="s">
        <v>37</v>
      </c>
      <c r="AQ206" s="7">
        <v>1</v>
      </c>
      <c r="AR206" s="7">
        <v>1</v>
      </c>
      <c r="AS206"/>
    </row>
    <row r="207" spans="1:45" ht="19.5" customHeight="1" x14ac:dyDescent="0.3">
      <c r="A207" s="7" t="s">
        <v>820</v>
      </c>
      <c r="B207" s="7" t="s">
        <v>2080</v>
      </c>
      <c r="C207" s="7">
        <v>2.2999999999999998</v>
      </c>
      <c r="D207" s="7">
        <v>42203.475542478896</v>
      </c>
      <c r="E207" s="7">
        <v>704</v>
      </c>
      <c r="F207" s="7">
        <v>31.86328125</v>
      </c>
      <c r="G207" s="7" t="s">
        <v>821</v>
      </c>
      <c r="H207" s="7" t="s">
        <v>822</v>
      </c>
      <c r="I207" s="7" t="s">
        <v>823</v>
      </c>
      <c r="J207" s="8" t="s">
        <v>824</v>
      </c>
      <c r="K207" s="7" t="s">
        <v>825</v>
      </c>
      <c r="L207" s="7">
        <v>263.38499999999902</v>
      </c>
      <c r="M207" s="7" t="s">
        <v>37</v>
      </c>
      <c r="N207" s="7" t="s">
        <v>37</v>
      </c>
      <c r="O207" s="7" t="s">
        <v>37</v>
      </c>
      <c r="P207" s="7" t="s">
        <v>37</v>
      </c>
      <c r="Q207" s="7" t="s">
        <v>37</v>
      </c>
      <c r="R207" s="7" t="s">
        <v>37</v>
      </c>
      <c r="S207" s="7" t="s">
        <v>37</v>
      </c>
      <c r="T207" s="7" t="s">
        <v>37</v>
      </c>
      <c r="U207" s="7">
        <v>406.08350000000002</v>
      </c>
      <c r="V207" s="7">
        <v>1.0409999999999999</v>
      </c>
      <c r="W207" s="7">
        <v>239.98249999999999</v>
      </c>
      <c r="X207" s="9">
        <v>1.0715193052375999E-9</v>
      </c>
      <c r="Y207" s="7">
        <v>1.5389999999999999</v>
      </c>
      <c r="Z207" s="7">
        <v>12.6</v>
      </c>
      <c r="AA207" s="7">
        <v>0.12</v>
      </c>
      <c r="AB207" s="7">
        <v>0.11</v>
      </c>
      <c r="AC207" s="7">
        <v>9.24</v>
      </c>
      <c r="AD207" s="7">
        <v>0.69899999999999995</v>
      </c>
      <c r="AE207" s="7">
        <v>174.18799999999999</v>
      </c>
      <c r="AF207" s="7">
        <v>78.844999999999999</v>
      </c>
      <c r="AG207" s="7">
        <v>251.84200000000001</v>
      </c>
      <c r="AH207" s="7">
        <v>9.33</v>
      </c>
      <c r="AI207" s="7" t="s">
        <v>37</v>
      </c>
      <c r="AJ207" s="7">
        <v>31.256</v>
      </c>
      <c r="AK207" s="7">
        <v>1</v>
      </c>
      <c r="AL207" s="7">
        <v>43.892000000000003</v>
      </c>
      <c r="AM207" s="7" t="s">
        <v>37</v>
      </c>
      <c r="AN207" s="9">
        <v>9.5719399999999996E-7</v>
      </c>
      <c r="AO207" s="7">
        <v>78.885999999999996</v>
      </c>
      <c r="AP207" s="7">
        <v>6.9805149999999996E-3</v>
      </c>
      <c r="AQ207" s="7">
        <v>1</v>
      </c>
      <c r="AR207" s="7">
        <v>1</v>
      </c>
      <c r="AS207"/>
    </row>
    <row r="208" spans="1:45" ht="19.5" customHeight="1" x14ac:dyDescent="0.3">
      <c r="A208" s="7" t="s">
        <v>1090</v>
      </c>
      <c r="B208" s="7" t="s">
        <v>2080</v>
      </c>
      <c r="C208" s="7">
        <v>100</v>
      </c>
      <c r="D208" s="7">
        <v>19392.164646932801</v>
      </c>
      <c r="E208" s="7">
        <v>8732</v>
      </c>
      <c r="F208" s="7">
        <v>66.260128265290206</v>
      </c>
      <c r="G208" s="7" t="s">
        <v>1091</v>
      </c>
      <c r="H208" s="7" t="s">
        <v>1092</v>
      </c>
      <c r="I208" s="7" t="s">
        <v>1093</v>
      </c>
      <c r="J208" s="8" t="s">
        <v>1094</v>
      </c>
      <c r="K208" s="7" t="s">
        <v>1095</v>
      </c>
      <c r="L208" s="7">
        <v>405.495</v>
      </c>
      <c r="M208" s="7" t="s">
        <v>37</v>
      </c>
      <c r="N208" s="7" t="s">
        <v>37</v>
      </c>
      <c r="O208" s="7" t="s">
        <v>37</v>
      </c>
      <c r="P208" s="7" t="s">
        <v>37</v>
      </c>
      <c r="Q208" s="7" t="s">
        <v>37</v>
      </c>
      <c r="R208" s="7" t="s">
        <v>37</v>
      </c>
      <c r="S208" s="7">
        <v>405.49400000000003</v>
      </c>
      <c r="T208" s="7">
        <v>40.549399999999999</v>
      </c>
      <c r="U208" s="7">
        <v>570.20000000000005</v>
      </c>
      <c r="V208" s="7">
        <v>1.288</v>
      </c>
      <c r="W208" s="7">
        <v>365.63650000000001</v>
      </c>
      <c r="X208" s="9">
        <v>1.6982436524617499E-11</v>
      </c>
      <c r="Y208" s="7">
        <v>1.5780000000000001</v>
      </c>
      <c r="Z208" s="7">
        <v>4.21</v>
      </c>
      <c r="AA208" s="7">
        <v>-4.63</v>
      </c>
      <c r="AB208" s="7">
        <v>-2.74</v>
      </c>
      <c r="AC208" s="7">
        <v>9.43</v>
      </c>
      <c r="AD208" s="7">
        <v>-1.22</v>
      </c>
      <c r="AE208" s="7">
        <v>197.845</v>
      </c>
      <c r="AF208" s="7">
        <v>107.488</v>
      </c>
      <c r="AG208" s="7">
        <v>323.90600000000001</v>
      </c>
      <c r="AH208" s="7">
        <v>4.03</v>
      </c>
      <c r="AI208" s="7">
        <v>8.91</v>
      </c>
      <c r="AJ208" s="7">
        <v>42.612000000000002</v>
      </c>
      <c r="AK208" s="7">
        <v>0</v>
      </c>
      <c r="AL208" s="7">
        <v>60.393000000000001</v>
      </c>
      <c r="AM208" s="7" t="s">
        <v>37</v>
      </c>
      <c r="AN208" s="9">
        <v>2.22331E-11</v>
      </c>
      <c r="AO208" s="7">
        <v>419.75900000000001</v>
      </c>
      <c r="AP208" s="7">
        <v>0.23922099999999999</v>
      </c>
      <c r="AQ208" s="7">
        <v>1</v>
      </c>
      <c r="AR208" s="7">
        <v>1</v>
      </c>
      <c r="AS208"/>
    </row>
    <row r="209" spans="1:45" ht="19.5" customHeight="1" x14ac:dyDescent="0.3">
      <c r="A209" s="7" t="s">
        <v>1226</v>
      </c>
      <c r="B209" s="7" t="s">
        <v>2080</v>
      </c>
      <c r="C209" s="7">
        <v>100</v>
      </c>
      <c r="D209" s="7">
        <v>10675.384260949701</v>
      </c>
      <c r="E209" s="7">
        <v>76</v>
      </c>
      <c r="F209" s="7">
        <v>17.3965517241379</v>
      </c>
      <c r="G209" s="7" t="s">
        <v>1227</v>
      </c>
      <c r="H209" s="7" t="s">
        <v>1228</v>
      </c>
      <c r="I209" s="7" t="s">
        <v>1229</v>
      </c>
      <c r="J209" s="8" t="s">
        <v>1230</v>
      </c>
      <c r="K209" s="7" t="s">
        <v>1231</v>
      </c>
      <c r="L209" s="7">
        <v>477.05</v>
      </c>
      <c r="M209" s="7" t="s">
        <v>37</v>
      </c>
      <c r="N209" s="7" t="s">
        <v>37</v>
      </c>
      <c r="O209" s="7" t="s">
        <v>37</v>
      </c>
      <c r="P209" s="7" t="s">
        <v>37</v>
      </c>
      <c r="Q209" s="7" t="s">
        <v>37</v>
      </c>
      <c r="R209" s="7" t="s">
        <v>37</v>
      </c>
      <c r="S209" s="7" t="s">
        <v>37</v>
      </c>
      <c r="T209" s="7" t="s">
        <v>37</v>
      </c>
      <c r="U209" s="7">
        <v>529.46349999999995</v>
      </c>
      <c r="V209" s="7">
        <v>1.1919999999999999</v>
      </c>
      <c r="W209" s="7">
        <v>331.3005</v>
      </c>
      <c r="X209" s="9">
        <v>1.4454397707459299E-10</v>
      </c>
      <c r="Y209" s="7">
        <v>1.601</v>
      </c>
      <c r="Z209" s="7">
        <v>27.25</v>
      </c>
      <c r="AA209" s="7">
        <v>2.93</v>
      </c>
      <c r="AB209" s="7">
        <v>4.6399999999999997</v>
      </c>
      <c r="AC209" s="7">
        <v>10.199999999999999</v>
      </c>
      <c r="AD209" s="7">
        <v>4.7809999999999997</v>
      </c>
      <c r="AE209" s="7">
        <v>228</v>
      </c>
      <c r="AF209" s="7">
        <v>137.52699999999999</v>
      </c>
      <c r="AG209" s="7">
        <v>401.69099999999997</v>
      </c>
      <c r="AH209" s="7" t="s">
        <v>37</v>
      </c>
      <c r="AI209" s="7">
        <v>7.66</v>
      </c>
      <c r="AJ209" s="7">
        <v>54.52</v>
      </c>
      <c r="AK209" s="7">
        <v>0</v>
      </c>
      <c r="AL209" s="7">
        <v>49.808</v>
      </c>
      <c r="AM209" s="7" t="s">
        <v>37</v>
      </c>
      <c r="AN209" s="9">
        <v>2.89068E-10</v>
      </c>
      <c r="AO209" s="7" t="s">
        <v>37</v>
      </c>
      <c r="AP209" s="9">
        <v>1.5961908119747801E-5</v>
      </c>
      <c r="AQ209" s="7">
        <v>1</v>
      </c>
      <c r="AR209" s="7">
        <v>1</v>
      </c>
      <c r="AS209"/>
    </row>
    <row r="210" spans="1:45" ht="19.5" customHeight="1" x14ac:dyDescent="0.3">
      <c r="A210" s="7" t="s">
        <v>1208</v>
      </c>
      <c r="B210" s="7" t="s">
        <v>2080</v>
      </c>
      <c r="C210" s="7">
        <v>0</v>
      </c>
      <c r="D210" s="7">
        <v>10927.1697491664</v>
      </c>
      <c r="E210" s="7">
        <v>1150</v>
      </c>
      <c r="F210" s="7">
        <v>45.8507462686567</v>
      </c>
      <c r="G210" s="7" t="s">
        <v>1209</v>
      </c>
      <c r="H210" s="7" t="s">
        <v>1210</v>
      </c>
      <c r="I210" s="7" t="s">
        <v>1211</v>
      </c>
      <c r="J210" s="8" t="s">
        <v>1212</v>
      </c>
      <c r="K210" s="7" t="s">
        <v>1213</v>
      </c>
      <c r="L210" s="7">
        <v>382.89</v>
      </c>
      <c r="M210" s="7" t="s">
        <v>37</v>
      </c>
      <c r="N210" s="7" t="s">
        <v>37</v>
      </c>
      <c r="O210" s="7" t="s">
        <v>37</v>
      </c>
      <c r="P210" s="7" t="s">
        <v>37</v>
      </c>
      <c r="Q210" s="7" t="s">
        <v>37</v>
      </c>
      <c r="R210" s="7" t="s">
        <v>37</v>
      </c>
      <c r="S210" s="7" t="s">
        <v>37</v>
      </c>
      <c r="T210" s="7" t="s">
        <v>37</v>
      </c>
      <c r="U210" s="7">
        <v>531.29999999999995</v>
      </c>
      <c r="V210" s="7">
        <v>1.2555000000000001</v>
      </c>
      <c r="W210" s="7">
        <v>260.49099999999999</v>
      </c>
      <c r="X210" s="9">
        <v>1.8197008586099799E-8</v>
      </c>
      <c r="Y210" s="7">
        <v>1.6140000000000001</v>
      </c>
      <c r="Z210" s="7">
        <v>19.190000000000001</v>
      </c>
      <c r="AA210" s="7">
        <v>5.2</v>
      </c>
      <c r="AB210" s="7">
        <v>5.18</v>
      </c>
      <c r="AC210" s="7">
        <v>11.7</v>
      </c>
      <c r="AD210" s="7">
        <v>5.2</v>
      </c>
      <c r="AE210" s="7">
        <v>135</v>
      </c>
      <c r="AF210" s="7">
        <v>105.85299999999999</v>
      </c>
      <c r="AG210" s="7">
        <v>303.548</v>
      </c>
      <c r="AH210" s="7">
        <v>8.6300000000000008</v>
      </c>
      <c r="AI210" s="7" t="s">
        <v>37</v>
      </c>
      <c r="AJ210" s="7">
        <v>41.963000000000001</v>
      </c>
      <c r="AK210" s="7">
        <v>0</v>
      </c>
      <c r="AL210" s="7">
        <v>53.341999999999999</v>
      </c>
      <c r="AM210" s="7" t="s">
        <v>37</v>
      </c>
      <c r="AN210" s="9">
        <v>2.26986E-10</v>
      </c>
      <c r="AO210" s="7" t="s">
        <v>37</v>
      </c>
      <c r="AP210" s="9">
        <v>8.1283051616409898E-6</v>
      </c>
      <c r="AQ210" s="7">
        <v>0</v>
      </c>
      <c r="AR210" s="7">
        <v>0</v>
      </c>
      <c r="AS210"/>
    </row>
    <row r="211" spans="1:45" ht="19.5" customHeight="1" x14ac:dyDescent="0.3">
      <c r="A211" s="7" t="s">
        <v>1529</v>
      </c>
      <c r="B211" s="7" t="s">
        <v>2080</v>
      </c>
      <c r="C211" s="7">
        <v>0.3</v>
      </c>
      <c r="D211" s="7">
        <v>1716.72046844682</v>
      </c>
      <c r="E211" s="7">
        <v>901</v>
      </c>
      <c r="F211" s="7">
        <v>27.610032362459499</v>
      </c>
      <c r="G211" s="7" t="s">
        <v>1530</v>
      </c>
      <c r="H211" s="7" t="s">
        <v>1531</v>
      </c>
      <c r="I211" s="7" t="s">
        <v>1532</v>
      </c>
      <c r="J211" s="8" t="s">
        <v>1533</v>
      </c>
      <c r="K211" s="7" t="s">
        <v>1534</v>
      </c>
      <c r="L211" s="7">
        <v>321.16000000000003</v>
      </c>
      <c r="M211" s="7" t="s">
        <v>37</v>
      </c>
      <c r="N211" s="7" t="s">
        <v>37</v>
      </c>
      <c r="O211" s="7" t="s">
        <v>37</v>
      </c>
      <c r="P211" s="7" t="s">
        <v>37</v>
      </c>
      <c r="Q211" s="7" t="s">
        <v>37</v>
      </c>
      <c r="R211" s="7" t="s">
        <v>37</v>
      </c>
      <c r="S211" s="7" t="s">
        <v>37</v>
      </c>
      <c r="T211" s="7" t="s">
        <v>37</v>
      </c>
      <c r="U211" s="7">
        <v>480.46949999999998</v>
      </c>
      <c r="V211" s="7">
        <v>1.5169999999999999</v>
      </c>
      <c r="W211" s="7">
        <v>271.964</v>
      </c>
      <c r="X211" s="9">
        <v>6.3095734448019404E-10</v>
      </c>
      <c r="Y211" s="7">
        <v>1.694</v>
      </c>
      <c r="Z211" s="7">
        <v>16.09</v>
      </c>
      <c r="AA211" s="7">
        <v>2.39</v>
      </c>
      <c r="AB211" s="7">
        <v>2.39</v>
      </c>
      <c r="AC211" s="7">
        <v>9.33</v>
      </c>
      <c r="AD211" s="7">
        <v>2.39</v>
      </c>
      <c r="AE211" s="7">
        <v>167</v>
      </c>
      <c r="AF211" s="7">
        <v>81.040000000000006</v>
      </c>
      <c r="AG211" s="7">
        <v>211.166</v>
      </c>
      <c r="AH211" s="7">
        <v>9.42</v>
      </c>
      <c r="AI211" s="7" t="s">
        <v>37</v>
      </c>
      <c r="AJ211" s="7">
        <v>32.127000000000002</v>
      </c>
      <c r="AK211" s="7">
        <v>0</v>
      </c>
      <c r="AL211" s="7">
        <v>56.003</v>
      </c>
      <c r="AM211" s="7" t="s">
        <v>37</v>
      </c>
      <c r="AN211" s="9">
        <v>1.61436E-10</v>
      </c>
      <c r="AO211" s="7" t="s">
        <v>37</v>
      </c>
      <c r="AP211" s="7">
        <v>2.5059449999999999E-4</v>
      </c>
      <c r="AQ211" s="7">
        <v>1</v>
      </c>
      <c r="AR211" s="7">
        <v>1</v>
      </c>
      <c r="AS211"/>
    </row>
    <row r="212" spans="1:45" ht="19.5" customHeight="1" x14ac:dyDescent="0.3">
      <c r="A212" s="7" t="s">
        <v>695</v>
      </c>
      <c r="B212" s="7" t="s">
        <v>2080</v>
      </c>
      <c r="C212" s="7">
        <v>64</v>
      </c>
      <c r="D212" s="7">
        <v>70337.369382356104</v>
      </c>
      <c r="E212" s="7">
        <v>5099</v>
      </c>
      <c r="F212" s="7">
        <v>68.809890986439797</v>
      </c>
      <c r="G212" s="7" t="s">
        <v>696</v>
      </c>
      <c r="H212" s="7" t="s">
        <v>697</v>
      </c>
      <c r="I212" s="7" t="s">
        <v>698</v>
      </c>
      <c r="J212" s="8" t="s">
        <v>699</v>
      </c>
      <c r="K212" s="7" t="s">
        <v>700</v>
      </c>
      <c r="L212" s="7">
        <v>422.92</v>
      </c>
      <c r="M212" s="7" t="s">
        <v>37</v>
      </c>
      <c r="N212" s="7" t="s">
        <v>37</v>
      </c>
      <c r="O212" s="7" t="s">
        <v>37</v>
      </c>
      <c r="P212" s="7" t="s">
        <v>37</v>
      </c>
      <c r="Q212" s="7" t="s">
        <v>37</v>
      </c>
      <c r="R212" s="7" t="s">
        <v>37</v>
      </c>
      <c r="S212" s="7">
        <v>219.91685000000001</v>
      </c>
      <c r="T212" s="7">
        <v>1.69167</v>
      </c>
      <c r="U212" s="7">
        <v>621.09799999999996</v>
      </c>
      <c r="V212" s="7">
        <v>1.41</v>
      </c>
      <c r="W212" s="7">
        <v>359.02449999999999</v>
      </c>
      <c r="X212" s="9">
        <v>9.7723722095581096E-8</v>
      </c>
      <c r="Y212" s="7">
        <v>1.681</v>
      </c>
      <c r="Z212" s="7">
        <v>15.73</v>
      </c>
      <c r="AA212" s="7">
        <v>3.46</v>
      </c>
      <c r="AB212" s="7">
        <v>3.08</v>
      </c>
      <c r="AC212" s="7">
        <v>9.6199999999999992</v>
      </c>
      <c r="AD212" s="7">
        <v>3.5154999999999998</v>
      </c>
      <c r="AE212" s="7">
        <v>184</v>
      </c>
      <c r="AF212" s="7">
        <v>118.236</v>
      </c>
      <c r="AG212" s="7">
        <v>312.52600000000001</v>
      </c>
      <c r="AH212" s="7">
        <v>7.24</v>
      </c>
      <c r="AI212" s="7" t="s">
        <v>37</v>
      </c>
      <c r="AJ212" s="7">
        <v>46.872</v>
      </c>
      <c r="AK212" s="7">
        <v>0</v>
      </c>
      <c r="AL212" s="7">
        <v>53.322000000000003</v>
      </c>
      <c r="AM212" s="7" t="s">
        <v>37</v>
      </c>
      <c r="AN212" s="9">
        <v>3.7928878759209298E-10</v>
      </c>
      <c r="AO212" s="7" t="s">
        <v>37</v>
      </c>
      <c r="AP212" s="9">
        <v>5.2936649999999999E-6</v>
      </c>
      <c r="AQ212" s="7">
        <v>1</v>
      </c>
      <c r="AR212" s="7">
        <v>0</v>
      </c>
      <c r="AS212"/>
    </row>
    <row r="213" spans="1:45" ht="19.5" customHeight="1" x14ac:dyDescent="0.3">
      <c r="A213" s="7" t="s">
        <v>581</v>
      </c>
      <c r="B213" s="7" t="s">
        <v>2092</v>
      </c>
      <c r="C213" s="7">
        <v>0</v>
      </c>
      <c r="D213" s="7">
        <v>113776.109974526</v>
      </c>
      <c r="E213" s="7">
        <v>52</v>
      </c>
      <c r="F213" s="7">
        <v>23.6</v>
      </c>
      <c r="G213" s="7" t="s">
        <v>582</v>
      </c>
      <c r="H213" s="7" t="s">
        <v>583</v>
      </c>
      <c r="I213" s="7" t="s">
        <v>584</v>
      </c>
      <c r="J213" s="8" t="s">
        <v>585</v>
      </c>
      <c r="K213" s="7" t="s">
        <v>586</v>
      </c>
      <c r="L213" s="7">
        <v>394.89</v>
      </c>
      <c r="M213" s="7" t="s">
        <v>37</v>
      </c>
      <c r="N213" s="7" t="s">
        <v>37</v>
      </c>
      <c r="O213" s="7" t="s">
        <v>37</v>
      </c>
      <c r="P213" s="7" t="s">
        <v>37</v>
      </c>
      <c r="Q213" s="7" t="s">
        <v>37</v>
      </c>
      <c r="R213" s="7" t="s">
        <v>37</v>
      </c>
      <c r="S213" s="7" t="s">
        <v>37</v>
      </c>
      <c r="T213" s="7" t="s">
        <v>37</v>
      </c>
      <c r="U213" s="7">
        <v>460.07299999999998</v>
      </c>
      <c r="V213" s="7">
        <v>1.3380000000000001</v>
      </c>
      <c r="W213" s="7">
        <v>273.75150000000002</v>
      </c>
      <c r="X213" s="9">
        <v>5.3703179637025302E-11</v>
      </c>
      <c r="Y213" s="7">
        <v>1.5980000000000001</v>
      </c>
      <c r="Z213" s="7">
        <v>15.54</v>
      </c>
      <c r="AA213" s="7">
        <v>1.67</v>
      </c>
      <c r="AB213" s="7">
        <v>2.31</v>
      </c>
      <c r="AC213" s="7">
        <v>9.43</v>
      </c>
      <c r="AD213" s="7">
        <v>2.0049999999999999</v>
      </c>
      <c r="AE213" s="7">
        <v>211.1</v>
      </c>
      <c r="AF213" s="7">
        <v>100.521</v>
      </c>
      <c r="AG213" s="7">
        <v>294.72500000000002</v>
      </c>
      <c r="AH213" s="7" t="s">
        <v>37</v>
      </c>
      <c r="AI213" s="7">
        <v>9.2200000000000006</v>
      </c>
      <c r="AJ213" s="7">
        <v>39.85</v>
      </c>
      <c r="AK213" s="7">
        <v>0</v>
      </c>
      <c r="AL213" s="7">
        <v>52.842500000000001</v>
      </c>
      <c r="AM213" s="7" t="s">
        <v>37</v>
      </c>
      <c r="AN213" s="9">
        <v>5.3210800000000002E-10</v>
      </c>
      <c r="AO213" s="7" t="s">
        <v>37</v>
      </c>
      <c r="AP213" s="7">
        <v>1.07749629301072E-4</v>
      </c>
      <c r="AQ213" s="7">
        <v>1</v>
      </c>
      <c r="AR213" s="7">
        <v>1</v>
      </c>
      <c r="AS213"/>
    </row>
    <row r="214" spans="1:45" ht="19.5" customHeight="1" x14ac:dyDescent="0.3">
      <c r="A214" s="7" t="s">
        <v>975</v>
      </c>
      <c r="B214" s="7" t="s">
        <v>2080</v>
      </c>
      <c r="C214" s="7">
        <v>93</v>
      </c>
      <c r="D214" s="7">
        <v>27732.203476573599</v>
      </c>
      <c r="E214" s="7">
        <v>758</v>
      </c>
      <c r="F214" s="7">
        <v>69.939759036144594</v>
      </c>
      <c r="G214" s="7" t="s">
        <v>976</v>
      </c>
      <c r="H214" s="7" t="s">
        <v>977</v>
      </c>
      <c r="I214" s="7" t="s">
        <v>978</v>
      </c>
      <c r="J214" s="8" t="s">
        <v>979</v>
      </c>
      <c r="K214" s="7" t="s">
        <v>980</v>
      </c>
      <c r="L214" s="7">
        <v>404.54700000000003</v>
      </c>
      <c r="M214" s="7" t="s">
        <v>37</v>
      </c>
      <c r="N214" s="7" t="s">
        <v>37</v>
      </c>
      <c r="O214" s="7" t="s">
        <v>37</v>
      </c>
      <c r="P214" s="7" t="s">
        <v>37</v>
      </c>
      <c r="Q214" s="7">
        <v>1</v>
      </c>
      <c r="R214" s="7">
        <v>20</v>
      </c>
      <c r="S214" s="7">
        <v>5008.0909499999998</v>
      </c>
      <c r="T214" s="7">
        <v>1.61819</v>
      </c>
      <c r="U214" s="7">
        <v>486.44049999999999</v>
      </c>
      <c r="V214" s="7">
        <v>1.1405000000000001</v>
      </c>
      <c r="W214" s="7">
        <v>213.46549999999999</v>
      </c>
      <c r="X214" s="9">
        <v>3.1622776601683799E-8</v>
      </c>
      <c r="Y214" s="7">
        <v>1.532</v>
      </c>
      <c r="Z214" s="7">
        <v>22.83</v>
      </c>
      <c r="AA214" s="7">
        <v>1.38</v>
      </c>
      <c r="AB214" s="7">
        <v>3.24</v>
      </c>
      <c r="AC214" s="7">
        <v>10.35</v>
      </c>
      <c r="AD214" s="7">
        <v>4.26</v>
      </c>
      <c r="AE214" s="7">
        <v>175</v>
      </c>
      <c r="AF214" s="7">
        <v>111.711</v>
      </c>
      <c r="AG214" s="7">
        <v>360.62599999999998</v>
      </c>
      <c r="AH214" s="7" t="s">
        <v>37</v>
      </c>
      <c r="AI214" s="7">
        <v>8.3800000000000008</v>
      </c>
      <c r="AJ214" s="7">
        <v>44.286000000000001</v>
      </c>
      <c r="AK214" s="7">
        <v>0</v>
      </c>
      <c r="AL214" s="7">
        <v>43.512999999999998</v>
      </c>
      <c r="AM214" s="7" t="s">
        <v>37</v>
      </c>
      <c r="AN214" s="9">
        <v>6.72977E-9</v>
      </c>
      <c r="AO214" s="7" t="s">
        <v>37</v>
      </c>
      <c r="AP214" s="9">
        <v>9.9999999999999995E-7</v>
      </c>
      <c r="AQ214" s="7">
        <v>1</v>
      </c>
      <c r="AR214" s="7">
        <v>1</v>
      </c>
      <c r="AS214"/>
    </row>
    <row r="215" spans="1:45" ht="19.5" customHeight="1" x14ac:dyDescent="0.3">
      <c r="A215" s="7" t="s">
        <v>701</v>
      </c>
      <c r="B215" s="7" t="s">
        <v>2080</v>
      </c>
      <c r="C215" s="7">
        <v>89</v>
      </c>
      <c r="D215" s="7">
        <v>67000</v>
      </c>
      <c r="E215" s="7">
        <v>180</v>
      </c>
      <c r="F215" s="7">
        <v>34.191176470588204</v>
      </c>
      <c r="G215" s="7" t="s">
        <v>702</v>
      </c>
      <c r="H215" s="7" t="s">
        <v>703</v>
      </c>
      <c r="I215" s="7" t="s">
        <v>704</v>
      </c>
      <c r="J215" s="8" t="s">
        <v>705</v>
      </c>
      <c r="K215" s="7" t="s">
        <v>706</v>
      </c>
      <c r="L215" s="7">
        <v>492.68</v>
      </c>
      <c r="M215" s="7" t="s">
        <v>37</v>
      </c>
      <c r="N215" s="7" t="s">
        <v>37</v>
      </c>
      <c r="O215" s="7" t="s">
        <v>37</v>
      </c>
      <c r="P215" s="7" t="s">
        <v>37</v>
      </c>
      <c r="Q215" s="7" t="s">
        <v>37</v>
      </c>
      <c r="R215" s="7" t="s">
        <v>37</v>
      </c>
      <c r="S215" s="7" t="s">
        <v>37</v>
      </c>
      <c r="T215" s="7" t="s">
        <v>37</v>
      </c>
      <c r="U215" s="7">
        <v>385</v>
      </c>
      <c r="V215" s="7" t="s">
        <v>37</v>
      </c>
      <c r="W215" s="7" t="s">
        <v>37</v>
      </c>
      <c r="X215" s="9">
        <v>4.6773514128719802E-8</v>
      </c>
      <c r="Y215" s="7" t="s">
        <v>37</v>
      </c>
      <c r="Z215" s="7">
        <v>24.63</v>
      </c>
      <c r="AA215" s="7">
        <v>3.5</v>
      </c>
      <c r="AB215" s="7">
        <v>1.73</v>
      </c>
      <c r="AC215" s="7">
        <v>11.67</v>
      </c>
      <c r="AD215" s="7">
        <v>4.08</v>
      </c>
      <c r="AE215" s="7">
        <v>137</v>
      </c>
      <c r="AF215" s="7" t="s">
        <v>37</v>
      </c>
      <c r="AG215" s="7" t="s">
        <v>37</v>
      </c>
      <c r="AH215" s="7">
        <v>5.05</v>
      </c>
      <c r="AI215" s="7" t="s">
        <v>37</v>
      </c>
      <c r="AJ215" s="7" t="s">
        <v>37</v>
      </c>
      <c r="AK215" s="7">
        <v>0</v>
      </c>
      <c r="AL215" s="7" t="s">
        <v>37</v>
      </c>
      <c r="AM215" s="7" t="s">
        <v>37</v>
      </c>
      <c r="AN215" s="9">
        <v>2.5703957827688601E-9</v>
      </c>
      <c r="AO215" s="7" t="s">
        <v>37</v>
      </c>
      <c r="AP215" s="9">
        <v>3.2359365692962802E-5</v>
      </c>
      <c r="AQ215" s="7">
        <v>1</v>
      </c>
      <c r="AR215" s="7">
        <v>1</v>
      </c>
      <c r="AS215"/>
    </row>
    <row r="216" spans="1:45" ht="19.5" customHeight="1" x14ac:dyDescent="0.3">
      <c r="A216" s="7" t="s">
        <v>719</v>
      </c>
      <c r="B216" s="7" t="s">
        <v>2080</v>
      </c>
      <c r="C216" s="7">
        <v>100</v>
      </c>
      <c r="D216" s="7">
        <v>62253.622297819398</v>
      </c>
      <c r="E216" s="7">
        <v>447</v>
      </c>
      <c r="F216" s="7">
        <v>18.096866096866101</v>
      </c>
      <c r="G216" s="7" t="s">
        <v>720</v>
      </c>
      <c r="H216" s="7" t="s">
        <v>721</v>
      </c>
      <c r="I216" s="7" t="s">
        <v>722</v>
      </c>
      <c r="J216" s="8" t="s">
        <v>723</v>
      </c>
      <c r="K216" s="7" t="s">
        <v>724</v>
      </c>
      <c r="L216" s="7">
        <v>390.96</v>
      </c>
      <c r="M216" s="7" t="s">
        <v>37</v>
      </c>
      <c r="N216" s="7" t="s">
        <v>37</v>
      </c>
      <c r="O216" s="7" t="s">
        <v>37</v>
      </c>
      <c r="P216" s="7" t="s">
        <v>37</v>
      </c>
      <c r="Q216" s="7" t="s">
        <v>37</v>
      </c>
      <c r="R216" s="7" t="s">
        <v>37</v>
      </c>
      <c r="S216" s="7" t="s">
        <v>37</v>
      </c>
      <c r="T216" s="7" t="s">
        <v>37</v>
      </c>
      <c r="U216" s="7">
        <v>441.16</v>
      </c>
      <c r="V216" s="7">
        <v>1.1519999999999999</v>
      </c>
      <c r="W216" s="7">
        <v>246.40700000000001</v>
      </c>
      <c r="X216" s="9">
        <v>2.8183829312644602E-6</v>
      </c>
      <c r="Y216" s="7">
        <v>1.617</v>
      </c>
      <c r="Z216" s="7">
        <v>25.77</v>
      </c>
      <c r="AA216" s="7">
        <v>4.8</v>
      </c>
      <c r="AB216" s="7">
        <v>5.51</v>
      </c>
      <c r="AC216" s="7">
        <v>11.69</v>
      </c>
      <c r="AD216" s="7">
        <v>5.2605000000000004</v>
      </c>
      <c r="AE216" s="7">
        <v>132.75800000000001</v>
      </c>
      <c r="AF216" s="7">
        <v>118.03400000000001</v>
      </c>
      <c r="AG216" s="7">
        <v>337.24799999999999</v>
      </c>
      <c r="AH216" s="7" t="s">
        <v>37</v>
      </c>
      <c r="AI216" s="7">
        <v>6.14</v>
      </c>
      <c r="AJ216" s="7">
        <v>46.792000000000002</v>
      </c>
      <c r="AK216" s="7">
        <v>0</v>
      </c>
      <c r="AL216" s="7">
        <v>47.96</v>
      </c>
      <c r="AM216" s="7">
        <v>136.1</v>
      </c>
      <c r="AN216" s="9">
        <v>2.0044699999999999E-8</v>
      </c>
      <c r="AO216" s="7" t="s">
        <v>37</v>
      </c>
      <c r="AP216" s="9">
        <v>1.28889745E-5</v>
      </c>
      <c r="AQ216" s="7">
        <v>1</v>
      </c>
      <c r="AR216" s="7">
        <v>0</v>
      </c>
      <c r="AS216"/>
    </row>
    <row r="217" spans="1:45" ht="19.5" customHeight="1" x14ac:dyDescent="0.3">
      <c r="A217" s="7" t="s">
        <v>1422</v>
      </c>
      <c r="B217" s="7" t="s">
        <v>2090</v>
      </c>
      <c r="C217" s="7">
        <v>30</v>
      </c>
      <c r="D217" s="7">
        <v>3097.6215505315299</v>
      </c>
      <c r="E217" s="7">
        <v>48</v>
      </c>
      <c r="F217" s="7">
        <v>76.388605442176896</v>
      </c>
      <c r="G217" s="7" t="s">
        <v>1423</v>
      </c>
      <c r="H217" s="7" t="s">
        <v>1424</v>
      </c>
      <c r="I217" s="7" t="s">
        <v>1425</v>
      </c>
      <c r="J217" s="8" t="s">
        <v>1426</v>
      </c>
      <c r="K217" s="7" t="s">
        <v>1427</v>
      </c>
      <c r="L217" s="7">
        <v>344.495</v>
      </c>
      <c r="M217" s="7" t="s">
        <v>37</v>
      </c>
      <c r="N217" s="7" t="s">
        <v>37</v>
      </c>
      <c r="O217" s="7" t="s">
        <v>37</v>
      </c>
      <c r="P217" s="7" t="s">
        <v>37</v>
      </c>
      <c r="Q217" s="7">
        <v>5000</v>
      </c>
      <c r="R217" s="7" t="s">
        <v>37</v>
      </c>
      <c r="S217" s="7" t="s">
        <v>37</v>
      </c>
      <c r="T217" s="7" t="s">
        <v>37</v>
      </c>
      <c r="U217" s="7">
        <v>405.93049999999999</v>
      </c>
      <c r="V217" s="7">
        <v>1.1299999999999999</v>
      </c>
      <c r="W217" s="7">
        <v>247.38849999999999</v>
      </c>
      <c r="X217" s="9">
        <v>7.9432823472428203E-9</v>
      </c>
      <c r="Y217" s="7">
        <v>1.554</v>
      </c>
      <c r="Z217" s="7">
        <v>19.260000000000002</v>
      </c>
      <c r="AA217" s="7">
        <v>3.18</v>
      </c>
      <c r="AB217" s="7">
        <v>3.18</v>
      </c>
      <c r="AC217" s="7">
        <v>10.66</v>
      </c>
      <c r="AD217" s="7">
        <v>3.4415</v>
      </c>
      <c r="AE217" s="7">
        <v>218.125</v>
      </c>
      <c r="AF217" s="7">
        <v>97.128</v>
      </c>
      <c r="AG217" s="7">
        <v>302.89999999999998</v>
      </c>
      <c r="AH217" s="7">
        <v>9.58</v>
      </c>
      <c r="AI217" s="7">
        <v>13.032</v>
      </c>
      <c r="AJ217" s="7">
        <v>38.505000000000003</v>
      </c>
      <c r="AK217" s="7">
        <v>0</v>
      </c>
      <c r="AL217" s="7">
        <v>45.447000000000003</v>
      </c>
      <c r="AM217" s="7" t="s">
        <v>37</v>
      </c>
      <c r="AN217" s="9">
        <v>1.03753E-8</v>
      </c>
      <c r="AO217" s="7" t="s">
        <v>37</v>
      </c>
      <c r="AP217" s="9">
        <v>3.44388081197478E-5</v>
      </c>
      <c r="AQ217" s="7">
        <v>0</v>
      </c>
      <c r="AR217" s="7">
        <v>0</v>
      </c>
      <c r="AS217"/>
    </row>
    <row r="218" spans="1:45" ht="19.5" customHeight="1" x14ac:dyDescent="0.3">
      <c r="A218" s="7" t="s">
        <v>1422</v>
      </c>
      <c r="B218" s="7" t="s">
        <v>2080</v>
      </c>
      <c r="C218" s="7">
        <v>30</v>
      </c>
      <c r="D218" s="7">
        <v>5100.4471629208501</v>
      </c>
      <c r="E218" s="7">
        <v>141</v>
      </c>
      <c r="F218" s="7">
        <v>45.557678390505103</v>
      </c>
      <c r="G218" s="7" t="s">
        <v>1423</v>
      </c>
      <c r="H218" s="7" t="s">
        <v>1424</v>
      </c>
      <c r="I218" s="7" t="s">
        <v>1425</v>
      </c>
      <c r="J218" s="8" t="s">
        <v>1426</v>
      </c>
      <c r="K218" s="7" t="s">
        <v>1427</v>
      </c>
      <c r="L218" s="7">
        <v>344.495</v>
      </c>
      <c r="M218" s="7" t="s">
        <v>37</v>
      </c>
      <c r="N218" s="7" t="s">
        <v>37</v>
      </c>
      <c r="O218" s="7" t="s">
        <v>37</v>
      </c>
      <c r="P218" s="7" t="s">
        <v>37</v>
      </c>
      <c r="Q218" s="7">
        <v>5000</v>
      </c>
      <c r="R218" s="7" t="s">
        <v>37</v>
      </c>
      <c r="S218" s="7" t="s">
        <v>37</v>
      </c>
      <c r="T218" s="7" t="s">
        <v>37</v>
      </c>
      <c r="U218" s="7">
        <v>405.93049999999999</v>
      </c>
      <c r="V218" s="7">
        <v>1.1299999999999999</v>
      </c>
      <c r="W218" s="7">
        <v>247.38849999999999</v>
      </c>
      <c r="X218" s="9">
        <v>7.9432823472428203E-9</v>
      </c>
      <c r="Y218" s="7">
        <v>1.554</v>
      </c>
      <c r="Z218" s="7">
        <v>19.260000000000002</v>
      </c>
      <c r="AA218" s="7">
        <v>3.18</v>
      </c>
      <c r="AB218" s="7">
        <v>3.18</v>
      </c>
      <c r="AC218" s="7">
        <v>10.66</v>
      </c>
      <c r="AD218" s="7">
        <v>3.4415</v>
      </c>
      <c r="AE218" s="7">
        <v>218.125</v>
      </c>
      <c r="AF218" s="7">
        <v>97.128</v>
      </c>
      <c r="AG218" s="7">
        <v>302.89999999999998</v>
      </c>
      <c r="AH218" s="7">
        <v>9.58</v>
      </c>
      <c r="AI218" s="7">
        <v>13.032</v>
      </c>
      <c r="AJ218" s="7">
        <v>38.505000000000003</v>
      </c>
      <c r="AK218" s="7">
        <v>0</v>
      </c>
      <c r="AL218" s="7">
        <v>45.447000000000003</v>
      </c>
      <c r="AM218" s="7" t="s">
        <v>37</v>
      </c>
      <c r="AN218" s="9">
        <v>1.03753E-8</v>
      </c>
      <c r="AO218" s="7" t="s">
        <v>37</v>
      </c>
      <c r="AP218" s="9">
        <v>3.44388081197478E-5</v>
      </c>
      <c r="AQ218" s="7">
        <v>0</v>
      </c>
      <c r="AR218" s="7">
        <v>0</v>
      </c>
      <c r="AS218"/>
    </row>
    <row r="219" spans="1:45" ht="19.5" customHeight="1" x14ac:dyDescent="0.3">
      <c r="A219" s="7" t="s">
        <v>1177</v>
      </c>
      <c r="B219" s="7" t="s">
        <v>2080</v>
      </c>
      <c r="C219" s="7">
        <v>2.1</v>
      </c>
      <c r="D219" s="7">
        <v>13482.269949998101</v>
      </c>
      <c r="E219" s="7">
        <v>1914</v>
      </c>
      <c r="F219" s="7">
        <v>49.762318840579702</v>
      </c>
      <c r="G219" s="7" t="s">
        <v>1178</v>
      </c>
      <c r="H219" s="7" t="s">
        <v>1179</v>
      </c>
      <c r="I219" s="7" t="s">
        <v>1180</v>
      </c>
      <c r="J219" s="8" t="s">
        <v>1181</v>
      </c>
      <c r="K219" s="7" t="s">
        <v>1182</v>
      </c>
      <c r="L219" s="7">
        <v>351.4</v>
      </c>
      <c r="M219" s="7" t="s">
        <v>37</v>
      </c>
      <c r="N219" s="7" t="s">
        <v>37</v>
      </c>
      <c r="O219" s="7" t="s">
        <v>37</v>
      </c>
      <c r="P219" s="7" t="s">
        <v>37</v>
      </c>
      <c r="Q219" s="7" t="s">
        <v>37</v>
      </c>
      <c r="R219" s="7" t="s">
        <v>37</v>
      </c>
      <c r="S219" s="7">
        <v>100</v>
      </c>
      <c r="T219" s="7">
        <v>10</v>
      </c>
      <c r="U219" s="7">
        <v>479.34</v>
      </c>
      <c r="V219" s="7">
        <v>1.5629999999999999</v>
      </c>
      <c r="W219" s="7">
        <v>283.541</v>
      </c>
      <c r="X219" s="9">
        <v>9.7723722095581097E-11</v>
      </c>
      <c r="Y219" s="7">
        <v>1.72</v>
      </c>
      <c r="Z219" s="7">
        <v>9.51</v>
      </c>
      <c r="AA219" s="7">
        <v>1.62</v>
      </c>
      <c r="AB219" s="7">
        <v>-0.27</v>
      </c>
      <c r="AC219" s="7">
        <v>10.42</v>
      </c>
      <c r="AD219" s="7">
        <v>3.43</v>
      </c>
      <c r="AE219" s="7">
        <v>254</v>
      </c>
      <c r="AF219" s="7">
        <v>85.956000000000003</v>
      </c>
      <c r="AG219" s="7">
        <v>217.72399999999999</v>
      </c>
      <c r="AH219" s="7">
        <v>3.7</v>
      </c>
      <c r="AI219" s="7" t="s">
        <v>37</v>
      </c>
      <c r="AJ219" s="7">
        <v>34.076000000000001</v>
      </c>
      <c r="AK219" s="7">
        <v>0</v>
      </c>
      <c r="AL219" s="7">
        <v>85.325000000000003</v>
      </c>
      <c r="AM219" s="7" t="s">
        <v>37</v>
      </c>
      <c r="AN219" s="9">
        <v>1.11260492930499E-10</v>
      </c>
      <c r="AO219" s="7" t="s">
        <v>37</v>
      </c>
      <c r="AP219" s="7">
        <v>5.3088188555133504E-4</v>
      </c>
      <c r="AQ219" s="7">
        <v>0</v>
      </c>
      <c r="AR219" s="7">
        <v>1</v>
      </c>
      <c r="AS219"/>
    </row>
    <row r="220" spans="1:45" ht="19.5" customHeight="1" x14ac:dyDescent="0.3">
      <c r="A220" s="7" t="s">
        <v>1114</v>
      </c>
      <c r="B220" s="7" t="s">
        <v>2080</v>
      </c>
      <c r="C220" s="7">
        <v>48</v>
      </c>
      <c r="D220" s="7">
        <v>18238.8126847493</v>
      </c>
      <c r="E220" s="7">
        <v>344</v>
      </c>
      <c r="F220" s="7">
        <v>45.367149758454097</v>
      </c>
      <c r="G220" s="7" t="s">
        <v>1115</v>
      </c>
      <c r="H220" s="7" t="s">
        <v>1116</v>
      </c>
      <c r="I220" s="7" t="s">
        <v>1117</v>
      </c>
      <c r="J220" s="8" t="s">
        <v>1118</v>
      </c>
      <c r="K220" s="7" t="s">
        <v>1119</v>
      </c>
      <c r="L220" s="7">
        <v>179.30699999999899</v>
      </c>
      <c r="M220" s="7" t="s">
        <v>37</v>
      </c>
      <c r="N220" s="7" t="s">
        <v>37</v>
      </c>
      <c r="O220" s="7" t="s">
        <v>37</v>
      </c>
      <c r="P220" s="7" t="s">
        <v>37</v>
      </c>
      <c r="Q220" s="7" t="s">
        <v>37</v>
      </c>
      <c r="R220" s="7" t="s">
        <v>37</v>
      </c>
      <c r="S220" s="7" t="s">
        <v>37</v>
      </c>
      <c r="T220" s="7" t="s">
        <v>37</v>
      </c>
      <c r="U220" s="7">
        <v>237.08949999999999</v>
      </c>
      <c r="V220" s="7">
        <v>1.0135000000000001</v>
      </c>
      <c r="W220" s="7">
        <v>91.830500000000001</v>
      </c>
      <c r="X220" s="9">
        <v>1.69824365246175E-5</v>
      </c>
      <c r="Y220" s="7">
        <v>1.554</v>
      </c>
      <c r="Z220" s="7">
        <v>13.63</v>
      </c>
      <c r="AA220" s="7">
        <v>-1.92</v>
      </c>
      <c r="AB220" s="7">
        <v>-0.02</v>
      </c>
      <c r="AC220" s="7">
        <v>8.41</v>
      </c>
      <c r="AD220" s="7">
        <v>3.28</v>
      </c>
      <c r="AE220" s="7">
        <v>258</v>
      </c>
      <c r="AF220" s="7">
        <v>54.893999999999998</v>
      </c>
      <c r="AG220" s="7">
        <v>171.27699999999999</v>
      </c>
      <c r="AH220" s="7" t="s">
        <v>37</v>
      </c>
      <c r="AI220" s="7">
        <v>10.7</v>
      </c>
      <c r="AJ220" s="7">
        <v>21.762</v>
      </c>
      <c r="AK220" s="7">
        <v>0</v>
      </c>
      <c r="AL220" s="7">
        <v>50.095999999999997</v>
      </c>
      <c r="AM220" s="7">
        <v>127.80800000000001</v>
      </c>
      <c r="AN220" s="7">
        <v>3.9300000000000002E-2</v>
      </c>
      <c r="AO220" s="7">
        <v>7.4473200000000004</v>
      </c>
      <c r="AP220" s="7">
        <v>3.74889409684223E-3</v>
      </c>
      <c r="AQ220" s="7">
        <v>0</v>
      </c>
      <c r="AR220" s="7">
        <v>0</v>
      </c>
      <c r="AS220"/>
    </row>
    <row r="221" spans="1:45" ht="19.5" customHeight="1" x14ac:dyDescent="0.3">
      <c r="A221" s="7" t="s">
        <v>38</v>
      </c>
      <c r="B221" s="7" t="s">
        <v>2080</v>
      </c>
      <c r="C221" s="7">
        <v>86</v>
      </c>
      <c r="D221" s="7">
        <v>3714022.5734460698</v>
      </c>
      <c r="E221" s="7">
        <v>221</v>
      </c>
      <c r="F221" s="7">
        <v>44.3516238043416</v>
      </c>
      <c r="G221" s="7" t="s">
        <v>39</v>
      </c>
      <c r="H221" s="7" t="s">
        <v>40</v>
      </c>
      <c r="I221" s="7" t="s">
        <v>41</v>
      </c>
      <c r="J221" s="8" t="s">
        <v>42</v>
      </c>
      <c r="K221" s="7" t="s">
        <v>43</v>
      </c>
      <c r="L221" s="7">
        <v>153.137</v>
      </c>
      <c r="M221" s="7" t="s">
        <v>37</v>
      </c>
      <c r="N221" s="7" t="s">
        <v>37</v>
      </c>
      <c r="O221" s="7" t="s">
        <v>37</v>
      </c>
      <c r="P221" s="7" t="s">
        <v>37</v>
      </c>
      <c r="Q221" s="7" t="s">
        <v>37</v>
      </c>
      <c r="R221" s="7" t="s">
        <v>37</v>
      </c>
      <c r="S221" s="7" t="s">
        <v>37</v>
      </c>
      <c r="T221" s="7" t="s">
        <v>37</v>
      </c>
      <c r="U221" s="7">
        <v>334.89299999999997</v>
      </c>
      <c r="V221" s="7">
        <v>1.49</v>
      </c>
      <c r="W221" s="7">
        <v>192.08949999999999</v>
      </c>
      <c r="X221" s="9">
        <v>3.9810717055349698E-9</v>
      </c>
      <c r="Y221" s="7">
        <v>1.6910000000000001</v>
      </c>
      <c r="Z221" s="7">
        <v>0</v>
      </c>
      <c r="AA221" s="7">
        <v>-0.88</v>
      </c>
      <c r="AB221" s="7">
        <v>-2.77</v>
      </c>
      <c r="AC221" s="7">
        <v>7.89</v>
      </c>
      <c r="AD221" s="7">
        <v>0.89500000000000002</v>
      </c>
      <c r="AE221" s="7">
        <v>280</v>
      </c>
      <c r="AF221" s="7">
        <v>39.301000000000002</v>
      </c>
      <c r="AG221" s="7">
        <v>102.673</v>
      </c>
      <c r="AH221" s="7">
        <v>3.82</v>
      </c>
      <c r="AI221" s="7" t="s">
        <v>37</v>
      </c>
      <c r="AJ221" s="7">
        <v>15.58</v>
      </c>
      <c r="AK221" s="7">
        <v>1</v>
      </c>
      <c r="AL221" s="7">
        <v>83.37</v>
      </c>
      <c r="AM221" s="7" t="s">
        <v>37</v>
      </c>
      <c r="AN221" s="9">
        <v>3.6141E-7</v>
      </c>
      <c r="AO221" s="7" t="s">
        <v>37</v>
      </c>
      <c r="AP221" s="7">
        <v>5.5100000000000001E-3</v>
      </c>
      <c r="AQ221" s="7">
        <v>1</v>
      </c>
      <c r="AR221" s="7">
        <v>0</v>
      </c>
      <c r="AS221"/>
    </row>
    <row r="222" spans="1:45" ht="19.5" customHeight="1" x14ac:dyDescent="0.3">
      <c r="A222" s="7" t="s">
        <v>38</v>
      </c>
      <c r="B222" s="7" t="s">
        <v>2081</v>
      </c>
      <c r="C222" s="7">
        <v>82</v>
      </c>
      <c r="D222" s="7">
        <v>1591836.73469388</v>
      </c>
      <c r="E222" s="7">
        <v>7</v>
      </c>
      <c r="F222" s="7">
        <v>26.714285714285701</v>
      </c>
      <c r="G222" s="7" t="s">
        <v>39</v>
      </c>
      <c r="H222" s="7" t="s">
        <v>40</v>
      </c>
      <c r="I222" s="7" t="s">
        <v>41</v>
      </c>
      <c r="J222" s="8" t="s">
        <v>42</v>
      </c>
      <c r="K222" s="7" t="s">
        <v>43</v>
      </c>
      <c r="L222" s="7">
        <v>153.137</v>
      </c>
      <c r="M222" s="7" t="s">
        <v>37</v>
      </c>
      <c r="N222" s="7" t="s">
        <v>37</v>
      </c>
      <c r="O222" s="7" t="s">
        <v>37</v>
      </c>
      <c r="P222" s="7" t="s">
        <v>37</v>
      </c>
      <c r="Q222" s="7" t="s">
        <v>37</v>
      </c>
      <c r="R222" s="7" t="s">
        <v>37</v>
      </c>
      <c r="S222" s="7" t="s">
        <v>37</v>
      </c>
      <c r="T222" s="7" t="s">
        <v>37</v>
      </c>
      <c r="U222" s="7">
        <v>334.89299999999997</v>
      </c>
      <c r="V222" s="7">
        <v>1.49</v>
      </c>
      <c r="W222" s="7">
        <v>192.08949999999999</v>
      </c>
      <c r="X222" s="9">
        <v>3.9810717055349698E-9</v>
      </c>
      <c r="Y222" s="7">
        <v>1.6910000000000001</v>
      </c>
      <c r="Z222" s="7">
        <v>0</v>
      </c>
      <c r="AA222" s="7">
        <v>-0.88</v>
      </c>
      <c r="AB222" s="7">
        <v>-2.77</v>
      </c>
      <c r="AC222" s="7">
        <v>7.89</v>
      </c>
      <c r="AD222" s="7">
        <v>0.89500000000000002</v>
      </c>
      <c r="AE222" s="7">
        <v>280</v>
      </c>
      <c r="AF222" s="7">
        <v>39.301000000000002</v>
      </c>
      <c r="AG222" s="7">
        <v>102.673</v>
      </c>
      <c r="AH222" s="7">
        <v>3.82</v>
      </c>
      <c r="AI222" s="7" t="s">
        <v>37</v>
      </c>
      <c r="AJ222" s="7">
        <v>15.58</v>
      </c>
      <c r="AK222" s="7">
        <v>1</v>
      </c>
      <c r="AL222" s="7">
        <v>83.37</v>
      </c>
      <c r="AM222" s="7" t="s">
        <v>37</v>
      </c>
      <c r="AN222" s="9">
        <v>3.6141E-7</v>
      </c>
      <c r="AO222" s="7" t="s">
        <v>37</v>
      </c>
      <c r="AP222" s="7">
        <v>5.5100000000000001E-3</v>
      </c>
      <c r="AQ222" s="7">
        <v>1</v>
      </c>
      <c r="AR222" s="7">
        <v>0</v>
      </c>
      <c r="AS222"/>
    </row>
    <row r="223" spans="1:45" ht="19.5" customHeight="1" x14ac:dyDescent="0.3">
      <c r="A223" s="7" t="s">
        <v>50</v>
      </c>
      <c r="B223" s="7" t="s">
        <v>2080</v>
      </c>
      <c r="C223" s="7">
        <v>0</v>
      </c>
      <c r="D223" s="7">
        <v>2856565.0875908299</v>
      </c>
      <c r="E223" s="7">
        <v>41</v>
      </c>
      <c r="F223" s="7">
        <v>14.4333333333333</v>
      </c>
      <c r="G223" s="7" t="s">
        <v>51</v>
      </c>
      <c r="H223" s="7" t="s">
        <v>52</v>
      </c>
      <c r="I223" s="7" t="s">
        <v>53</v>
      </c>
      <c r="J223" s="8" t="s">
        <v>54</v>
      </c>
      <c r="K223" s="7" t="s">
        <v>55</v>
      </c>
      <c r="L223" s="7">
        <v>221.256</v>
      </c>
      <c r="M223" s="7" t="s">
        <v>37</v>
      </c>
      <c r="N223" s="7" t="s">
        <v>37</v>
      </c>
      <c r="O223" s="7" t="s">
        <v>37</v>
      </c>
      <c r="P223" s="7" t="s">
        <v>37</v>
      </c>
      <c r="Q223" s="7" t="s">
        <v>37</v>
      </c>
      <c r="R223" s="7" t="s">
        <v>37</v>
      </c>
      <c r="S223" s="7" t="s">
        <v>37</v>
      </c>
      <c r="T223" s="7" t="s">
        <v>37</v>
      </c>
      <c r="U223" s="7">
        <v>350.86599999999999</v>
      </c>
      <c r="V223" s="7">
        <v>1.149</v>
      </c>
      <c r="W223" s="7">
        <v>201.15950000000001</v>
      </c>
      <c r="X223" s="9">
        <v>1.38038426460289E-9</v>
      </c>
      <c r="Y223" s="7">
        <v>1.5249999999999999</v>
      </c>
      <c r="Z223" s="7">
        <v>9.08</v>
      </c>
      <c r="AA223" s="7">
        <v>1.76</v>
      </c>
      <c r="AB223" s="7">
        <v>1.75</v>
      </c>
      <c r="AC223" s="7">
        <v>9.98</v>
      </c>
      <c r="AD223" s="7">
        <v>2.3555000000000001</v>
      </c>
      <c r="AE223" s="7">
        <v>122</v>
      </c>
      <c r="AF223" s="7">
        <v>59.512</v>
      </c>
      <c r="AG223" s="7">
        <v>194.29900000000001</v>
      </c>
      <c r="AH223" s="7">
        <v>9.14</v>
      </c>
      <c r="AI223" s="7" t="s">
        <v>37</v>
      </c>
      <c r="AJ223" s="7">
        <v>23.593</v>
      </c>
      <c r="AK223" s="7">
        <v>1</v>
      </c>
      <c r="AL223" s="7">
        <v>38.189</v>
      </c>
      <c r="AM223" s="7" t="s">
        <v>37</v>
      </c>
      <c r="AN223" s="9">
        <v>1.7782794100389199E-6</v>
      </c>
      <c r="AO223" s="7">
        <v>57.942900000000002</v>
      </c>
      <c r="AP223" s="7">
        <v>8.5928199999999995E-4</v>
      </c>
      <c r="AQ223" s="7">
        <v>0</v>
      </c>
      <c r="AR223" s="7">
        <v>1</v>
      </c>
      <c r="AS223"/>
    </row>
    <row r="224" spans="1:45" ht="19.5" customHeight="1" x14ac:dyDescent="0.3">
      <c r="A224" s="7" t="s">
        <v>134</v>
      </c>
      <c r="B224" s="7" t="s">
        <v>2080</v>
      </c>
      <c r="C224" s="7">
        <v>90</v>
      </c>
      <c r="D224" s="7">
        <v>1482532.17430611</v>
      </c>
      <c r="E224" s="7">
        <v>9020</v>
      </c>
      <c r="F224" s="7">
        <v>66.248001254115096</v>
      </c>
      <c r="G224" s="7" t="s">
        <v>135</v>
      </c>
      <c r="H224" s="7" t="s">
        <v>136</v>
      </c>
      <c r="I224" s="7" t="s">
        <v>137</v>
      </c>
      <c r="J224" s="8" t="s">
        <v>138</v>
      </c>
      <c r="K224" s="7" t="s">
        <v>139</v>
      </c>
      <c r="L224" s="7">
        <v>129.167</v>
      </c>
      <c r="M224" s="7" t="s">
        <v>37</v>
      </c>
      <c r="N224" s="7" t="s">
        <v>37</v>
      </c>
      <c r="O224" s="7" t="s">
        <v>37</v>
      </c>
      <c r="P224" s="7" t="s">
        <v>37</v>
      </c>
      <c r="Q224" s="7" t="s">
        <v>37</v>
      </c>
      <c r="R224" s="7" t="s">
        <v>37</v>
      </c>
      <c r="S224" s="7">
        <v>20.5</v>
      </c>
      <c r="T224" s="7">
        <v>0.1</v>
      </c>
      <c r="U224" s="7">
        <v>257</v>
      </c>
      <c r="V224" s="7">
        <v>1.226</v>
      </c>
      <c r="W224" s="7">
        <v>99.659000000000006</v>
      </c>
      <c r="X224" s="9">
        <v>3.5481338923357599E-9</v>
      </c>
      <c r="Y224" s="7">
        <v>1.5760000000000001</v>
      </c>
      <c r="Z224" s="7">
        <v>0</v>
      </c>
      <c r="AA224" s="7">
        <v>-7.4</v>
      </c>
      <c r="AB224" s="7">
        <v>-5.5</v>
      </c>
      <c r="AC224" s="7">
        <v>5.93</v>
      </c>
      <c r="AD224" s="7">
        <v>-1.7175</v>
      </c>
      <c r="AE224" s="7">
        <v>224.5</v>
      </c>
      <c r="AF224" s="7">
        <v>33.359000000000002</v>
      </c>
      <c r="AG224" s="7">
        <v>100.79300000000001</v>
      </c>
      <c r="AH224" s="7" t="s">
        <v>37</v>
      </c>
      <c r="AI224" s="7">
        <v>13.28</v>
      </c>
      <c r="AJ224" s="7">
        <v>13.224</v>
      </c>
      <c r="AK224" s="7">
        <v>0</v>
      </c>
      <c r="AL224" s="7">
        <v>50.822000000000003</v>
      </c>
      <c r="AM224" s="7" t="s">
        <v>37</v>
      </c>
      <c r="AN224" s="7">
        <v>0.66300000033034701</v>
      </c>
      <c r="AO224" s="7" t="s">
        <v>37</v>
      </c>
      <c r="AP224" s="7">
        <v>0.53088400000000002</v>
      </c>
      <c r="AQ224" s="7">
        <v>0</v>
      </c>
      <c r="AR224" s="7">
        <v>0</v>
      </c>
      <c r="AS224"/>
    </row>
    <row r="225" spans="1:45" ht="19.5" customHeight="1" x14ac:dyDescent="0.3">
      <c r="A225" s="7" t="s">
        <v>1214</v>
      </c>
      <c r="B225" s="7" t="s">
        <v>2080</v>
      </c>
      <c r="C225" s="7">
        <v>100</v>
      </c>
      <c r="D225" s="7">
        <v>10864.2253229003</v>
      </c>
      <c r="E225" s="7">
        <v>187</v>
      </c>
      <c r="F225" s="7">
        <v>47.530434782608701</v>
      </c>
      <c r="G225" s="7" t="s">
        <v>1215</v>
      </c>
      <c r="H225" s="7" t="s">
        <v>1216</v>
      </c>
      <c r="I225" s="7" t="s">
        <v>1217</v>
      </c>
      <c r="J225" s="8" t="s">
        <v>1218</v>
      </c>
      <c r="K225" s="7" t="s">
        <v>1219</v>
      </c>
      <c r="L225" s="7">
        <v>114.17</v>
      </c>
      <c r="M225" s="7" t="s">
        <v>37</v>
      </c>
      <c r="N225" s="7" t="s">
        <v>37</v>
      </c>
      <c r="O225" s="7">
        <v>2181415</v>
      </c>
      <c r="P225" s="7">
        <v>89480</v>
      </c>
      <c r="Q225" s="7" t="s">
        <v>37</v>
      </c>
      <c r="R225" s="7" t="s">
        <v>37</v>
      </c>
      <c r="S225" s="7">
        <v>11987.325000000001</v>
      </c>
      <c r="T225" s="7">
        <v>0.34249499999999999</v>
      </c>
      <c r="U225" s="7">
        <v>280</v>
      </c>
      <c r="V225" s="7">
        <v>1.2435</v>
      </c>
      <c r="W225" s="7">
        <v>55.398000000000003</v>
      </c>
      <c r="X225" s="9">
        <v>9.7723722095581093E-9</v>
      </c>
      <c r="Y225" s="7">
        <v>1.667</v>
      </c>
      <c r="Z225" s="7">
        <v>0</v>
      </c>
      <c r="AA225" s="7">
        <v>-0.34</v>
      </c>
      <c r="AB225" s="7">
        <v>-0.34</v>
      </c>
      <c r="AC225" s="7">
        <v>3.57</v>
      </c>
      <c r="AD225" s="7">
        <v>-0.34</v>
      </c>
      <c r="AE225" s="7">
        <v>145.75</v>
      </c>
      <c r="AF225" s="7">
        <v>33.072000000000003</v>
      </c>
      <c r="AG225" s="7">
        <v>88.897000000000006</v>
      </c>
      <c r="AH225" s="7" t="s">
        <v>37</v>
      </c>
      <c r="AI225" s="7">
        <v>3.33</v>
      </c>
      <c r="AJ225" s="7">
        <v>13.111000000000001</v>
      </c>
      <c r="AK225" s="7">
        <v>0</v>
      </c>
      <c r="AL225" s="7">
        <v>61.923999999999999</v>
      </c>
      <c r="AM225" s="7" t="s">
        <v>37</v>
      </c>
      <c r="AN225" s="7">
        <v>1.2022644346174101E-2</v>
      </c>
      <c r="AO225" s="7" t="s">
        <v>37</v>
      </c>
      <c r="AP225" s="9">
        <v>2.4000000000000001E-5</v>
      </c>
      <c r="AQ225" s="7">
        <v>1</v>
      </c>
      <c r="AR225" s="7">
        <v>0</v>
      </c>
      <c r="AS225"/>
    </row>
    <row r="226" spans="1:45" ht="19.5" customHeight="1" x14ac:dyDescent="0.3">
      <c r="A226" s="7" t="s">
        <v>74</v>
      </c>
      <c r="B226" s="7" t="s">
        <v>2080</v>
      </c>
      <c r="C226" s="7">
        <v>30</v>
      </c>
      <c r="D226" s="7">
        <v>2018644.0002874599</v>
      </c>
      <c r="E226" s="7">
        <v>467</v>
      </c>
      <c r="F226" s="7">
        <v>23.969529085872601</v>
      </c>
      <c r="G226" s="7" t="s">
        <v>75</v>
      </c>
      <c r="H226" s="7" t="s">
        <v>76</v>
      </c>
      <c r="I226" s="7" t="s">
        <v>77</v>
      </c>
      <c r="J226" s="8" t="s">
        <v>78</v>
      </c>
      <c r="K226" s="7" t="s">
        <v>79</v>
      </c>
      <c r="L226" s="7">
        <v>241.242999999999</v>
      </c>
      <c r="M226" s="7" t="s">
        <v>37</v>
      </c>
      <c r="N226" s="7" t="s">
        <v>37</v>
      </c>
      <c r="O226" s="7" t="s">
        <v>37</v>
      </c>
      <c r="P226" s="7" t="s">
        <v>37</v>
      </c>
      <c r="Q226" s="7" t="s">
        <v>37</v>
      </c>
      <c r="R226" s="7" t="s">
        <v>37</v>
      </c>
      <c r="S226" s="7">
        <v>2.3E-2</v>
      </c>
      <c r="T226" s="7">
        <v>2.3E-3</v>
      </c>
      <c r="U226" s="7">
        <v>360.50749999999999</v>
      </c>
      <c r="V226" s="7">
        <v>1.2455000000000001</v>
      </c>
      <c r="W226" s="7">
        <v>230.7175</v>
      </c>
      <c r="X226" s="9">
        <v>1.09647819614318E-9</v>
      </c>
      <c r="Y226" s="7">
        <v>1.5409999999999999</v>
      </c>
      <c r="Z226" s="7">
        <v>5.13</v>
      </c>
      <c r="AA226" s="7">
        <v>0.59</v>
      </c>
      <c r="AB226" s="7">
        <v>-7.0000000000000007E-2</v>
      </c>
      <c r="AC226" s="7">
        <v>8.36</v>
      </c>
      <c r="AD226" s="7">
        <v>0.61</v>
      </c>
      <c r="AE226" s="7">
        <v>93</v>
      </c>
      <c r="AF226" s="7">
        <v>60.311999999999998</v>
      </c>
      <c r="AG226" s="7">
        <v>192</v>
      </c>
      <c r="AH226" s="7">
        <v>6.82</v>
      </c>
      <c r="AI226" s="7" t="s">
        <v>37</v>
      </c>
      <c r="AJ226" s="7">
        <v>23.91</v>
      </c>
      <c r="AK226" s="7">
        <v>1</v>
      </c>
      <c r="AL226" s="7">
        <v>48.947000000000003</v>
      </c>
      <c r="AM226" s="7" t="s">
        <v>37</v>
      </c>
      <c r="AN226" s="9">
        <v>4.7863009232263802E-9</v>
      </c>
      <c r="AO226" s="7">
        <v>39.902500000000003</v>
      </c>
      <c r="AP226" s="7">
        <v>6.7100000000000007E-2</v>
      </c>
      <c r="AQ226" s="7">
        <v>0</v>
      </c>
      <c r="AR226" s="7">
        <v>0</v>
      </c>
      <c r="AS226"/>
    </row>
    <row r="227" spans="1:45" ht="19.5" customHeight="1" x14ac:dyDescent="0.3">
      <c r="A227" s="7" t="s">
        <v>1452</v>
      </c>
      <c r="B227" s="7" t="s">
        <v>2194</v>
      </c>
      <c r="C227" s="7">
        <v>100</v>
      </c>
      <c r="D227" s="7">
        <v>6984.1269841269796</v>
      </c>
      <c r="E227" s="7">
        <v>9</v>
      </c>
      <c r="F227" s="7">
        <v>28.6666666666667</v>
      </c>
      <c r="G227" s="7" t="s">
        <v>1453</v>
      </c>
      <c r="H227" s="7" t="s">
        <v>1454</v>
      </c>
      <c r="I227" s="7" t="s">
        <v>1455</v>
      </c>
      <c r="J227" s="8" t="s">
        <v>1456</v>
      </c>
      <c r="K227" s="7" t="s">
        <v>1457</v>
      </c>
      <c r="L227" s="7">
        <v>454.447</v>
      </c>
      <c r="M227" s="7" t="s">
        <v>37</v>
      </c>
      <c r="N227" s="7" t="s">
        <v>37</v>
      </c>
      <c r="O227" s="7" t="s">
        <v>37</v>
      </c>
      <c r="P227" s="7" t="s">
        <v>37</v>
      </c>
      <c r="Q227" s="7">
        <v>908891</v>
      </c>
      <c r="R227" s="7" t="s">
        <v>37</v>
      </c>
      <c r="S227" s="7" t="s">
        <v>37</v>
      </c>
      <c r="T227" s="7" t="s">
        <v>37</v>
      </c>
      <c r="U227" s="7">
        <v>628.25300000000004</v>
      </c>
      <c r="V227" s="7">
        <v>1.591</v>
      </c>
      <c r="W227" s="7">
        <v>447.91800000000001</v>
      </c>
      <c r="X227" s="9">
        <v>1.44543977074593E-11</v>
      </c>
      <c r="Y227" s="7">
        <v>1.738</v>
      </c>
      <c r="Z227" s="7">
        <v>0</v>
      </c>
      <c r="AA227" s="7">
        <v>-2.4</v>
      </c>
      <c r="AB227" s="7">
        <v>-4.16</v>
      </c>
      <c r="AC227" s="7">
        <v>9.52</v>
      </c>
      <c r="AD227" s="7">
        <v>-1.85</v>
      </c>
      <c r="AE227" s="7">
        <v>195</v>
      </c>
      <c r="AF227" s="7">
        <v>118.976</v>
      </c>
      <c r="AG227" s="7">
        <v>295.69900000000001</v>
      </c>
      <c r="AH227" s="7">
        <v>1.74</v>
      </c>
      <c r="AI227" s="7">
        <v>8.44</v>
      </c>
      <c r="AJ227" s="7">
        <v>47.165999999999997</v>
      </c>
      <c r="AK227" s="7">
        <v>0</v>
      </c>
      <c r="AL227" s="7">
        <v>96.498000000000005</v>
      </c>
      <c r="AM227" s="7" t="s">
        <v>37</v>
      </c>
      <c r="AN227" s="9">
        <v>3.6221837811699501E-9</v>
      </c>
      <c r="AO227" s="7" t="s">
        <v>37</v>
      </c>
      <c r="AP227" s="7">
        <v>4.3959903589816198E-4</v>
      </c>
      <c r="AQ227" s="7">
        <v>1</v>
      </c>
      <c r="AR227" s="7">
        <v>1</v>
      </c>
      <c r="AS227"/>
    </row>
    <row r="228" spans="1:45" ht="19.5" customHeight="1" x14ac:dyDescent="0.3">
      <c r="A228" s="7" t="s">
        <v>1452</v>
      </c>
      <c r="B228" s="7" t="s">
        <v>2195</v>
      </c>
      <c r="C228" s="7">
        <v>100</v>
      </c>
      <c r="D228" s="7">
        <v>35714.285714285703</v>
      </c>
      <c r="E228" s="7">
        <v>8</v>
      </c>
      <c r="F228" s="7">
        <v>70</v>
      </c>
      <c r="G228" s="7" t="s">
        <v>1453</v>
      </c>
      <c r="H228" s="7" t="s">
        <v>1454</v>
      </c>
      <c r="I228" s="7" t="s">
        <v>1455</v>
      </c>
      <c r="J228" s="8" t="s">
        <v>1456</v>
      </c>
      <c r="K228" s="7" t="s">
        <v>1457</v>
      </c>
      <c r="L228" s="7">
        <v>454.447</v>
      </c>
      <c r="M228" s="7" t="s">
        <v>37</v>
      </c>
      <c r="N228" s="7" t="s">
        <v>37</v>
      </c>
      <c r="O228" s="7" t="s">
        <v>37</v>
      </c>
      <c r="P228" s="7" t="s">
        <v>37</v>
      </c>
      <c r="Q228" s="7">
        <v>908891</v>
      </c>
      <c r="R228" s="7" t="s">
        <v>37</v>
      </c>
      <c r="S228" s="7" t="s">
        <v>37</v>
      </c>
      <c r="T228" s="7" t="s">
        <v>37</v>
      </c>
      <c r="U228" s="7">
        <v>628.25300000000004</v>
      </c>
      <c r="V228" s="7">
        <v>1.591</v>
      </c>
      <c r="W228" s="7">
        <v>447.91800000000001</v>
      </c>
      <c r="X228" s="9">
        <v>1.44543977074593E-11</v>
      </c>
      <c r="Y228" s="7">
        <v>1.738</v>
      </c>
      <c r="Z228" s="7">
        <v>0</v>
      </c>
      <c r="AA228" s="7">
        <v>-2.4</v>
      </c>
      <c r="AB228" s="7">
        <v>-4.16</v>
      </c>
      <c r="AC228" s="7">
        <v>9.52</v>
      </c>
      <c r="AD228" s="7">
        <v>-1.85</v>
      </c>
      <c r="AE228" s="7">
        <v>195</v>
      </c>
      <c r="AF228" s="7">
        <v>118.976</v>
      </c>
      <c r="AG228" s="7">
        <v>295.69900000000001</v>
      </c>
      <c r="AH228" s="7">
        <v>1.74</v>
      </c>
      <c r="AI228" s="7">
        <v>8.44</v>
      </c>
      <c r="AJ228" s="7">
        <v>47.165999999999997</v>
      </c>
      <c r="AK228" s="7">
        <v>0</v>
      </c>
      <c r="AL228" s="7">
        <v>96.498000000000005</v>
      </c>
      <c r="AM228" s="7" t="s">
        <v>37</v>
      </c>
      <c r="AN228" s="9">
        <v>3.6221837811699501E-9</v>
      </c>
      <c r="AO228" s="7" t="s">
        <v>37</v>
      </c>
      <c r="AP228" s="7">
        <v>4.3959903589816198E-4</v>
      </c>
      <c r="AQ228" s="7">
        <v>1</v>
      </c>
      <c r="AR228" s="7">
        <v>1</v>
      </c>
      <c r="AS228"/>
    </row>
    <row r="229" spans="1:45" ht="19.5" customHeight="1" x14ac:dyDescent="0.3">
      <c r="A229" s="7" t="s">
        <v>1452</v>
      </c>
      <c r="B229" s="7" t="s">
        <v>2173</v>
      </c>
      <c r="C229" s="7">
        <v>100</v>
      </c>
      <c r="D229" s="7">
        <v>6759.9060848414501</v>
      </c>
      <c r="E229" s="7">
        <v>58</v>
      </c>
      <c r="F229" s="7">
        <v>41.682353663026099</v>
      </c>
      <c r="G229" s="7" t="s">
        <v>1453</v>
      </c>
      <c r="H229" s="7" t="s">
        <v>1454</v>
      </c>
      <c r="I229" s="7" t="s">
        <v>1455</v>
      </c>
      <c r="J229" s="8" t="s">
        <v>1456</v>
      </c>
      <c r="K229" s="7" t="s">
        <v>1457</v>
      </c>
      <c r="L229" s="7">
        <v>454.447</v>
      </c>
      <c r="M229" s="7" t="s">
        <v>37</v>
      </c>
      <c r="N229" s="7" t="s">
        <v>37</v>
      </c>
      <c r="O229" s="7" t="s">
        <v>37</v>
      </c>
      <c r="P229" s="7" t="s">
        <v>37</v>
      </c>
      <c r="Q229" s="7">
        <v>908891</v>
      </c>
      <c r="R229" s="7" t="s">
        <v>37</v>
      </c>
      <c r="S229" s="7" t="s">
        <v>37</v>
      </c>
      <c r="T229" s="7" t="s">
        <v>37</v>
      </c>
      <c r="U229" s="7">
        <v>628.25300000000004</v>
      </c>
      <c r="V229" s="7">
        <v>1.591</v>
      </c>
      <c r="W229" s="7">
        <v>447.91800000000001</v>
      </c>
      <c r="X229" s="9">
        <v>1.44543977074593E-11</v>
      </c>
      <c r="Y229" s="7">
        <v>1.738</v>
      </c>
      <c r="Z229" s="7">
        <v>0</v>
      </c>
      <c r="AA229" s="7">
        <v>-2.4</v>
      </c>
      <c r="AB229" s="7">
        <v>-4.16</v>
      </c>
      <c r="AC229" s="7">
        <v>9.52</v>
      </c>
      <c r="AD229" s="7">
        <v>-1.85</v>
      </c>
      <c r="AE229" s="7">
        <v>195</v>
      </c>
      <c r="AF229" s="7">
        <v>118.976</v>
      </c>
      <c r="AG229" s="7">
        <v>295.69900000000001</v>
      </c>
      <c r="AH229" s="7">
        <v>1.74</v>
      </c>
      <c r="AI229" s="7">
        <v>8.44</v>
      </c>
      <c r="AJ229" s="7">
        <v>47.165999999999997</v>
      </c>
      <c r="AK229" s="7">
        <v>0</v>
      </c>
      <c r="AL229" s="7">
        <v>96.498000000000005</v>
      </c>
      <c r="AM229" s="7" t="s">
        <v>37</v>
      </c>
      <c r="AN229" s="9">
        <v>3.6221837811699501E-9</v>
      </c>
      <c r="AO229" s="7" t="s">
        <v>37</v>
      </c>
      <c r="AP229" s="7">
        <v>4.3959903589816198E-4</v>
      </c>
      <c r="AQ229" s="7">
        <v>1</v>
      </c>
      <c r="AR229" s="7">
        <v>1</v>
      </c>
      <c r="AS229"/>
    </row>
    <row r="230" spans="1:45" ht="19.5" customHeight="1" x14ac:dyDescent="0.3">
      <c r="A230" s="7" t="s">
        <v>1452</v>
      </c>
      <c r="B230" s="7" t="s">
        <v>2080</v>
      </c>
      <c r="C230" s="7">
        <v>100</v>
      </c>
      <c r="D230" s="7">
        <v>2214.7222221912998</v>
      </c>
      <c r="E230" s="7">
        <v>406</v>
      </c>
      <c r="F230" s="7">
        <v>47.177418789334403</v>
      </c>
      <c r="G230" s="7" t="s">
        <v>1453</v>
      </c>
      <c r="H230" s="7" t="s">
        <v>1454</v>
      </c>
      <c r="I230" s="7" t="s">
        <v>1455</v>
      </c>
      <c r="J230" s="8" t="s">
        <v>1456</v>
      </c>
      <c r="K230" s="7" t="s">
        <v>1457</v>
      </c>
      <c r="L230" s="7">
        <v>454.447</v>
      </c>
      <c r="M230" s="7" t="s">
        <v>37</v>
      </c>
      <c r="N230" s="7" t="s">
        <v>37</v>
      </c>
      <c r="O230" s="7" t="s">
        <v>37</v>
      </c>
      <c r="P230" s="7" t="s">
        <v>37</v>
      </c>
      <c r="Q230" s="7">
        <v>908891</v>
      </c>
      <c r="R230" s="7" t="s">
        <v>37</v>
      </c>
      <c r="S230" s="7" t="s">
        <v>37</v>
      </c>
      <c r="T230" s="7" t="s">
        <v>37</v>
      </c>
      <c r="U230" s="7">
        <v>628.25300000000004</v>
      </c>
      <c r="V230" s="7">
        <v>1.591</v>
      </c>
      <c r="W230" s="7">
        <v>447.91800000000001</v>
      </c>
      <c r="X230" s="9">
        <v>1.44543977074593E-11</v>
      </c>
      <c r="Y230" s="7">
        <v>1.738</v>
      </c>
      <c r="Z230" s="7">
        <v>0</v>
      </c>
      <c r="AA230" s="7">
        <v>-2.4</v>
      </c>
      <c r="AB230" s="7">
        <v>-4.16</v>
      </c>
      <c r="AC230" s="7">
        <v>9.52</v>
      </c>
      <c r="AD230" s="7">
        <v>-1.85</v>
      </c>
      <c r="AE230" s="7">
        <v>195</v>
      </c>
      <c r="AF230" s="7">
        <v>118.976</v>
      </c>
      <c r="AG230" s="7">
        <v>295.69900000000001</v>
      </c>
      <c r="AH230" s="7">
        <v>1.74</v>
      </c>
      <c r="AI230" s="7">
        <v>8.44</v>
      </c>
      <c r="AJ230" s="7">
        <v>47.165999999999997</v>
      </c>
      <c r="AK230" s="7">
        <v>0</v>
      </c>
      <c r="AL230" s="7">
        <v>96.498000000000005</v>
      </c>
      <c r="AM230" s="7" t="s">
        <v>37</v>
      </c>
      <c r="AN230" s="9">
        <v>3.6221837811699501E-9</v>
      </c>
      <c r="AO230" s="7" t="s">
        <v>37</v>
      </c>
      <c r="AP230" s="7">
        <v>4.3959903589816198E-4</v>
      </c>
      <c r="AQ230" s="7">
        <v>1</v>
      </c>
      <c r="AR230" s="7">
        <v>1</v>
      </c>
      <c r="AS230"/>
    </row>
    <row r="231" spans="1:45" ht="19.5" customHeight="1" x14ac:dyDescent="0.3">
      <c r="A231" s="7" t="s">
        <v>850</v>
      </c>
      <c r="B231" s="7" t="s">
        <v>2080</v>
      </c>
      <c r="C231" s="7">
        <v>40</v>
      </c>
      <c r="D231" s="7">
        <v>40032.9790151298</v>
      </c>
      <c r="E231" s="7">
        <v>1142</v>
      </c>
      <c r="F231" s="7">
        <v>30.236574746008699</v>
      </c>
      <c r="G231" s="7" t="s">
        <v>851</v>
      </c>
      <c r="H231" s="7" t="s">
        <v>852</v>
      </c>
      <c r="I231" s="7" t="s">
        <v>853</v>
      </c>
      <c r="J231" s="8" t="s">
        <v>854</v>
      </c>
      <c r="K231" s="7" t="s">
        <v>855</v>
      </c>
      <c r="L231" s="7">
        <v>233.31100000000001</v>
      </c>
      <c r="M231" s="7" t="s">
        <v>37</v>
      </c>
      <c r="N231" s="7" t="s">
        <v>37</v>
      </c>
      <c r="O231" s="7" t="s">
        <v>37</v>
      </c>
      <c r="P231" s="7" t="s">
        <v>37</v>
      </c>
      <c r="Q231" s="7" t="s">
        <v>37</v>
      </c>
      <c r="R231" s="7" t="s">
        <v>37</v>
      </c>
      <c r="S231" s="7" t="s">
        <v>37</v>
      </c>
      <c r="T231" s="7" t="s">
        <v>37</v>
      </c>
      <c r="U231" s="7">
        <v>317.32249999999999</v>
      </c>
      <c r="V231" s="7">
        <v>1.0674999999999999</v>
      </c>
      <c r="W231" s="7">
        <v>152.95699999999999</v>
      </c>
      <c r="X231" s="9">
        <v>2.8840315031266101E-10</v>
      </c>
      <c r="Y231" s="7">
        <v>1.5229999999999999</v>
      </c>
      <c r="Z231" s="7">
        <v>14</v>
      </c>
      <c r="AA231" s="7">
        <v>-4.83</v>
      </c>
      <c r="AB231" s="7">
        <v>-2.93</v>
      </c>
      <c r="AC231" s="7">
        <v>8.82</v>
      </c>
      <c r="AD231" s="7">
        <v>0.2</v>
      </c>
      <c r="AE231" s="7">
        <v>225</v>
      </c>
      <c r="AF231" s="7">
        <v>66.617000000000004</v>
      </c>
      <c r="AG231" s="7">
        <v>218.03200000000001</v>
      </c>
      <c r="AH231" s="7" t="s">
        <v>37</v>
      </c>
      <c r="AI231" s="7">
        <v>10.54</v>
      </c>
      <c r="AJ231" s="7">
        <v>26.408999999999999</v>
      </c>
      <c r="AK231" s="7">
        <v>1</v>
      </c>
      <c r="AL231" s="7">
        <v>39.043999999999997</v>
      </c>
      <c r="AM231" s="7">
        <v>151.34800000000001</v>
      </c>
      <c r="AN231" s="9">
        <v>2.40436E-6</v>
      </c>
      <c r="AO231" s="7">
        <v>21.134899999999998</v>
      </c>
      <c r="AP231" s="7">
        <v>3.974745E-3</v>
      </c>
      <c r="AQ231" s="7">
        <v>1</v>
      </c>
      <c r="AR231" s="7">
        <v>1</v>
      </c>
      <c r="AS231"/>
    </row>
    <row r="232" spans="1:45" ht="19.5" customHeight="1" x14ac:dyDescent="0.3">
      <c r="A232" s="7" t="s">
        <v>1220</v>
      </c>
      <c r="B232" s="7" t="s">
        <v>2196</v>
      </c>
      <c r="C232" s="7">
        <v>100</v>
      </c>
      <c r="D232" s="7">
        <v>3342.88443170965</v>
      </c>
      <c r="E232" s="7">
        <v>2</v>
      </c>
      <c r="F232" s="7">
        <v>11.9657142857143</v>
      </c>
      <c r="G232" s="7" t="s">
        <v>1221</v>
      </c>
      <c r="H232" s="7" t="s">
        <v>1222</v>
      </c>
      <c r="I232" s="7" t="s">
        <v>1223</v>
      </c>
      <c r="J232" s="8" t="s">
        <v>1224</v>
      </c>
      <c r="K232" s="7" t="s">
        <v>1225</v>
      </c>
      <c r="L232" s="7">
        <v>374.47699999999901</v>
      </c>
      <c r="M232" s="7" t="s">
        <v>37</v>
      </c>
      <c r="N232" s="7" t="s">
        <v>37</v>
      </c>
      <c r="O232" s="7" t="s">
        <v>37</v>
      </c>
      <c r="P232" s="7" t="s">
        <v>37</v>
      </c>
      <c r="Q232" s="7" t="s">
        <v>37</v>
      </c>
      <c r="R232" s="7" t="s">
        <v>37</v>
      </c>
      <c r="S232" s="7" t="s">
        <v>37</v>
      </c>
      <c r="T232" s="7" t="s">
        <v>37</v>
      </c>
      <c r="U232" s="7">
        <v>473.63549999999998</v>
      </c>
      <c r="V232" s="7">
        <v>1.2849999999999999</v>
      </c>
      <c r="W232" s="7">
        <v>303.33100000000002</v>
      </c>
      <c r="X232" s="9">
        <v>9.1201083935591205E-12</v>
      </c>
      <c r="Y232" s="7">
        <v>1.603</v>
      </c>
      <c r="Z232" s="7">
        <v>14.04</v>
      </c>
      <c r="AA232" s="7">
        <v>1.72</v>
      </c>
      <c r="AB232" s="7">
        <v>1.71</v>
      </c>
      <c r="AC232" s="7">
        <v>9.31</v>
      </c>
      <c r="AD232" s="7">
        <v>1.8935</v>
      </c>
      <c r="AE232" s="7">
        <v>232.5</v>
      </c>
      <c r="AF232" s="7">
        <v>100.08799999999999</v>
      </c>
      <c r="AG232" s="7">
        <v>291.476</v>
      </c>
      <c r="AH232" s="7">
        <v>8.92</v>
      </c>
      <c r="AI232" s="7" t="s">
        <v>37</v>
      </c>
      <c r="AJ232" s="7">
        <v>39.677999999999997</v>
      </c>
      <c r="AK232" s="7">
        <v>0</v>
      </c>
      <c r="AL232" s="7">
        <v>58.149000000000001</v>
      </c>
      <c r="AM232" s="7" t="s">
        <v>37</v>
      </c>
      <c r="AN232" s="9">
        <v>2.1676999999999999E-10</v>
      </c>
      <c r="AO232" s="7" t="s">
        <v>37</v>
      </c>
      <c r="AP232" s="7">
        <v>3.2400000000000001E-4</v>
      </c>
      <c r="AQ232" s="7">
        <v>1</v>
      </c>
      <c r="AR232" s="7">
        <v>0</v>
      </c>
      <c r="AS232"/>
    </row>
    <row r="233" spans="1:45" ht="19.5" customHeight="1" x14ac:dyDescent="0.3">
      <c r="A233" s="7" t="s">
        <v>1220</v>
      </c>
      <c r="B233" s="7" t="s">
        <v>2080</v>
      </c>
      <c r="C233" s="7">
        <v>100</v>
      </c>
      <c r="D233" s="7">
        <v>10784.509695516699</v>
      </c>
      <c r="E233" s="7">
        <v>280</v>
      </c>
      <c r="F233" s="7">
        <v>11.9657142857143</v>
      </c>
      <c r="G233" s="7" t="s">
        <v>1221</v>
      </c>
      <c r="H233" s="7" t="s">
        <v>1222</v>
      </c>
      <c r="I233" s="7" t="s">
        <v>1223</v>
      </c>
      <c r="J233" s="8" t="s">
        <v>1224</v>
      </c>
      <c r="K233" s="7" t="s">
        <v>1225</v>
      </c>
      <c r="L233" s="7">
        <v>374.47699999999901</v>
      </c>
      <c r="M233" s="7" t="s">
        <v>37</v>
      </c>
      <c r="N233" s="7" t="s">
        <v>37</v>
      </c>
      <c r="O233" s="7" t="s">
        <v>37</v>
      </c>
      <c r="P233" s="7" t="s">
        <v>37</v>
      </c>
      <c r="Q233" s="7" t="s">
        <v>37</v>
      </c>
      <c r="R233" s="7" t="s">
        <v>37</v>
      </c>
      <c r="S233" s="7" t="s">
        <v>37</v>
      </c>
      <c r="T233" s="7" t="s">
        <v>37</v>
      </c>
      <c r="U233" s="7">
        <v>473.63549999999998</v>
      </c>
      <c r="V233" s="7">
        <v>1.2849999999999999</v>
      </c>
      <c r="W233" s="7">
        <v>303.33100000000002</v>
      </c>
      <c r="X233" s="9">
        <v>9.1201083935591205E-12</v>
      </c>
      <c r="Y233" s="7">
        <v>1.603</v>
      </c>
      <c r="Z233" s="7">
        <v>14.04</v>
      </c>
      <c r="AA233" s="7">
        <v>1.72</v>
      </c>
      <c r="AB233" s="7">
        <v>1.71</v>
      </c>
      <c r="AC233" s="7">
        <v>9.31</v>
      </c>
      <c r="AD233" s="7">
        <v>1.8935</v>
      </c>
      <c r="AE233" s="7">
        <v>232.5</v>
      </c>
      <c r="AF233" s="7">
        <v>100.08799999999999</v>
      </c>
      <c r="AG233" s="7">
        <v>291.476</v>
      </c>
      <c r="AH233" s="7">
        <v>8.92</v>
      </c>
      <c r="AI233" s="7" t="s">
        <v>37</v>
      </c>
      <c r="AJ233" s="7">
        <v>39.677999999999997</v>
      </c>
      <c r="AK233" s="7">
        <v>0</v>
      </c>
      <c r="AL233" s="7">
        <v>58.149000000000001</v>
      </c>
      <c r="AM233" s="7" t="s">
        <v>37</v>
      </c>
      <c r="AN233" s="9">
        <v>2.1676999999999999E-10</v>
      </c>
      <c r="AO233" s="7" t="s">
        <v>37</v>
      </c>
      <c r="AP233" s="7">
        <v>3.2400000000000001E-4</v>
      </c>
      <c r="AQ233" s="7">
        <v>1</v>
      </c>
      <c r="AR233" s="7">
        <v>0</v>
      </c>
      <c r="AS233"/>
    </row>
    <row r="234" spans="1:45" ht="19.5" customHeight="1" x14ac:dyDescent="0.3">
      <c r="A234" s="7" t="s">
        <v>963</v>
      </c>
      <c r="B234" s="7" t="s">
        <v>2080</v>
      </c>
      <c r="C234" s="7">
        <v>78</v>
      </c>
      <c r="D234" s="7">
        <v>29163.512543794201</v>
      </c>
      <c r="E234" s="7">
        <v>99</v>
      </c>
      <c r="F234" s="7">
        <v>34.390625</v>
      </c>
      <c r="G234" s="7" t="s">
        <v>964</v>
      </c>
      <c r="H234" s="7" t="s">
        <v>965</v>
      </c>
      <c r="I234" s="7" t="s">
        <v>966</v>
      </c>
      <c r="J234" s="8" t="s">
        <v>967</v>
      </c>
      <c r="K234" s="7" t="s">
        <v>968</v>
      </c>
      <c r="L234" s="7">
        <v>299.8</v>
      </c>
      <c r="M234" s="7" t="s">
        <v>37</v>
      </c>
      <c r="N234" s="7" t="s">
        <v>37</v>
      </c>
      <c r="O234" s="7" t="s">
        <v>37</v>
      </c>
      <c r="P234" s="7" t="s">
        <v>37</v>
      </c>
      <c r="Q234" s="7" t="s">
        <v>37</v>
      </c>
      <c r="R234" s="7" t="s">
        <v>37</v>
      </c>
      <c r="S234" s="7">
        <v>5500</v>
      </c>
      <c r="T234" s="7">
        <v>100</v>
      </c>
      <c r="U234" s="7">
        <v>408.13</v>
      </c>
      <c r="V234" s="7">
        <v>1.1675</v>
      </c>
      <c r="W234" s="7">
        <v>219.53450000000001</v>
      </c>
      <c r="X234" s="9">
        <v>1.99526231496888E-10</v>
      </c>
      <c r="Y234" s="7">
        <v>1.554</v>
      </c>
      <c r="Z234" s="7">
        <v>11.11</v>
      </c>
      <c r="AA234" s="7">
        <v>-3.09</v>
      </c>
      <c r="AB234" s="7">
        <v>-1.19</v>
      </c>
      <c r="AC234" s="7">
        <v>9.26</v>
      </c>
      <c r="AD234" s="7">
        <v>2.62</v>
      </c>
      <c r="AE234" s="7">
        <v>147.25</v>
      </c>
      <c r="AF234" s="7">
        <v>82.570999999999998</v>
      </c>
      <c r="AG234" s="7">
        <v>257.8</v>
      </c>
      <c r="AH234" s="7" t="s">
        <v>37</v>
      </c>
      <c r="AI234" s="7">
        <v>11.21</v>
      </c>
      <c r="AJ234" s="7">
        <v>32.734000000000002</v>
      </c>
      <c r="AK234" s="7">
        <v>1</v>
      </c>
      <c r="AL234" s="7">
        <v>43.848999999999997</v>
      </c>
      <c r="AM234" s="7" t="s">
        <v>37</v>
      </c>
      <c r="AN234" s="9">
        <v>7.5683300000000006E-8</v>
      </c>
      <c r="AO234" s="7" t="s">
        <v>37</v>
      </c>
      <c r="AP234" s="7">
        <v>6.6100000000000002E-4</v>
      </c>
      <c r="AQ234" s="7">
        <v>1</v>
      </c>
      <c r="AR234" s="7">
        <v>1</v>
      </c>
      <c r="AS234"/>
    </row>
    <row r="235" spans="1:45" ht="19.5" customHeight="1" x14ac:dyDescent="0.3">
      <c r="A235" s="7" t="s">
        <v>689</v>
      </c>
      <c r="B235" s="7" t="s">
        <v>2080</v>
      </c>
      <c r="C235" s="7">
        <v>5</v>
      </c>
      <c r="D235" s="7">
        <v>72285.767560614695</v>
      </c>
      <c r="E235" s="7">
        <v>6375</v>
      </c>
      <c r="F235" s="7">
        <v>69.246227859173402</v>
      </c>
      <c r="G235" s="7" t="s">
        <v>690</v>
      </c>
      <c r="H235" s="7" t="s">
        <v>691</v>
      </c>
      <c r="I235" s="7" t="s">
        <v>692</v>
      </c>
      <c r="J235" s="8" t="s">
        <v>693</v>
      </c>
      <c r="K235" s="7" t="s">
        <v>694</v>
      </c>
      <c r="L235" s="7">
        <v>267.36900000000003</v>
      </c>
      <c r="M235" s="7">
        <v>63900</v>
      </c>
      <c r="N235" s="7" t="s">
        <v>37</v>
      </c>
      <c r="O235" s="7" t="s">
        <v>37</v>
      </c>
      <c r="P235" s="7" t="s">
        <v>37</v>
      </c>
      <c r="Q235" s="7" t="s">
        <v>37</v>
      </c>
      <c r="R235" s="7" t="s">
        <v>37</v>
      </c>
      <c r="S235" s="7">
        <v>53.473700000000001</v>
      </c>
      <c r="T235" s="7">
        <v>0.5</v>
      </c>
      <c r="U235" s="7">
        <v>362.14499999999998</v>
      </c>
      <c r="V235" s="7">
        <v>1.034</v>
      </c>
      <c r="W235" s="7">
        <v>200.28700000000001</v>
      </c>
      <c r="X235" s="9">
        <v>2.6915348039269101E-8</v>
      </c>
      <c r="Y235" s="7">
        <v>1.508</v>
      </c>
      <c r="Z235" s="7">
        <v>13.52</v>
      </c>
      <c r="AA235" s="7">
        <v>-3.05</v>
      </c>
      <c r="AB235" s="7">
        <v>-1.1499999999999999</v>
      </c>
      <c r="AC235" s="7">
        <v>8.4</v>
      </c>
      <c r="AD235" s="7">
        <v>1.88</v>
      </c>
      <c r="AE235" s="7">
        <v>93</v>
      </c>
      <c r="AF235" s="7">
        <v>77.069999999999993</v>
      </c>
      <c r="AG235" s="7">
        <v>258.73099999999999</v>
      </c>
      <c r="AH235" s="7" t="s">
        <v>37</v>
      </c>
      <c r="AI235" s="7">
        <v>10.43</v>
      </c>
      <c r="AJ235" s="7">
        <v>30.553000000000001</v>
      </c>
      <c r="AK235" s="7">
        <v>0</v>
      </c>
      <c r="AL235" s="7">
        <v>38.686999999999998</v>
      </c>
      <c r="AM235" s="7">
        <v>156.917</v>
      </c>
      <c r="AN235" s="9">
        <v>4.8977881936844704E-7</v>
      </c>
      <c r="AO235" s="7">
        <v>41.4</v>
      </c>
      <c r="AP235" s="7">
        <v>6.3156050000000005E-2</v>
      </c>
      <c r="AQ235" s="7">
        <v>1</v>
      </c>
      <c r="AR235" s="7">
        <v>0</v>
      </c>
      <c r="AS235"/>
    </row>
    <row r="236" spans="1:45" ht="19.5" customHeight="1" x14ac:dyDescent="0.3">
      <c r="A236" s="7" t="s">
        <v>182</v>
      </c>
      <c r="B236" s="7" t="s">
        <v>2080</v>
      </c>
      <c r="C236" s="7">
        <v>31</v>
      </c>
      <c r="D236" s="7">
        <v>1131120.67736293</v>
      </c>
      <c r="E236" s="7">
        <v>181</v>
      </c>
      <c r="F236" s="7">
        <v>9.4927536231884098</v>
      </c>
      <c r="G236" s="7" t="s">
        <v>183</v>
      </c>
      <c r="H236" s="7" t="s">
        <v>184</v>
      </c>
      <c r="I236" s="7" t="s">
        <v>185</v>
      </c>
      <c r="J236" s="8" t="s">
        <v>186</v>
      </c>
      <c r="K236" s="7" t="s">
        <v>187</v>
      </c>
      <c r="L236" s="7">
        <v>171.15600000000001</v>
      </c>
      <c r="M236" s="7">
        <v>182000</v>
      </c>
      <c r="N236" s="7" t="s">
        <v>37</v>
      </c>
      <c r="O236" s="9">
        <v>1000000</v>
      </c>
      <c r="P236" s="7">
        <v>10000</v>
      </c>
      <c r="Q236" s="7">
        <v>250000</v>
      </c>
      <c r="R236" s="7" t="s">
        <v>37</v>
      </c>
      <c r="S236" s="9">
        <v>500000</v>
      </c>
      <c r="T236" s="7">
        <v>50000</v>
      </c>
      <c r="U236" s="7">
        <v>332.31200000000001</v>
      </c>
      <c r="V236" s="7">
        <v>1.4510000000000001</v>
      </c>
      <c r="W236" s="7">
        <v>195.19649999999999</v>
      </c>
      <c r="X236" s="9">
        <v>5.6234132519034902E-9</v>
      </c>
      <c r="Y236" s="7">
        <v>1.6120000000000001</v>
      </c>
      <c r="Z236" s="7">
        <v>4.96</v>
      </c>
      <c r="AA236" s="7">
        <v>-0.02</v>
      </c>
      <c r="AB236" s="7">
        <v>-0.02</v>
      </c>
      <c r="AC236" s="7">
        <v>8.35</v>
      </c>
      <c r="AD236" s="7">
        <v>-0.02</v>
      </c>
      <c r="AE236" s="7">
        <v>160</v>
      </c>
      <c r="AF236" s="7">
        <v>40.981000000000002</v>
      </c>
      <c r="AG236" s="7">
        <v>117.867</v>
      </c>
      <c r="AH236" s="7" t="s">
        <v>37</v>
      </c>
      <c r="AI236" s="7">
        <v>3.33</v>
      </c>
      <c r="AJ236" s="7">
        <v>16.245999999999999</v>
      </c>
      <c r="AK236" s="7">
        <v>0</v>
      </c>
      <c r="AL236" s="7">
        <v>60.48</v>
      </c>
      <c r="AM236" s="7">
        <v>151.078</v>
      </c>
      <c r="AN236" s="9">
        <v>8.9125093813374601E-5</v>
      </c>
      <c r="AO236" s="7">
        <v>27.0396</v>
      </c>
      <c r="AP236" s="7">
        <v>5.5E-2</v>
      </c>
      <c r="AQ236" s="7">
        <v>1</v>
      </c>
      <c r="AR236" s="7">
        <v>0</v>
      </c>
      <c r="AS236"/>
    </row>
    <row r="237" spans="1:45" ht="19.5" customHeight="1" x14ac:dyDescent="0.3">
      <c r="A237" s="7" t="s">
        <v>504</v>
      </c>
      <c r="B237" s="7" t="s">
        <v>2080</v>
      </c>
      <c r="C237" s="7">
        <v>50</v>
      </c>
      <c r="D237" s="7">
        <v>152977.35919958699</v>
      </c>
      <c r="E237" s="7">
        <v>122</v>
      </c>
      <c r="F237" s="7">
        <v>29.0833333333333</v>
      </c>
      <c r="G237" s="7" t="s">
        <v>505</v>
      </c>
      <c r="H237" s="7" t="s">
        <v>506</v>
      </c>
      <c r="I237" s="7" t="s">
        <v>507</v>
      </c>
      <c r="J237" s="8" t="s">
        <v>508</v>
      </c>
      <c r="K237" s="7" t="s">
        <v>509</v>
      </c>
      <c r="L237" s="7">
        <v>457.483</v>
      </c>
      <c r="M237" s="7" t="s">
        <v>37</v>
      </c>
      <c r="N237" s="7" t="s">
        <v>37</v>
      </c>
      <c r="O237" s="7" t="s">
        <v>37</v>
      </c>
      <c r="P237" s="7" t="s">
        <v>37</v>
      </c>
      <c r="Q237" s="7" t="s">
        <v>37</v>
      </c>
      <c r="R237" s="7" t="s">
        <v>37</v>
      </c>
      <c r="S237" s="7" t="s">
        <v>37</v>
      </c>
      <c r="T237" s="7" t="s">
        <v>37</v>
      </c>
      <c r="U237" s="7">
        <v>686.68</v>
      </c>
      <c r="V237" s="7">
        <v>1.5940000000000001</v>
      </c>
      <c r="W237" s="7">
        <v>437.1465</v>
      </c>
      <c r="X237" s="9">
        <v>1.09647819614318E-11</v>
      </c>
      <c r="Y237" s="7">
        <v>1.718</v>
      </c>
      <c r="Z237" s="7">
        <v>4.4400000000000004</v>
      </c>
      <c r="AA237" s="7">
        <v>0.04</v>
      </c>
      <c r="AB237" s="7">
        <v>-0.37</v>
      </c>
      <c r="AC237" s="7">
        <v>9.44</v>
      </c>
      <c r="AD237" s="7">
        <v>0.05</v>
      </c>
      <c r="AE237" s="7">
        <v>258.63299999999998</v>
      </c>
      <c r="AF237" s="7">
        <v>116.04900000000001</v>
      </c>
      <c r="AG237" s="7">
        <v>294.56200000000001</v>
      </c>
      <c r="AH237" s="7">
        <v>7.18</v>
      </c>
      <c r="AI237" s="7" t="s">
        <v>37</v>
      </c>
      <c r="AJ237" s="7">
        <v>46.006</v>
      </c>
      <c r="AK237" s="7">
        <v>0</v>
      </c>
      <c r="AL237" s="7">
        <v>90.043000000000006</v>
      </c>
      <c r="AM237" s="7" t="s">
        <v>37</v>
      </c>
      <c r="AN237" s="9">
        <v>1.5995599999999999E-15</v>
      </c>
      <c r="AO237" s="7" t="s">
        <v>37</v>
      </c>
      <c r="AP237" s="7">
        <v>0.113829</v>
      </c>
      <c r="AQ237" s="7">
        <v>1</v>
      </c>
      <c r="AR237" s="7">
        <v>1</v>
      </c>
      <c r="AS237"/>
    </row>
    <row r="238" spans="1:45" ht="19.5" customHeight="1" x14ac:dyDescent="0.3">
      <c r="A238" s="7" t="s">
        <v>868</v>
      </c>
      <c r="B238" s="7" t="s">
        <v>2080</v>
      </c>
      <c r="C238" s="7">
        <v>25</v>
      </c>
      <c r="D238" s="7">
        <v>38546.286031042102</v>
      </c>
      <c r="E238" s="7">
        <v>328</v>
      </c>
      <c r="F238" s="7">
        <v>49.464285714285701</v>
      </c>
      <c r="G238" s="7" t="s">
        <v>869</v>
      </c>
      <c r="H238" s="7" t="s">
        <v>870</v>
      </c>
      <c r="I238" s="7" t="s">
        <v>871</v>
      </c>
      <c r="J238" s="8" t="s">
        <v>872</v>
      </c>
      <c r="K238" s="7" t="s">
        <v>873</v>
      </c>
      <c r="L238" s="7">
        <v>396.51</v>
      </c>
      <c r="M238" s="7" t="s">
        <v>37</v>
      </c>
      <c r="N238" s="7" t="s">
        <v>37</v>
      </c>
      <c r="O238" s="7" t="s">
        <v>37</v>
      </c>
      <c r="P238" s="7" t="s">
        <v>37</v>
      </c>
      <c r="Q238" s="7" t="s">
        <v>37</v>
      </c>
      <c r="R238" s="7" t="s">
        <v>37</v>
      </c>
      <c r="S238" s="7" t="s">
        <v>37</v>
      </c>
      <c r="T238" s="7" t="s">
        <v>37</v>
      </c>
      <c r="U238" s="7">
        <v>351</v>
      </c>
      <c r="V238" s="7" t="s">
        <v>37</v>
      </c>
      <c r="W238" s="7" t="s">
        <v>37</v>
      </c>
      <c r="X238" s="9">
        <v>1.5848931924611101E-11</v>
      </c>
      <c r="Y238" s="7" t="s">
        <v>37</v>
      </c>
      <c r="Z238" s="7">
        <v>16.690000000000001</v>
      </c>
      <c r="AA238" s="7">
        <v>1.33</v>
      </c>
      <c r="AB238" s="7">
        <v>1.33</v>
      </c>
      <c r="AC238" s="7">
        <v>9.4600000000000009</v>
      </c>
      <c r="AD238" s="7">
        <v>1.33</v>
      </c>
      <c r="AE238" s="7">
        <v>156</v>
      </c>
      <c r="AF238" s="7" t="s">
        <v>37</v>
      </c>
      <c r="AG238" s="7" t="s">
        <v>37</v>
      </c>
      <c r="AH238" s="7">
        <v>13.86</v>
      </c>
      <c r="AI238" s="7" t="s">
        <v>37</v>
      </c>
      <c r="AJ238" s="7" t="s">
        <v>37</v>
      </c>
      <c r="AK238" s="7">
        <v>0</v>
      </c>
      <c r="AL238" s="7" t="s">
        <v>37</v>
      </c>
      <c r="AM238" s="7" t="s">
        <v>37</v>
      </c>
      <c r="AN238" s="9">
        <v>1.9952623149688799E-9</v>
      </c>
      <c r="AO238" s="7" t="s">
        <v>37</v>
      </c>
      <c r="AP238" s="9">
        <v>5.3703179637025301E-6</v>
      </c>
      <c r="AQ238" s="7">
        <v>1</v>
      </c>
      <c r="AR238" s="7">
        <v>1</v>
      </c>
      <c r="AS238"/>
    </row>
    <row r="239" spans="1:45" ht="19.5" customHeight="1" x14ac:dyDescent="0.3">
      <c r="A239" s="7" t="s">
        <v>1024</v>
      </c>
      <c r="B239" s="7" t="s">
        <v>2080</v>
      </c>
      <c r="C239" s="7">
        <v>30</v>
      </c>
      <c r="D239" s="7">
        <v>25053.1174488498</v>
      </c>
      <c r="E239" s="7">
        <v>585</v>
      </c>
      <c r="F239" s="7">
        <v>48.571753986332602</v>
      </c>
      <c r="G239" s="7" t="s">
        <v>1025</v>
      </c>
      <c r="H239" s="7" t="s">
        <v>1026</v>
      </c>
      <c r="I239" s="7" t="s">
        <v>1027</v>
      </c>
      <c r="J239" s="8" t="s">
        <v>1028</v>
      </c>
      <c r="K239" s="7" t="s">
        <v>1029</v>
      </c>
      <c r="L239" s="7">
        <v>265.36</v>
      </c>
      <c r="M239" s="7" t="s">
        <v>37</v>
      </c>
      <c r="N239" s="7" t="s">
        <v>37</v>
      </c>
      <c r="O239" s="7" t="s">
        <v>37</v>
      </c>
      <c r="P239" s="7" t="s">
        <v>37</v>
      </c>
      <c r="Q239" s="7" t="s">
        <v>37</v>
      </c>
      <c r="R239" s="7" t="s">
        <v>37</v>
      </c>
      <c r="S239" s="7" t="s">
        <v>37</v>
      </c>
      <c r="T239" s="7" t="s">
        <v>37</v>
      </c>
      <c r="U239" s="7">
        <v>362.762</v>
      </c>
      <c r="V239" s="7">
        <v>1.1745000000000001</v>
      </c>
      <c r="W239" s="7">
        <v>205.76900000000001</v>
      </c>
      <c r="X239" s="9">
        <v>1.5135612484362099E-6</v>
      </c>
      <c r="Y239" s="7">
        <v>1.6679999999999999</v>
      </c>
      <c r="Z239" s="7">
        <v>11.15</v>
      </c>
      <c r="AA239" s="7">
        <v>-0.33</v>
      </c>
      <c r="AB239" s="7">
        <v>1.25</v>
      </c>
      <c r="AC239" s="7">
        <v>8.52</v>
      </c>
      <c r="AD239" s="7">
        <v>2.8885000000000001</v>
      </c>
      <c r="AE239" s="7">
        <v>115</v>
      </c>
      <c r="AF239" s="7">
        <v>80.686999999999998</v>
      </c>
      <c r="AG239" s="7">
        <v>216.58</v>
      </c>
      <c r="AH239" s="7" t="s">
        <v>37</v>
      </c>
      <c r="AI239" s="7">
        <v>7.35</v>
      </c>
      <c r="AJ239" s="7">
        <v>31.986999999999998</v>
      </c>
      <c r="AK239" s="7">
        <v>0</v>
      </c>
      <c r="AL239" s="7">
        <v>59.481999999999999</v>
      </c>
      <c r="AM239" s="7" t="s">
        <v>37</v>
      </c>
      <c r="AN239" s="9">
        <v>1.11E-7</v>
      </c>
      <c r="AO239" s="7" t="s">
        <v>37</v>
      </c>
      <c r="AP239" s="7">
        <v>3.2591914656322302E-4</v>
      </c>
      <c r="AQ239" s="7">
        <v>1</v>
      </c>
      <c r="AR239" s="7">
        <v>0</v>
      </c>
      <c r="AS239"/>
    </row>
    <row r="240" spans="1:45" ht="19.5" customHeight="1" x14ac:dyDescent="0.3">
      <c r="A240" s="7" t="s">
        <v>432</v>
      </c>
      <c r="B240" s="7" t="s">
        <v>2080</v>
      </c>
      <c r="C240" s="7">
        <v>11</v>
      </c>
      <c r="D240" s="7">
        <v>223548.541367767</v>
      </c>
      <c r="E240" s="7">
        <v>85</v>
      </c>
      <c r="F240" s="7">
        <v>33.044776119402997</v>
      </c>
      <c r="G240" s="7" t="s">
        <v>433</v>
      </c>
      <c r="H240" s="7" t="s">
        <v>434</v>
      </c>
      <c r="I240" s="7" t="s">
        <v>435</v>
      </c>
      <c r="J240" s="8" t="s">
        <v>436</v>
      </c>
      <c r="K240" s="7" t="s">
        <v>437</v>
      </c>
      <c r="L240" s="7">
        <v>273.35000000000002</v>
      </c>
      <c r="M240" s="7" t="s">
        <v>37</v>
      </c>
      <c r="N240" s="7" t="s">
        <v>37</v>
      </c>
      <c r="O240" s="7" t="s">
        <v>37</v>
      </c>
      <c r="P240" s="7" t="s">
        <v>37</v>
      </c>
      <c r="Q240" s="7" t="s">
        <v>37</v>
      </c>
      <c r="R240" s="7" t="s">
        <v>37</v>
      </c>
      <c r="S240" s="7" t="s">
        <v>37</v>
      </c>
      <c r="T240" s="7" t="s">
        <v>37</v>
      </c>
      <c r="U240" s="7">
        <v>420.46899999999999</v>
      </c>
      <c r="V240" s="7">
        <v>1.25</v>
      </c>
      <c r="W240" s="7">
        <v>271.84449999999998</v>
      </c>
      <c r="X240" s="9">
        <v>2.34422881531992E-9</v>
      </c>
      <c r="Y240" s="7">
        <v>1.6459999999999999</v>
      </c>
      <c r="Z240" s="7">
        <v>13.01</v>
      </c>
      <c r="AA240" s="7">
        <v>2.4</v>
      </c>
      <c r="AB240" s="7">
        <v>2.29</v>
      </c>
      <c r="AC240" s="7">
        <v>10.53</v>
      </c>
      <c r="AD240" s="7">
        <v>1.2675000000000001</v>
      </c>
      <c r="AE240" s="7">
        <v>164.5</v>
      </c>
      <c r="AF240" s="7">
        <v>77.263000000000005</v>
      </c>
      <c r="AG240" s="7">
        <v>212.898</v>
      </c>
      <c r="AH240" s="7">
        <v>7.95</v>
      </c>
      <c r="AI240" s="7" t="s">
        <v>37</v>
      </c>
      <c r="AJ240" s="7">
        <v>30.63</v>
      </c>
      <c r="AK240" s="7">
        <v>0</v>
      </c>
      <c r="AL240" s="7">
        <v>63.753999999999998</v>
      </c>
      <c r="AM240" s="7" t="s">
        <v>37</v>
      </c>
      <c r="AN240" s="9">
        <v>6.7608297539198199E-9</v>
      </c>
      <c r="AO240" s="7">
        <v>93.325400000000002</v>
      </c>
      <c r="AP240" s="7">
        <v>2.0111395000000001E-3</v>
      </c>
      <c r="AQ240" s="7">
        <v>1</v>
      </c>
      <c r="AR240" s="7">
        <v>1</v>
      </c>
      <c r="AS240"/>
    </row>
    <row r="241" spans="1:45" ht="19.5" customHeight="1" x14ac:dyDescent="0.3">
      <c r="A241" s="7" t="s">
        <v>1701</v>
      </c>
      <c r="B241" s="7" t="s">
        <v>2089</v>
      </c>
      <c r="C241" s="7">
        <v>74</v>
      </c>
      <c r="D241" s="7">
        <v>7.6049382716049401</v>
      </c>
      <c r="E241" s="7">
        <v>54</v>
      </c>
      <c r="F241" s="7">
        <v>52.7777777777778</v>
      </c>
      <c r="G241" s="7" t="s">
        <v>1702</v>
      </c>
      <c r="H241" s="7" t="s">
        <v>1703</v>
      </c>
      <c r="I241" s="7" t="s">
        <v>1704</v>
      </c>
      <c r="J241" s="8" t="s">
        <v>1705</v>
      </c>
      <c r="K241" s="7" t="s">
        <v>1706</v>
      </c>
      <c r="L241" s="7">
        <v>427.36</v>
      </c>
      <c r="M241" s="7" t="s">
        <v>37</v>
      </c>
      <c r="N241" s="7" t="s">
        <v>37</v>
      </c>
      <c r="O241" s="7" t="s">
        <v>37</v>
      </c>
      <c r="P241" s="7" t="s">
        <v>37</v>
      </c>
      <c r="Q241" s="7" t="s">
        <v>37</v>
      </c>
      <c r="R241" s="7" t="s">
        <v>37</v>
      </c>
      <c r="S241" s="7" t="s">
        <v>37</v>
      </c>
      <c r="T241" s="7" t="s">
        <v>37</v>
      </c>
      <c r="U241" s="7">
        <v>425.18900000000002</v>
      </c>
      <c r="V241" s="7">
        <v>1.3445</v>
      </c>
      <c r="W241" s="7">
        <v>300.1925</v>
      </c>
      <c r="X241" s="9">
        <v>5.24807460249773E-11</v>
      </c>
      <c r="Y241" s="7">
        <v>1.6</v>
      </c>
      <c r="Z241" s="7">
        <v>17.09</v>
      </c>
      <c r="AA241" s="7">
        <v>1.23</v>
      </c>
      <c r="AB241" s="7">
        <v>2.31</v>
      </c>
      <c r="AC241" s="7">
        <v>9.51</v>
      </c>
      <c r="AD241" s="7">
        <v>2.9060000000000001</v>
      </c>
      <c r="AE241" s="7">
        <v>224.9135</v>
      </c>
      <c r="AF241" s="7">
        <v>108.251</v>
      </c>
      <c r="AG241" s="7">
        <v>316.548</v>
      </c>
      <c r="AH241" s="7" t="s">
        <v>37</v>
      </c>
      <c r="AI241" s="7">
        <v>9.3480000000000008</v>
      </c>
      <c r="AJ241" s="7">
        <v>42.914000000000001</v>
      </c>
      <c r="AK241" s="7">
        <v>0</v>
      </c>
      <c r="AL241" s="7">
        <v>55.515999999999998</v>
      </c>
      <c r="AM241" s="7" t="s">
        <v>37</v>
      </c>
      <c r="AN241" s="9">
        <v>6.0534100000000001E-10</v>
      </c>
      <c r="AO241" s="7" t="s">
        <v>37</v>
      </c>
      <c r="AP241" s="9">
        <v>1.7782799999999999E-5</v>
      </c>
      <c r="AQ241" s="7">
        <v>1</v>
      </c>
      <c r="AR241" s="7">
        <v>0</v>
      </c>
      <c r="AS241"/>
    </row>
    <row r="242" spans="1:45" ht="19.5" customHeight="1" x14ac:dyDescent="0.3">
      <c r="A242" s="7" t="s">
        <v>1701</v>
      </c>
      <c r="B242" s="7" t="s">
        <v>2091</v>
      </c>
      <c r="C242" s="7">
        <v>0</v>
      </c>
      <c r="D242" s="7">
        <v>29.391540583465702</v>
      </c>
      <c r="E242" s="7">
        <v>35</v>
      </c>
      <c r="F242" s="7">
        <v>53.957536041939697</v>
      </c>
      <c r="G242" s="7" t="s">
        <v>1702</v>
      </c>
      <c r="H242" s="7" t="s">
        <v>1703</v>
      </c>
      <c r="I242" s="7" t="s">
        <v>1704</v>
      </c>
      <c r="J242" s="8" t="s">
        <v>1705</v>
      </c>
      <c r="K242" s="7" t="s">
        <v>1706</v>
      </c>
      <c r="L242" s="7">
        <v>427.36</v>
      </c>
      <c r="M242" s="7" t="s">
        <v>37</v>
      </c>
      <c r="N242" s="7" t="s">
        <v>37</v>
      </c>
      <c r="O242" s="7" t="s">
        <v>37</v>
      </c>
      <c r="P242" s="7" t="s">
        <v>37</v>
      </c>
      <c r="Q242" s="7" t="s">
        <v>37</v>
      </c>
      <c r="R242" s="7" t="s">
        <v>37</v>
      </c>
      <c r="S242" s="7" t="s">
        <v>37</v>
      </c>
      <c r="T242" s="7" t="s">
        <v>37</v>
      </c>
      <c r="U242" s="7">
        <v>425.18900000000002</v>
      </c>
      <c r="V242" s="7">
        <v>1.3445</v>
      </c>
      <c r="W242" s="7">
        <v>300.1925</v>
      </c>
      <c r="X242" s="9">
        <v>5.24807460249773E-11</v>
      </c>
      <c r="Y242" s="7">
        <v>1.6</v>
      </c>
      <c r="Z242" s="7">
        <v>17.09</v>
      </c>
      <c r="AA242" s="7">
        <v>1.23</v>
      </c>
      <c r="AB242" s="7">
        <v>2.31</v>
      </c>
      <c r="AC242" s="7">
        <v>9.51</v>
      </c>
      <c r="AD242" s="7">
        <v>2.9060000000000001</v>
      </c>
      <c r="AE242" s="7">
        <v>224.9135</v>
      </c>
      <c r="AF242" s="7">
        <v>108.251</v>
      </c>
      <c r="AG242" s="7">
        <v>316.548</v>
      </c>
      <c r="AH242" s="7" t="s">
        <v>37</v>
      </c>
      <c r="AI242" s="7">
        <v>9.3480000000000008</v>
      </c>
      <c r="AJ242" s="7">
        <v>42.914000000000001</v>
      </c>
      <c r="AK242" s="7">
        <v>0</v>
      </c>
      <c r="AL242" s="7">
        <v>55.515999999999998</v>
      </c>
      <c r="AM242" s="7" t="s">
        <v>37</v>
      </c>
      <c r="AN242" s="9">
        <v>6.0534100000000001E-10</v>
      </c>
      <c r="AO242" s="7" t="s">
        <v>37</v>
      </c>
      <c r="AP242" s="9">
        <v>1.7782799999999999E-5</v>
      </c>
      <c r="AQ242" s="7">
        <v>1</v>
      </c>
      <c r="AR242" s="7">
        <v>0</v>
      </c>
      <c r="AS242"/>
    </row>
    <row r="243" spans="1:45" ht="19.5" customHeight="1" x14ac:dyDescent="0.3">
      <c r="A243" s="7" t="s">
        <v>1701</v>
      </c>
      <c r="B243" s="7" t="s">
        <v>2083</v>
      </c>
      <c r="C243" s="7">
        <v>100</v>
      </c>
      <c r="D243" s="7">
        <v>142689.32744649501</v>
      </c>
      <c r="E243" s="7">
        <v>58</v>
      </c>
      <c r="F243" s="7">
        <v>37.5151850680165</v>
      </c>
      <c r="G243" s="7" t="s">
        <v>1702</v>
      </c>
      <c r="H243" s="7" t="s">
        <v>1703</v>
      </c>
      <c r="I243" s="7" t="s">
        <v>1704</v>
      </c>
      <c r="J243" s="8" t="s">
        <v>1705</v>
      </c>
      <c r="K243" s="7" t="s">
        <v>1706</v>
      </c>
      <c r="L243" s="7">
        <v>427.36</v>
      </c>
      <c r="M243" s="7" t="s">
        <v>37</v>
      </c>
      <c r="N243" s="7" t="s">
        <v>37</v>
      </c>
      <c r="O243" s="7" t="s">
        <v>37</v>
      </c>
      <c r="P243" s="7" t="s">
        <v>37</v>
      </c>
      <c r="Q243" s="7" t="s">
        <v>37</v>
      </c>
      <c r="R243" s="7" t="s">
        <v>37</v>
      </c>
      <c r="S243" s="7" t="s">
        <v>37</v>
      </c>
      <c r="T243" s="7" t="s">
        <v>37</v>
      </c>
      <c r="U243" s="7">
        <v>425.18900000000002</v>
      </c>
      <c r="V243" s="7">
        <v>1.3445</v>
      </c>
      <c r="W243" s="7">
        <v>300.1925</v>
      </c>
      <c r="X243" s="9">
        <v>5.24807460249773E-11</v>
      </c>
      <c r="Y243" s="7">
        <v>1.6</v>
      </c>
      <c r="Z243" s="7">
        <v>17.09</v>
      </c>
      <c r="AA243" s="7">
        <v>1.23</v>
      </c>
      <c r="AB243" s="7">
        <v>2.31</v>
      </c>
      <c r="AC243" s="7">
        <v>9.51</v>
      </c>
      <c r="AD243" s="7">
        <v>2.9060000000000001</v>
      </c>
      <c r="AE243" s="7">
        <v>224.9135</v>
      </c>
      <c r="AF243" s="7">
        <v>108.251</v>
      </c>
      <c r="AG243" s="7">
        <v>316.548</v>
      </c>
      <c r="AH243" s="7" t="s">
        <v>37</v>
      </c>
      <c r="AI243" s="7">
        <v>9.3480000000000008</v>
      </c>
      <c r="AJ243" s="7">
        <v>42.914000000000001</v>
      </c>
      <c r="AK243" s="7">
        <v>0</v>
      </c>
      <c r="AL243" s="7">
        <v>55.515999999999998</v>
      </c>
      <c r="AM243" s="7" t="s">
        <v>37</v>
      </c>
      <c r="AN243" s="9">
        <v>6.0534100000000001E-10</v>
      </c>
      <c r="AO243" s="7" t="s">
        <v>37</v>
      </c>
      <c r="AP243" s="9">
        <v>1.7782799999999999E-5</v>
      </c>
      <c r="AQ243" s="7">
        <v>1</v>
      </c>
      <c r="AR243" s="7">
        <v>0</v>
      </c>
      <c r="AS243"/>
    </row>
    <row r="244" spans="1:45" ht="19.5" customHeight="1" x14ac:dyDescent="0.3">
      <c r="A244" s="7" t="s">
        <v>1256</v>
      </c>
      <c r="B244" s="7" t="s">
        <v>2080</v>
      </c>
      <c r="C244" s="7">
        <v>30</v>
      </c>
      <c r="D244" s="7">
        <v>9733.0344375714994</v>
      </c>
      <c r="E244" s="7">
        <v>2928</v>
      </c>
      <c r="F244" s="7">
        <v>55.5889387144992</v>
      </c>
      <c r="G244" s="7" t="s">
        <v>1257</v>
      </c>
      <c r="H244" s="7" t="s">
        <v>1258</v>
      </c>
      <c r="I244" s="7" t="s">
        <v>1259</v>
      </c>
      <c r="J244" s="8" t="s">
        <v>1260</v>
      </c>
      <c r="K244" s="7" t="s">
        <v>1261</v>
      </c>
      <c r="L244" s="7">
        <v>586.19000000000005</v>
      </c>
      <c r="M244" s="7" t="s">
        <v>37</v>
      </c>
      <c r="N244" s="7" t="s">
        <v>37</v>
      </c>
      <c r="O244" s="7" t="s">
        <v>37</v>
      </c>
      <c r="P244" s="7" t="s">
        <v>37</v>
      </c>
      <c r="Q244" s="7" t="s">
        <v>37</v>
      </c>
      <c r="R244" s="7" t="s">
        <v>37</v>
      </c>
      <c r="S244" s="7" t="s">
        <v>37</v>
      </c>
      <c r="T244" s="7" t="s">
        <v>37</v>
      </c>
      <c r="U244" s="7">
        <v>694.19349999999997</v>
      </c>
      <c r="V244" s="7">
        <v>1.3154999999999999</v>
      </c>
      <c r="W244" s="7">
        <v>396.83300000000003</v>
      </c>
      <c r="X244" s="9">
        <v>2.57039578276886E-8</v>
      </c>
      <c r="Y244" s="7">
        <v>1.6779999999999999</v>
      </c>
      <c r="Z244" s="7">
        <v>35.119999999999997</v>
      </c>
      <c r="AA244" s="7">
        <v>9.08</v>
      </c>
      <c r="AB244" s="7">
        <v>7.44</v>
      </c>
      <c r="AC244" s="7">
        <v>9.74</v>
      </c>
      <c r="AD244" s="7">
        <v>8.6095000000000006</v>
      </c>
      <c r="AE244" s="7">
        <v>218.38</v>
      </c>
      <c r="AF244" s="7">
        <v>173.71100000000001</v>
      </c>
      <c r="AG244" s="7">
        <v>460.75900000000001</v>
      </c>
      <c r="AH244" s="7">
        <v>5.42</v>
      </c>
      <c r="AI244" s="7" t="s">
        <v>37</v>
      </c>
      <c r="AJ244" s="7">
        <v>68.864000000000004</v>
      </c>
      <c r="AK244" s="7">
        <v>0</v>
      </c>
      <c r="AL244" s="7">
        <v>59.790999999999997</v>
      </c>
      <c r="AM244" s="7" t="s">
        <v>37</v>
      </c>
      <c r="AN244" s="9">
        <v>1.2331000000000001E-13</v>
      </c>
      <c r="AO244" s="7" t="s">
        <v>37</v>
      </c>
      <c r="AP244" s="9">
        <v>2.1915881999999999E-7</v>
      </c>
      <c r="AQ244" s="7">
        <v>1</v>
      </c>
      <c r="AR244" s="7">
        <v>0</v>
      </c>
      <c r="AS244"/>
    </row>
    <row r="245" spans="1:45" ht="19.5" customHeight="1" x14ac:dyDescent="0.3">
      <c r="A245" s="7" t="s">
        <v>731</v>
      </c>
      <c r="B245" s="7" t="s">
        <v>2080</v>
      </c>
      <c r="C245" s="7">
        <v>20</v>
      </c>
      <c r="D245" s="7">
        <v>61230.227558030703</v>
      </c>
      <c r="E245" s="7">
        <v>354</v>
      </c>
      <c r="F245" s="7">
        <v>27.3875968992248</v>
      </c>
      <c r="G245" s="7" t="s">
        <v>732</v>
      </c>
      <c r="H245" s="7" t="s">
        <v>733</v>
      </c>
      <c r="I245" s="7" t="s">
        <v>734</v>
      </c>
      <c r="J245" s="8" t="s">
        <v>735</v>
      </c>
      <c r="K245" s="7" t="s">
        <v>736</v>
      </c>
      <c r="L245" s="7">
        <v>285.34300000000002</v>
      </c>
      <c r="M245" s="7" t="s">
        <v>37</v>
      </c>
      <c r="N245" s="7" t="s">
        <v>37</v>
      </c>
      <c r="O245" s="7" t="s">
        <v>37</v>
      </c>
      <c r="P245" s="7" t="s">
        <v>37</v>
      </c>
      <c r="Q245" s="7" t="s">
        <v>37</v>
      </c>
      <c r="R245" s="7" t="s">
        <v>37</v>
      </c>
      <c r="S245" s="7">
        <v>1500</v>
      </c>
      <c r="T245" s="7">
        <v>100</v>
      </c>
      <c r="U245" s="7">
        <v>423.68049999999999</v>
      </c>
      <c r="V245" s="7">
        <v>1.4219999999999999</v>
      </c>
      <c r="W245" s="7">
        <v>229.95</v>
      </c>
      <c r="X245" s="9">
        <v>7.5857757502918498E-11</v>
      </c>
      <c r="Y245" s="7">
        <v>1.7190000000000001</v>
      </c>
      <c r="Z245" s="7">
        <v>9.14</v>
      </c>
      <c r="AA245" s="7">
        <v>-1.67</v>
      </c>
      <c r="AB245" s="7">
        <v>0.14000000000000001</v>
      </c>
      <c r="AC245" s="7">
        <v>9.18</v>
      </c>
      <c r="AD245" s="7">
        <v>0.89</v>
      </c>
      <c r="AE245" s="7">
        <v>255</v>
      </c>
      <c r="AF245" s="7">
        <v>78.022000000000006</v>
      </c>
      <c r="AG245" s="7">
        <v>197.64699999999999</v>
      </c>
      <c r="AH245" s="7">
        <v>9.85</v>
      </c>
      <c r="AI245" s="7">
        <v>8.06</v>
      </c>
      <c r="AJ245" s="7">
        <v>30.93</v>
      </c>
      <c r="AK245" s="7">
        <v>0</v>
      </c>
      <c r="AL245" s="7">
        <v>72.878</v>
      </c>
      <c r="AM245" s="7" t="s">
        <v>37</v>
      </c>
      <c r="AN245" s="9">
        <v>2.04173794466953E-9</v>
      </c>
      <c r="AO245" s="7" t="s">
        <v>37</v>
      </c>
      <c r="AP245" s="7">
        <v>5.2348149999999997E-4</v>
      </c>
      <c r="AQ245" s="7">
        <v>1</v>
      </c>
      <c r="AR245" s="7">
        <v>0</v>
      </c>
      <c r="AS245"/>
    </row>
    <row r="246" spans="1:45" ht="19.5" customHeight="1" x14ac:dyDescent="0.3">
      <c r="A246" s="7" t="s">
        <v>546</v>
      </c>
      <c r="B246" s="7" t="s">
        <v>2092</v>
      </c>
      <c r="C246" s="7">
        <v>80</v>
      </c>
      <c r="D246" s="7">
        <v>136070.930683521</v>
      </c>
      <c r="E246" s="7">
        <v>59</v>
      </c>
      <c r="F246" s="7">
        <v>12.25</v>
      </c>
      <c r="G246" s="7" t="s">
        <v>547</v>
      </c>
      <c r="H246" s="7" t="s">
        <v>548</v>
      </c>
      <c r="I246" s="7" t="s">
        <v>549</v>
      </c>
      <c r="J246" s="8" t="s">
        <v>550</v>
      </c>
      <c r="K246" s="7" t="s">
        <v>551</v>
      </c>
      <c r="L246" s="7">
        <v>401.43799999999902</v>
      </c>
      <c r="M246" s="7">
        <v>10500</v>
      </c>
      <c r="N246" s="7" t="s">
        <v>37</v>
      </c>
      <c r="O246" s="7" t="s">
        <v>37</v>
      </c>
      <c r="P246" s="7" t="s">
        <v>37</v>
      </c>
      <c r="Q246" s="7">
        <v>8000</v>
      </c>
      <c r="R246" s="7" t="s">
        <v>37</v>
      </c>
      <c r="S246" s="7" t="s">
        <v>37</v>
      </c>
      <c r="T246" s="7" t="s">
        <v>37</v>
      </c>
      <c r="U246" s="7">
        <v>558.14700000000005</v>
      </c>
      <c r="V246" s="7">
        <v>1.3915</v>
      </c>
      <c r="W246" s="7">
        <v>310.58949999999999</v>
      </c>
      <c r="X246" s="9">
        <v>4.2657951880159299E-11</v>
      </c>
      <c r="Y246" s="7">
        <v>1.633</v>
      </c>
      <c r="Z246" s="7">
        <v>13.9</v>
      </c>
      <c r="AA246" s="7">
        <v>-0.92</v>
      </c>
      <c r="AB246" s="7">
        <v>-2.82</v>
      </c>
      <c r="AC246" s="7">
        <v>9.57</v>
      </c>
      <c r="AD246" s="7">
        <v>1.2749999999999999</v>
      </c>
      <c r="AE246" s="7">
        <v>227.084</v>
      </c>
      <c r="AF246" s="7">
        <v>101.82299999999999</v>
      </c>
      <c r="AG246" s="7">
        <v>284.995</v>
      </c>
      <c r="AH246" s="7">
        <v>4.0095000000000001</v>
      </c>
      <c r="AI246" s="7">
        <v>10.629</v>
      </c>
      <c r="AJ246" s="7">
        <v>40.366</v>
      </c>
      <c r="AK246" s="7">
        <v>0</v>
      </c>
      <c r="AL246" s="7">
        <v>60.572000000000003</v>
      </c>
      <c r="AM246" s="7" t="s">
        <v>37</v>
      </c>
      <c r="AN246" s="9">
        <v>7.21107E-11</v>
      </c>
      <c r="AO246" s="7" t="s">
        <v>37</v>
      </c>
      <c r="AP246" s="7">
        <v>1.65237E-3</v>
      </c>
      <c r="AQ246" s="7">
        <v>1</v>
      </c>
      <c r="AR246" s="7">
        <v>0</v>
      </c>
      <c r="AS246"/>
    </row>
    <row r="247" spans="1:45" ht="19.5" customHeight="1" x14ac:dyDescent="0.3">
      <c r="A247" s="7" t="s">
        <v>2197</v>
      </c>
      <c r="B247" s="7" t="s">
        <v>2083</v>
      </c>
      <c r="C247" s="7">
        <v>100</v>
      </c>
      <c r="D247" s="7">
        <v>4504445.3653819598</v>
      </c>
      <c r="E247" s="7">
        <v>190</v>
      </c>
      <c r="F247" s="7">
        <v>11.723076923076899</v>
      </c>
      <c r="G247" s="7" t="s">
        <v>2198</v>
      </c>
      <c r="H247" s="7" t="s">
        <v>2199</v>
      </c>
      <c r="I247" s="7" t="s">
        <v>2200</v>
      </c>
      <c r="J247" s="8" t="s">
        <v>2201</v>
      </c>
      <c r="K247" s="7" t="s">
        <v>2202</v>
      </c>
      <c r="L247" s="7">
        <v>500.62900000000002</v>
      </c>
      <c r="M247" s="7" t="s">
        <v>37</v>
      </c>
      <c r="N247" s="7" t="s">
        <v>37</v>
      </c>
      <c r="O247" s="7" t="s">
        <v>37</v>
      </c>
      <c r="P247" s="7" t="s">
        <v>37</v>
      </c>
      <c r="Q247" s="7" t="s">
        <v>37</v>
      </c>
      <c r="R247" s="7" t="s">
        <v>37</v>
      </c>
      <c r="S247" s="7" t="s">
        <v>37</v>
      </c>
      <c r="T247" s="7" t="s">
        <v>37</v>
      </c>
      <c r="U247" s="7">
        <v>578.13900000000001</v>
      </c>
      <c r="V247" s="7">
        <v>1.1830000000000001</v>
      </c>
      <c r="W247" s="7">
        <v>342.03699999999998</v>
      </c>
      <c r="X247" s="9">
        <v>1.7782794100389199E-9</v>
      </c>
      <c r="Y247" s="7" t="s">
        <v>37</v>
      </c>
      <c r="Z247" s="7">
        <v>16.46</v>
      </c>
      <c r="AA247" s="7">
        <v>1.98</v>
      </c>
      <c r="AB247" s="7">
        <v>0.74</v>
      </c>
      <c r="AC247" s="7">
        <v>9.4499999999999993</v>
      </c>
      <c r="AD247" s="7">
        <v>2.52</v>
      </c>
      <c r="AE247" s="7">
        <v>170</v>
      </c>
      <c r="AF247" s="7" t="s">
        <v>37</v>
      </c>
      <c r="AG247" s="7" t="s">
        <v>37</v>
      </c>
      <c r="AH247" s="7">
        <v>6.08</v>
      </c>
      <c r="AI247" s="7" t="s">
        <v>37</v>
      </c>
      <c r="AJ247" s="7" t="s">
        <v>37</v>
      </c>
      <c r="AK247" s="7">
        <v>1</v>
      </c>
      <c r="AL247" s="7" t="s">
        <v>37</v>
      </c>
      <c r="AM247" s="7" t="s">
        <v>37</v>
      </c>
      <c r="AN247" s="9">
        <v>3.57050937695991E-10</v>
      </c>
      <c r="AO247" s="7" t="s">
        <v>37</v>
      </c>
      <c r="AP247" s="7">
        <v>1.3489628825916501E-4</v>
      </c>
      <c r="AQ247" s="7">
        <v>0</v>
      </c>
      <c r="AR247" s="7">
        <v>1</v>
      </c>
      <c r="AS247"/>
    </row>
    <row r="248" spans="1:45" ht="19.5" customHeight="1" x14ac:dyDescent="0.3">
      <c r="A248" s="7" t="s">
        <v>128</v>
      </c>
      <c r="B248" s="7" t="s">
        <v>2080</v>
      </c>
      <c r="C248" s="7">
        <v>11</v>
      </c>
      <c r="D248" s="7">
        <v>1482820.6612142001</v>
      </c>
      <c r="E248" s="7">
        <v>90</v>
      </c>
      <c r="F248" s="7">
        <v>49.710526315789501</v>
      </c>
      <c r="G248" s="7" t="s">
        <v>129</v>
      </c>
      <c r="H248" s="7" t="s">
        <v>130</v>
      </c>
      <c r="I248" s="7" t="s">
        <v>131</v>
      </c>
      <c r="J248" s="8" t="s">
        <v>132</v>
      </c>
      <c r="K248" s="7" t="s">
        <v>133</v>
      </c>
      <c r="L248" s="7">
        <v>433.50099999999901</v>
      </c>
      <c r="M248" s="7" t="s">
        <v>37</v>
      </c>
      <c r="N248" s="7" t="s">
        <v>37</v>
      </c>
      <c r="O248" s="7" t="s">
        <v>37</v>
      </c>
      <c r="P248" s="7" t="s">
        <v>37</v>
      </c>
      <c r="Q248" s="7" t="s">
        <v>37</v>
      </c>
      <c r="R248" s="7" t="s">
        <v>37</v>
      </c>
      <c r="S248" s="7" t="s">
        <v>37</v>
      </c>
      <c r="T248" s="7" t="s">
        <v>37</v>
      </c>
      <c r="U248" s="7">
        <v>529.96600000000001</v>
      </c>
      <c r="V248" s="7">
        <v>1.2270000000000001</v>
      </c>
      <c r="W248" s="7">
        <v>306.05</v>
      </c>
      <c r="X248" s="9">
        <v>3.3113112148259098E-8</v>
      </c>
      <c r="Y248" s="7">
        <v>1.5569999999999999</v>
      </c>
      <c r="Z248" s="7">
        <v>15.36</v>
      </c>
      <c r="AA248" s="7">
        <v>2.38</v>
      </c>
      <c r="AB248" s="7">
        <v>2.38</v>
      </c>
      <c r="AC248" s="7">
        <v>10.26</v>
      </c>
      <c r="AD248" s="7">
        <v>2.38</v>
      </c>
      <c r="AE248" s="7">
        <v>181</v>
      </c>
      <c r="AF248" s="7">
        <v>114.22199999999999</v>
      </c>
      <c r="AG248" s="7">
        <v>354.61799999999999</v>
      </c>
      <c r="AH248" s="7">
        <v>9.35</v>
      </c>
      <c r="AI248" s="7" t="s">
        <v>37</v>
      </c>
      <c r="AJ248" s="7">
        <v>45.280999999999999</v>
      </c>
      <c r="AK248" s="7">
        <v>0</v>
      </c>
      <c r="AL248" s="7">
        <v>48.494</v>
      </c>
      <c r="AM248" s="7">
        <v>156.905</v>
      </c>
      <c r="AN248" s="9">
        <v>1.5812500000000001E-9</v>
      </c>
      <c r="AO248" s="7" t="s">
        <v>37</v>
      </c>
      <c r="AP248" s="7">
        <v>3.8878550000000001E-4</v>
      </c>
      <c r="AQ248" s="7">
        <v>0</v>
      </c>
      <c r="AR248" s="7">
        <v>1</v>
      </c>
      <c r="AS248"/>
    </row>
    <row r="249" spans="1:45" ht="19.5" customHeight="1" x14ac:dyDescent="0.3">
      <c r="A249" s="7" t="s">
        <v>164</v>
      </c>
      <c r="B249" s="7" t="s">
        <v>2080</v>
      </c>
      <c r="C249" s="7">
        <v>0</v>
      </c>
      <c r="D249" s="7">
        <v>1202223.8899178901</v>
      </c>
      <c r="E249" s="7">
        <v>102</v>
      </c>
      <c r="F249" s="7">
        <v>49.5161290322581</v>
      </c>
      <c r="G249" s="7" t="s">
        <v>165</v>
      </c>
      <c r="H249" s="7" t="s">
        <v>166</v>
      </c>
      <c r="I249" s="7" t="s">
        <v>167</v>
      </c>
      <c r="J249" s="8" t="s">
        <v>168</v>
      </c>
      <c r="K249" s="7" t="s">
        <v>169</v>
      </c>
      <c r="L249" s="7">
        <v>228.291</v>
      </c>
      <c r="M249" s="7" t="s">
        <v>37</v>
      </c>
      <c r="N249" s="7" t="s">
        <v>37</v>
      </c>
      <c r="O249" s="7" t="s">
        <v>37</v>
      </c>
      <c r="P249" s="7" t="s">
        <v>37</v>
      </c>
      <c r="Q249" s="7" t="s">
        <v>37</v>
      </c>
      <c r="R249" s="7" t="s">
        <v>37</v>
      </c>
      <c r="S249" s="7" t="s">
        <v>37</v>
      </c>
      <c r="T249" s="7" t="s">
        <v>37</v>
      </c>
      <c r="U249" s="7">
        <v>349.10500000000002</v>
      </c>
      <c r="V249" s="7">
        <v>1.0960000000000001</v>
      </c>
      <c r="W249" s="7">
        <v>165.4075</v>
      </c>
      <c r="X249" s="9">
        <v>2.1877616239495501E-8</v>
      </c>
      <c r="Y249" s="7">
        <v>1.5760000000000001</v>
      </c>
      <c r="Z249" s="7">
        <v>14.21</v>
      </c>
      <c r="AA249" s="7">
        <v>3.08</v>
      </c>
      <c r="AB249" s="7">
        <v>3.08</v>
      </c>
      <c r="AC249" s="7">
        <v>8.0299999999999994</v>
      </c>
      <c r="AD249" s="7">
        <v>3.08</v>
      </c>
      <c r="AE249" s="7">
        <v>80</v>
      </c>
      <c r="AF249" s="7">
        <v>69.619</v>
      </c>
      <c r="AG249" s="7">
        <v>210.50200000000001</v>
      </c>
      <c r="AH249" s="7" t="s">
        <v>37</v>
      </c>
      <c r="AI249" s="7" t="s">
        <v>37</v>
      </c>
      <c r="AJ249" s="7">
        <v>27.599</v>
      </c>
      <c r="AK249" s="7">
        <v>0</v>
      </c>
      <c r="AL249" s="7">
        <v>40.418500000000002</v>
      </c>
      <c r="AM249" s="7">
        <v>137.864</v>
      </c>
      <c r="AN249" s="9">
        <v>5.3703179637025301E-6</v>
      </c>
      <c r="AO249" s="7">
        <v>11.722</v>
      </c>
      <c r="AP249" s="7">
        <v>3.4946750000000001E-4</v>
      </c>
      <c r="AQ249" s="7">
        <v>1</v>
      </c>
      <c r="AR249" s="7">
        <v>0</v>
      </c>
      <c r="AS249"/>
    </row>
    <row r="250" spans="1:45" ht="19.5" customHeight="1" x14ac:dyDescent="0.3">
      <c r="A250" s="7" t="s">
        <v>981</v>
      </c>
      <c r="B250" s="7" t="s">
        <v>2080</v>
      </c>
      <c r="C250" s="7">
        <v>100</v>
      </c>
      <c r="D250" s="7">
        <v>27518.122400475298</v>
      </c>
      <c r="E250" s="7">
        <v>66</v>
      </c>
      <c r="F250" s="7">
        <v>62.195121951219498</v>
      </c>
      <c r="G250" s="7" t="s">
        <v>982</v>
      </c>
      <c r="H250" s="7" t="s">
        <v>983</v>
      </c>
      <c r="I250" s="7" t="s">
        <v>984</v>
      </c>
      <c r="J250" s="8" t="s">
        <v>985</v>
      </c>
      <c r="K250" s="7" t="s">
        <v>986</v>
      </c>
      <c r="L250" s="7">
        <v>309.40600000000001</v>
      </c>
      <c r="M250" s="7">
        <v>615100</v>
      </c>
      <c r="N250" s="7" t="s">
        <v>37</v>
      </c>
      <c r="O250" s="7" t="s">
        <v>37</v>
      </c>
      <c r="P250" s="7" t="s">
        <v>37</v>
      </c>
      <c r="Q250" s="7" t="s">
        <v>37</v>
      </c>
      <c r="R250" s="7" t="s">
        <v>37</v>
      </c>
      <c r="S250" s="7">
        <v>2000</v>
      </c>
      <c r="T250" s="7">
        <v>200</v>
      </c>
      <c r="U250" s="7">
        <v>376.065</v>
      </c>
      <c r="V250" s="7">
        <v>1.1525000000000001</v>
      </c>
      <c r="W250" s="7">
        <v>270.22300000000001</v>
      </c>
      <c r="X250" s="9">
        <v>1.0471285480508999E-8</v>
      </c>
      <c r="Y250" s="7">
        <v>1.5740000000000001</v>
      </c>
      <c r="Z250" s="7">
        <v>12.3</v>
      </c>
      <c r="AA250" s="7">
        <v>-3.49</v>
      </c>
      <c r="AB250" s="7">
        <v>-1.59</v>
      </c>
      <c r="AC250" s="7">
        <v>9.4</v>
      </c>
      <c r="AD250" s="7">
        <v>0.81</v>
      </c>
      <c r="AE250" s="7">
        <v>127.5</v>
      </c>
      <c r="AF250" s="7">
        <v>85.75</v>
      </c>
      <c r="AG250" s="7">
        <v>260.02600000000001</v>
      </c>
      <c r="AH250" s="7">
        <v>9.8000000000000007</v>
      </c>
      <c r="AI250" s="7">
        <v>9.8000000000000007</v>
      </c>
      <c r="AJ250" s="7">
        <v>33.994</v>
      </c>
      <c r="AK250" s="7">
        <v>0</v>
      </c>
      <c r="AL250" s="7">
        <v>45.83</v>
      </c>
      <c r="AM250" s="7">
        <v>173.28899999999999</v>
      </c>
      <c r="AN250" s="9">
        <v>3.7153522909717299E-10</v>
      </c>
      <c r="AO250" s="7">
        <v>60.6736</v>
      </c>
      <c r="AP250" s="7">
        <v>3.9160750000000001E-2</v>
      </c>
      <c r="AQ250" s="7">
        <v>1</v>
      </c>
      <c r="AR250" s="7">
        <v>0</v>
      </c>
      <c r="AS250"/>
    </row>
    <row r="251" spans="1:45" ht="19.5" customHeight="1" x14ac:dyDescent="0.3">
      <c r="A251" s="7" t="s">
        <v>814</v>
      </c>
      <c r="B251" s="7" t="s">
        <v>2080</v>
      </c>
      <c r="C251" s="7">
        <v>2</v>
      </c>
      <c r="D251" s="7">
        <v>42204.972095383098</v>
      </c>
      <c r="E251" s="7">
        <v>73</v>
      </c>
      <c r="F251" s="7">
        <v>42.631578947368403</v>
      </c>
      <c r="G251" s="7" t="s">
        <v>815</v>
      </c>
      <c r="H251" s="7" t="s">
        <v>816</v>
      </c>
      <c r="I251" s="7" t="s">
        <v>817</v>
      </c>
      <c r="J251" s="8" t="s">
        <v>818</v>
      </c>
      <c r="K251" s="7" t="s">
        <v>819</v>
      </c>
      <c r="L251" s="7">
        <v>341.40699999999902</v>
      </c>
      <c r="M251" s="7" t="s">
        <v>37</v>
      </c>
      <c r="N251" s="7" t="s">
        <v>37</v>
      </c>
      <c r="O251" s="7" t="s">
        <v>37</v>
      </c>
      <c r="P251" s="7" t="s">
        <v>37</v>
      </c>
      <c r="Q251" s="7" t="s">
        <v>37</v>
      </c>
      <c r="R251" s="7" t="s">
        <v>37</v>
      </c>
      <c r="S251" s="7" t="s">
        <v>37</v>
      </c>
      <c r="T251" s="7" t="s">
        <v>37</v>
      </c>
      <c r="U251" s="7">
        <v>482.62849999999997</v>
      </c>
      <c r="V251" s="7">
        <v>1.4510000000000001</v>
      </c>
      <c r="W251" s="7">
        <v>275.92500000000001</v>
      </c>
      <c r="X251" s="9">
        <v>1.9952623149688799E-11</v>
      </c>
      <c r="Y251" s="7">
        <v>1.7090000000000001</v>
      </c>
      <c r="Z251" s="7">
        <v>11.01</v>
      </c>
      <c r="AA251" s="7">
        <v>0.53</v>
      </c>
      <c r="AB251" s="7">
        <v>1.81</v>
      </c>
      <c r="AC251" s="7">
        <v>9.44</v>
      </c>
      <c r="AD251" s="7">
        <v>1.92</v>
      </c>
      <c r="AE251" s="7">
        <v>169.25</v>
      </c>
      <c r="AF251" s="7">
        <v>90.111000000000004</v>
      </c>
      <c r="AG251" s="7">
        <v>230.85300000000001</v>
      </c>
      <c r="AH251" s="7" t="s">
        <v>37</v>
      </c>
      <c r="AI251" s="7">
        <v>6.87</v>
      </c>
      <c r="AJ251" s="7">
        <v>35.722999999999999</v>
      </c>
      <c r="AK251" s="7">
        <v>0</v>
      </c>
      <c r="AL251" s="7">
        <v>77.120999999999995</v>
      </c>
      <c r="AM251" s="7" t="s">
        <v>37</v>
      </c>
      <c r="AN251" s="9">
        <v>1.2331000000000001E-10</v>
      </c>
      <c r="AO251" s="7" t="s">
        <v>37</v>
      </c>
      <c r="AP251" s="7">
        <v>3.2018300000000001E-3</v>
      </c>
      <c r="AQ251" s="7">
        <v>1</v>
      </c>
      <c r="AR251" s="7">
        <v>0</v>
      </c>
      <c r="AS251"/>
    </row>
    <row r="252" spans="1:45" ht="19.5" customHeight="1" x14ac:dyDescent="0.3">
      <c r="A252" s="7" t="s">
        <v>206</v>
      </c>
      <c r="B252" s="7" t="s">
        <v>2080</v>
      </c>
      <c r="C252" s="7">
        <v>6</v>
      </c>
      <c r="D252" s="7">
        <v>951670.39855843305</v>
      </c>
      <c r="E252" s="7">
        <v>829</v>
      </c>
      <c r="F252" s="7">
        <v>31.543644716692199</v>
      </c>
      <c r="G252" s="7" t="s">
        <v>207</v>
      </c>
      <c r="H252" s="7" t="s">
        <v>208</v>
      </c>
      <c r="I252" s="7" t="s">
        <v>209</v>
      </c>
      <c r="J252" s="8" t="s">
        <v>210</v>
      </c>
      <c r="K252" s="7" t="s">
        <v>211</v>
      </c>
      <c r="L252" s="7">
        <v>230.26300000000001</v>
      </c>
      <c r="M252" s="7">
        <v>29200</v>
      </c>
      <c r="N252" s="7">
        <v>41000</v>
      </c>
      <c r="O252" s="7" t="s">
        <v>37</v>
      </c>
      <c r="P252" s="7" t="s">
        <v>37</v>
      </c>
      <c r="Q252" s="7">
        <v>5500</v>
      </c>
      <c r="R252" s="7" t="s">
        <v>37</v>
      </c>
      <c r="S252" s="7">
        <v>7302.6350000000002</v>
      </c>
      <c r="T252" s="7">
        <v>1</v>
      </c>
      <c r="U252" s="7">
        <v>368.56700000000001</v>
      </c>
      <c r="V252" s="7">
        <v>1.2050000000000001</v>
      </c>
      <c r="W252" s="7">
        <v>166.9205</v>
      </c>
      <c r="X252" s="9">
        <v>1.0715193052375999E-9</v>
      </c>
      <c r="Y252" s="7">
        <v>1.609</v>
      </c>
      <c r="Z252" s="7">
        <v>8.23</v>
      </c>
      <c r="AA252" s="7">
        <v>2.56</v>
      </c>
      <c r="AB252" s="7">
        <v>0.78</v>
      </c>
      <c r="AC252" s="7">
        <v>9.75</v>
      </c>
      <c r="AD252" s="7">
        <v>3.18</v>
      </c>
      <c r="AE252" s="7">
        <v>154.15</v>
      </c>
      <c r="AF252" s="7">
        <v>66.522999999999996</v>
      </c>
      <c r="AG252" s="7">
        <v>192.25</v>
      </c>
      <c r="AH252" s="7">
        <v>5</v>
      </c>
      <c r="AI252" s="7" t="s">
        <v>37</v>
      </c>
      <c r="AJ252" s="7">
        <v>26.372</v>
      </c>
      <c r="AK252" s="7">
        <v>0</v>
      </c>
      <c r="AL252" s="7">
        <v>44.284500000000001</v>
      </c>
      <c r="AM252" s="7">
        <v>137.249</v>
      </c>
      <c r="AN252" s="9">
        <v>2.57039578276886E-7</v>
      </c>
      <c r="AO252" s="7">
        <v>26.7301</v>
      </c>
      <c r="AP252" s="9">
        <v>6.9055799999999997E-5</v>
      </c>
      <c r="AQ252" s="7">
        <v>1</v>
      </c>
      <c r="AR252" s="7">
        <v>0</v>
      </c>
      <c r="AS252"/>
    </row>
    <row r="253" spans="1:45" ht="19.5" customHeight="1" x14ac:dyDescent="0.3">
      <c r="A253" s="7" t="s">
        <v>1273</v>
      </c>
      <c r="B253" s="7" t="s">
        <v>2080</v>
      </c>
      <c r="C253" s="7">
        <v>0</v>
      </c>
      <c r="D253" s="7">
        <v>9240.2556044107405</v>
      </c>
      <c r="E253" s="7">
        <v>188</v>
      </c>
      <c r="F253" s="7">
        <v>66.95</v>
      </c>
      <c r="G253" s="7" t="s">
        <v>1274</v>
      </c>
      <c r="H253" s="7" t="s">
        <v>1275</v>
      </c>
      <c r="I253" s="7" t="s">
        <v>1276</v>
      </c>
      <c r="J253" s="8" t="s">
        <v>1277</v>
      </c>
      <c r="K253" s="7" t="s">
        <v>1278</v>
      </c>
      <c r="L253" s="7">
        <v>405.44200000000001</v>
      </c>
      <c r="M253" s="7" t="s">
        <v>37</v>
      </c>
      <c r="N253" s="7" t="s">
        <v>37</v>
      </c>
      <c r="O253" s="7" t="s">
        <v>37</v>
      </c>
      <c r="P253" s="7" t="s">
        <v>37</v>
      </c>
      <c r="Q253" s="7" t="s">
        <v>37</v>
      </c>
      <c r="R253" s="7" t="s">
        <v>37</v>
      </c>
      <c r="S253" s="7" t="s">
        <v>37</v>
      </c>
      <c r="T253" s="7" t="s">
        <v>37</v>
      </c>
      <c r="U253" s="7">
        <v>490.98649999999998</v>
      </c>
      <c r="V253" s="7">
        <v>1.3254999999999999</v>
      </c>
      <c r="W253" s="7">
        <v>302.20749999999998</v>
      </c>
      <c r="X253" s="9">
        <v>1.65958690743756E-10</v>
      </c>
      <c r="Y253" s="7">
        <v>1.581</v>
      </c>
      <c r="Z253" s="7">
        <v>17.11</v>
      </c>
      <c r="AA253" s="7">
        <v>1.23</v>
      </c>
      <c r="AB253" s="7">
        <v>3.08</v>
      </c>
      <c r="AC253" s="7">
        <v>9.33</v>
      </c>
      <c r="AD253" s="7">
        <v>4.04</v>
      </c>
      <c r="AE253" s="7">
        <v>214.46</v>
      </c>
      <c r="AF253" s="7">
        <v>103.13200000000001</v>
      </c>
      <c r="AG253" s="7">
        <v>309.529</v>
      </c>
      <c r="AH253" s="7" t="s">
        <v>37</v>
      </c>
      <c r="AI253" s="7">
        <v>8.31</v>
      </c>
      <c r="AJ253" s="7">
        <v>40.884999999999998</v>
      </c>
      <c r="AK253" s="7">
        <v>0</v>
      </c>
      <c r="AL253" s="7">
        <v>50.496000000000002</v>
      </c>
      <c r="AM253" s="7">
        <v>160.80600000000001</v>
      </c>
      <c r="AN253" s="9">
        <v>4.5708818961487502E-10</v>
      </c>
      <c r="AO253" s="7" t="s">
        <v>37</v>
      </c>
      <c r="AP253" s="9">
        <v>2.639935E-5</v>
      </c>
      <c r="AQ253" s="7">
        <v>1</v>
      </c>
      <c r="AR253" s="7">
        <v>0</v>
      </c>
      <c r="AS253"/>
    </row>
    <row r="254" spans="1:45" ht="19.5" customHeight="1" x14ac:dyDescent="0.3">
      <c r="A254" s="7" t="s">
        <v>707</v>
      </c>
      <c r="B254" s="7" t="s">
        <v>2080</v>
      </c>
      <c r="C254" s="7">
        <v>0.1</v>
      </c>
      <c r="D254" s="7">
        <v>66697.940653762897</v>
      </c>
      <c r="E254" s="7">
        <v>516</v>
      </c>
      <c r="F254" s="7">
        <v>53.951871657753998</v>
      </c>
      <c r="G254" s="7" t="s">
        <v>708</v>
      </c>
      <c r="H254" s="7" t="s">
        <v>709</v>
      </c>
      <c r="I254" s="7" t="s">
        <v>710</v>
      </c>
      <c r="J254" s="8" t="s">
        <v>711</v>
      </c>
      <c r="K254" s="7" t="s">
        <v>712</v>
      </c>
      <c r="L254" s="7">
        <v>346.339</v>
      </c>
      <c r="M254" s="7" t="s">
        <v>37</v>
      </c>
      <c r="N254" s="7" t="s">
        <v>37</v>
      </c>
      <c r="O254" s="7" t="s">
        <v>37</v>
      </c>
      <c r="P254" s="7" t="s">
        <v>37</v>
      </c>
      <c r="Q254" s="7" t="s">
        <v>37</v>
      </c>
      <c r="R254" s="7" t="s">
        <v>37</v>
      </c>
      <c r="S254" s="7">
        <v>34634</v>
      </c>
      <c r="T254" s="7">
        <v>34.634</v>
      </c>
      <c r="U254" s="7">
        <v>420.541</v>
      </c>
      <c r="V254" s="7">
        <v>1.2905</v>
      </c>
      <c r="W254" s="7">
        <v>242.48500000000001</v>
      </c>
      <c r="X254" s="9">
        <v>1.3182567385564099E-8</v>
      </c>
      <c r="Y254" s="7">
        <v>1.5589999999999999</v>
      </c>
      <c r="Z254" s="7">
        <v>8.9499999999999993</v>
      </c>
      <c r="AA254" s="7">
        <v>2.4300000000000002</v>
      </c>
      <c r="AB254" s="7">
        <v>2.5299999999999998</v>
      </c>
      <c r="AC254" s="7">
        <v>9.4</v>
      </c>
      <c r="AD254" s="7">
        <v>2.5299999999999998</v>
      </c>
      <c r="AE254" s="7">
        <v>173</v>
      </c>
      <c r="AF254" s="7">
        <v>87.905000000000001</v>
      </c>
      <c r="AG254" s="7">
        <v>272.27800000000002</v>
      </c>
      <c r="AH254" s="7" t="s">
        <v>37</v>
      </c>
      <c r="AI254" s="7">
        <v>4.93</v>
      </c>
      <c r="AJ254" s="7">
        <v>34.847999999999999</v>
      </c>
      <c r="AK254" s="7">
        <v>0</v>
      </c>
      <c r="AL254" s="7">
        <v>46.098999999999997</v>
      </c>
      <c r="AM254" s="7" t="s">
        <v>37</v>
      </c>
      <c r="AN254" s="9">
        <v>6.03949E-8</v>
      </c>
      <c r="AO254" s="7" t="s">
        <v>37</v>
      </c>
      <c r="AP254" s="9">
        <v>1.7377999999999999E-5</v>
      </c>
      <c r="AQ254" s="7">
        <v>1</v>
      </c>
      <c r="AR254" s="7">
        <v>1</v>
      </c>
      <c r="AS254"/>
    </row>
    <row r="255" spans="1:45" ht="19.5" customHeight="1" x14ac:dyDescent="0.3">
      <c r="A255" s="7" t="s">
        <v>540</v>
      </c>
      <c r="B255" s="7" t="s">
        <v>2080</v>
      </c>
      <c r="C255" s="7">
        <v>25</v>
      </c>
      <c r="D255" s="7">
        <v>140130.27653641001</v>
      </c>
      <c r="E255" s="7">
        <v>278</v>
      </c>
      <c r="F255" s="7">
        <v>19.580310880829</v>
      </c>
      <c r="G255" s="7" t="s">
        <v>541</v>
      </c>
      <c r="H255" s="7" t="s">
        <v>542</v>
      </c>
      <c r="I255" s="7" t="s">
        <v>543</v>
      </c>
      <c r="J255" s="8" t="s">
        <v>544</v>
      </c>
      <c r="K255" s="7" t="s">
        <v>545</v>
      </c>
      <c r="L255" s="7">
        <v>238.158999999999</v>
      </c>
      <c r="M255" s="7" t="s">
        <v>37</v>
      </c>
      <c r="N255" s="7" t="s">
        <v>37</v>
      </c>
      <c r="O255" s="7" t="s">
        <v>37</v>
      </c>
      <c r="P255" s="7" t="s">
        <v>37</v>
      </c>
      <c r="Q255" s="7" t="s">
        <v>37</v>
      </c>
      <c r="R255" s="7" t="s">
        <v>37</v>
      </c>
      <c r="S255" s="7">
        <v>5000</v>
      </c>
      <c r="T255" s="7">
        <v>500</v>
      </c>
      <c r="U255" s="7">
        <v>387.185</v>
      </c>
      <c r="V255" s="7">
        <v>1.752</v>
      </c>
      <c r="W255" s="7">
        <v>201.66399999999999</v>
      </c>
      <c r="X255" s="9">
        <v>1.4454397707459301E-8</v>
      </c>
      <c r="Y255" s="7">
        <v>1.7450000000000001</v>
      </c>
      <c r="Z255" s="7">
        <v>4.1100000000000003</v>
      </c>
      <c r="AA255" s="7">
        <v>-3.77</v>
      </c>
      <c r="AB255" s="7">
        <v>-5.67</v>
      </c>
      <c r="AC255" s="7">
        <v>9.76</v>
      </c>
      <c r="AD255" s="7">
        <v>-0.47</v>
      </c>
      <c r="AE255" s="7">
        <v>263</v>
      </c>
      <c r="AF255" s="7">
        <v>53.13</v>
      </c>
      <c r="AG255" s="7">
        <v>131.072</v>
      </c>
      <c r="AH255" s="7">
        <v>2.2000000000000002</v>
      </c>
      <c r="AI255" s="7" t="s">
        <v>37</v>
      </c>
      <c r="AJ255" s="7">
        <v>21.062000000000001</v>
      </c>
      <c r="AK255" s="7">
        <v>0</v>
      </c>
      <c r="AL255" s="7">
        <v>89.581000000000003</v>
      </c>
      <c r="AM255" s="7" t="s">
        <v>37</v>
      </c>
      <c r="AN255" s="9">
        <v>1.40971142563223E-5</v>
      </c>
      <c r="AO255" s="7" t="s">
        <v>37</v>
      </c>
      <c r="AP255" s="7">
        <v>3.7533949999999999E-4</v>
      </c>
      <c r="AQ255" s="7">
        <v>1</v>
      </c>
      <c r="AR255" s="7">
        <v>1</v>
      </c>
      <c r="AS255"/>
    </row>
    <row r="256" spans="1:45" ht="19.5" customHeight="1" x14ac:dyDescent="0.3">
      <c r="A256" s="7" t="s">
        <v>1575</v>
      </c>
      <c r="B256" s="7" t="s">
        <v>2105</v>
      </c>
      <c r="C256" s="7">
        <v>100</v>
      </c>
      <c r="D256" s="7">
        <v>1016.20441249218</v>
      </c>
      <c r="E256" s="7">
        <v>355</v>
      </c>
      <c r="F256" s="7">
        <v>24.844442117388301</v>
      </c>
      <c r="G256" s="7" t="s">
        <v>1576</v>
      </c>
      <c r="H256" s="7" t="s">
        <v>1577</v>
      </c>
      <c r="I256" s="7" t="s">
        <v>1578</v>
      </c>
      <c r="J256" s="8" t="s">
        <v>1579</v>
      </c>
      <c r="K256" s="7" t="s">
        <v>1580</v>
      </c>
      <c r="L256" s="7">
        <v>227.08500000000001</v>
      </c>
      <c r="M256" s="7">
        <v>26000</v>
      </c>
      <c r="N256" s="7" t="s">
        <v>37</v>
      </c>
      <c r="O256" s="7">
        <v>3300</v>
      </c>
      <c r="P256" s="7">
        <v>0.69281999999999999</v>
      </c>
      <c r="Q256" s="7">
        <v>6440</v>
      </c>
      <c r="R256" s="7">
        <v>370</v>
      </c>
      <c r="S256" s="7">
        <v>200</v>
      </c>
      <c r="T256" s="7">
        <v>3</v>
      </c>
      <c r="U256" s="7">
        <v>152.5</v>
      </c>
      <c r="V256" s="7">
        <v>1.6439999999999999</v>
      </c>
      <c r="W256" s="7">
        <v>125.56950000000001</v>
      </c>
      <c r="X256" s="9">
        <v>1.7782794100389199E-6</v>
      </c>
      <c r="Y256" s="7">
        <v>1.4890000000000001</v>
      </c>
      <c r="Z256" s="7">
        <v>4.8</v>
      </c>
      <c r="AA256" s="7">
        <v>1.62</v>
      </c>
      <c r="AB256" s="7">
        <v>1.37</v>
      </c>
      <c r="AC256" s="7">
        <v>4.82</v>
      </c>
      <c r="AD256" s="7">
        <v>1.62</v>
      </c>
      <c r="AE256" s="7">
        <v>13.5</v>
      </c>
      <c r="AF256" s="7">
        <v>39.21</v>
      </c>
      <c r="AG256" s="7">
        <v>135.85599999999999</v>
      </c>
      <c r="AH256" s="7">
        <v>7.52</v>
      </c>
      <c r="AI256" s="7" t="s">
        <v>37</v>
      </c>
      <c r="AJ256" s="7">
        <v>15.544</v>
      </c>
      <c r="AK256" s="7">
        <v>1</v>
      </c>
      <c r="AL256" s="7">
        <v>54.954999999999998</v>
      </c>
      <c r="AM256" s="7" t="s">
        <v>37</v>
      </c>
      <c r="AN256" s="7">
        <v>4.0003700000000001E-4</v>
      </c>
      <c r="AO256" s="7">
        <v>4.2657999999999996</v>
      </c>
      <c r="AP256" s="7">
        <v>6.0513750000000003E-3</v>
      </c>
      <c r="AQ256" s="7">
        <v>1</v>
      </c>
      <c r="AR256" s="7">
        <v>0</v>
      </c>
      <c r="AS256"/>
    </row>
    <row r="257" spans="1:45" ht="19.5" customHeight="1" x14ac:dyDescent="0.3">
      <c r="A257" s="7" t="s">
        <v>1575</v>
      </c>
      <c r="B257" s="7" t="s">
        <v>2106</v>
      </c>
      <c r="C257" s="7">
        <v>100</v>
      </c>
      <c r="D257" s="7">
        <v>603360</v>
      </c>
      <c r="E257" s="7">
        <v>20</v>
      </c>
      <c r="F257" s="7">
        <v>39.75</v>
      </c>
      <c r="G257" s="7" t="s">
        <v>1576</v>
      </c>
      <c r="H257" s="7" t="s">
        <v>1577</v>
      </c>
      <c r="I257" s="7" t="s">
        <v>1578</v>
      </c>
      <c r="J257" s="8" t="s">
        <v>1579</v>
      </c>
      <c r="K257" s="7" t="s">
        <v>1580</v>
      </c>
      <c r="L257" s="7">
        <v>227.08500000000001</v>
      </c>
      <c r="M257" s="7">
        <v>26000</v>
      </c>
      <c r="N257" s="7" t="s">
        <v>37</v>
      </c>
      <c r="O257" s="7">
        <v>3300</v>
      </c>
      <c r="P257" s="7">
        <v>0.69281999999999999</v>
      </c>
      <c r="Q257" s="7">
        <v>6440</v>
      </c>
      <c r="R257" s="7">
        <v>370</v>
      </c>
      <c r="S257" s="7">
        <v>200</v>
      </c>
      <c r="T257" s="7">
        <v>3</v>
      </c>
      <c r="U257" s="7">
        <v>152.5</v>
      </c>
      <c r="V257" s="7">
        <v>1.6439999999999999</v>
      </c>
      <c r="W257" s="7">
        <v>125.56950000000001</v>
      </c>
      <c r="X257" s="9">
        <v>1.7782794100389199E-6</v>
      </c>
      <c r="Y257" s="7">
        <v>1.4890000000000001</v>
      </c>
      <c r="Z257" s="7">
        <v>4.8</v>
      </c>
      <c r="AA257" s="7">
        <v>1.62</v>
      </c>
      <c r="AB257" s="7">
        <v>1.37</v>
      </c>
      <c r="AC257" s="7">
        <v>4.82</v>
      </c>
      <c r="AD257" s="7">
        <v>1.62</v>
      </c>
      <c r="AE257" s="7">
        <v>13.5</v>
      </c>
      <c r="AF257" s="7">
        <v>39.21</v>
      </c>
      <c r="AG257" s="7">
        <v>135.85599999999999</v>
      </c>
      <c r="AH257" s="7">
        <v>7.52</v>
      </c>
      <c r="AI257" s="7" t="s">
        <v>37</v>
      </c>
      <c r="AJ257" s="7">
        <v>15.544</v>
      </c>
      <c r="AK257" s="7">
        <v>1</v>
      </c>
      <c r="AL257" s="7">
        <v>54.954999999999998</v>
      </c>
      <c r="AM257" s="7" t="s">
        <v>37</v>
      </c>
      <c r="AN257" s="7">
        <v>4.0003700000000001E-4</v>
      </c>
      <c r="AO257" s="7">
        <v>4.2657999999999996</v>
      </c>
      <c r="AP257" s="7">
        <v>6.0513750000000003E-3</v>
      </c>
      <c r="AQ257" s="7">
        <v>1</v>
      </c>
      <c r="AR257" s="7">
        <v>0</v>
      </c>
      <c r="AS257"/>
    </row>
    <row r="258" spans="1:45" ht="19.5" customHeight="1" x14ac:dyDescent="0.3">
      <c r="A258" s="7" t="s">
        <v>1569</v>
      </c>
      <c r="B258" s="7" t="s">
        <v>2080</v>
      </c>
      <c r="C258" s="7">
        <v>30</v>
      </c>
      <c r="D258" s="7">
        <v>1216.5431554849599</v>
      </c>
      <c r="E258" s="7">
        <v>337</v>
      </c>
      <c r="F258" s="7">
        <v>49.717842323651503</v>
      </c>
      <c r="G258" s="7" t="s">
        <v>1570</v>
      </c>
      <c r="H258" s="7" t="s">
        <v>1571</v>
      </c>
      <c r="I258" s="7" t="s">
        <v>1572</v>
      </c>
      <c r="J258" s="8" t="s">
        <v>1573</v>
      </c>
      <c r="K258" s="7" t="s">
        <v>1574</v>
      </c>
      <c r="L258" s="7">
        <v>298.42599999999902</v>
      </c>
      <c r="M258" s="7" t="s">
        <v>37</v>
      </c>
      <c r="N258" s="7" t="s">
        <v>37</v>
      </c>
      <c r="O258" s="7">
        <v>14.8</v>
      </c>
      <c r="P258" s="7">
        <v>1.48</v>
      </c>
      <c r="Q258" s="9">
        <v>500000</v>
      </c>
      <c r="R258" s="7" t="s">
        <v>37</v>
      </c>
      <c r="S258" s="7">
        <v>1.155</v>
      </c>
      <c r="T258" s="9">
        <v>6.9999999999999999E-4</v>
      </c>
      <c r="U258" s="7">
        <v>389.37950000000001</v>
      </c>
      <c r="V258" s="7">
        <v>1.1399999999999999</v>
      </c>
      <c r="W258" s="7">
        <v>194.60499999999999</v>
      </c>
      <c r="X258" s="9">
        <v>4.1686938347033501E-9</v>
      </c>
      <c r="Y258" s="7">
        <v>1.577</v>
      </c>
      <c r="Z258" s="7">
        <v>17.02</v>
      </c>
      <c r="AA258" s="7">
        <v>2.97</v>
      </c>
      <c r="AB258" s="7">
        <v>2.97</v>
      </c>
      <c r="AC258" s="7">
        <v>11.01</v>
      </c>
      <c r="AD258" s="7">
        <v>2.97</v>
      </c>
      <c r="AE258" s="7">
        <v>203.5</v>
      </c>
      <c r="AF258" s="7">
        <v>85.551000000000002</v>
      </c>
      <c r="AG258" s="7">
        <v>258.09699999999998</v>
      </c>
      <c r="AH258" s="7">
        <v>10.32</v>
      </c>
      <c r="AI258" s="7">
        <v>13.093</v>
      </c>
      <c r="AJ258" s="7">
        <v>33.914999999999999</v>
      </c>
      <c r="AK258" s="7">
        <v>0</v>
      </c>
      <c r="AL258" s="7">
        <v>47.487000000000002</v>
      </c>
      <c r="AM258" s="7" t="s">
        <v>37</v>
      </c>
      <c r="AN258" s="9">
        <v>2.5703957827688601E-9</v>
      </c>
      <c r="AO258" s="7" t="s">
        <v>37</v>
      </c>
      <c r="AP258" s="9">
        <v>2.34E-5</v>
      </c>
      <c r="AQ258" s="7">
        <v>0</v>
      </c>
      <c r="AR258" s="7">
        <v>0</v>
      </c>
      <c r="AS258"/>
    </row>
    <row r="259" spans="1:45" ht="19.5" customHeight="1" x14ac:dyDescent="0.3">
      <c r="A259" s="7" t="s">
        <v>802</v>
      </c>
      <c r="B259" s="7" t="s">
        <v>2080</v>
      </c>
      <c r="C259" s="7">
        <v>100</v>
      </c>
      <c r="D259" s="7">
        <v>43561.493500158198</v>
      </c>
      <c r="E259" s="7">
        <v>291</v>
      </c>
      <c r="F259" s="7">
        <v>50.72</v>
      </c>
      <c r="G259" s="7" t="s">
        <v>803</v>
      </c>
      <c r="H259" s="7" t="s">
        <v>804</v>
      </c>
      <c r="I259" s="7" t="s">
        <v>805</v>
      </c>
      <c r="J259" s="8" t="s">
        <v>806</v>
      </c>
      <c r="K259" s="7" t="s">
        <v>807</v>
      </c>
      <c r="L259" s="7">
        <v>263.38400000000001</v>
      </c>
      <c r="M259" s="7" t="s">
        <v>37</v>
      </c>
      <c r="N259" s="7" t="s">
        <v>37</v>
      </c>
      <c r="O259" s="7">
        <v>7970</v>
      </c>
      <c r="P259" s="7">
        <v>219</v>
      </c>
      <c r="Q259" s="7" t="s">
        <v>37</v>
      </c>
      <c r="R259" s="7" t="s">
        <v>37</v>
      </c>
      <c r="S259" s="7">
        <v>500</v>
      </c>
      <c r="T259" s="7">
        <v>0.158</v>
      </c>
      <c r="U259" s="7">
        <v>374.72500000000002</v>
      </c>
      <c r="V259" s="7">
        <v>1.0669999999999999</v>
      </c>
      <c r="W259" s="7">
        <v>192.584</v>
      </c>
      <c r="X259" s="9">
        <v>8.3176377110267101E-8</v>
      </c>
      <c r="Y259" s="7">
        <v>1.633</v>
      </c>
      <c r="Z259" s="7">
        <v>21.69</v>
      </c>
      <c r="AA259" s="7">
        <v>-0.7</v>
      </c>
      <c r="AB259" s="7">
        <v>1.2</v>
      </c>
      <c r="AC259" s="7">
        <v>11.03</v>
      </c>
      <c r="AD259" s="7">
        <v>4.51</v>
      </c>
      <c r="AE259" s="7">
        <v>214</v>
      </c>
      <c r="AF259" s="7">
        <v>86.760999999999996</v>
      </c>
      <c r="AG259" s="7">
        <v>242.85</v>
      </c>
      <c r="AH259" s="7" t="s">
        <v>37</v>
      </c>
      <c r="AI259" s="7">
        <v>10.71</v>
      </c>
      <c r="AJ259" s="7">
        <v>34.395000000000003</v>
      </c>
      <c r="AK259" s="7">
        <v>0</v>
      </c>
      <c r="AL259" s="7">
        <v>47.335999999999999</v>
      </c>
      <c r="AM259" s="7" t="s">
        <v>37</v>
      </c>
      <c r="AN259" s="9">
        <v>7.9067899999999998E-8</v>
      </c>
      <c r="AO259" s="7">
        <v>27.8612</v>
      </c>
      <c r="AP259" s="9">
        <v>8.1620599999999996E-5</v>
      </c>
      <c r="AQ259" s="7">
        <v>1</v>
      </c>
      <c r="AR259" s="7">
        <v>0</v>
      </c>
      <c r="AS259"/>
    </row>
    <row r="260" spans="1:45" ht="19.5" customHeight="1" x14ac:dyDescent="0.3">
      <c r="A260" s="7" t="s">
        <v>558</v>
      </c>
      <c r="B260" s="7" t="s">
        <v>2092</v>
      </c>
      <c r="C260" s="7">
        <v>80</v>
      </c>
      <c r="D260" s="7">
        <v>91150.426972262401</v>
      </c>
      <c r="E260" s="7">
        <v>102</v>
      </c>
      <c r="F260" s="7">
        <v>20.368268434134201</v>
      </c>
      <c r="G260" s="7" t="s">
        <v>559</v>
      </c>
      <c r="H260" s="7" t="s">
        <v>560</v>
      </c>
      <c r="I260" s="7" t="s">
        <v>561</v>
      </c>
      <c r="J260" s="8" t="s">
        <v>562</v>
      </c>
      <c r="K260" s="7" t="s">
        <v>271</v>
      </c>
      <c r="L260" s="7">
        <v>361.37299999999902</v>
      </c>
      <c r="M260" s="7">
        <v>33990</v>
      </c>
      <c r="N260" s="7" t="s">
        <v>37</v>
      </c>
      <c r="O260" s="7" t="s">
        <v>37</v>
      </c>
      <c r="P260" s="7" t="s">
        <v>37</v>
      </c>
      <c r="Q260" s="7" t="s">
        <v>37</v>
      </c>
      <c r="R260" s="7">
        <v>200</v>
      </c>
      <c r="S260" s="7">
        <v>10000</v>
      </c>
      <c r="T260" s="7">
        <v>1000</v>
      </c>
      <c r="U260" s="7">
        <v>498.92950000000002</v>
      </c>
      <c r="V260" s="7">
        <v>1.425</v>
      </c>
      <c r="W260" s="7">
        <v>287.57600000000002</v>
      </c>
      <c r="X260" s="9">
        <v>1.1481536214968799E-9</v>
      </c>
      <c r="Y260" s="7">
        <v>1.67</v>
      </c>
      <c r="Z260" s="7">
        <v>10.59</v>
      </c>
      <c r="AA260" s="7">
        <v>-4.6900000000000004</v>
      </c>
      <c r="AB260" s="7">
        <v>-6.59</v>
      </c>
      <c r="AC260" s="7">
        <v>10.42</v>
      </c>
      <c r="AD260" s="7">
        <v>-0.39</v>
      </c>
      <c r="AE260" s="7">
        <v>253.5</v>
      </c>
      <c r="AF260" s="7">
        <v>91.097999999999999</v>
      </c>
      <c r="AG260" s="7">
        <v>243.96700000000001</v>
      </c>
      <c r="AH260" s="7">
        <v>3.1960000000000002</v>
      </c>
      <c r="AI260" s="7">
        <v>7.3689999999999998</v>
      </c>
      <c r="AJ260" s="7">
        <v>36.113999999999997</v>
      </c>
      <c r="AK260" s="7">
        <v>0</v>
      </c>
      <c r="AL260" s="7">
        <v>70.317999999999998</v>
      </c>
      <c r="AM260" s="7" t="s">
        <v>37</v>
      </c>
      <c r="AN260" s="9">
        <v>9.3110799999999999E-10</v>
      </c>
      <c r="AO260" s="7" t="s">
        <v>37</v>
      </c>
      <c r="AP260" s="7">
        <v>7.7600000000000002E-2</v>
      </c>
      <c r="AQ260" s="7">
        <v>1</v>
      </c>
      <c r="AR260" s="7">
        <v>0</v>
      </c>
      <c r="AS260"/>
    </row>
    <row r="261" spans="1:45" ht="19.5" customHeight="1" x14ac:dyDescent="0.3">
      <c r="A261" s="7" t="s">
        <v>558</v>
      </c>
      <c r="B261" s="7" t="s">
        <v>2127</v>
      </c>
      <c r="C261" s="7">
        <v>30</v>
      </c>
      <c r="D261" s="7">
        <v>195692.45604056001</v>
      </c>
      <c r="E261" s="7">
        <v>61</v>
      </c>
      <c r="F261" s="7">
        <v>12.854421611636999</v>
      </c>
      <c r="G261" s="7" t="s">
        <v>559</v>
      </c>
      <c r="H261" s="7" t="s">
        <v>560</v>
      </c>
      <c r="I261" s="7" t="s">
        <v>561</v>
      </c>
      <c r="J261" s="8" t="s">
        <v>562</v>
      </c>
      <c r="K261" s="7" t="s">
        <v>271</v>
      </c>
      <c r="L261" s="7">
        <v>361.37299999999902</v>
      </c>
      <c r="M261" s="7">
        <v>33990</v>
      </c>
      <c r="N261" s="7" t="s">
        <v>37</v>
      </c>
      <c r="O261" s="7" t="s">
        <v>37</v>
      </c>
      <c r="P261" s="7" t="s">
        <v>37</v>
      </c>
      <c r="Q261" s="7" t="s">
        <v>37</v>
      </c>
      <c r="R261" s="7">
        <v>200</v>
      </c>
      <c r="S261" s="7">
        <v>10000</v>
      </c>
      <c r="T261" s="7">
        <v>1000</v>
      </c>
      <c r="U261" s="7">
        <v>498.92950000000002</v>
      </c>
      <c r="V261" s="7">
        <v>1.425</v>
      </c>
      <c r="W261" s="7">
        <v>287.57600000000002</v>
      </c>
      <c r="X261" s="9">
        <v>1.1481536214968799E-9</v>
      </c>
      <c r="Y261" s="7">
        <v>1.67</v>
      </c>
      <c r="Z261" s="7">
        <v>10.59</v>
      </c>
      <c r="AA261" s="7">
        <v>-4.6900000000000004</v>
      </c>
      <c r="AB261" s="7">
        <v>-6.59</v>
      </c>
      <c r="AC261" s="7">
        <v>10.42</v>
      </c>
      <c r="AD261" s="7">
        <v>-0.39</v>
      </c>
      <c r="AE261" s="7">
        <v>253.5</v>
      </c>
      <c r="AF261" s="7">
        <v>91.097999999999999</v>
      </c>
      <c r="AG261" s="7">
        <v>243.96700000000001</v>
      </c>
      <c r="AH261" s="7">
        <v>3.1960000000000002</v>
      </c>
      <c r="AI261" s="7">
        <v>7.3689999999999998</v>
      </c>
      <c r="AJ261" s="7">
        <v>36.113999999999997</v>
      </c>
      <c r="AK261" s="7">
        <v>0</v>
      </c>
      <c r="AL261" s="7">
        <v>70.317999999999998</v>
      </c>
      <c r="AM261" s="7" t="s">
        <v>37</v>
      </c>
      <c r="AN261" s="9">
        <v>9.3110799999999999E-10</v>
      </c>
      <c r="AO261" s="7" t="s">
        <v>37</v>
      </c>
      <c r="AP261" s="7">
        <v>7.7600000000000002E-2</v>
      </c>
      <c r="AQ261" s="7">
        <v>1</v>
      </c>
      <c r="AR261" s="7">
        <v>0</v>
      </c>
      <c r="AS261"/>
    </row>
    <row r="262" spans="1:45" ht="19.5" customHeight="1" x14ac:dyDescent="0.3">
      <c r="A262" s="7" t="s">
        <v>1196</v>
      </c>
      <c r="B262" s="7" t="s">
        <v>2080</v>
      </c>
      <c r="C262" s="7">
        <v>37</v>
      </c>
      <c r="D262" s="7">
        <v>11737.1073301628</v>
      </c>
      <c r="E262" s="7">
        <v>327</v>
      </c>
      <c r="F262" s="7">
        <v>41.711111111111101</v>
      </c>
      <c r="G262" s="7" t="s">
        <v>1197</v>
      </c>
      <c r="H262" s="7" t="s">
        <v>1198</v>
      </c>
      <c r="I262" s="7" t="s">
        <v>1199</v>
      </c>
      <c r="J262" s="8" t="s">
        <v>1200</v>
      </c>
      <c r="K262" s="7" t="s">
        <v>1201</v>
      </c>
      <c r="L262" s="7">
        <v>312.44</v>
      </c>
      <c r="M262" s="7" t="s">
        <v>37</v>
      </c>
      <c r="N262" s="7" t="s">
        <v>37</v>
      </c>
      <c r="O262" s="7" t="s">
        <v>37</v>
      </c>
      <c r="P262" s="7" t="s">
        <v>37</v>
      </c>
      <c r="Q262" s="7" t="s">
        <v>37</v>
      </c>
      <c r="R262" s="7" t="s">
        <v>37</v>
      </c>
      <c r="S262" s="7" t="s">
        <v>37</v>
      </c>
      <c r="T262" s="7" t="s">
        <v>37</v>
      </c>
      <c r="U262" s="7">
        <v>448.45</v>
      </c>
      <c r="V262" s="7">
        <v>1.2945</v>
      </c>
      <c r="W262" s="7">
        <v>232.7645</v>
      </c>
      <c r="X262" s="9">
        <v>5.37031796370253E-10</v>
      </c>
      <c r="Y262" s="7">
        <v>1.7090000000000001</v>
      </c>
      <c r="Z262" s="7">
        <v>14.01</v>
      </c>
      <c r="AA262" s="7">
        <v>3</v>
      </c>
      <c r="AB262" s="7">
        <v>2.94</v>
      </c>
      <c r="AC262" s="7">
        <v>10.89</v>
      </c>
      <c r="AD262" s="7">
        <v>3</v>
      </c>
      <c r="AE262" s="7">
        <v>176.96100000000001</v>
      </c>
      <c r="AF262" s="7">
        <v>92.156000000000006</v>
      </c>
      <c r="AG262" s="7">
        <v>235.99299999999999</v>
      </c>
      <c r="AH262" s="7">
        <v>8.25</v>
      </c>
      <c r="AI262" s="7" t="s">
        <v>37</v>
      </c>
      <c r="AJ262" s="7">
        <v>36.533999999999999</v>
      </c>
      <c r="AK262" s="7">
        <v>0</v>
      </c>
      <c r="AL262" s="7">
        <v>52.015999999999998</v>
      </c>
      <c r="AM262" s="7" t="s">
        <v>37</v>
      </c>
      <c r="AN262" s="9">
        <v>4.6773514128719798E-9</v>
      </c>
      <c r="AO262" s="7" t="s">
        <v>37</v>
      </c>
      <c r="AP262" s="7">
        <v>1.7068899999999999E-4</v>
      </c>
      <c r="AQ262" s="7">
        <v>1</v>
      </c>
      <c r="AR262" s="7">
        <v>0</v>
      </c>
      <c r="AS262"/>
    </row>
    <row r="263" spans="1:45" ht="19.5" customHeight="1" x14ac:dyDescent="0.3">
      <c r="A263" s="7" t="s">
        <v>993</v>
      </c>
      <c r="B263" s="7" t="s">
        <v>2080</v>
      </c>
      <c r="C263" s="7">
        <v>100</v>
      </c>
      <c r="D263" s="7">
        <v>26393.629989017201</v>
      </c>
      <c r="E263" s="7">
        <v>389</v>
      </c>
      <c r="F263" s="7">
        <v>64.060150375939898</v>
      </c>
      <c r="G263" s="7" t="s">
        <v>994</v>
      </c>
      <c r="H263" s="7" t="s">
        <v>995</v>
      </c>
      <c r="I263" s="7" t="s">
        <v>996</v>
      </c>
      <c r="J263" s="8" t="s">
        <v>997</v>
      </c>
      <c r="K263" s="7" t="s">
        <v>998</v>
      </c>
      <c r="L263" s="7">
        <v>446.51100000000002</v>
      </c>
      <c r="M263" s="7" t="s">
        <v>37</v>
      </c>
      <c r="N263" s="7" t="s">
        <v>37</v>
      </c>
      <c r="O263" s="7" t="s">
        <v>37</v>
      </c>
      <c r="P263" s="7" t="s">
        <v>37</v>
      </c>
      <c r="Q263" s="7" t="s">
        <v>37</v>
      </c>
      <c r="R263" s="7" t="s">
        <v>37</v>
      </c>
      <c r="S263" s="7" t="s">
        <v>37</v>
      </c>
      <c r="T263" s="7" t="s">
        <v>37</v>
      </c>
      <c r="U263" s="7">
        <v>804.23</v>
      </c>
      <c r="V263" s="7">
        <v>1.4195</v>
      </c>
      <c r="W263" s="7">
        <v>382.51900000000001</v>
      </c>
      <c r="X263" s="9">
        <v>1.0715193052375999E-9</v>
      </c>
      <c r="Y263" s="7">
        <v>1.671</v>
      </c>
      <c r="Z263" s="7">
        <v>11.96</v>
      </c>
      <c r="AA263" s="7">
        <v>0.99</v>
      </c>
      <c r="AB263" s="7">
        <v>-0.87</v>
      </c>
      <c r="AC263" s="7">
        <v>9.43</v>
      </c>
      <c r="AD263" s="7">
        <v>3.5609999999999999</v>
      </c>
      <c r="AE263" s="7">
        <v>268.63900000000001</v>
      </c>
      <c r="AF263" s="7">
        <v>124.72</v>
      </c>
      <c r="AG263" s="7">
        <v>333.45600000000002</v>
      </c>
      <c r="AH263" s="7">
        <v>4.51</v>
      </c>
      <c r="AI263" s="7" t="s">
        <v>37</v>
      </c>
      <c r="AJ263" s="7">
        <v>49.442999999999998</v>
      </c>
      <c r="AK263" s="7">
        <v>0</v>
      </c>
      <c r="AL263" s="7">
        <v>54.036000000000001</v>
      </c>
      <c r="AM263" s="7" t="s">
        <v>37</v>
      </c>
      <c r="AN263" s="9">
        <v>1.6179682846484901E-10</v>
      </c>
      <c r="AO263" s="7" t="s">
        <v>37</v>
      </c>
      <c r="AP263" s="9">
        <v>8.9986599999999997E-6</v>
      </c>
      <c r="AQ263" s="7">
        <v>1</v>
      </c>
      <c r="AR263" s="7">
        <v>0</v>
      </c>
      <c r="AS263"/>
    </row>
    <row r="264" spans="1:45" ht="19.5" customHeight="1" x14ac:dyDescent="0.3">
      <c r="A264" s="7" t="s">
        <v>522</v>
      </c>
      <c r="B264" s="7" t="s">
        <v>2091</v>
      </c>
      <c r="C264" s="7">
        <v>77.2</v>
      </c>
      <c r="D264" s="7">
        <v>1135810.35185437</v>
      </c>
      <c r="E264" s="7">
        <v>17</v>
      </c>
      <c r="F264" s="7">
        <v>29.862068965517199</v>
      </c>
      <c r="G264" s="7" t="s">
        <v>523</v>
      </c>
      <c r="H264" s="7" t="s">
        <v>524</v>
      </c>
      <c r="I264" s="7" t="s">
        <v>525</v>
      </c>
      <c r="J264" s="8" t="s">
        <v>526</v>
      </c>
      <c r="K264" s="7" t="s">
        <v>527</v>
      </c>
      <c r="L264" s="7">
        <v>337.41899999999902</v>
      </c>
      <c r="M264" s="7" t="s">
        <v>37</v>
      </c>
      <c r="N264" s="7" t="s">
        <v>37</v>
      </c>
      <c r="O264" s="7" t="s">
        <v>37</v>
      </c>
      <c r="P264" s="7" t="s">
        <v>37</v>
      </c>
      <c r="Q264" s="7" t="s">
        <v>37</v>
      </c>
      <c r="R264" s="7" t="s">
        <v>37</v>
      </c>
      <c r="S264" s="7" t="s">
        <v>37</v>
      </c>
      <c r="T264" s="7" t="s">
        <v>37</v>
      </c>
      <c r="U264" s="7">
        <v>491.83850000000001</v>
      </c>
      <c r="V264" s="7">
        <v>1.1924999999999999</v>
      </c>
      <c r="W264" s="7">
        <v>250.40799999999999</v>
      </c>
      <c r="X264" s="9">
        <v>1.6982436524617499E-9</v>
      </c>
      <c r="Y264" s="7">
        <v>1.641</v>
      </c>
      <c r="Z264" s="7">
        <v>11.91</v>
      </c>
      <c r="AA264" s="7">
        <v>3.61</v>
      </c>
      <c r="AB264" s="7">
        <v>3.46</v>
      </c>
      <c r="AC264" s="7">
        <v>10.49</v>
      </c>
      <c r="AD264" s="7">
        <v>3.3765000000000001</v>
      </c>
      <c r="AE264" s="7">
        <v>248</v>
      </c>
      <c r="AF264" s="7">
        <v>99.628</v>
      </c>
      <c r="AG264" s="7">
        <v>276.27999999999997</v>
      </c>
      <c r="AH264" s="7">
        <v>6.0335000000000001</v>
      </c>
      <c r="AI264" s="7">
        <v>9.1850000000000005</v>
      </c>
      <c r="AJ264" s="7">
        <v>39.496000000000002</v>
      </c>
      <c r="AK264" s="7">
        <v>0</v>
      </c>
      <c r="AL264" s="7">
        <v>56.045999999999999</v>
      </c>
      <c r="AM264" s="7" t="s">
        <v>37</v>
      </c>
      <c r="AN264" s="9">
        <v>5.8884400000000004E-10</v>
      </c>
      <c r="AO264" s="7" t="s">
        <v>37</v>
      </c>
      <c r="AP264" s="7">
        <v>1.0555979800375E-4</v>
      </c>
      <c r="AQ264" s="7">
        <v>0</v>
      </c>
      <c r="AR264" s="7">
        <v>0</v>
      </c>
      <c r="AS264"/>
    </row>
    <row r="265" spans="1:45" ht="19.5" customHeight="1" x14ac:dyDescent="0.3">
      <c r="A265" s="7" t="s">
        <v>522</v>
      </c>
      <c r="B265" s="7" t="s">
        <v>2092</v>
      </c>
      <c r="C265" s="7">
        <v>77.2</v>
      </c>
      <c r="D265" s="7">
        <v>30567.128287073901</v>
      </c>
      <c r="E265" s="7">
        <v>140</v>
      </c>
      <c r="F265" s="7">
        <v>29.862068965517199</v>
      </c>
      <c r="G265" s="7" t="s">
        <v>523</v>
      </c>
      <c r="H265" s="7" t="s">
        <v>524</v>
      </c>
      <c r="I265" s="7" t="s">
        <v>525</v>
      </c>
      <c r="J265" s="8" t="s">
        <v>526</v>
      </c>
      <c r="K265" s="7" t="s">
        <v>527</v>
      </c>
      <c r="L265" s="7">
        <v>337.41899999999902</v>
      </c>
      <c r="M265" s="7" t="s">
        <v>37</v>
      </c>
      <c r="N265" s="7" t="s">
        <v>37</v>
      </c>
      <c r="O265" s="7" t="s">
        <v>37</v>
      </c>
      <c r="P265" s="7" t="s">
        <v>37</v>
      </c>
      <c r="Q265" s="7" t="s">
        <v>37</v>
      </c>
      <c r="R265" s="7" t="s">
        <v>37</v>
      </c>
      <c r="S265" s="7" t="s">
        <v>37</v>
      </c>
      <c r="T265" s="7" t="s">
        <v>37</v>
      </c>
      <c r="U265" s="7">
        <v>491.83850000000001</v>
      </c>
      <c r="V265" s="7">
        <v>1.1924999999999999</v>
      </c>
      <c r="W265" s="7">
        <v>250.40799999999999</v>
      </c>
      <c r="X265" s="9">
        <v>1.6982436524617499E-9</v>
      </c>
      <c r="Y265" s="7">
        <v>1.641</v>
      </c>
      <c r="Z265" s="7">
        <v>11.91</v>
      </c>
      <c r="AA265" s="7">
        <v>3.61</v>
      </c>
      <c r="AB265" s="7">
        <v>3.46</v>
      </c>
      <c r="AC265" s="7">
        <v>10.49</v>
      </c>
      <c r="AD265" s="7">
        <v>3.3765000000000001</v>
      </c>
      <c r="AE265" s="7">
        <v>248</v>
      </c>
      <c r="AF265" s="7">
        <v>99.628</v>
      </c>
      <c r="AG265" s="7">
        <v>276.27999999999997</v>
      </c>
      <c r="AH265" s="7">
        <v>6.0335000000000001</v>
      </c>
      <c r="AI265" s="7">
        <v>9.1850000000000005</v>
      </c>
      <c r="AJ265" s="7">
        <v>39.496000000000002</v>
      </c>
      <c r="AK265" s="7">
        <v>0</v>
      </c>
      <c r="AL265" s="7">
        <v>56.045999999999999</v>
      </c>
      <c r="AM265" s="7" t="s">
        <v>37</v>
      </c>
      <c r="AN265" s="9">
        <v>5.8884400000000004E-10</v>
      </c>
      <c r="AO265" s="7" t="s">
        <v>37</v>
      </c>
      <c r="AP265" s="7">
        <v>1.0555979800375E-4</v>
      </c>
      <c r="AQ265" s="7">
        <v>0</v>
      </c>
      <c r="AR265" s="7">
        <v>0</v>
      </c>
      <c r="AS265"/>
    </row>
    <row r="266" spans="1:45" ht="19.5" customHeight="1" x14ac:dyDescent="0.3">
      <c r="A266" s="7" t="s">
        <v>922</v>
      </c>
      <c r="B266" s="7" t="s">
        <v>2080</v>
      </c>
      <c r="C266" s="7">
        <v>24</v>
      </c>
      <c r="D266" s="7">
        <v>32603.906599710201</v>
      </c>
      <c r="E266" s="7">
        <v>5426</v>
      </c>
      <c r="F266" s="7">
        <v>59.274480712166202</v>
      </c>
      <c r="G266" s="7" t="s">
        <v>923</v>
      </c>
      <c r="H266" s="7" t="s">
        <v>924</v>
      </c>
      <c r="I266" s="7" t="s">
        <v>925</v>
      </c>
      <c r="J266" s="8" t="s">
        <v>926</v>
      </c>
      <c r="K266" s="7" t="s">
        <v>843</v>
      </c>
      <c r="L266" s="7">
        <v>345.42</v>
      </c>
      <c r="M266" s="7" t="s">
        <v>37</v>
      </c>
      <c r="N266" s="7" t="s">
        <v>37</v>
      </c>
      <c r="O266" s="7">
        <v>25906.25</v>
      </c>
      <c r="P266" s="7">
        <v>2070</v>
      </c>
      <c r="Q266" s="7" t="s">
        <v>37</v>
      </c>
      <c r="R266" s="7" t="s">
        <v>37</v>
      </c>
      <c r="S266" s="7">
        <v>9991.2649999999994</v>
      </c>
      <c r="T266" s="7">
        <v>499.81700000000001</v>
      </c>
      <c r="U266" s="7">
        <v>579.37</v>
      </c>
      <c r="V266" s="7">
        <v>1.4384999999999999</v>
      </c>
      <c r="W266" s="7">
        <v>306.65800000000002</v>
      </c>
      <c r="X266" s="9">
        <v>3.54813389233575E-6</v>
      </c>
      <c r="Y266" s="7">
        <v>1.669</v>
      </c>
      <c r="Z266" s="7">
        <v>10.81</v>
      </c>
      <c r="AA266" s="7">
        <v>2.23</v>
      </c>
      <c r="AB266" s="7">
        <v>2.23</v>
      </c>
      <c r="AC266" s="7">
        <v>10.29</v>
      </c>
      <c r="AD266" s="7">
        <v>2.23</v>
      </c>
      <c r="AE266" s="7">
        <v>156</v>
      </c>
      <c r="AF266" s="7">
        <v>94.021000000000001</v>
      </c>
      <c r="AG266" s="7">
        <v>251.869</v>
      </c>
      <c r="AH266" s="7" t="s">
        <v>37</v>
      </c>
      <c r="AI266" s="7">
        <v>2.41</v>
      </c>
      <c r="AJ266" s="7">
        <v>37.273000000000003</v>
      </c>
      <c r="AK266" s="7">
        <v>0</v>
      </c>
      <c r="AL266" s="7">
        <v>75.182000000000002</v>
      </c>
      <c r="AM266" s="7" t="s">
        <v>37</v>
      </c>
      <c r="AN266" s="9">
        <v>3.7065523815045899E-8</v>
      </c>
      <c r="AO266" s="7" t="s">
        <v>37</v>
      </c>
      <c r="AP266" s="7">
        <v>3.1E-4</v>
      </c>
      <c r="AQ266" s="7">
        <v>1</v>
      </c>
      <c r="AR266" s="7">
        <v>0</v>
      </c>
      <c r="AS266"/>
    </row>
    <row r="267" spans="1:45" ht="19.5" customHeight="1" x14ac:dyDescent="0.3">
      <c r="A267" s="7" t="s">
        <v>1160</v>
      </c>
      <c r="B267" s="7" t="s">
        <v>2080</v>
      </c>
      <c r="C267" s="7">
        <v>5</v>
      </c>
      <c r="D267" s="7">
        <v>14760.1091149486</v>
      </c>
      <c r="E267" s="7">
        <v>769</v>
      </c>
      <c r="F267" s="7">
        <v>10.5430894308943</v>
      </c>
      <c r="G267" s="7" t="s">
        <v>1161</v>
      </c>
      <c r="H267" s="7" t="s">
        <v>1162</v>
      </c>
      <c r="I267" s="7" t="s">
        <v>1163</v>
      </c>
      <c r="J267" s="8" t="s">
        <v>1164</v>
      </c>
      <c r="K267" s="7" t="s">
        <v>1165</v>
      </c>
      <c r="L267" s="7">
        <v>293.37</v>
      </c>
      <c r="M267" s="7" t="s">
        <v>37</v>
      </c>
      <c r="N267" s="7" t="s">
        <v>37</v>
      </c>
      <c r="O267" s="7" t="s">
        <v>37</v>
      </c>
      <c r="P267" s="7" t="s">
        <v>37</v>
      </c>
      <c r="Q267" s="7" t="s">
        <v>37</v>
      </c>
      <c r="R267" s="7" t="s">
        <v>37</v>
      </c>
      <c r="S267" s="7" t="s">
        <v>37</v>
      </c>
      <c r="T267" s="7" t="s">
        <v>37</v>
      </c>
      <c r="U267" s="7">
        <v>451.44650000000001</v>
      </c>
      <c r="V267" s="7">
        <v>1.2515000000000001</v>
      </c>
      <c r="W267" s="7">
        <v>267.30549999999999</v>
      </c>
      <c r="X267" s="9">
        <v>7.41310241300916E-9</v>
      </c>
      <c r="Y267" s="7">
        <v>1.6779999999999999</v>
      </c>
      <c r="Z267" s="7">
        <v>14.73</v>
      </c>
      <c r="AA267" s="7">
        <v>2.93</v>
      </c>
      <c r="AB267" s="7">
        <v>3.49</v>
      </c>
      <c r="AC267" s="7">
        <v>10.7</v>
      </c>
      <c r="AD267" s="7">
        <v>3.1435</v>
      </c>
      <c r="AE267" s="7">
        <v>231</v>
      </c>
      <c r="AF267" s="7">
        <v>86.751999999999995</v>
      </c>
      <c r="AG267" s="7">
        <v>230.142</v>
      </c>
      <c r="AH267" s="7" t="s">
        <v>37</v>
      </c>
      <c r="AI267" s="7">
        <v>5.93</v>
      </c>
      <c r="AJ267" s="7">
        <v>34.390999999999998</v>
      </c>
      <c r="AK267" s="7">
        <v>0</v>
      </c>
      <c r="AL267" s="7">
        <v>48.963999999999999</v>
      </c>
      <c r="AM267" s="7">
        <v>131.155</v>
      </c>
      <c r="AN267" s="9">
        <v>1.58489319246111E-8</v>
      </c>
      <c r="AO267" s="7" t="s">
        <v>37</v>
      </c>
      <c r="AP267" s="9">
        <v>6.6039999999999998E-5</v>
      </c>
      <c r="AQ267" s="7">
        <v>1</v>
      </c>
      <c r="AR267" s="7">
        <v>0</v>
      </c>
      <c r="AS267"/>
    </row>
    <row r="268" spans="1:45" ht="19.5" customHeight="1" x14ac:dyDescent="0.3">
      <c r="A268" s="7" t="s">
        <v>534</v>
      </c>
      <c r="B268" s="7" t="s">
        <v>2080</v>
      </c>
      <c r="C268" s="7">
        <v>25</v>
      </c>
      <c r="D268" s="7">
        <v>143222.66253620901</v>
      </c>
      <c r="E268" s="7">
        <v>239</v>
      </c>
      <c r="F268" s="7">
        <v>5.6216216216216202</v>
      </c>
      <c r="G268" s="7" t="s">
        <v>535</v>
      </c>
      <c r="H268" s="7" t="s">
        <v>536</v>
      </c>
      <c r="I268" s="7" t="s">
        <v>537</v>
      </c>
      <c r="J268" s="8" t="s">
        <v>538</v>
      </c>
      <c r="K268" s="7" t="s">
        <v>539</v>
      </c>
      <c r="L268" s="7">
        <v>312.41000000000003</v>
      </c>
      <c r="M268" s="7" t="s">
        <v>37</v>
      </c>
      <c r="N268" s="7" t="s">
        <v>37</v>
      </c>
      <c r="O268" s="7" t="s">
        <v>37</v>
      </c>
      <c r="P268" s="7" t="s">
        <v>37</v>
      </c>
      <c r="Q268" s="7" t="s">
        <v>37</v>
      </c>
      <c r="R268" s="7" t="s">
        <v>37</v>
      </c>
      <c r="S268" s="7">
        <v>150.15</v>
      </c>
      <c r="T268" s="7">
        <v>0.03</v>
      </c>
      <c r="U268" s="7">
        <v>415.61500000000001</v>
      </c>
      <c r="V268" s="7">
        <v>1.0845</v>
      </c>
      <c r="W268" s="7">
        <v>235.3895</v>
      </c>
      <c r="X268" s="9">
        <v>1.8620871366628699E-11</v>
      </c>
      <c r="Y268" s="7">
        <v>1.502</v>
      </c>
      <c r="Z268" s="7">
        <v>12.23</v>
      </c>
      <c r="AA268" s="7">
        <v>-4.05</v>
      </c>
      <c r="AB268" s="7">
        <v>-2.17</v>
      </c>
      <c r="AC268" s="7">
        <v>9.24</v>
      </c>
      <c r="AD268" s="7">
        <v>1.1950000000000001</v>
      </c>
      <c r="AE268" s="7">
        <v>126</v>
      </c>
      <c r="AF268" s="7">
        <v>84.667000000000002</v>
      </c>
      <c r="AG268" s="7">
        <v>286.76100000000002</v>
      </c>
      <c r="AH268" s="7" t="s">
        <v>37</v>
      </c>
      <c r="AI268" s="7">
        <v>8.66</v>
      </c>
      <c r="AJ268" s="7">
        <v>33.564999999999998</v>
      </c>
      <c r="AK268" s="7">
        <v>1</v>
      </c>
      <c r="AL268" s="7">
        <v>41.116</v>
      </c>
      <c r="AM268" s="7" t="s">
        <v>37</v>
      </c>
      <c r="AN268" s="9">
        <v>3.9799999999999999E-9</v>
      </c>
      <c r="AO268" s="7" t="s">
        <v>37</v>
      </c>
      <c r="AP268" s="7">
        <v>3.8125849999999998E-3</v>
      </c>
      <c r="AQ268" s="7">
        <v>1</v>
      </c>
      <c r="AR268" s="7">
        <v>1</v>
      </c>
      <c r="AS268"/>
    </row>
    <row r="269" spans="1:45" ht="19.5" customHeight="1" x14ac:dyDescent="0.3">
      <c r="A269" s="7" t="s">
        <v>140</v>
      </c>
      <c r="B269" s="7" t="s">
        <v>2080</v>
      </c>
      <c r="C269" s="7">
        <v>5</v>
      </c>
      <c r="D269" s="7">
        <v>1352589.5439017499</v>
      </c>
      <c r="E269" s="7">
        <v>347</v>
      </c>
      <c r="F269" s="7">
        <v>35.465306122449</v>
      </c>
      <c r="G269" s="7" t="s">
        <v>141</v>
      </c>
      <c r="H269" s="7" t="s">
        <v>142</v>
      </c>
      <c r="I269" s="7" t="s">
        <v>143</v>
      </c>
      <c r="J269" s="8" t="s">
        <v>144</v>
      </c>
      <c r="K269" s="7" t="s">
        <v>145</v>
      </c>
      <c r="L269" s="7">
        <v>252.273</v>
      </c>
      <c r="M269" s="7" t="s">
        <v>37</v>
      </c>
      <c r="N269" s="7" t="s">
        <v>37</v>
      </c>
      <c r="O269" s="7" t="s">
        <v>37</v>
      </c>
      <c r="P269" s="7" t="s">
        <v>37</v>
      </c>
      <c r="Q269" s="7" t="s">
        <v>37</v>
      </c>
      <c r="R269" s="7" t="s">
        <v>37</v>
      </c>
      <c r="S269" s="7" t="s">
        <v>37</v>
      </c>
      <c r="T269" s="7" t="s">
        <v>37</v>
      </c>
      <c r="U269" s="7">
        <v>414.60899999999998</v>
      </c>
      <c r="V269" s="7">
        <v>1.3085</v>
      </c>
      <c r="W269" s="7">
        <v>220.36349999999999</v>
      </c>
      <c r="X269" s="9">
        <v>1.0232929922807499E-8</v>
      </c>
      <c r="Y269" s="7">
        <v>1.6619999999999999</v>
      </c>
      <c r="Z269" s="7">
        <v>12.44</v>
      </c>
      <c r="AA269" s="7">
        <v>2.17</v>
      </c>
      <c r="AB269" s="7">
        <v>2.17</v>
      </c>
      <c r="AC269" s="7">
        <v>11.28</v>
      </c>
      <c r="AD269" s="7">
        <v>1.6519999999999999</v>
      </c>
      <c r="AE269" s="7">
        <v>215.5</v>
      </c>
      <c r="AF269" s="7">
        <v>70.212000000000003</v>
      </c>
      <c r="AG269" s="7">
        <v>189.79</v>
      </c>
      <c r="AH269" s="7">
        <v>12.36</v>
      </c>
      <c r="AI269" s="7" t="s">
        <v>37</v>
      </c>
      <c r="AJ269" s="7">
        <v>27.834</v>
      </c>
      <c r="AK269" s="7">
        <v>1</v>
      </c>
      <c r="AL269" s="7">
        <v>61.268000000000001</v>
      </c>
      <c r="AM269" s="7" t="s">
        <v>37</v>
      </c>
      <c r="AN269" s="9">
        <v>9.28966E-9</v>
      </c>
      <c r="AO269" s="7">
        <v>34.355800000000002</v>
      </c>
      <c r="AP269" s="7">
        <v>4.3621989999999999E-4</v>
      </c>
      <c r="AQ269" s="7">
        <v>1</v>
      </c>
      <c r="AR269" s="7">
        <v>1</v>
      </c>
      <c r="AS269"/>
    </row>
    <row r="270" spans="1:45" ht="19.5" customHeight="1" x14ac:dyDescent="0.3">
      <c r="A270" s="7" t="s">
        <v>1238</v>
      </c>
      <c r="B270" s="7" t="s">
        <v>2080</v>
      </c>
      <c r="C270" s="7">
        <v>0.1</v>
      </c>
      <c r="D270" s="7">
        <v>10331.3502263023</v>
      </c>
      <c r="E270" s="7">
        <v>702</v>
      </c>
      <c r="F270" s="7">
        <v>59.138401559454202</v>
      </c>
      <c r="G270" s="7" t="s">
        <v>1239</v>
      </c>
      <c r="H270" s="7" t="s">
        <v>1240</v>
      </c>
      <c r="I270" s="7" t="s">
        <v>1241</v>
      </c>
      <c r="J270" s="8" t="s">
        <v>1242</v>
      </c>
      <c r="K270" s="7" t="s">
        <v>1243</v>
      </c>
      <c r="L270" s="7">
        <v>357.49400000000003</v>
      </c>
      <c r="M270" s="7" t="s">
        <v>37</v>
      </c>
      <c r="N270" s="7" t="s">
        <v>37</v>
      </c>
      <c r="O270" s="7" t="s">
        <v>37</v>
      </c>
      <c r="P270" s="7" t="s">
        <v>37</v>
      </c>
      <c r="Q270" s="7" t="s">
        <v>37</v>
      </c>
      <c r="R270" s="7" t="s">
        <v>37</v>
      </c>
      <c r="S270" s="7" t="s">
        <v>37</v>
      </c>
      <c r="T270" s="7" t="s">
        <v>37</v>
      </c>
      <c r="U270" s="7">
        <v>455.18150000000003</v>
      </c>
      <c r="V270" s="7">
        <v>1.081</v>
      </c>
      <c r="W270" s="7">
        <v>247.8135</v>
      </c>
      <c r="X270" s="9">
        <v>2.2387211385683401E-8</v>
      </c>
      <c r="Y270" s="7">
        <v>1.546</v>
      </c>
      <c r="Z270" s="7">
        <v>22.98</v>
      </c>
      <c r="AA270" s="7">
        <v>-0.17</v>
      </c>
      <c r="AB270" s="7">
        <v>1.71</v>
      </c>
      <c r="AC270" s="7">
        <v>10.95</v>
      </c>
      <c r="AD270" s="7">
        <v>4.2895000000000003</v>
      </c>
      <c r="AE270" s="7">
        <v>129.5</v>
      </c>
      <c r="AF270" s="7">
        <v>103.14100000000001</v>
      </c>
      <c r="AG270" s="7">
        <v>325.71899999999999</v>
      </c>
      <c r="AH270" s="7" t="s">
        <v>37</v>
      </c>
      <c r="AI270" s="7">
        <v>8.75</v>
      </c>
      <c r="AJ270" s="7">
        <v>40.887999999999998</v>
      </c>
      <c r="AK270" s="7">
        <v>0</v>
      </c>
      <c r="AL270" s="7">
        <v>43.881999999999998</v>
      </c>
      <c r="AM270" s="7">
        <v>156.10499999999999</v>
      </c>
      <c r="AN270" s="9">
        <v>6.1659499999999997E-8</v>
      </c>
      <c r="AO270" s="7" t="s">
        <v>37</v>
      </c>
      <c r="AP270" s="9">
        <v>5.4063849999999999E-5</v>
      </c>
      <c r="AQ270" s="7">
        <v>1</v>
      </c>
      <c r="AR270" s="7">
        <v>1</v>
      </c>
      <c r="AS270"/>
    </row>
    <row r="271" spans="1:45" ht="19.5" customHeight="1" x14ac:dyDescent="0.3">
      <c r="A271" s="7" t="s">
        <v>767</v>
      </c>
      <c r="B271" s="7" t="s">
        <v>2080</v>
      </c>
      <c r="C271" s="7">
        <v>59</v>
      </c>
      <c r="D271" s="7">
        <v>49552.636523207802</v>
      </c>
      <c r="E271" s="7">
        <v>1253</v>
      </c>
      <c r="F271" s="7">
        <v>18.9862068965517</v>
      </c>
      <c r="G271" s="7" t="s">
        <v>768</v>
      </c>
      <c r="H271" s="7" t="s">
        <v>769</v>
      </c>
      <c r="I271" s="7" t="s">
        <v>770</v>
      </c>
      <c r="J271" s="8" t="s">
        <v>771</v>
      </c>
      <c r="K271" s="7" t="s">
        <v>772</v>
      </c>
      <c r="L271" s="7">
        <v>315.36900000000003</v>
      </c>
      <c r="M271" s="7" t="s">
        <v>37</v>
      </c>
      <c r="N271" s="7" t="s">
        <v>37</v>
      </c>
      <c r="O271" s="7" t="s">
        <v>37</v>
      </c>
      <c r="P271" s="7" t="s">
        <v>37</v>
      </c>
      <c r="Q271" s="7" t="s">
        <v>37</v>
      </c>
      <c r="R271" s="7" t="s">
        <v>37</v>
      </c>
      <c r="S271" s="7" t="s">
        <v>37</v>
      </c>
      <c r="T271" s="7" t="s">
        <v>37</v>
      </c>
      <c r="U271" s="7">
        <v>431.04349999999999</v>
      </c>
      <c r="V271" s="7">
        <v>1.3815</v>
      </c>
      <c r="W271" s="7">
        <v>246.672</v>
      </c>
      <c r="X271" s="9">
        <v>3.54813389233576E-11</v>
      </c>
      <c r="Y271" s="7">
        <v>1.659</v>
      </c>
      <c r="Z271" s="7">
        <v>7.9</v>
      </c>
      <c r="AA271" s="7">
        <v>-0.87</v>
      </c>
      <c r="AB271" s="7">
        <v>0.82</v>
      </c>
      <c r="AC271" s="7">
        <v>11.02</v>
      </c>
      <c r="AD271" s="7">
        <v>1.077</v>
      </c>
      <c r="AE271" s="7">
        <v>219</v>
      </c>
      <c r="AF271" s="7">
        <v>83.117000000000004</v>
      </c>
      <c r="AG271" s="7">
        <v>225.37299999999999</v>
      </c>
      <c r="AH271" s="7" t="s">
        <v>37</v>
      </c>
      <c r="AI271" s="7">
        <v>7.61</v>
      </c>
      <c r="AJ271" s="7">
        <v>32.950000000000003</v>
      </c>
      <c r="AK271" s="7">
        <v>0</v>
      </c>
      <c r="AL271" s="7">
        <v>64.546000000000006</v>
      </c>
      <c r="AM271" s="7" t="s">
        <v>37</v>
      </c>
      <c r="AN271" s="9">
        <v>1.7458200000000001E-9</v>
      </c>
      <c r="AO271" s="7" t="s">
        <v>37</v>
      </c>
      <c r="AP271" s="7">
        <v>4.5834200000000004E-3</v>
      </c>
      <c r="AQ271" s="7">
        <v>1</v>
      </c>
      <c r="AR271" s="7">
        <v>0</v>
      </c>
      <c r="AS271"/>
    </row>
    <row r="272" spans="1:45" ht="19.5" customHeight="1" x14ac:dyDescent="0.3">
      <c r="A272" s="7" t="s">
        <v>272</v>
      </c>
      <c r="B272" s="7" t="s">
        <v>2091</v>
      </c>
      <c r="C272" s="7">
        <v>100</v>
      </c>
      <c r="D272" s="7">
        <v>131818.181818182</v>
      </c>
      <c r="E272" s="7">
        <v>10</v>
      </c>
      <c r="F272" s="7">
        <v>15.15</v>
      </c>
      <c r="G272" s="7" t="s">
        <v>273</v>
      </c>
      <c r="H272" s="7" t="s">
        <v>274</v>
      </c>
      <c r="I272" s="7" t="s">
        <v>275</v>
      </c>
      <c r="J272" s="8" t="s">
        <v>276</v>
      </c>
      <c r="K272" s="7" t="s">
        <v>277</v>
      </c>
      <c r="L272" s="7">
        <v>260.38099999999901</v>
      </c>
      <c r="M272" s="7" t="s">
        <v>37</v>
      </c>
      <c r="N272" s="7" t="s">
        <v>37</v>
      </c>
      <c r="O272" s="7" t="s">
        <v>37</v>
      </c>
      <c r="P272" s="7" t="s">
        <v>37</v>
      </c>
      <c r="Q272" s="7" t="s">
        <v>37</v>
      </c>
      <c r="R272" s="7" t="s">
        <v>37</v>
      </c>
      <c r="S272" s="7" t="s">
        <v>37</v>
      </c>
      <c r="T272" s="7" t="s">
        <v>37</v>
      </c>
      <c r="U272" s="7">
        <v>431.875</v>
      </c>
      <c r="V272" s="7">
        <v>1.097</v>
      </c>
      <c r="W272" s="7">
        <v>217.87450000000001</v>
      </c>
      <c r="X272" s="9">
        <v>2.5703957827688602E-10</v>
      </c>
      <c r="Y272" s="7">
        <v>1.5589999999999999</v>
      </c>
      <c r="Z272" s="7">
        <v>13.06</v>
      </c>
      <c r="AA272" s="7">
        <v>2.98</v>
      </c>
      <c r="AB272" s="7">
        <v>2.93</v>
      </c>
      <c r="AC272" s="7">
        <v>8.4</v>
      </c>
      <c r="AD272" s="7">
        <v>4.0785</v>
      </c>
      <c r="AE272" s="7">
        <v>182</v>
      </c>
      <c r="AF272" s="7">
        <v>77.751999999999995</v>
      </c>
      <c r="AG272" s="7">
        <v>240.89099999999999</v>
      </c>
      <c r="AH272" s="7">
        <v>9.4450000000000003</v>
      </c>
      <c r="AI272" s="7">
        <v>11.928000000000001</v>
      </c>
      <c r="AJ272" s="7">
        <v>30.823</v>
      </c>
      <c r="AK272" s="7">
        <v>0</v>
      </c>
      <c r="AL272" s="7">
        <v>34.781999999999996</v>
      </c>
      <c r="AM272" s="7" t="s">
        <v>37</v>
      </c>
      <c r="AN272" s="9">
        <v>2.57039578276886E-7</v>
      </c>
      <c r="AO272" s="7" t="s">
        <v>37</v>
      </c>
      <c r="AP272" s="7">
        <v>2.6086950000000001E-4</v>
      </c>
      <c r="AQ272" s="7">
        <v>1</v>
      </c>
      <c r="AR272" s="7">
        <v>0</v>
      </c>
      <c r="AS272"/>
    </row>
    <row r="273" spans="1:45" ht="19.5" customHeight="1" x14ac:dyDescent="0.3">
      <c r="A273" s="7" t="s">
        <v>272</v>
      </c>
      <c r="B273" s="7" t="s">
        <v>2083</v>
      </c>
      <c r="C273" s="7">
        <v>100</v>
      </c>
      <c r="D273" s="9">
        <v>1000000</v>
      </c>
      <c r="E273" s="7">
        <v>1</v>
      </c>
      <c r="F273" s="7">
        <v>30</v>
      </c>
      <c r="G273" s="7" t="s">
        <v>273</v>
      </c>
      <c r="H273" s="7" t="s">
        <v>274</v>
      </c>
      <c r="I273" s="7" t="s">
        <v>275</v>
      </c>
      <c r="J273" s="8" t="s">
        <v>276</v>
      </c>
      <c r="K273" s="7" t="s">
        <v>277</v>
      </c>
      <c r="L273" s="7">
        <v>260.38099999999901</v>
      </c>
      <c r="M273" s="7" t="s">
        <v>37</v>
      </c>
      <c r="N273" s="7" t="s">
        <v>37</v>
      </c>
      <c r="O273" s="7" t="s">
        <v>37</v>
      </c>
      <c r="P273" s="7" t="s">
        <v>37</v>
      </c>
      <c r="Q273" s="7" t="s">
        <v>37</v>
      </c>
      <c r="R273" s="7" t="s">
        <v>37</v>
      </c>
      <c r="S273" s="7" t="s">
        <v>37</v>
      </c>
      <c r="T273" s="7" t="s">
        <v>37</v>
      </c>
      <c r="U273" s="7">
        <v>431.875</v>
      </c>
      <c r="V273" s="7">
        <v>1.097</v>
      </c>
      <c r="W273" s="7">
        <v>217.87450000000001</v>
      </c>
      <c r="X273" s="9">
        <v>2.5703957827688602E-10</v>
      </c>
      <c r="Y273" s="7">
        <v>1.5589999999999999</v>
      </c>
      <c r="Z273" s="7">
        <v>13.06</v>
      </c>
      <c r="AA273" s="7">
        <v>2.98</v>
      </c>
      <c r="AB273" s="7">
        <v>2.93</v>
      </c>
      <c r="AC273" s="7">
        <v>8.4</v>
      </c>
      <c r="AD273" s="7">
        <v>4.0785</v>
      </c>
      <c r="AE273" s="7">
        <v>182</v>
      </c>
      <c r="AF273" s="7">
        <v>77.751999999999995</v>
      </c>
      <c r="AG273" s="7">
        <v>240.89099999999999</v>
      </c>
      <c r="AH273" s="7">
        <v>9.4450000000000003</v>
      </c>
      <c r="AI273" s="7">
        <v>11.928000000000001</v>
      </c>
      <c r="AJ273" s="7">
        <v>30.823</v>
      </c>
      <c r="AK273" s="7">
        <v>0</v>
      </c>
      <c r="AL273" s="7">
        <v>34.781999999999996</v>
      </c>
      <c r="AM273" s="7" t="s">
        <v>37</v>
      </c>
      <c r="AN273" s="9">
        <v>2.57039578276886E-7</v>
      </c>
      <c r="AO273" s="7" t="s">
        <v>37</v>
      </c>
      <c r="AP273" s="7">
        <v>2.6086950000000001E-4</v>
      </c>
      <c r="AQ273" s="7">
        <v>1</v>
      </c>
      <c r="AR273" s="7">
        <v>0</v>
      </c>
      <c r="AS273"/>
    </row>
    <row r="274" spans="1:45" ht="19.5" customHeight="1" x14ac:dyDescent="0.3">
      <c r="A274" s="7" t="s">
        <v>796</v>
      </c>
      <c r="B274" s="7" t="s">
        <v>2079</v>
      </c>
      <c r="C274" s="7">
        <v>18</v>
      </c>
      <c r="D274" s="7">
        <v>53080.350725887598</v>
      </c>
      <c r="E274" s="7">
        <v>11</v>
      </c>
      <c r="F274" s="7">
        <v>60.285961871750402</v>
      </c>
      <c r="G274" s="7" t="s">
        <v>797</v>
      </c>
      <c r="H274" s="7" t="s">
        <v>798</v>
      </c>
      <c r="I274" s="7" t="s">
        <v>799</v>
      </c>
      <c r="J274" s="8" t="s">
        <v>800</v>
      </c>
      <c r="K274" s="7" t="s">
        <v>801</v>
      </c>
      <c r="L274" s="7">
        <v>383.37</v>
      </c>
      <c r="M274" s="7" t="s">
        <v>37</v>
      </c>
      <c r="N274" s="7" t="s">
        <v>37</v>
      </c>
      <c r="O274" s="7" t="s">
        <v>37</v>
      </c>
      <c r="P274" s="7" t="s">
        <v>37</v>
      </c>
      <c r="Q274" s="7" t="s">
        <v>37</v>
      </c>
      <c r="R274" s="7" t="s">
        <v>37</v>
      </c>
      <c r="S274" s="7" t="s">
        <v>37</v>
      </c>
      <c r="T274" s="7" t="s">
        <v>37</v>
      </c>
      <c r="U274" s="7">
        <v>575.1</v>
      </c>
      <c r="V274" s="7">
        <v>1.5615000000000001</v>
      </c>
      <c r="W274" s="7">
        <v>314.15649999999999</v>
      </c>
      <c r="X274" s="9">
        <v>5.37031796370253E-10</v>
      </c>
      <c r="Y274" s="7">
        <v>1.643</v>
      </c>
      <c r="Z274" s="7">
        <v>11.09</v>
      </c>
      <c r="AA274" s="7">
        <v>1.45</v>
      </c>
      <c r="AB274" s="7">
        <v>1.45</v>
      </c>
      <c r="AC274" s="7">
        <v>10.31</v>
      </c>
      <c r="AD274" s="7">
        <v>1.573</v>
      </c>
      <c r="AE274" s="7">
        <v>139</v>
      </c>
      <c r="AF274" s="7">
        <v>91.356999999999999</v>
      </c>
      <c r="AG274" s="7">
        <v>252.74799999999999</v>
      </c>
      <c r="AH274" s="7" t="s">
        <v>37</v>
      </c>
      <c r="AI274" s="7">
        <v>0.36</v>
      </c>
      <c r="AJ274" s="7">
        <v>36.216999999999999</v>
      </c>
      <c r="AK274" s="7">
        <v>0</v>
      </c>
      <c r="AL274" s="7">
        <v>73.472999999999999</v>
      </c>
      <c r="AM274" s="7" t="s">
        <v>37</v>
      </c>
      <c r="AN274" s="9">
        <v>3.8812402681434598E-8</v>
      </c>
      <c r="AO274" s="7" t="s">
        <v>37</v>
      </c>
      <c r="AP274" s="7">
        <v>2.6738849999999998E-4</v>
      </c>
      <c r="AQ274" s="7">
        <v>1</v>
      </c>
      <c r="AR274" s="7">
        <v>0</v>
      </c>
      <c r="AS274"/>
    </row>
    <row r="275" spans="1:45" ht="19.5" customHeight="1" x14ac:dyDescent="0.3">
      <c r="A275" s="7" t="s">
        <v>796</v>
      </c>
      <c r="B275" s="7" t="s">
        <v>2080</v>
      </c>
      <c r="C275" s="7">
        <v>18</v>
      </c>
      <c r="D275" s="7">
        <v>44842.805394138501</v>
      </c>
      <c r="E275" s="7">
        <v>2526</v>
      </c>
      <c r="F275" s="7">
        <v>60.285961871750402</v>
      </c>
      <c r="G275" s="7" t="s">
        <v>797</v>
      </c>
      <c r="H275" s="7" t="s">
        <v>798</v>
      </c>
      <c r="I275" s="7" t="s">
        <v>799</v>
      </c>
      <c r="J275" s="8" t="s">
        <v>800</v>
      </c>
      <c r="K275" s="7" t="s">
        <v>801</v>
      </c>
      <c r="L275" s="7">
        <v>383.37</v>
      </c>
      <c r="M275" s="7" t="s">
        <v>37</v>
      </c>
      <c r="N275" s="7" t="s">
        <v>37</v>
      </c>
      <c r="O275" s="7" t="s">
        <v>37</v>
      </c>
      <c r="P275" s="7" t="s">
        <v>37</v>
      </c>
      <c r="Q275" s="7" t="s">
        <v>37</v>
      </c>
      <c r="R275" s="7" t="s">
        <v>37</v>
      </c>
      <c r="S275" s="7" t="s">
        <v>37</v>
      </c>
      <c r="T275" s="7" t="s">
        <v>37</v>
      </c>
      <c r="U275" s="7">
        <v>575.1</v>
      </c>
      <c r="V275" s="7">
        <v>1.5615000000000001</v>
      </c>
      <c r="W275" s="7">
        <v>314.15649999999999</v>
      </c>
      <c r="X275" s="9">
        <v>5.37031796370253E-10</v>
      </c>
      <c r="Y275" s="7">
        <v>1.643</v>
      </c>
      <c r="Z275" s="7">
        <v>11.09</v>
      </c>
      <c r="AA275" s="7">
        <v>1.45</v>
      </c>
      <c r="AB275" s="7">
        <v>1.45</v>
      </c>
      <c r="AC275" s="7">
        <v>10.31</v>
      </c>
      <c r="AD275" s="7">
        <v>1.573</v>
      </c>
      <c r="AE275" s="7">
        <v>139</v>
      </c>
      <c r="AF275" s="7">
        <v>91.356999999999999</v>
      </c>
      <c r="AG275" s="7">
        <v>252.74799999999999</v>
      </c>
      <c r="AH275" s="7" t="s">
        <v>37</v>
      </c>
      <c r="AI275" s="7">
        <v>0.36</v>
      </c>
      <c r="AJ275" s="7">
        <v>36.216999999999999</v>
      </c>
      <c r="AK275" s="7">
        <v>0</v>
      </c>
      <c r="AL275" s="7">
        <v>73.472999999999999</v>
      </c>
      <c r="AM275" s="7" t="s">
        <v>37</v>
      </c>
      <c r="AN275" s="9">
        <v>3.8812402681434598E-8</v>
      </c>
      <c r="AO275" s="7" t="s">
        <v>37</v>
      </c>
      <c r="AP275" s="7">
        <v>2.6738849999999998E-4</v>
      </c>
      <c r="AQ275" s="7">
        <v>1</v>
      </c>
      <c r="AR275" s="7">
        <v>0</v>
      </c>
      <c r="AS275"/>
    </row>
    <row r="276" spans="1:45" ht="19.5" customHeight="1" x14ac:dyDescent="0.3">
      <c r="A276" s="7" t="s">
        <v>1048</v>
      </c>
      <c r="B276" s="7" t="s">
        <v>2080</v>
      </c>
      <c r="C276" s="7">
        <v>3</v>
      </c>
      <c r="D276" s="7">
        <v>22718.0002224524</v>
      </c>
      <c r="E276" s="7">
        <v>814</v>
      </c>
      <c r="F276" s="7">
        <v>58.873840445269003</v>
      </c>
      <c r="G276" s="7" t="s">
        <v>1049</v>
      </c>
      <c r="H276" s="7" t="s">
        <v>1050</v>
      </c>
      <c r="I276" s="7" t="s">
        <v>1051</v>
      </c>
      <c r="J276" s="8" t="s">
        <v>1052</v>
      </c>
      <c r="K276" s="7" t="s">
        <v>1053</v>
      </c>
      <c r="L276" s="7">
        <v>329.37099999999901</v>
      </c>
      <c r="M276" s="7">
        <v>580</v>
      </c>
      <c r="N276" s="7" t="s">
        <v>37</v>
      </c>
      <c r="O276" s="7" t="s">
        <v>37</v>
      </c>
      <c r="P276" s="7" t="s">
        <v>37</v>
      </c>
      <c r="Q276" s="7">
        <v>880</v>
      </c>
      <c r="R276" s="7" t="s">
        <v>37</v>
      </c>
      <c r="S276" s="7">
        <v>4293.71</v>
      </c>
      <c r="T276" s="7">
        <v>3.2937099999999999</v>
      </c>
      <c r="U276" s="7">
        <v>430.49400000000003</v>
      </c>
      <c r="V276" s="7">
        <v>1.2430000000000001</v>
      </c>
      <c r="W276" s="7">
        <v>233.10300000000001</v>
      </c>
      <c r="X276" s="9">
        <v>4.2657951880159302E-7</v>
      </c>
      <c r="Y276" s="7">
        <v>1.5609999999999999</v>
      </c>
      <c r="Z276" s="7">
        <v>17.46</v>
      </c>
      <c r="AA276" s="7">
        <v>-1.38</v>
      </c>
      <c r="AB276" s="7">
        <v>0.52</v>
      </c>
      <c r="AC276" s="7">
        <v>10.8</v>
      </c>
      <c r="AD276" s="7">
        <v>3.7845</v>
      </c>
      <c r="AE276" s="7">
        <v>130</v>
      </c>
      <c r="AF276" s="7">
        <v>87.948999999999998</v>
      </c>
      <c r="AG276" s="7">
        <v>271.517</v>
      </c>
      <c r="AH276" s="7" t="s">
        <v>37</v>
      </c>
      <c r="AI276" s="7">
        <v>10.25</v>
      </c>
      <c r="AJ276" s="7">
        <v>34.866</v>
      </c>
      <c r="AK276" s="7">
        <v>0</v>
      </c>
      <c r="AL276" s="7">
        <v>45.512999999999998</v>
      </c>
      <c r="AM276" s="7">
        <v>147.155</v>
      </c>
      <c r="AN276" s="9">
        <v>2.3899999999999999E-8</v>
      </c>
      <c r="AO276" s="7">
        <v>46.881300000000003</v>
      </c>
      <c r="AP276" s="9">
        <v>6.4882900000000002E-5</v>
      </c>
      <c r="AQ276" s="7">
        <v>1</v>
      </c>
      <c r="AR276" s="7">
        <v>0</v>
      </c>
      <c r="AS276"/>
    </row>
    <row r="277" spans="1:45" ht="19.5" customHeight="1" x14ac:dyDescent="0.3">
      <c r="A277" s="7" t="s">
        <v>158</v>
      </c>
      <c r="B277" s="7" t="s">
        <v>2080</v>
      </c>
      <c r="C277" s="7">
        <v>100</v>
      </c>
      <c r="D277" s="7">
        <v>1224984.57647939</v>
      </c>
      <c r="E277" s="7">
        <v>90</v>
      </c>
      <c r="F277" s="7">
        <v>22.946428571428601</v>
      </c>
      <c r="G277" s="7" t="s">
        <v>159</v>
      </c>
      <c r="H277" s="7" t="s">
        <v>160</v>
      </c>
      <c r="I277" s="7" t="s">
        <v>161</v>
      </c>
      <c r="J277" s="8" t="s">
        <v>162</v>
      </c>
      <c r="K277" s="7" t="s">
        <v>163</v>
      </c>
      <c r="L277" s="7">
        <v>388.48</v>
      </c>
      <c r="M277" s="7" t="s">
        <v>37</v>
      </c>
      <c r="N277" s="7" t="s">
        <v>37</v>
      </c>
      <c r="O277" s="7" t="s">
        <v>37</v>
      </c>
      <c r="P277" s="7" t="s">
        <v>37</v>
      </c>
      <c r="Q277" s="7" t="s">
        <v>37</v>
      </c>
      <c r="R277" s="7" t="s">
        <v>37</v>
      </c>
      <c r="S277" s="7" t="s">
        <v>37</v>
      </c>
      <c r="T277" s="7" t="s">
        <v>37</v>
      </c>
      <c r="U277" s="7">
        <v>580.94849999999997</v>
      </c>
      <c r="V277" s="7">
        <v>1.4515</v>
      </c>
      <c r="W277" s="7">
        <v>359.68099999999998</v>
      </c>
      <c r="X277" s="9">
        <v>1.38038426460289E-11</v>
      </c>
      <c r="Y277" s="7">
        <v>1.651</v>
      </c>
      <c r="Z277" s="7">
        <v>6.89</v>
      </c>
      <c r="AA277" s="7">
        <v>-0.63</v>
      </c>
      <c r="AB277" s="7">
        <v>-2.14</v>
      </c>
      <c r="AC277" s="7">
        <v>9.49</v>
      </c>
      <c r="AD277" s="7">
        <v>0.73250000000000004</v>
      </c>
      <c r="AE277" s="7">
        <v>201.76</v>
      </c>
      <c r="AF277" s="7">
        <v>88.087000000000003</v>
      </c>
      <c r="AG277" s="7">
        <v>241.23699999999999</v>
      </c>
      <c r="AH277" s="7">
        <v>5.68</v>
      </c>
      <c r="AI277" s="7" t="s">
        <v>37</v>
      </c>
      <c r="AJ277" s="7">
        <v>34.92</v>
      </c>
      <c r="AK277" s="7">
        <v>0</v>
      </c>
      <c r="AL277" s="7">
        <v>69.034000000000006</v>
      </c>
      <c r="AM277" s="7">
        <v>155.49700000000001</v>
      </c>
      <c r="AN277" s="9">
        <v>1.5885499999999999E-10</v>
      </c>
      <c r="AO277" s="7" t="s">
        <v>37</v>
      </c>
      <c r="AP277" s="7">
        <v>1.33808245950974E-2</v>
      </c>
      <c r="AQ277" s="7">
        <v>1</v>
      </c>
      <c r="AR277" s="7" t="s">
        <v>37</v>
      </c>
      <c r="AS277"/>
    </row>
    <row r="278" spans="1:45" ht="19.5" customHeight="1" x14ac:dyDescent="0.3">
      <c r="A278" s="7" t="s">
        <v>2203</v>
      </c>
      <c r="B278" s="7" t="s">
        <v>2083</v>
      </c>
      <c r="C278" s="7">
        <v>100</v>
      </c>
      <c r="D278" s="7">
        <v>77399267.399267405</v>
      </c>
      <c r="E278" s="7">
        <v>15</v>
      </c>
      <c r="F278" s="7">
        <v>8.6666666666666696</v>
      </c>
      <c r="G278" s="7" t="s">
        <v>2204</v>
      </c>
      <c r="H278" s="7" t="s">
        <v>2205</v>
      </c>
      <c r="I278" s="7" t="s">
        <v>2206</v>
      </c>
      <c r="J278" s="8" t="s">
        <v>2207</v>
      </c>
      <c r="K278" s="7" t="s">
        <v>2208</v>
      </c>
      <c r="L278" s="7">
        <v>391.29</v>
      </c>
      <c r="M278" s="7" t="s">
        <v>37</v>
      </c>
      <c r="N278" s="7" t="s">
        <v>37</v>
      </c>
      <c r="O278" s="7">
        <v>585</v>
      </c>
      <c r="P278" s="7">
        <v>48.5</v>
      </c>
      <c r="Q278" s="7" t="s">
        <v>37</v>
      </c>
      <c r="R278" s="7" t="s">
        <v>37</v>
      </c>
      <c r="S278" s="7" t="s">
        <v>37</v>
      </c>
      <c r="T278" s="7" t="s">
        <v>37</v>
      </c>
      <c r="U278" s="7">
        <v>200</v>
      </c>
      <c r="V278" s="7">
        <v>1.254</v>
      </c>
      <c r="W278" s="7">
        <v>225.54400000000001</v>
      </c>
      <c r="X278" s="9">
        <v>2.3988329190194901E-8</v>
      </c>
      <c r="Y278" s="7" t="s">
        <v>37</v>
      </c>
      <c r="Z278" s="7">
        <v>27.9</v>
      </c>
      <c r="AA278" s="7">
        <v>6.5</v>
      </c>
      <c r="AB278" s="7">
        <v>6.5</v>
      </c>
      <c r="AC278" s="7">
        <v>11.68</v>
      </c>
      <c r="AD278" s="7">
        <v>6.5</v>
      </c>
      <c r="AE278" s="7">
        <v>34</v>
      </c>
      <c r="AF278" s="7" t="s">
        <v>37</v>
      </c>
      <c r="AG278" s="7" t="s">
        <v>37</v>
      </c>
      <c r="AH278" s="7" t="s">
        <v>37</v>
      </c>
      <c r="AI278" s="7" t="s">
        <v>37</v>
      </c>
      <c r="AJ278" s="7" t="s">
        <v>37</v>
      </c>
      <c r="AK278" s="7">
        <v>0</v>
      </c>
      <c r="AL278" s="7" t="s">
        <v>37</v>
      </c>
      <c r="AM278" s="7">
        <v>132.95599999999999</v>
      </c>
      <c r="AN278" s="9">
        <v>2.18022E-8</v>
      </c>
      <c r="AO278" s="7" t="s">
        <v>37</v>
      </c>
      <c r="AP278" s="9">
        <v>5.1286099999999998E-7</v>
      </c>
      <c r="AQ278" s="7">
        <v>1</v>
      </c>
      <c r="AR278" s="7">
        <v>1</v>
      </c>
      <c r="AS278"/>
    </row>
    <row r="279" spans="1:45" ht="19.5" customHeight="1" x14ac:dyDescent="0.3">
      <c r="A279" s="7" t="s">
        <v>278</v>
      </c>
      <c r="B279" s="7" t="s">
        <v>2080</v>
      </c>
      <c r="C279" s="7">
        <v>65</v>
      </c>
      <c r="D279" s="7">
        <v>489567.73091578</v>
      </c>
      <c r="E279" s="7">
        <v>43</v>
      </c>
      <c r="F279" s="7">
        <v>3.47058823529412</v>
      </c>
      <c r="G279" s="7" t="s">
        <v>279</v>
      </c>
      <c r="H279" s="7" t="s">
        <v>280</v>
      </c>
      <c r="I279" s="7" t="s">
        <v>281</v>
      </c>
      <c r="J279" s="8" t="s">
        <v>282</v>
      </c>
      <c r="K279" s="7" t="s">
        <v>283</v>
      </c>
      <c r="L279" s="7">
        <v>213.244</v>
      </c>
      <c r="M279" s="7" t="s">
        <v>37</v>
      </c>
      <c r="N279" s="7" t="s">
        <v>37</v>
      </c>
      <c r="O279" s="7" t="s">
        <v>37</v>
      </c>
      <c r="P279" s="7" t="s">
        <v>37</v>
      </c>
      <c r="Q279" s="7" t="s">
        <v>37</v>
      </c>
      <c r="R279" s="7" t="s">
        <v>37</v>
      </c>
      <c r="S279" s="7" t="s">
        <v>37</v>
      </c>
      <c r="T279" s="7" t="s">
        <v>37</v>
      </c>
      <c r="U279" s="7">
        <v>381.19450000000001</v>
      </c>
      <c r="V279" s="7">
        <v>1.2935000000000001</v>
      </c>
      <c r="W279" s="7">
        <v>226.11699999999999</v>
      </c>
      <c r="X279" s="9">
        <v>2.2387211385683401E-8</v>
      </c>
      <c r="Y279" s="7">
        <v>1.6879999999999999</v>
      </c>
      <c r="Z279" s="7">
        <v>10.06</v>
      </c>
      <c r="AA279" s="7">
        <v>1.4</v>
      </c>
      <c r="AB279" s="7">
        <v>1.92</v>
      </c>
      <c r="AC279" s="7">
        <v>8.19</v>
      </c>
      <c r="AD279" s="7">
        <v>2.7364999999999999</v>
      </c>
      <c r="AE279" s="7">
        <v>139</v>
      </c>
      <c r="AF279" s="7">
        <v>61.131999999999998</v>
      </c>
      <c r="AG279" s="7">
        <v>160.37299999999999</v>
      </c>
      <c r="AH279" s="7" t="s">
        <v>37</v>
      </c>
      <c r="AI279" s="7">
        <v>5.88</v>
      </c>
      <c r="AJ279" s="7">
        <v>24.234999999999999</v>
      </c>
      <c r="AK279" s="7">
        <v>0</v>
      </c>
      <c r="AL279" s="7">
        <v>58.26</v>
      </c>
      <c r="AM279" s="7" t="s">
        <v>37</v>
      </c>
      <c r="AN279" s="9">
        <v>2.7542287033381601E-9</v>
      </c>
      <c r="AO279" s="7" t="s">
        <v>37</v>
      </c>
      <c r="AP279" s="7">
        <v>1.12201845430196E-4</v>
      </c>
      <c r="AQ279" s="7">
        <v>0</v>
      </c>
      <c r="AR279" s="7">
        <v>0</v>
      </c>
      <c r="AS279"/>
    </row>
    <row r="280" spans="1:45" ht="19.5" customHeight="1" x14ac:dyDescent="0.3">
      <c r="A280" s="7" t="s">
        <v>874</v>
      </c>
      <c r="B280" s="7" t="s">
        <v>2080</v>
      </c>
      <c r="C280" s="7">
        <v>80</v>
      </c>
      <c r="D280" s="7">
        <v>37730.683547055</v>
      </c>
      <c r="E280" s="7">
        <v>215</v>
      </c>
      <c r="F280" s="7">
        <v>29.860465116279101</v>
      </c>
      <c r="G280" s="7" t="s">
        <v>875</v>
      </c>
      <c r="H280" s="7" t="s">
        <v>876</v>
      </c>
      <c r="I280" s="7" t="s">
        <v>877</v>
      </c>
      <c r="J280" s="8" t="s">
        <v>878</v>
      </c>
      <c r="K280" s="7" t="s">
        <v>879</v>
      </c>
      <c r="L280" s="7">
        <v>149.236999999999</v>
      </c>
      <c r="M280" s="7" t="s">
        <v>37</v>
      </c>
      <c r="N280" s="7" t="s">
        <v>37</v>
      </c>
      <c r="O280" s="7" t="s">
        <v>37</v>
      </c>
      <c r="P280" s="7" t="s">
        <v>37</v>
      </c>
      <c r="Q280" s="7" t="s">
        <v>37</v>
      </c>
      <c r="R280" s="7" t="s">
        <v>37</v>
      </c>
      <c r="S280" s="7" t="s">
        <v>37</v>
      </c>
      <c r="T280" s="7" t="s">
        <v>37</v>
      </c>
      <c r="U280" s="7">
        <v>205</v>
      </c>
      <c r="V280" s="7">
        <v>0.9345</v>
      </c>
      <c r="W280" s="7">
        <v>90.906000000000006</v>
      </c>
      <c r="X280" s="9">
        <v>6.7608297539198197E-6</v>
      </c>
      <c r="Y280" s="7">
        <v>1.5229999999999999</v>
      </c>
      <c r="Z280" s="7">
        <v>9.67</v>
      </c>
      <c r="AA280" s="7">
        <v>-2.37</v>
      </c>
      <c r="AB280" s="7">
        <v>-0.47</v>
      </c>
      <c r="AC280" s="7">
        <v>7.63</v>
      </c>
      <c r="AD280" s="7">
        <v>1.9</v>
      </c>
      <c r="AE280" s="7">
        <v>205</v>
      </c>
      <c r="AF280" s="7">
        <v>48.569000000000003</v>
      </c>
      <c r="AG280" s="7">
        <v>158.99</v>
      </c>
      <c r="AH280" s="7" t="s">
        <v>37</v>
      </c>
      <c r="AI280" s="7">
        <v>10.130000000000001</v>
      </c>
      <c r="AJ280" s="7">
        <v>19.254000000000001</v>
      </c>
      <c r="AK280" s="7">
        <v>0</v>
      </c>
      <c r="AL280" s="7">
        <v>33.354500000000002</v>
      </c>
      <c r="AM280" s="7">
        <v>145.62700000000001</v>
      </c>
      <c r="AN280" s="7">
        <v>0.199526231496888</v>
      </c>
      <c r="AO280" s="7">
        <v>3.3806500000000002</v>
      </c>
      <c r="AP280" s="7">
        <v>2.4181649999999999E-2</v>
      </c>
      <c r="AQ280" s="7">
        <v>1</v>
      </c>
      <c r="AR280" s="7">
        <v>0</v>
      </c>
      <c r="AS280"/>
    </row>
    <row r="281" spans="1:45" ht="19.5" customHeight="1" x14ac:dyDescent="0.3">
      <c r="A281" s="7" t="s">
        <v>343</v>
      </c>
      <c r="B281" s="7" t="s">
        <v>2080</v>
      </c>
      <c r="C281" s="7">
        <v>30</v>
      </c>
      <c r="D281" s="7">
        <v>287620.25876889302</v>
      </c>
      <c r="E281" s="7">
        <v>181</v>
      </c>
      <c r="F281" s="7">
        <v>51.447368421052602</v>
      </c>
      <c r="G281" s="7" t="s">
        <v>344</v>
      </c>
      <c r="H281" s="7" t="s">
        <v>345</v>
      </c>
      <c r="I281" s="7" t="s">
        <v>346</v>
      </c>
      <c r="J281" s="8" t="s">
        <v>347</v>
      </c>
      <c r="K281" s="7" t="s">
        <v>145</v>
      </c>
      <c r="L281" s="7">
        <v>252.273</v>
      </c>
      <c r="M281" s="7">
        <v>62581.8</v>
      </c>
      <c r="N281" s="7" t="s">
        <v>37</v>
      </c>
      <c r="O281" s="7">
        <v>71000</v>
      </c>
      <c r="P281" s="7">
        <v>6306.81</v>
      </c>
      <c r="Q281" s="7" t="s">
        <v>37</v>
      </c>
      <c r="R281" s="7" t="s">
        <v>37</v>
      </c>
      <c r="S281" s="7">
        <v>75000</v>
      </c>
      <c r="T281" s="7">
        <v>10</v>
      </c>
      <c r="U281" s="7">
        <v>417.74700000000001</v>
      </c>
      <c r="V281" s="7">
        <v>1.2755000000000001</v>
      </c>
      <c r="W281" s="7">
        <v>203.48400000000001</v>
      </c>
      <c r="X281" s="9">
        <v>6.3095734448019404E-10</v>
      </c>
      <c r="Y281" s="7">
        <v>1.61</v>
      </c>
      <c r="Z281" s="7">
        <v>10.64</v>
      </c>
      <c r="AA281" s="7">
        <v>2.36</v>
      </c>
      <c r="AB281" s="7">
        <v>2.36</v>
      </c>
      <c r="AC281" s="7">
        <v>9.33</v>
      </c>
      <c r="AD281" s="7">
        <v>2.3650000000000002</v>
      </c>
      <c r="AE281" s="7">
        <v>296</v>
      </c>
      <c r="AF281" s="7">
        <v>69.585999999999999</v>
      </c>
      <c r="AG281" s="7">
        <v>200.57599999999999</v>
      </c>
      <c r="AH281" s="7">
        <v>9.59</v>
      </c>
      <c r="AI281" s="7" t="s">
        <v>37</v>
      </c>
      <c r="AJ281" s="7">
        <v>27.585999999999999</v>
      </c>
      <c r="AK281" s="7">
        <v>0</v>
      </c>
      <c r="AL281" s="7">
        <v>49.231000000000002</v>
      </c>
      <c r="AM281" s="7" t="s">
        <v>37</v>
      </c>
      <c r="AN281" s="9">
        <v>2.8063882846481401E-9</v>
      </c>
      <c r="AO281" s="7" t="s">
        <v>37</v>
      </c>
      <c r="AP281" s="7">
        <v>1.02329E-4</v>
      </c>
      <c r="AQ281" s="7">
        <v>0</v>
      </c>
      <c r="AR281" s="7">
        <v>1</v>
      </c>
      <c r="AS281"/>
    </row>
    <row r="282" spans="1:45" ht="19.5" customHeight="1" x14ac:dyDescent="0.3">
      <c r="A282" s="7" t="s">
        <v>933</v>
      </c>
      <c r="B282" s="7" t="s">
        <v>2080</v>
      </c>
      <c r="C282" s="7">
        <v>30</v>
      </c>
      <c r="D282" s="7">
        <v>31584.091501255702</v>
      </c>
      <c r="E282" s="7">
        <v>383</v>
      </c>
      <c r="F282" s="7">
        <v>65.051118210862597</v>
      </c>
      <c r="G282" s="7" t="s">
        <v>934</v>
      </c>
      <c r="H282" s="7" t="s">
        <v>935</v>
      </c>
      <c r="I282" s="7" t="s">
        <v>936</v>
      </c>
      <c r="J282" s="8" t="s">
        <v>937</v>
      </c>
      <c r="K282" s="7" t="s">
        <v>938</v>
      </c>
      <c r="L282" s="7">
        <v>356.44</v>
      </c>
      <c r="M282" s="7" t="s">
        <v>37</v>
      </c>
      <c r="N282" s="7" t="s">
        <v>37</v>
      </c>
      <c r="O282" s="7" t="s">
        <v>37</v>
      </c>
      <c r="P282" s="7" t="s">
        <v>37</v>
      </c>
      <c r="Q282" s="7" t="s">
        <v>37</v>
      </c>
      <c r="R282" s="7" t="s">
        <v>37</v>
      </c>
      <c r="S282" s="7" t="s">
        <v>37</v>
      </c>
      <c r="T282" s="7" t="s">
        <v>37</v>
      </c>
      <c r="U282" s="7">
        <v>575.44799999999998</v>
      </c>
      <c r="V282" s="7">
        <v>1.292</v>
      </c>
      <c r="W282" s="7">
        <v>283.238</v>
      </c>
      <c r="X282" s="9">
        <v>1.62181009735893E-9</v>
      </c>
      <c r="Y282" s="7">
        <v>1.611</v>
      </c>
      <c r="Z282" s="7">
        <v>16.41</v>
      </c>
      <c r="AA282" s="7">
        <v>2.76</v>
      </c>
      <c r="AB282" s="7">
        <v>2.71</v>
      </c>
      <c r="AC282" s="7">
        <v>10.28</v>
      </c>
      <c r="AD282" s="7">
        <v>2.8504999999999998</v>
      </c>
      <c r="AE282" s="7">
        <v>183.5</v>
      </c>
      <c r="AF282" s="7">
        <v>98.212000000000003</v>
      </c>
      <c r="AG282" s="7">
        <v>282.77499999999998</v>
      </c>
      <c r="AH282" s="7">
        <v>8.2799999999999994</v>
      </c>
      <c r="AI282" s="7" t="s">
        <v>37</v>
      </c>
      <c r="AJ282" s="7">
        <v>38.933999999999997</v>
      </c>
      <c r="AK282" s="7">
        <v>0</v>
      </c>
      <c r="AL282" s="7">
        <v>54.921999999999997</v>
      </c>
      <c r="AM282" s="7" t="s">
        <v>37</v>
      </c>
      <c r="AN282" s="9">
        <v>2.7101900000000001E-9</v>
      </c>
      <c r="AO282" s="7" t="s">
        <v>37</v>
      </c>
      <c r="AP282" s="9">
        <v>6.1744814412958307E-5</v>
      </c>
      <c r="AQ282" s="7">
        <v>1</v>
      </c>
      <c r="AR282" s="7">
        <v>0</v>
      </c>
      <c r="AS282"/>
    </row>
    <row r="283" spans="1:45" ht="19.5" customHeight="1" x14ac:dyDescent="0.3">
      <c r="A283" s="7" t="s">
        <v>1078</v>
      </c>
      <c r="B283" s="7" t="s">
        <v>2080</v>
      </c>
      <c r="C283" s="7">
        <v>5</v>
      </c>
      <c r="D283" s="7">
        <v>20000</v>
      </c>
      <c r="E283" s="7">
        <v>23</v>
      </c>
      <c r="F283" s="7">
        <v>32.6086956521739</v>
      </c>
      <c r="G283" s="7" t="s">
        <v>1079</v>
      </c>
      <c r="H283" s="7" t="s">
        <v>1080</v>
      </c>
      <c r="I283" s="7" t="s">
        <v>1081</v>
      </c>
      <c r="J283" s="8" t="s">
        <v>1082</v>
      </c>
      <c r="K283" s="7" t="s">
        <v>1083</v>
      </c>
      <c r="L283" s="7">
        <v>331.35</v>
      </c>
      <c r="M283" s="7" t="s">
        <v>37</v>
      </c>
      <c r="N283" s="7" t="s">
        <v>37</v>
      </c>
      <c r="O283" s="7" t="s">
        <v>37</v>
      </c>
      <c r="P283" s="7" t="s">
        <v>37</v>
      </c>
      <c r="Q283" s="7" t="s">
        <v>37</v>
      </c>
      <c r="R283" s="7" t="s">
        <v>37</v>
      </c>
      <c r="S283" s="7" t="s">
        <v>37</v>
      </c>
      <c r="T283" s="7" t="s">
        <v>37</v>
      </c>
      <c r="U283" s="7">
        <v>463.2</v>
      </c>
      <c r="V283" s="7">
        <v>1.53</v>
      </c>
      <c r="W283" s="7">
        <v>312.98099999999999</v>
      </c>
      <c r="X283" s="9">
        <v>6.0255958607435701E-10</v>
      </c>
      <c r="Y283" s="7">
        <v>1.714</v>
      </c>
      <c r="Z283" s="7">
        <v>11.02</v>
      </c>
      <c r="AA283" s="7">
        <v>1.22</v>
      </c>
      <c r="AB283" s="7">
        <v>-0.66</v>
      </c>
      <c r="AC283" s="7">
        <v>10.47</v>
      </c>
      <c r="AD283" s="7">
        <v>2.52</v>
      </c>
      <c r="AE283" s="7">
        <v>199</v>
      </c>
      <c r="AF283" s="7">
        <v>83.191999999999993</v>
      </c>
      <c r="AG283" s="7">
        <v>211.97</v>
      </c>
      <c r="AH283" s="7">
        <v>4.22</v>
      </c>
      <c r="AI283" s="7" t="s">
        <v>37</v>
      </c>
      <c r="AJ283" s="7">
        <v>32.979999999999997</v>
      </c>
      <c r="AK283" s="7">
        <v>0</v>
      </c>
      <c r="AL283" s="7">
        <v>82.369</v>
      </c>
      <c r="AM283" s="7" t="s">
        <v>37</v>
      </c>
      <c r="AN283" s="9">
        <v>1.5251854578425199E-10</v>
      </c>
      <c r="AO283" s="7" t="s">
        <v>37</v>
      </c>
      <c r="AP283" s="9">
        <v>6.9294800000000006E-5</v>
      </c>
      <c r="AQ283" s="7">
        <v>0</v>
      </c>
      <c r="AR283" s="7">
        <v>1</v>
      </c>
      <c r="AS283"/>
    </row>
    <row r="284" spans="1:45" ht="19.5" customHeight="1" x14ac:dyDescent="0.3">
      <c r="A284" s="7" t="s">
        <v>1482</v>
      </c>
      <c r="B284" s="7" t="s">
        <v>2080</v>
      </c>
      <c r="C284" s="7">
        <v>94</v>
      </c>
      <c r="D284" s="7">
        <v>2611.0080395794698</v>
      </c>
      <c r="E284" s="7">
        <v>77</v>
      </c>
      <c r="F284" s="7">
        <v>48.461538461538503</v>
      </c>
      <c r="G284" s="7" t="s">
        <v>1483</v>
      </c>
      <c r="H284" s="7" t="s">
        <v>1484</v>
      </c>
      <c r="I284" s="7" t="s">
        <v>1485</v>
      </c>
      <c r="J284" s="8" t="s">
        <v>1486</v>
      </c>
      <c r="K284" s="7" t="s">
        <v>1487</v>
      </c>
      <c r="L284" s="7">
        <v>421.46800000000002</v>
      </c>
      <c r="M284" s="7" t="s">
        <v>37</v>
      </c>
      <c r="N284" s="7" t="s">
        <v>37</v>
      </c>
      <c r="O284" s="7" t="s">
        <v>37</v>
      </c>
      <c r="P284" s="7" t="s">
        <v>37</v>
      </c>
      <c r="Q284" s="7" t="s">
        <v>37</v>
      </c>
      <c r="R284" s="7" t="s">
        <v>37</v>
      </c>
      <c r="S284" s="7" t="s">
        <v>37</v>
      </c>
      <c r="T284" s="7" t="s">
        <v>37</v>
      </c>
      <c r="U284" s="7">
        <v>584.75649999999996</v>
      </c>
      <c r="V284" s="7">
        <v>1.38</v>
      </c>
      <c r="W284" s="7">
        <v>347.39299999999997</v>
      </c>
      <c r="X284" s="9">
        <v>1.6218100973589302E-11</v>
      </c>
      <c r="Y284" s="7">
        <v>1.68</v>
      </c>
      <c r="Z284" s="7">
        <v>17.829999999999998</v>
      </c>
      <c r="AA284" s="7">
        <v>4.3099999999999996</v>
      </c>
      <c r="AB284" s="7">
        <v>4.3</v>
      </c>
      <c r="AC284" s="7">
        <v>9.41</v>
      </c>
      <c r="AD284" s="7">
        <v>3.9064999999999999</v>
      </c>
      <c r="AE284" s="7">
        <v>226.934</v>
      </c>
      <c r="AF284" s="7">
        <v>117.77200000000001</v>
      </c>
      <c r="AG284" s="7">
        <v>311.65100000000001</v>
      </c>
      <c r="AH284" s="7">
        <v>8.93</v>
      </c>
      <c r="AI284" s="7" t="s">
        <v>37</v>
      </c>
      <c r="AJ284" s="7">
        <v>46.688000000000002</v>
      </c>
      <c r="AK284" s="7">
        <v>0</v>
      </c>
      <c r="AL284" s="7">
        <v>64.762</v>
      </c>
      <c r="AM284" s="7" t="s">
        <v>37</v>
      </c>
      <c r="AN284" s="9">
        <v>4.8528899999999999E-12</v>
      </c>
      <c r="AO284" s="7" t="s">
        <v>37</v>
      </c>
      <c r="AP284" s="9">
        <v>1.74471078069601E-5</v>
      </c>
      <c r="AQ284" s="7">
        <v>1</v>
      </c>
      <c r="AR284" s="7">
        <v>0</v>
      </c>
      <c r="AS284"/>
    </row>
    <row r="285" spans="1:45" ht="19.5" customHeight="1" x14ac:dyDescent="0.3">
      <c r="A285" s="7" t="s">
        <v>2209</v>
      </c>
      <c r="B285" s="7" t="s">
        <v>2083</v>
      </c>
      <c r="C285" s="7">
        <v>100</v>
      </c>
      <c r="D285" s="7">
        <v>125000</v>
      </c>
      <c r="E285" s="7">
        <v>3</v>
      </c>
      <c r="F285" s="7">
        <v>14</v>
      </c>
      <c r="G285" s="7" t="s">
        <v>2210</v>
      </c>
      <c r="H285" s="7" t="s">
        <v>2211</v>
      </c>
      <c r="I285" s="7" t="s">
        <v>2212</v>
      </c>
      <c r="J285" s="8" t="s">
        <v>2213</v>
      </c>
      <c r="K285" s="7" t="s">
        <v>2214</v>
      </c>
      <c r="L285" s="7">
        <v>414.41</v>
      </c>
      <c r="M285" s="7" t="s">
        <v>37</v>
      </c>
      <c r="N285" s="7" t="s">
        <v>37</v>
      </c>
      <c r="O285" s="7" t="s">
        <v>37</v>
      </c>
      <c r="P285" s="7" t="s">
        <v>37</v>
      </c>
      <c r="Q285" s="7" t="s">
        <v>37</v>
      </c>
      <c r="R285" s="7" t="s">
        <v>37</v>
      </c>
      <c r="S285" s="7" t="s">
        <v>37</v>
      </c>
      <c r="T285" s="7" t="s">
        <v>37</v>
      </c>
      <c r="U285" s="7">
        <v>505.79899999999998</v>
      </c>
      <c r="V285" s="7">
        <v>1.3759999999999999</v>
      </c>
      <c r="W285" s="7">
        <v>265.54899999999998</v>
      </c>
      <c r="X285" s="9">
        <v>2.5703957827688601E-11</v>
      </c>
      <c r="Y285" s="7" t="s">
        <v>37</v>
      </c>
      <c r="Z285" s="7">
        <v>14.64</v>
      </c>
      <c r="AA285" s="7">
        <v>2</v>
      </c>
      <c r="AB285" s="7">
        <v>2.0099999999999998</v>
      </c>
      <c r="AC285" s="7">
        <v>10.29</v>
      </c>
      <c r="AD285" s="7">
        <v>2.0099999999999998</v>
      </c>
      <c r="AE285" s="7">
        <v>194.5</v>
      </c>
      <c r="AF285" s="7" t="s">
        <v>37</v>
      </c>
      <c r="AG285" s="7" t="s">
        <v>37</v>
      </c>
      <c r="AH285" s="7" t="s">
        <v>37</v>
      </c>
      <c r="AI285" s="7">
        <v>3.88</v>
      </c>
      <c r="AJ285" s="7" t="s">
        <v>37</v>
      </c>
      <c r="AK285" s="7">
        <v>0</v>
      </c>
      <c r="AL285" s="7" t="s">
        <v>37</v>
      </c>
      <c r="AM285" s="7" t="s">
        <v>37</v>
      </c>
      <c r="AN285" s="9">
        <v>8.8243694129582803E-11</v>
      </c>
      <c r="AO285" s="7" t="s">
        <v>37</v>
      </c>
      <c r="AP285" s="7">
        <v>2.3988329190194899E-4</v>
      </c>
      <c r="AQ285" s="7">
        <v>1</v>
      </c>
      <c r="AR285" s="7">
        <v>1</v>
      </c>
      <c r="AS285"/>
    </row>
    <row r="286" spans="1:45" ht="19.5" customHeight="1" x14ac:dyDescent="0.3">
      <c r="A286" s="7" t="s">
        <v>2215</v>
      </c>
      <c r="B286" s="7" t="s">
        <v>2083</v>
      </c>
      <c r="C286" s="7">
        <v>100</v>
      </c>
      <c r="D286" s="9">
        <v>20000000</v>
      </c>
      <c r="E286" s="7">
        <v>2</v>
      </c>
      <c r="F286" s="7">
        <v>30</v>
      </c>
      <c r="G286" s="7" t="s">
        <v>2216</v>
      </c>
      <c r="H286" s="7" t="s">
        <v>37</v>
      </c>
      <c r="I286" s="7" t="s">
        <v>37</v>
      </c>
      <c r="J286" s="7" t="s">
        <v>37</v>
      </c>
      <c r="K286" s="7" t="s">
        <v>37</v>
      </c>
      <c r="L286" s="7" t="s">
        <v>37</v>
      </c>
      <c r="M286" s="7" t="s">
        <v>37</v>
      </c>
      <c r="N286" s="7" t="s">
        <v>37</v>
      </c>
      <c r="O286" s="7" t="s">
        <v>37</v>
      </c>
      <c r="P286" s="7" t="s">
        <v>37</v>
      </c>
      <c r="Q286" s="7" t="s">
        <v>37</v>
      </c>
      <c r="R286" s="7" t="s">
        <v>37</v>
      </c>
      <c r="S286" s="7" t="s">
        <v>37</v>
      </c>
      <c r="T286" s="7" t="s">
        <v>37</v>
      </c>
      <c r="U286" s="7" t="s">
        <v>37</v>
      </c>
      <c r="V286" s="7" t="s">
        <v>37</v>
      </c>
      <c r="W286" s="7" t="s">
        <v>37</v>
      </c>
      <c r="X286" s="7" t="s">
        <v>37</v>
      </c>
      <c r="Y286" s="7" t="s">
        <v>37</v>
      </c>
      <c r="Z286" s="7" t="s">
        <v>37</v>
      </c>
      <c r="AA286" s="7" t="s">
        <v>37</v>
      </c>
      <c r="AB286" s="7" t="s">
        <v>37</v>
      </c>
      <c r="AC286" s="7" t="s">
        <v>37</v>
      </c>
      <c r="AD286" s="7" t="s">
        <v>37</v>
      </c>
      <c r="AE286" s="7">
        <v>300</v>
      </c>
      <c r="AF286" s="7" t="s">
        <v>37</v>
      </c>
      <c r="AG286" s="7" t="s">
        <v>37</v>
      </c>
      <c r="AH286" s="7" t="s">
        <v>37</v>
      </c>
      <c r="AI286" s="7" t="s">
        <v>37</v>
      </c>
      <c r="AJ286" s="7" t="s">
        <v>37</v>
      </c>
      <c r="AK286" s="7" t="s">
        <v>37</v>
      </c>
      <c r="AL286" s="7" t="s">
        <v>37</v>
      </c>
      <c r="AM286" s="7" t="s">
        <v>37</v>
      </c>
      <c r="AN286" s="7" t="s">
        <v>37</v>
      </c>
      <c r="AO286" s="7" t="s">
        <v>37</v>
      </c>
      <c r="AP286" s="7" t="s">
        <v>37</v>
      </c>
      <c r="AQ286" s="7" t="s">
        <v>37</v>
      </c>
      <c r="AR286" s="7" t="s">
        <v>37</v>
      </c>
      <c r="AS286"/>
    </row>
    <row r="287" spans="1:45" ht="19.5" customHeight="1" x14ac:dyDescent="0.3">
      <c r="A287" s="7" t="s">
        <v>1599</v>
      </c>
      <c r="B287" s="7" t="s">
        <v>2080</v>
      </c>
      <c r="C287" s="7">
        <v>90</v>
      </c>
      <c r="D287" s="7">
        <v>975.53836623368204</v>
      </c>
      <c r="E287" s="7">
        <v>248</v>
      </c>
      <c r="F287" s="7">
        <v>55.448132780083</v>
      </c>
      <c r="G287" s="7" t="s">
        <v>1600</v>
      </c>
      <c r="H287" s="7" t="s">
        <v>1601</v>
      </c>
      <c r="I287" s="7" t="s">
        <v>1602</v>
      </c>
      <c r="J287" s="8" t="s">
        <v>1603</v>
      </c>
      <c r="K287" s="7" t="s">
        <v>1604</v>
      </c>
      <c r="L287" s="7">
        <v>211.33</v>
      </c>
      <c r="M287" s="7" t="s">
        <v>37</v>
      </c>
      <c r="N287" s="7" t="s">
        <v>37</v>
      </c>
      <c r="O287" s="7" t="s">
        <v>37</v>
      </c>
      <c r="P287" s="7" t="s">
        <v>37</v>
      </c>
      <c r="Q287" s="7" t="s">
        <v>37</v>
      </c>
      <c r="R287" s="7" t="s">
        <v>37</v>
      </c>
      <c r="S287" s="7" t="s">
        <v>37</v>
      </c>
      <c r="T287" s="7" t="s">
        <v>37</v>
      </c>
      <c r="U287" s="7">
        <v>336.09</v>
      </c>
      <c r="V287" s="7">
        <v>1.22</v>
      </c>
      <c r="W287" s="7">
        <v>184.738</v>
      </c>
      <c r="X287" s="9">
        <v>8.1283051616409995E-10</v>
      </c>
      <c r="Y287" s="7">
        <v>1.583</v>
      </c>
      <c r="Z287" s="7">
        <v>8.3699999999999992</v>
      </c>
      <c r="AA287" s="7">
        <v>-1.54</v>
      </c>
      <c r="AB287" s="7">
        <v>0.35</v>
      </c>
      <c r="AC287" s="7">
        <v>8.19</v>
      </c>
      <c r="AD287" s="7">
        <v>1.8145</v>
      </c>
      <c r="AE287" s="7">
        <v>170.88900000000001</v>
      </c>
      <c r="AF287" s="7">
        <v>60.301000000000002</v>
      </c>
      <c r="AG287" s="7">
        <v>180.47499999999999</v>
      </c>
      <c r="AH287" s="7" t="s">
        <v>37</v>
      </c>
      <c r="AI287" s="7">
        <v>9.08</v>
      </c>
      <c r="AJ287" s="7">
        <v>23.905000000000001</v>
      </c>
      <c r="AK287" s="7">
        <v>0</v>
      </c>
      <c r="AL287" s="7">
        <v>53.195999999999998</v>
      </c>
      <c r="AM287" s="7" t="s">
        <v>37</v>
      </c>
      <c r="AN287" s="9">
        <v>6.4899999999999997E-6</v>
      </c>
      <c r="AO287" s="7">
        <v>39.445700000000002</v>
      </c>
      <c r="AP287" s="7">
        <v>6.9677029999999996E-3</v>
      </c>
      <c r="AQ287" s="7">
        <v>1</v>
      </c>
      <c r="AR287" s="7">
        <v>0</v>
      </c>
      <c r="AS287"/>
    </row>
    <row r="288" spans="1:45" ht="19.5" customHeight="1" x14ac:dyDescent="0.3">
      <c r="A288" s="7" t="s">
        <v>892</v>
      </c>
      <c r="B288" s="7" t="s">
        <v>2080</v>
      </c>
      <c r="C288" s="7">
        <v>90</v>
      </c>
      <c r="D288" s="7">
        <v>35607.1398205605</v>
      </c>
      <c r="E288" s="7">
        <v>1723</v>
      </c>
      <c r="F288" s="7">
        <v>71.044679122664505</v>
      </c>
      <c r="G288" s="7" t="s">
        <v>893</v>
      </c>
      <c r="H288" s="7" t="s">
        <v>894</v>
      </c>
      <c r="I288" s="7" t="s">
        <v>895</v>
      </c>
      <c r="J288" s="8" t="s">
        <v>896</v>
      </c>
      <c r="K288" s="7" t="s">
        <v>897</v>
      </c>
      <c r="L288" s="7">
        <v>424.53399999999903</v>
      </c>
      <c r="M288" s="7" t="s">
        <v>37</v>
      </c>
      <c r="N288" s="7" t="s">
        <v>37</v>
      </c>
      <c r="O288" s="7" t="s">
        <v>37</v>
      </c>
      <c r="P288" s="7" t="s">
        <v>37</v>
      </c>
      <c r="Q288" s="7" t="s">
        <v>37</v>
      </c>
      <c r="R288" s="7" t="s">
        <v>37</v>
      </c>
      <c r="S288" s="7">
        <v>254.72094999999999</v>
      </c>
      <c r="T288" s="7">
        <v>8.4906900000000007</v>
      </c>
      <c r="U288" s="7">
        <v>521.66449999999998</v>
      </c>
      <c r="V288" s="7">
        <v>1.2210000000000001</v>
      </c>
      <c r="W288" s="7">
        <v>265.63350000000003</v>
      </c>
      <c r="X288" s="9">
        <v>1.17489755493953E-11</v>
      </c>
      <c r="Y288" s="7">
        <v>1.5549999999999999</v>
      </c>
      <c r="Z288" s="7">
        <v>13.41</v>
      </c>
      <c r="AA288" s="7">
        <v>2.1800000000000002</v>
      </c>
      <c r="AB288" s="7">
        <v>2.15</v>
      </c>
      <c r="AC288" s="7">
        <v>9.43</v>
      </c>
      <c r="AD288" s="7">
        <v>2.1800000000000002</v>
      </c>
      <c r="AE288" s="7">
        <v>326</v>
      </c>
      <c r="AF288" s="7">
        <v>111.98699999999999</v>
      </c>
      <c r="AG288" s="7">
        <v>349.12900000000002</v>
      </c>
      <c r="AH288" s="7">
        <v>8.61</v>
      </c>
      <c r="AI288" s="7" t="s">
        <v>37</v>
      </c>
      <c r="AJ288" s="7">
        <v>44.395000000000003</v>
      </c>
      <c r="AK288" s="7">
        <v>0</v>
      </c>
      <c r="AL288" s="7">
        <v>47.822000000000003</v>
      </c>
      <c r="AM288" s="7">
        <v>164.10300000000001</v>
      </c>
      <c r="AN288" s="9">
        <v>4.26579518801593E-10</v>
      </c>
      <c r="AO288" s="7" t="s">
        <v>37</v>
      </c>
      <c r="AP288" s="9">
        <v>7.9362299999999997E-5</v>
      </c>
      <c r="AQ288" s="7">
        <v>1</v>
      </c>
      <c r="AR288" s="7">
        <v>1</v>
      </c>
      <c r="AS288"/>
    </row>
    <row r="289" spans="1:45" ht="19.5" customHeight="1" x14ac:dyDescent="0.3">
      <c r="A289" s="7" t="s">
        <v>1458</v>
      </c>
      <c r="B289" s="7" t="s">
        <v>2080</v>
      </c>
      <c r="C289" s="7">
        <v>30</v>
      </c>
      <c r="D289" s="7">
        <v>3356.2019190359701</v>
      </c>
      <c r="E289" s="7">
        <v>215</v>
      </c>
      <c r="F289" s="7">
        <v>54.7604166666667</v>
      </c>
      <c r="G289" s="7" t="s">
        <v>1459</v>
      </c>
      <c r="H289" s="7" t="s">
        <v>1460</v>
      </c>
      <c r="I289" s="7" t="s">
        <v>1461</v>
      </c>
      <c r="J289" s="8" t="s">
        <v>1462</v>
      </c>
      <c r="K289" s="7" t="s">
        <v>1463</v>
      </c>
      <c r="L289" s="7">
        <v>383.40800000000002</v>
      </c>
      <c r="M289" s="7" t="s">
        <v>37</v>
      </c>
      <c r="N289" s="7" t="s">
        <v>37</v>
      </c>
      <c r="O289" s="7" t="s">
        <v>37</v>
      </c>
      <c r="P289" s="7" t="s">
        <v>37</v>
      </c>
      <c r="Q289" s="7" t="s">
        <v>37</v>
      </c>
      <c r="R289" s="7" t="s">
        <v>37</v>
      </c>
      <c r="S289" s="7">
        <v>19170.3</v>
      </c>
      <c r="T289" s="7">
        <v>1917.03</v>
      </c>
      <c r="U289" s="7">
        <v>518.45500000000004</v>
      </c>
      <c r="V289" s="7">
        <v>1.3714999999999999</v>
      </c>
      <c r="W289" s="7">
        <v>313.37799999999999</v>
      </c>
      <c r="X289" s="9">
        <v>2.0892961308540399E-11</v>
      </c>
      <c r="Y289" s="7">
        <v>1.6519999999999999</v>
      </c>
      <c r="Z289" s="7">
        <v>11.54</v>
      </c>
      <c r="AA289" s="7">
        <v>0.55000000000000004</v>
      </c>
      <c r="AB289" s="7">
        <v>2.11</v>
      </c>
      <c r="AC289" s="7">
        <v>10.26</v>
      </c>
      <c r="AD289" s="7">
        <v>1.2190000000000001</v>
      </c>
      <c r="AE289" s="7">
        <v>279</v>
      </c>
      <c r="AF289" s="7">
        <v>103.587</v>
      </c>
      <c r="AG289" s="7">
        <v>283.42099999999999</v>
      </c>
      <c r="AH289" s="7" t="s">
        <v>37</v>
      </c>
      <c r="AI289" s="7">
        <v>7.3</v>
      </c>
      <c r="AJ289" s="7">
        <v>41.064999999999998</v>
      </c>
      <c r="AK289" s="7">
        <v>0</v>
      </c>
      <c r="AL289" s="7">
        <v>64.293000000000006</v>
      </c>
      <c r="AM289" s="7" t="s">
        <v>37</v>
      </c>
      <c r="AN289" s="9">
        <v>4.6881299999999998E-11</v>
      </c>
      <c r="AO289" s="7" t="s">
        <v>37</v>
      </c>
      <c r="AP289" s="7">
        <v>4.2946480654270199E-4</v>
      </c>
      <c r="AQ289" s="7">
        <v>1</v>
      </c>
      <c r="AR289" s="7">
        <v>1</v>
      </c>
      <c r="AS289"/>
    </row>
    <row r="290" spans="1:45" ht="19.5" customHeight="1" x14ac:dyDescent="0.3">
      <c r="A290" s="7" t="s">
        <v>360</v>
      </c>
      <c r="B290" s="7" t="s">
        <v>2092</v>
      </c>
      <c r="C290" s="7">
        <v>80</v>
      </c>
      <c r="D290" s="7">
        <v>298022.398031038</v>
      </c>
      <c r="E290" s="7">
        <v>290</v>
      </c>
      <c r="F290" s="7">
        <v>27.172346706024399</v>
      </c>
      <c r="G290" s="7" t="s">
        <v>361</v>
      </c>
      <c r="H290" s="7" t="s">
        <v>362</v>
      </c>
      <c r="I290" s="7" t="s">
        <v>363</v>
      </c>
      <c r="J290" s="8" t="s">
        <v>364</v>
      </c>
      <c r="K290" s="7" t="s">
        <v>365</v>
      </c>
      <c r="L290" s="7">
        <v>360.45</v>
      </c>
      <c r="M290" s="7">
        <v>22295</v>
      </c>
      <c r="N290" s="7" t="s">
        <v>37</v>
      </c>
      <c r="O290" s="7" t="s">
        <v>37</v>
      </c>
      <c r="P290" s="7" t="s">
        <v>37</v>
      </c>
      <c r="Q290" s="7" t="s">
        <v>37</v>
      </c>
      <c r="R290" s="7" t="s">
        <v>37</v>
      </c>
      <c r="S290" s="7" t="s">
        <v>37</v>
      </c>
      <c r="T290" s="7" t="s">
        <v>37</v>
      </c>
      <c r="U290" s="7">
        <v>468.02</v>
      </c>
      <c r="V290" s="7">
        <v>1.3080000000000001</v>
      </c>
      <c r="W290" s="7">
        <v>310.57150000000001</v>
      </c>
      <c r="X290" s="9">
        <v>9.1201083935591205E-12</v>
      </c>
      <c r="Y290" s="7">
        <v>1.6120000000000001</v>
      </c>
      <c r="Z290" s="7">
        <v>12.49</v>
      </c>
      <c r="AA290" s="7">
        <v>1.62</v>
      </c>
      <c r="AB290" s="7">
        <v>1.59</v>
      </c>
      <c r="AC290" s="7">
        <v>9.3000000000000007</v>
      </c>
      <c r="AD290" s="7">
        <v>1.62</v>
      </c>
      <c r="AE290" s="7">
        <v>237</v>
      </c>
      <c r="AF290" s="7">
        <v>95.480999999999995</v>
      </c>
      <c r="AG290" s="7">
        <v>274.7</v>
      </c>
      <c r="AH290" s="7">
        <v>8.59</v>
      </c>
      <c r="AI290" s="7">
        <v>12.462</v>
      </c>
      <c r="AJ290" s="7">
        <v>37.850999999999999</v>
      </c>
      <c r="AK290" s="7">
        <v>0</v>
      </c>
      <c r="AL290" s="7">
        <v>55.991999999999997</v>
      </c>
      <c r="AM290" s="7" t="s">
        <v>37</v>
      </c>
      <c r="AN290" s="9">
        <v>2.0844900000000001E-10</v>
      </c>
      <c r="AO290" s="7" t="s">
        <v>37</v>
      </c>
      <c r="AP290" s="7">
        <v>6.1700000000000004E-4</v>
      </c>
      <c r="AQ290" s="7">
        <v>1</v>
      </c>
      <c r="AR290" s="7">
        <v>0</v>
      </c>
      <c r="AS290"/>
    </row>
    <row r="291" spans="1:45" ht="19.5" customHeight="1" x14ac:dyDescent="0.3">
      <c r="A291" s="7" t="s">
        <v>360</v>
      </c>
      <c r="B291" s="7" t="s">
        <v>2080</v>
      </c>
      <c r="C291" s="7">
        <v>0</v>
      </c>
      <c r="D291" s="7">
        <v>136951.31194301299</v>
      </c>
      <c r="E291" s="7">
        <v>63</v>
      </c>
      <c r="F291" s="7">
        <v>11.5337533197455</v>
      </c>
      <c r="G291" s="7" t="s">
        <v>361</v>
      </c>
      <c r="H291" s="7" t="s">
        <v>362</v>
      </c>
      <c r="I291" s="7" t="s">
        <v>363</v>
      </c>
      <c r="J291" s="8" t="s">
        <v>364</v>
      </c>
      <c r="K291" s="7" t="s">
        <v>365</v>
      </c>
      <c r="L291" s="7">
        <v>360.45</v>
      </c>
      <c r="M291" s="7">
        <v>22295</v>
      </c>
      <c r="N291" s="7" t="s">
        <v>37</v>
      </c>
      <c r="O291" s="7" t="s">
        <v>37</v>
      </c>
      <c r="P291" s="7" t="s">
        <v>37</v>
      </c>
      <c r="Q291" s="7" t="s">
        <v>37</v>
      </c>
      <c r="R291" s="7" t="s">
        <v>37</v>
      </c>
      <c r="S291" s="7" t="s">
        <v>37</v>
      </c>
      <c r="T291" s="7" t="s">
        <v>37</v>
      </c>
      <c r="U291" s="7">
        <v>468.02</v>
      </c>
      <c r="V291" s="7">
        <v>1.3080000000000001</v>
      </c>
      <c r="W291" s="7">
        <v>310.57150000000001</v>
      </c>
      <c r="X291" s="9">
        <v>9.1201083935591205E-12</v>
      </c>
      <c r="Y291" s="7">
        <v>1.6120000000000001</v>
      </c>
      <c r="Z291" s="7">
        <v>12.49</v>
      </c>
      <c r="AA291" s="7">
        <v>1.62</v>
      </c>
      <c r="AB291" s="7">
        <v>1.59</v>
      </c>
      <c r="AC291" s="7">
        <v>9.3000000000000007</v>
      </c>
      <c r="AD291" s="7">
        <v>1.62</v>
      </c>
      <c r="AE291" s="7">
        <v>237</v>
      </c>
      <c r="AF291" s="7">
        <v>95.480999999999995</v>
      </c>
      <c r="AG291" s="7">
        <v>274.7</v>
      </c>
      <c r="AH291" s="7">
        <v>8.59</v>
      </c>
      <c r="AI291" s="7">
        <v>12.462</v>
      </c>
      <c r="AJ291" s="7">
        <v>37.850999999999999</v>
      </c>
      <c r="AK291" s="7">
        <v>0</v>
      </c>
      <c r="AL291" s="7">
        <v>55.991999999999997</v>
      </c>
      <c r="AM291" s="7" t="s">
        <v>37</v>
      </c>
      <c r="AN291" s="9">
        <v>2.0844900000000001E-10</v>
      </c>
      <c r="AO291" s="7" t="s">
        <v>37</v>
      </c>
      <c r="AP291" s="7">
        <v>6.1700000000000004E-4</v>
      </c>
      <c r="AQ291" s="7">
        <v>1</v>
      </c>
      <c r="AR291" s="7">
        <v>0</v>
      </c>
      <c r="AS291"/>
    </row>
    <row r="292" spans="1:45" ht="19.5" customHeight="1" x14ac:dyDescent="0.3">
      <c r="A292" s="7" t="s">
        <v>1102</v>
      </c>
      <c r="B292" s="7" t="s">
        <v>2080</v>
      </c>
      <c r="C292" s="7">
        <v>0</v>
      </c>
      <c r="D292" s="7">
        <v>18566.471809071601</v>
      </c>
      <c r="E292" s="7">
        <v>1800</v>
      </c>
      <c r="F292" s="7">
        <v>26.480948348856899</v>
      </c>
      <c r="G292" s="7" t="s">
        <v>1103</v>
      </c>
      <c r="H292" s="7" t="s">
        <v>1104</v>
      </c>
      <c r="I292" s="7" t="s">
        <v>1105</v>
      </c>
      <c r="J292" s="8" t="s">
        <v>1106</v>
      </c>
      <c r="K292" s="7" t="s">
        <v>1107</v>
      </c>
      <c r="L292" s="7">
        <v>358.43400000000003</v>
      </c>
      <c r="M292" s="7" t="s">
        <v>37</v>
      </c>
      <c r="N292" s="7" t="s">
        <v>37</v>
      </c>
      <c r="O292" s="7" t="s">
        <v>37</v>
      </c>
      <c r="P292" s="7" t="s">
        <v>37</v>
      </c>
      <c r="Q292" s="7" t="s">
        <v>37</v>
      </c>
      <c r="R292" s="7" t="s">
        <v>37</v>
      </c>
      <c r="S292" s="7" t="s">
        <v>37</v>
      </c>
      <c r="T292" s="7" t="s">
        <v>37</v>
      </c>
      <c r="U292" s="7">
        <v>462.1635</v>
      </c>
      <c r="V292" s="7">
        <v>1.3055000000000001</v>
      </c>
      <c r="W292" s="7">
        <v>307.8605</v>
      </c>
      <c r="X292" s="9">
        <v>1.2302687708123799E-9</v>
      </c>
      <c r="Y292" s="7">
        <v>1.6040000000000001</v>
      </c>
      <c r="Z292" s="7">
        <v>12.41</v>
      </c>
      <c r="AA292" s="7">
        <v>1.47</v>
      </c>
      <c r="AB292" s="7">
        <v>1.45</v>
      </c>
      <c r="AC292" s="7">
        <v>9.41</v>
      </c>
      <c r="AD292" s="7">
        <v>1.4650000000000001</v>
      </c>
      <c r="AE292" s="7">
        <v>234</v>
      </c>
      <c r="AF292" s="7">
        <v>94.084000000000003</v>
      </c>
      <c r="AG292" s="7">
        <v>273.63400000000001</v>
      </c>
      <c r="AH292" s="7">
        <v>8.77</v>
      </c>
      <c r="AI292" s="7" t="s">
        <v>37</v>
      </c>
      <c r="AJ292" s="7">
        <v>37.298000000000002</v>
      </c>
      <c r="AK292" s="7">
        <v>0</v>
      </c>
      <c r="AL292" s="7">
        <v>58.593000000000004</v>
      </c>
      <c r="AM292" s="7" t="s">
        <v>37</v>
      </c>
      <c r="AN292" s="9">
        <v>3.6391499999999998E-10</v>
      </c>
      <c r="AO292" s="7" t="s">
        <v>37</v>
      </c>
      <c r="AP292" s="7">
        <v>3.3113100000000003E-4</v>
      </c>
      <c r="AQ292" s="7">
        <v>1</v>
      </c>
      <c r="AR292" s="7">
        <v>0</v>
      </c>
      <c r="AS292"/>
    </row>
    <row r="293" spans="1:45" ht="19.5" customHeight="1" x14ac:dyDescent="0.3">
      <c r="A293" s="7" t="s">
        <v>337</v>
      </c>
      <c r="B293" s="7" t="s">
        <v>2080</v>
      </c>
      <c r="C293" s="7">
        <v>90</v>
      </c>
      <c r="D293" s="7">
        <v>289953.70702475699</v>
      </c>
      <c r="E293" s="7">
        <v>870</v>
      </c>
      <c r="F293" s="7">
        <v>37.576696165191699</v>
      </c>
      <c r="G293" s="7" t="s">
        <v>338</v>
      </c>
      <c r="H293" s="7" t="s">
        <v>339</v>
      </c>
      <c r="I293" s="7" t="s">
        <v>340</v>
      </c>
      <c r="J293" s="8" t="s">
        <v>341</v>
      </c>
      <c r="K293" s="7" t="s">
        <v>342</v>
      </c>
      <c r="L293" s="7">
        <v>159.22900000000001</v>
      </c>
      <c r="M293" s="7" t="s">
        <v>37</v>
      </c>
      <c r="N293" s="7" t="s">
        <v>37</v>
      </c>
      <c r="O293" s="7" t="s">
        <v>37</v>
      </c>
      <c r="P293" s="7" t="s">
        <v>37</v>
      </c>
      <c r="Q293" s="7" t="s">
        <v>37</v>
      </c>
      <c r="R293" s="7" t="s">
        <v>37</v>
      </c>
      <c r="S293" s="7" t="s">
        <v>37</v>
      </c>
      <c r="T293" s="7" t="s">
        <v>37</v>
      </c>
      <c r="U293" s="7">
        <v>275.01600000000002</v>
      </c>
      <c r="V293" s="7">
        <v>1.0009999999999999</v>
      </c>
      <c r="W293" s="7">
        <v>118.1865</v>
      </c>
      <c r="X293" s="9">
        <v>3.1622776601683799E-8</v>
      </c>
      <c r="Y293" s="7">
        <v>1.4650000000000001</v>
      </c>
      <c r="Z293" s="7">
        <v>2.16</v>
      </c>
      <c r="AA293" s="7">
        <v>-3.43</v>
      </c>
      <c r="AB293" s="7">
        <v>-5.31</v>
      </c>
      <c r="AC293" s="7">
        <v>7.85</v>
      </c>
      <c r="AD293" s="7">
        <v>-0.51249999999999996</v>
      </c>
      <c r="AE293" s="7">
        <v>250</v>
      </c>
      <c r="AF293" s="7">
        <v>44.128999999999998</v>
      </c>
      <c r="AG293" s="7">
        <v>159.64599999999999</v>
      </c>
      <c r="AH293" s="7">
        <v>4.08</v>
      </c>
      <c r="AI293" s="7" t="s">
        <v>37</v>
      </c>
      <c r="AJ293" s="7">
        <v>17.494</v>
      </c>
      <c r="AK293" s="7">
        <v>1</v>
      </c>
      <c r="AL293" s="7">
        <v>32.085000000000001</v>
      </c>
      <c r="AM293" s="7">
        <v>174.58</v>
      </c>
      <c r="AN293" s="7">
        <v>1.5299999999999999E-3</v>
      </c>
      <c r="AO293" s="7">
        <v>6.0534100000000004</v>
      </c>
      <c r="AP293" s="7">
        <v>0.32164100000000001</v>
      </c>
      <c r="AQ293" s="7">
        <v>1</v>
      </c>
      <c r="AR293" s="7">
        <v>0</v>
      </c>
      <c r="AS293"/>
    </row>
    <row r="294" spans="1:45" ht="19.5" customHeight="1" x14ac:dyDescent="0.3">
      <c r="A294" s="7" t="s">
        <v>605</v>
      </c>
      <c r="B294" s="7" t="s">
        <v>2080</v>
      </c>
      <c r="C294" s="7">
        <v>100</v>
      </c>
      <c r="D294" s="7">
        <v>103537.806826962</v>
      </c>
      <c r="E294" s="7">
        <v>142</v>
      </c>
      <c r="F294" s="7">
        <v>81.419354838709694</v>
      </c>
      <c r="G294" s="7" t="s">
        <v>606</v>
      </c>
      <c r="H294" s="7" t="s">
        <v>607</v>
      </c>
      <c r="I294" s="7" t="s">
        <v>608</v>
      </c>
      <c r="J294" s="8" t="s">
        <v>609</v>
      </c>
      <c r="K294" s="7" t="s">
        <v>610</v>
      </c>
      <c r="L294" s="7">
        <v>218.256</v>
      </c>
      <c r="M294" s="7" t="s">
        <v>37</v>
      </c>
      <c r="N294" s="7" t="s">
        <v>37</v>
      </c>
      <c r="O294" s="7" t="s">
        <v>37</v>
      </c>
      <c r="P294" s="7" t="s">
        <v>37</v>
      </c>
      <c r="Q294" s="7" t="s">
        <v>37</v>
      </c>
      <c r="R294" s="7" t="s">
        <v>37</v>
      </c>
      <c r="S294" s="7" t="s">
        <v>37</v>
      </c>
      <c r="T294" s="7" t="s">
        <v>37</v>
      </c>
      <c r="U294" s="7">
        <v>419.19400000000002</v>
      </c>
      <c r="V294" s="7">
        <v>1.167</v>
      </c>
      <c r="W294" s="7">
        <v>205.7775</v>
      </c>
      <c r="X294" s="9">
        <v>4.26579518801593E-10</v>
      </c>
      <c r="Y294" s="7">
        <v>1.5289999999999999</v>
      </c>
      <c r="Z294" s="7">
        <v>8.84</v>
      </c>
      <c r="AA294" s="7">
        <v>0.91</v>
      </c>
      <c r="AB294" s="7">
        <v>0.86</v>
      </c>
      <c r="AC294" s="7">
        <v>9.01</v>
      </c>
      <c r="AD294" s="7">
        <v>0.91</v>
      </c>
      <c r="AE294" s="7">
        <v>281.25</v>
      </c>
      <c r="AF294" s="7">
        <v>59.08</v>
      </c>
      <c r="AG294" s="7">
        <v>191.702</v>
      </c>
      <c r="AH294" s="7">
        <v>8.36</v>
      </c>
      <c r="AI294" s="7" t="s">
        <v>37</v>
      </c>
      <c r="AJ294" s="7">
        <v>23.420999999999999</v>
      </c>
      <c r="AK294" s="7">
        <v>0</v>
      </c>
      <c r="AL294" s="7">
        <v>38.548000000000002</v>
      </c>
      <c r="AM294" s="7">
        <v>164.89400000000001</v>
      </c>
      <c r="AN294" s="9">
        <v>1.7660399999999999E-8</v>
      </c>
      <c r="AO294" s="7" t="s">
        <v>37</v>
      </c>
      <c r="AP294" s="7">
        <v>2.29087E-3</v>
      </c>
      <c r="AQ294" s="7">
        <v>1</v>
      </c>
      <c r="AR294" s="7">
        <v>1</v>
      </c>
      <c r="AS294"/>
    </row>
    <row r="295" spans="1:45" ht="19.5" customHeight="1" x14ac:dyDescent="0.3">
      <c r="A295" s="7" t="s">
        <v>987</v>
      </c>
      <c r="B295" s="7" t="s">
        <v>2080</v>
      </c>
      <c r="C295" s="7">
        <v>100</v>
      </c>
      <c r="D295" s="7">
        <v>26445.341945656601</v>
      </c>
      <c r="E295" s="7">
        <v>56</v>
      </c>
      <c r="F295" s="7">
        <v>15.837209302325601</v>
      </c>
      <c r="G295" s="7" t="s">
        <v>988</v>
      </c>
      <c r="H295" s="7" t="s">
        <v>989</v>
      </c>
      <c r="I295" s="7" t="s">
        <v>990</v>
      </c>
      <c r="J295" s="8" t="s">
        <v>991</v>
      </c>
      <c r="K295" s="7" t="s">
        <v>992</v>
      </c>
      <c r="L295" s="7">
        <v>373.94</v>
      </c>
      <c r="M295" s="7" t="s">
        <v>37</v>
      </c>
      <c r="N295" s="7" t="s">
        <v>37</v>
      </c>
      <c r="O295" s="7" t="s">
        <v>37</v>
      </c>
      <c r="P295" s="7" t="s">
        <v>37</v>
      </c>
      <c r="Q295" s="7" t="s">
        <v>37</v>
      </c>
      <c r="R295" s="7" t="s">
        <v>37</v>
      </c>
      <c r="S295" s="7" t="s">
        <v>37</v>
      </c>
      <c r="T295" s="7" t="s">
        <v>37</v>
      </c>
      <c r="U295" s="7">
        <v>431.99299999999999</v>
      </c>
      <c r="V295" s="7">
        <v>1.2230000000000001</v>
      </c>
      <c r="W295" s="7">
        <v>271.52350000000001</v>
      </c>
      <c r="X295" s="9">
        <v>6.4565422903465503E-8</v>
      </c>
      <c r="Y295" s="7">
        <v>1.621</v>
      </c>
      <c r="Z295" s="7">
        <v>17.57</v>
      </c>
      <c r="AA295" s="7">
        <v>4.87</v>
      </c>
      <c r="AB295" s="7">
        <v>4.88</v>
      </c>
      <c r="AC295" s="7">
        <v>11.71</v>
      </c>
      <c r="AD295" s="7">
        <v>4.88</v>
      </c>
      <c r="AE295" s="7">
        <v>228</v>
      </c>
      <c r="AF295" s="7">
        <v>108.06699999999999</v>
      </c>
      <c r="AG295" s="7">
        <v>307.23599999999999</v>
      </c>
      <c r="AH295" s="7" t="s">
        <v>37</v>
      </c>
      <c r="AI295" s="7">
        <v>3.7</v>
      </c>
      <c r="AJ295" s="7">
        <v>42.841000000000001</v>
      </c>
      <c r="AK295" s="7">
        <v>0</v>
      </c>
      <c r="AL295" s="7">
        <v>46.893000000000001</v>
      </c>
      <c r="AM295" s="7" t="s">
        <v>37</v>
      </c>
      <c r="AN295" s="9">
        <v>1.14750882638389E-8</v>
      </c>
      <c r="AO295" s="7" t="s">
        <v>37</v>
      </c>
      <c r="AP295" s="9">
        <v>3.9951850000000003E-5</v>
      </c>
      <c r="AQ295" s="7">
        <v>1</v>
      </c>
      <c r="AR295" s="7">
        <v>0</v>
      </c>
      <c r="AS295"/>
    </row>
    <row r="296" spans="1:45" ht="19.5" customHeight="1" x14ac:dyDescent="0.3">
      <c r="A296" s="7" t="s">
        <v>653</v>
      </c>
      <c r="B296" s="7" t="s">
        <v>2080</v>
      </c>
      <c r="C296" s="7">
        <v>100</v>
      </c>
      <c r="D296" s="7">
        <v>91190.179214579606</v>
      </c>
      <c r="E296" s="7">
        <v>215</v>
      </c>
      <c r="F296" s="7">
        <v>16.9705505457997</v>
      </c>
      <c r="G296" s="7" t="s">
        <v>654</v>
      </c>
      <c r="H296" s="7" t="s">
        <v>655</v>
      </c>
      <c r="I296" s="7" t="s">
        <v>656</v>
      </c>
      <c r="J296" s="8" t="s">
        <v>657</v>
      </c>
      <c r="K296" s="7" t="s">
        <v>658</v>
      </c>
      <c r="L296" s="7">
        <v>284.42</v>
      </c>
      <c r="M296" s="7" t="s">
        <v>37</v>
      </c>
      <c r="N296" s="7" t="s">
        <v>37</v>
      </c>
      <c r="O296" s="7" t="s">
        <v>37</v>
      </c>
      <c r="P296" s="7" t="s">
        <v>37</v>
      </c>
      <c r="Q296" s="7" t="s">
        <v>37</v>
      </c>
      <c r="R296" s="7" t="s">
        <v>37</v>
      </c>
      <c r="S296" s="7" t="s">
        <v>37</v>
      </c>
      <c r="T296" s="7" t="s">
        <v>37</v>
      </c>
      <c r="U296" s="7">
        <v>387.3005</v>
      </c>
      <c r="V296" s="7">
        <v>1.1234999999999999</v>
      </c>
      <c r="W296" s="7">
        <v>198.7775</v>
      </c>
      <c r="X296" s="9">
        <v>7.4131024130091797E-6</v>
      </c>
      <c r="Y296" s="7">
        <v>1.6160000000000001</v>
      </c>
      <c r="Z296" s="7">
        <v>14.92</v>
      </c>
      <c r="AA296" s="7">
        <v>4.7</v>
      </c>
      <c r="AB296" s="7">
        <v>4.8099999999999996</v>
      </c>
      <c r="AC296" s="7">
        <v>9.27</v>
      </c>
      <c r="AD296" s="7">
        <v>4.8099999999999996</v>
      </c>
      <c r="AE296" s="7">
        <v>60</v>
      </c>
      <c r="AF296" s="7">
        <v>87.817999999999998</v>
      </c>
      <c r="AG296" s="7">
        <v>251.334</v>
      </c>
      <c r="AH296" s="7" t="s">
        <v>37</v>
      </c>
      <c r="AI296" s="7">
        <v>8.65</v>
      </c>
      <c r="AJ296" s="7">
        <v>34.814</v>
      </c>
      <c r="AK296" s="7">
        <v>0</v>
      </c>
      <c r="AL296" s="7">
        <v>44.113999999999997</v>
      </c>
      <c r="AM296" s="7" t="s">
        <v>37</v>
      </c>
      <c r="AN296" s="9">
        <v>5.5282390980715902E-7</v>
      </c>
      <c r="AO296" s="7" t="s">
        <v>37</v>
      </c>
      <c r="AP296" s="9">
        <v>5.4954100000000003E-5</v>
      </c>
      <c r="AQ296" s="7">
        <v>1</v>
      </c>
      <c r="AR296" s="7">
        <v>0</v>
      </c>
      <c r="AS296"/>
    </row>
    <row r="297" spans="1:45" ht="19.5" customHeight="1" x14ac:dyDescent="0.3">
      <c r="A297" s="7" t="s">
        <v>653</v>
      </c>
      <c r="B297" s="7" t="s">
        <v>2081</v>
      </c>
      <c r="C297" s="7">
        <v>100</v>
      </c>
      <c r="D297" s="7">
        <v>73611.111111111095</v>
      </c>
      <c r="E297" s="7">
        <v>6</v>
      </c>
      <c r="F297" s="7">
        <v>2.8333333333333299</v>
      </c>
      <c r="G297" s="7" t="s">
        <v>654</v>
      </c>
      <c r="H297" s="7" t="s">
        <v>655</v>
      </c>
      <c r="I297" s="7" t="s">
        <v>656</v>
      </c>
      <c r="J297" s="8" t="s">
        <v>657</v>
      </c>
      <c r="K297" s="7" t="s">
        <v>658</v>
      </c>
      <c r="L297" s="7">
        <v>284.42</v>
      </c>
      <c r="M297" s="7" t="s">
        <v>37</v>
      </c>
      <c r="N297" s="7" t="s">
        <v>37</v>
      </c>
      <c r="O297" s="7" t="s">
        <v>37</v>
      </c>
      <c r="P297" s="7" t="s">
        <v>37</v>
      </c>
      <c r="Q297" s="7" t="s">
        <v>37</v>
      </c>
      <c r="R297" s="7" t="s">
        <v>37</v>
      </c>
      <c r="S297" s="7" t="s">
        <v>37</v>
      </c>
      <c r="T297" s="7" t="s">
        <v>37</v>
      </c>
      <c r="U297" s="7">
        <v>387.3005</v>
      </c>
      <c r="V297" s="7">
        <v>1.1234999999999999</v>
      </c>
      <c r="W297" s="7">
        <v>198.7775</v>
      </c>
      <c r="X297" s="9">
        <v>7.4131024130091797E-6</v>
      </c>
      <c r="Y297" s="7">
        <v>1.6160000000000001</v>
      </c>
      <c r="Z297" s="7">
        <v>14.92</v>
      </c>
      <c r="AA297" s="7">
        <v>4.7</v>
      </c>
      <c r="AB297" s="7">
        <v>4.8099999999999996</v>
      </c>
      <c r="AC297" s="7">
        <v>9.27</v>
      </c>
      <c r="AD297" s="7">
        <v>4.8099999999999996</v>
      </c>
      <c r="AE297" s="7">
        <v>60</v>
      </c>
      <c r="AF297" s="7">
        <v>87.817999999999998</v>
      </c>
      <c r="AG297" s="7">
        <v>251.334</v>
      </c>
      <c r="AH297" s="7" t="s">
        <v>37</v>
      </c>
      <c r="AI297" s="7">
        <v>8.65</v>
      </c>
      <c r="AJ297" s="7">
        <v>34.814</v>
      </c>
      <c r="AK297" s="7">
        <v>0</v>
      </c>
      <c r="AL297" s="7">
        <v>44.113999999999997</v>
      </c>
      <c r="AM297" s="7" t="s">
        <v>37</v>
      </c>
      <c r="AN297" s="9">
        <v>5.5282390980715902E-7</v>
      </c>
      <c r="AO297" s="7" t="s">
        <v>37</v>
      </c>
      <c r="AP297" s="9">
        <v>5.4954100000000003E-5</v>
      </c>
      <c r="AQ297" s="7">
        <v>1</v>
      </c>
      <c r="AR297" s="7">
        <v>0</v>
      </c>
      <c r="AS297"/>
    </row>
    <row r="298" spans="1:45" ht="19.5" customHeight="1" x14ac:dyDescent="0.3">
      <c r="A298" s="7" t="s">
        <v>683</v>
      </c>
      <c r="B298" s="7" t="s">
        <v>2080</v>
      </c>
      <c r="C298" s="7">
        <v>1</v>
      </c>
      <c r="D298" s="7">
        <v>77023.497266941005</v>
      </c>
      <c r="E298" s="7">
        <v>659</v>
      </c>
      <c r="F298" s="7">
        <v>55.781938325991199</v>
      </c>
      <c r="G298" s="7" t="s">
        <v>684</v>
      </c>
      <c r="H298" s="7" t="s">
        <v>685</v>
      </c>
      <c r="I298" s="7" t="s">
        <v>686</v>
      </c>
      <c r="J298" s="8" t="s">
        <v>687</v>
      </c>
      <c r="K298" s="7" t="s">
        <v>688</v>
      </c>
      <c r="L298" s="7">
        <v>259.34899999999902</v>
      </c>
      <c r="M298" s="7">
        <v>2591.7399999999998</v>
      </c>
      <c r="N298" s="7" t="s">
        <v>37</v>
      </c>
      <c r="O298" s="7">
        <v>17850</v>
      </c>
      <c r="P298" s="7">
        <v>1140</v>
      </c>
      <c r="Q298" s="7">
        <v>125</v>
      </c>
      <c r="R298" s="7" t="s">
        <v>37</v>
      </c>
      <c r="S298" s="7">
        <v>500</v>
      </c>
      <c r="T298" s="7">
        <v>0.25934800000000002</v>
      </c>
      <c r="U298" s="7">
        <v>383.70800000000003</v>
      </c>
      <c r="V298" s="7">
        <v>1.0934999999999999</v>
      </c>
      <c r="W298" s="7">
        <v>205.45599999999999</v>
      </c>
      <c r="X298" s="9">
        <v>1.41253754462276E-9</v>
      </c>
      <c r="Y298" s="7">
        <v>1.581</v>
      </c>
      <c r="Z298" s="7">
        <v>12.13</v>
      </c>
      <c r="AA298" s="7">
        <v>0.12</v>
      </c>
      <c r="AB298" s="7">
        <v>2.0099999999999998</v>
      </c>
      <c r="AC298" s="7">
        <v>8.4</v>
      </c>
      <c r="AD298" s="7">
        <v>3.48</v>
      </c>
      <c r="AE298" s="7">
        <v>162</v>
      </c>
      <c r="AF298" s="7">
        <v>78.984999999999999</v>
      </c>
      <c r="AG298" s="7">
        <v>237.161</v>
      </c>
      <c r="AH298" s="7" t="s">
        <v>37</v>
      </c>
      <c r="AI298" s="7">
        <v>9.4600000000000009</v>
      </c>
      <c r="AJ298" s="7">
        <v>31.312000000000001</v>
      </c>
      <c r="AK298" s="7">
        <v>0</v>
      </c>
      <c r="AL298" s="7">
        <v>41.461500000000001</v>
      </c>
      <c r="AM298" s="7">
        <v>154.19300000000001</v>
      </c>
      <c r="AN298" s="9">
        <v>2.9512092266663799E-8</v>
      </c>
      <c r="AO298" s="7">
        <v>32.359400000000001</v>
      </c>
      <c r="AP298" s="7">
        <v>3.2400000000000001E-4</v>
      </c>
      <c r="AQ298" s="7">
        <v>0</v>
      </c>
      <c r="AR298" s="7">
        <v>0</v>
      </c>
      <c r="AS298"/>
    </row>
    <row r="299" spans="1:45" ht="19.5" customHeight="1" x14ac:dyDescent="0.3">
      <c r="A299" s="7" t="s">
        <v>426</v>
      </c>
      <c r="B299" s="7" t="s">
        <v>2080</v>
      </c>
      <c r="C299" s="7">
        <v>96</v>
      </c>
      <c r="D299" s="7">
        <v>224544.529837251</v>
      </c>
      <c r="E299" s="7">
        <v>32</v>
      </c>
      <c r="F299" s="7">
        <v>11.285714285714301</v>
      </c>
      <c r="G299" s="7" t="s">
        <v>427</v>
      </c>
      <c r="H299" s="7" t="s">
        <v>428</v>
      </c>
      <c r="I299" s="7" t="s">
        <v>429</v>
      </c>
      <c r="J299" s="8" t="s">
        <v>430</v>
      </c>
      <c r="K299" s="7" t="s">
        <v>431</v>
      </c>
      <c r="L299" s="7">
        <v>165.235999999999</v>
      </c>
      <c r="M299" s="7" t="s">
        <v>37</v>
      </c>
      <c r="N299" s="7" t="s">
        <v>37</v>
      </c>
      <c r="O299" s="9">
        <v>2000000</v>
      </c>
      <c r="P299" s="9">
        <v>200000</v>
      </c>
      <c r="Q299" s="7" t="s">
        <v>37</v>
      </c>
      <c r="R299" s="7" t="s">
        <v>37</v>
      </c>
      <c r="S299" s="7" t="s">
        <v>37</v>
      </c>
      <c r="T299" s="7" t="s">
        <v>37</v>
      </c>
      <c r="U299" s="7">
        <v>254.99950000000001</v>
      </c>
      <c r="V299" s="7">
        <v>1.0155000000000001</v>
      </c>
      <c r="W299" s="7">
        <v>95.863</v>
      </c>
      <c r="X299" s="9">
        <v>1.14815362149688E-7</v>
      </c>
      <c r="Y299" s="7">
        <v>1.5289999999999999</v>
      </c>
      <c r="Z299" s="7">
        <v>6.71</v>
      </c>
      <c r="AA299" s="7">
        <v>-2.59</v>
      </c>
      <c r="AB299" s="7">
        <v>-0.69</v>
      </c>
      <c r="AC299" s="7">
        <v>7.85</v>
      </c>
      <c r="AD299" s="7">
        <v>1.1575</v>
      </c>
      <c r="AE299" s="7">
        <v>104</v>
      </c>
      <c r="AF299" s="7">
        <v>50.158999999999999</v>
      </c>
      <c r="AG299" s="7">
        <v>162.71100000000001</v>
      </c>
      <c r="AH299" s="7" t="s">
        <v>37</v>
      </c>
      <c r="AI299" s="7">
        <v>9.58</v>
      </c>
      <c r="AJ299" s="7">
        <v>19.885000000000002</v>
      </c>
      <c r="AK299" s="7">
        <v>0</v>
      </c>
      <c r="AL299" s="7">
        <v>37.006</v>
      </c>
      <c r="AM299" s="7">
        <v>165.767</v>
      </c>
      <c r="AN299" s="7">
        <v>8.6499999999999997E-3</v>
      </c>
      <c r="AO299" s="7">
        <v>16.143599999999999</v>
      </c>
      <c r="AP299" s="7">
        <v>0.296539027385051</v>
      </c>
      <c r="AQ299" s="7">
        <v>1</v>
      </c>
      <c r="AR299" s="7">
        <v>0</v>
      </c>
      <c r="AS299"/>
    </row>
    <row r="300" spans="1:45" ht="19.5" customHeight="1" x14ac:dyDescent="0.3">
      <c r="A300" s="7" t="s">
        <v>384</v>
      </c>
      <c r="B300" s="7" t="s">
        <v>2080</v>
      </c>
      <c r="C300" s="7">
        <v>5</v>
      </c>
      <c r="D300" s="7">
        <v>244589.66122199199</v>
      </c>
      <c r="E300" s="7">
        <v>1016</v>
      </c>
      <c r="F300" s="7">
        <v>40.393811533052002</v>
      </c>
      <c r="G300" s="7" t="s">
        <v>385</v>
      </c>
      <c r="H300" s="7" t="s">
        <v>386</v>
      </c>
      <c r="I300" s="7" t="s">
        <v>387</v>
      </c>
      <c r="J300" s="8" t="s">
        <v>388</v>
      </c>
      <c r="K300" s="7" t="s">
        <v>389</v>
      </c>
      <c r="L300" s="7">
        <v>383.51</v>
      </c>
      <c r="M300" s="7" t="s">
        <v>37</v>
      </c>
      <c r="N300" s="7" t="s">
        <v>37</v>
      </c>
      <c r="O300" s="7" t="s">
        <v>37</v>
      </c>
      <c r="P300" s="7" t="s">
        <v>37</v>
      </c>
      <c r="Q300" s="7" t="s">
        <v>37</v>
      </c>
      <c r="R300" s="7" t="s">
        <v>37</v>
      </c>
      <c r="S300" s="7" t="s">
        <v>37</v>
      </c>
      <c r="T300" s="7" t="s">
        <v>37</v>
      </c>
      <c r="U300" s="7">
        <v>523.13</v>
      </c>
      <c r="V300" s="7">
        <v>1.28</v>
      </c>
      <c r="W300" s="7">
        <v>282.75400000000002</v>
      </c>
      <c r="X300" s="9">
        <v>1.6982436524617499E-10</v>
      </c>
      <c r="Y300" s="7">
        <v>1.653</v>
      </c>
      <c r="Z300" s="7">
        <v>15.54</v>
      </c>
      <c r="AA300" s="7">
        <v>0.56999999999999995</v>
      </c>
      <c r="AB300" s="7">
        <v>2.29</v>
      </c>
      <c r="AC300" s="7">
        <v>10.35</v>
      </c>
      <c r="AD300" s="7">
        <v>2.14</v>
      </c>
      <c r="AE300" s="7">
        <v>159</v>
      </c>
      <c r="AF300" s="7">
        <v>110.151</v>
      </c>
      <c r="AG300" s="7">
        <v>301.05500000000001</v>
      </c>
      <c r="AH300" s="7" t="s">
        <v>37</v>
      </c>
      <c r="AI300" s="7">
        <v>7.7</v>
      </c>
      <c r="AJ300" s="7">
        <v>43.667000000000002</v>
      </c>
      <c r="AK300" s="7">
        <v>0</v>
      </c>
      <c r="AL300" s="7">
        <v>51.969000000000001</v>
      </c>
      <c r="AM300" s="7" t="s">
        <v>37</v>
      </c>
      <c r="AN300" s="9">
        <v>4.8862022047790603E-8</v>
      </c>
      <c r="AO300" s="7" t="s">
        <v>37</v>
      </c>
      <c r="AP300" s="9">
        <v>8.4722700000000001E-5</v>
      </c>
      <c r="AQ300" s="7">
        <v>1</v>
      </c>
      <c r="AR300" s="7">
        <v>0</v>
      </c>
      <c r="AS300"/>
    </row>
    <row r="301" spans="1:45" ht="19.5" customHeight="1" x14ac:dyDescent="0.3">
      <c r="A301" s="7" t="s">
        <v>927</v>
      </c>
      <c r="B301" s="7" t="s">
        <v>2080</v>
      </c>
      <c r="C301" s="7">
        <v>62</v>
      </c>
      <c r="D301" s="7">
        <v>32255.7791125859</v>
      </c>
      <c r="E301" s="7">
        <v>133</v>
      </c>
      <c r="F301" s="7">
        <v>78.203883495145604</v>
      </c>
      <c r="G301" s="7" t="s">
        <v>928</v>
      </c>
      <c r="H301" s="7" t="s">
        <v>929</v>
      </c>
      <c r="I301" s="7" t="s">
        <v>930</v>
      </c>
      <c r="J301" s="8" t="s">
        <v>931</v>
      </c>
      <c r="K301" s="7" t="s">
        <v>932</v>
      </c>
      <c r="L301" s="7">
        <v>438.524</v>
      </c>
      <c r="M301" s="7" t="s">
        <v>37</v>
      </c>
      <c r="N301" s="7" t="s">
        <v>37</v>
      </c>
      <c r="O301" s="7" t="s">
        <v>37</v>
      </c>
      <c r="P301" s="7" t="s">
        <v>37</v>
      </c>
      <c r="Q301" s="7" t="s">
        <v>37</v>
      </c>
      <c r="R301" s="7" t="s">
        <v>37</v>
      </c>
      <c r="S301" s="7">
        <v>438.524</v>
      </c>
      <c r="T301" s="7">
        <v>43.852400000000003</v>
      </c>
      <c r="U301" s="7">
        <v>558.46349999999995</v>
      </c>
      <c r="V301" s="7">
        <v>1.2509999999999999</v>
      </c>
      <c r="W301" s="7">
        <v>343.36099999999999</v>
      </c>
      <c r="X301" s="9">
        <v>1.25892541179417E-11</v>
      </c>
      <c r="Y301" s="7">
        <v>1.5780000000000001</v>
      </c>
      <c r="Z301" s="7">
        <v>18.47</v>
      </c>
      <c r="AA301" s="7">
        <v>0.79</v>
      </c>
      <c r="AB301" s="7">
        <v>0.12</v>
      </c>
      <c r="AC301" s="7">
        <v>9.59</v>
      </c>
      <c r="AD301" s="7">
        <v>3.5844999999999998</v>
      </c>
      <c r="AE301" s="7">
        <v>125</v>
      </c>
      <c r="AF301" s="7">
        <v>119.511</v>
      </c>
      <c r="AG301" s="7">
        <v>360.125</v>
      </c>
      <c r="AH301" s="7">
        <v>6.81</v>
      </c>
      <c r="AI301" s="7" t="s">
        <v>37</v>
      </c>
      <c r="AJ301" s="7">
        <v>47.378</v>
      </c>
      <c r="AK301" s="7">
        <v>0</v>
      </c>
      <c r="AL301" s="7">
        <v>52.295000000000002</v>
      </c>
      <c r="AM301" s="7">
        <v>158.535</v>
      </c>
      <c r="AN301" s="9">
        <v>5.0582499999999997E-11</v>
      </c>
      <c r="AO301" s="7" t="s">
        <v>37</v>
      </c>
      <c r="AP301" s="9">
        <v>5.6470050000000003E-5</v>
      </c>
      <c r="AQ301" s="7">
        <v>1</v>
      </c>
      <c r="AR301" s="7">
        <v>1</v>
      </c>
      <c r="AS301"/>
    </row>
    <row r="302" spans="1:45" ht="19.5" customHeight="1" x14ac:dyDescent="0.3">
      <c r="A302" s="7" t="s">
        <v>737</v>
      </c>
      <c r="B302" s="7" t="s">
        <v>2080</v>
      </c>
      <c r="C302" s="7">
        <v>41</v>
      </c>
      <c r="D302" s="7">
        <v>60983.038256778498</v>
      </c>
      <c r="E302" s="7">
        <v>123</v>
      </c>
      <c r="F302" s="7">
        <v>62.872340425531902</v>
      </c>
      <c r="G302" s="7" t="s">
        <v>738</v>
      </c>
      <c r="H302" s="7" t="s">
        <v>739</v>
      </c>
      <c r="I302" s="7" t="s">
        <v>740</v>
      </c>
      <c r="J302" s="8" t="s">
        <v>741</v>
      </c>
      <c r="K302" s="7" t="s">
        <v>742</v>
      </c>
      <c r="L302" s="7">
        <v>473.59</v>
      </c>
      <c r="M302" s="7" t="s">
        <v>37</v>
      </c>
      <c r="N302" s="7" t="s">
        <v>37</v>
      </c>
      <c r="O302" s="7" t="s">
        <v>37</v>
      </c>
      <c r="P302" s="7" t="s">
        <v>37</v>
      </c>
      <c r="Q302" s="7" t="s">
        <v>37</v>
      </c>
      <c r="R302" s="7" t="s">
        <v>37</v>
      </c>
      <c r="S302" s="7" t="s">
        <v>37</v>
      </c>
      <c r="T302" s="7" t="s">
        <v>37</v>
      </c>
      <c r="U302" s="7">
        <v>585.50750000000005</v>
      </c>
      <c r="V302" s="7">
        <v>1.341</v>
      </c>
      <c r="W302" s="7">
        <v>369.25299999999999</v>
      </c>
      <c r="X302" s="9">
        <v>1.09647819614318E-10</v>
      </c>
      <c r="Y302" s="7">
        <v>1.6659999999999999</v>
      </c>
      <c r="Z302" s="7">
        <v>25.17</v>
      </c>
      <c r="AA302" s="7">
        <v>4.41</v>
      </c>
      <c r="AB302" s="7">
        <v>4.41</v>
      </c>
      <c r="AC302" s="7">
        <v>9.6999999999999993</v>
      </c>
      <c r="AD302" s="7">
        <v>5.7835000000000001</v>
      </c>
      <c r="AE302" s="7">
        <v>145</v>
      </c>
      <c r="AF302" s="7">
        <v>136.57599999999999</v>
      </c>
      <c r="AG302" s="7">
        <v>367.33699999999999</v>
      </c>
      <c r="AH302" s="7">
        <v>10.81</v>
      </c>
      <c r="AI302" s="7" t="s">
        <v>37</v>
      </c>
      <c r="AJ302" s="7">
        <v>54.143000000000001</v>
      </c>
      <c r="AK302" s="7">
        <v>0</v>
      </c>
      <c r="AL302" s="7">
        <v>57.341999999999999</v>
      </c>
      <c r="AM302" s="7" t="s">
        <v>37</v>
      </c>
      <c r="AN302" s="9">
        <v>1.2416500000000001E-12</v>
      </c>
      <c r="AO302" s="7" t="s">
        <v>37</v>
      </c>
      <c r="AP302" s="9">
        <v>2.6023099999999999E-6</v>
      </c>
      <c r="AQ302" s="7">
        <v>1</v>
      </c>
      <c r="AR302" s="7">
        <v>0</v>
      </c>
      <c r="AS302"/>
    </row>
    <row r="303" spans="1:45" ht="19.5" customHeight="1" x14ac:dyDescent="0.3">
      <c r="A303" s="7" t="s">
        <v>1333</v>
      </c>
      <c r="B303" s="7" t="s">
        <v>2080</v>
      </c>
      <c r="C303" s="7">
        <v>42</v>
      </c>
      <c r="D303" s="7">
        <v>7844.04324765402</v>
      </c>
      <c r="E303" s="7">
        <v>215</v>
      </c>
      <c r="F303" s="7">
        <v>78.620689655172399</v>
      </c>
      <c r="G303" s="7" t="s">
        <v>1334</v>
      </c>
      <c r="H303" s="7" t="s">
        <v>1335</v>
      </c>
      <c r="I303" s="7" t="s">
        <v>1336</v>
      </c>
      <c r="J303" s="8" t="s">
        <v>1337</v>
      </c>
      <c r="K303" s="7" t="s">
        <v>1338</v>
      </c>
      <c r="L303" s="7">
        <v>416.51799999999901</v>
      </c>
      <c r="M303" s="7" t="s">
        <v>37</v>
      </c>
      <c r="N303" s="7" t="s">
        <v>37</v>
      </c>
      <c r="O303" s="7" t="s">
        <v>37</v>
      </c>
      <c r="P303" s="7" t="s">
        <v>37</v>
      </c>
      <c r="Q303" s="7" t="s">
        <v>37</v>
      </c>
      <c r="R303" s="7" t="s">
        <v>37</v>
      </c>
      <c r="S303" s="7">
        <v>416.517</v>
      </c>
      <c r="T303" s="7">
        <v>41.651699999999998</v>
      </c>
      <c r="U303" s="7">
        <v>529.11950000000002</v>
      </c>
      <c r="V303" s="7">
        <v>1.2124999999999999</v>
      </c>
      <c r="W303" s="7">
        <v>317.08699999999999</v>
      </c>
      <c r="X303" s="9">
        <v>1.3182567385563999E-11</v>
      </c>
      <c r="Y303" s="7">
        <v>1.556</v>
      </c>
      <c r="Z303" s="7">
        <v>16.63</v>
      </c>
      <c r="AA303" s="7">
        <v>2</v>
      </c>
      <c r="AB303" s="7">
        <v>1.59</v>
      </c>
      <c r="AC303" s="7">
        <v>9.5299999999999994</v>
      </c>
      <c r="AD303" s="7">
        <v>3.3645</v>
      </c>
      <c r="AE303" s="7">
        <v>109</v>
      </c>
      <c r="AF303" s="7">
        <v>111.41800000000001</v>
      </c>
      <c r="AG303" s="7">
        <v>346.81299999999999</v>
      </c>
      <c r="AH303" s="7">
        <v>7.19</v>
      </c>
      <c r="AI303" s="7" t="s">
        <v>37</v>
      </c>
      <c r="AJ303" s="7">
        <v>44.17</v>
      </c>
      <c r="AK303" s="7">
        <v>0</v>
      </c>
      <c r="AL303" s="7">
        <v>50.191000000000003</v>
      </c>
      <c r="AM303" s="7">
        <v>157.95599999999999</v>
      </c>
      <c r="AN303" s="9">
        <v>2.28034E-10</v>
      </c>
      <c r="AO303" s="7" t="s">
        <v>37</v>
      </c>
      <c r="AP303" s="7">
        <v>1.17717297233476E-3</v>
      </c>
      <c r="AQ303" s="7">
        <v>1</v>
      </c>
      <c r="AR303" s="7">
        <v>1</v>
      </c>
      <c r="AS303"/>
    </row>
    <row r="304" spans="1:45" ht="19.5" customHeight="1" x14ac:dyDescent="0.3">
      <c r="A304" s="7" t="s">
        <v>354</v>
      </c>
      <c r="B304" s="7" t="s">
        <v>2080</v>
      </c>
      <c r="C304" s="7">
        <v>30</v>
      </c>
      <c r="D304" s="7">
        <v>275221.02706453903</v>
      </c>
      <c r="E304" s="7">
        <v>330</v>
      </c>
      <c r="F304" s="7">
        <v>58.7443946188341</v>
      </c>
      <c r="G304" s="7" t="s">
        <v>355</v>
      </c>
      <c r="H304" s="7" t="s">
        <v>356</v>
      </c>
      <c r="I304" s="7" t="s">
        <v>357</v>
      </c>
      <c r="J304" s="8" t="s">
        <v>358</v>
      </c>
      <c r="K304" s="7" t="s">
        <v>359</v>
      </c>
      <c r="L304" s="7">
        <v>314.39999999999901</v>
      </c>
      <c r="M304" s="9">
        <v>100000</v>
      </c>
      <c r="N304" s="7" t="s">
        <v>37</v>
      </c>
      <c r="O304" s="7" t="s">
        <v>37</v>
      </c>
      <c r="P304" s="7" t="s">
        <v>37</v>
      </c>
      <c r="Q304" s="7">
        <v>310</v>
      </c>
      <c r="R304" s="7" t="s">
        <v>37</v>
      </c>
      <c r="S304" s="7">
        <v>0.24554999999999999</v>
      </c>
      <c r="T304" s="7">
        <v>2.4555E-2</v>
      </c>
      <c r="U304" s="7">
        <v>393.065</v>
      </c>
      <c r="V304" s="7">
        <v>1.218</v>
      </c>
      <c r="W304" s="7">
        <v>192.09100000000001</v>
      </c>
      <c r="X304" s="9">
        <v>7.0794578438413703E-9</v>
      </c>
      <c r="Y304" s="7">
        <v>1.5589999999999999</v>
      </c>
      <c r="Z304" s="7">
        <v>9.11</v>
      </c>
      <c r="AA304" s="7">
        <v>0.27</v>
      </c>
      <c r="AB304" s="7">
        <v>0.05</v>
      </c>
      <c r="AC304" s="7">
        <v>10.28</v>
      </c>
      <c r="AD304" s="7">
        <v>0.27</v>
      </c>
      <c r="AE304" s="7">
        <v>69.5</v>
      </c>
      <c r="AF304" s="7">
        <v>85.647000000000006</v>
      </c>
      <c r="AG304" s="7">
        <v>265.44600000000003</v>
      </c>
      <c r="AH304" s="7">
        <v>7.57</v>
      </c>
      <c r="AI304" s="7" t="s">
        <v>37</v>
      </c>
      <c r="AJ304" s="7">
        <v>33.953000000000003</v>
      </c>
      <c r="AK304" s="7">
        <v>1</v>
      </c>
      <c r="AL304" s="7">
        <v>45.015999999999998</v>
      </c>
      <c r="AM304" s="7" t="s">
        <v>37</v>
      </c>
      <c r="AN304" s="9">
        <v>1.6681978913844299E-7</v>
      </c>
      <c r="AO304" s="7" t="s">
        <v>37</v>
      </c>
      <c r="AP304" s="7">
        <v>4.4360900000000002E-2</v>
      </c>
      <c r="AQ304" s="7">
        <v>1</v>
      </c>
      <c r="AR304" s="7">
        <v>0</v>
      </c>
      <c r="AS304"/>
    </row>
    <row r="305" spans="1:45" ht="19.5" customHeight="1" x14ac:dyDescent="0.3">
      <c r="A305" s="7" t="s">
        <v>152</v>
      </c>
      <c r="B305" s="7" t="s">
        <v>2080</v>
      </c>
      <c r="C305" s="7">
        <v>5</v>
      </c>
      <c r="D305" s="7">
        <v>1254816.4969599301</v>
      </c>
      <c r="E305" s="7">
        <v>146</v>
      </c>
      <c r="F305" s="7">
        <v>60.322580645161302</v>
      </c>
      <c r="G305" s="7" t="s">
        <v>153</v>
      </c>
      <c r="H305" s="7" t="s">
        <v>154</v>
      </c>
      <c r="I305" s="7" t="s">
        <v>155</v>
      </c>
      <c r="J305" s="8" t="s">
        <v>156</v>
      </c>
      <c r="K305" s="7" t="s">
        <v>157</v>
      </c>
      <c r="L305" s="7">
        <v>427.54500000000002</v>
      </c>
      <c r="M305" s="7" t="s">
        <v>37</v>
      </c>
      <c r="N305" s="7" t="s">
        <v>37</v>
      </c>
      <c r="O305" s="7" t="s">
        <v>37</v>
      </c>
      <c r="P305" s="7" t="s">
        <v>37</v>
      </c>
      <c r="Q305" s="7" t="s">
        <v>37</v>
      </c>
      <c r="R305" s="7" t="s">
        <v>37</v>
      </c>
      <c r="S305" s="7" t="s">
        <v>37</v>
      </c>
      <c r="T305" s="7" t="s">
        <v>37</v>
      </c>
      <c r="U305" s="7">
        <v>518.07500000000005</v>
      </c>
      <c r="V305" s="7">
        <v>1.1639999999999999</v>
      </c>
      <c r="W305" s="7">
        <v>323.05200000000002</v>
      </c>
      <c r="X305" s="9">
        <v>1.38038426460289E-11</v>
      </c>
      <c r="Y305" s="7">
        <v>1.5860000000000001</v>
      </c>
      <c r="Z305" s="7">
        <v>15.99</v>
      </c>
      <c r="AA305" s="7">
        <v>2.48</v>
      </c>
      <c r="AB305" s="7">
        <v>3.1</v>
      </c>
      <c r="AC305" s="7">
        <v>9.6199999999999992</v>
      </c>
      <c r="AD305" s="7">
        <v>2.8125</v>
      </c>
      <c r="AE305" s="7">
        <v>151.93199999999999</v>
      </c>
      <c r="AF305" s="7">
        <v>122.148</v>
      </c>
      <c r="AG305" s="7">
        <v>364.02600000000001</v>
      </c>
      <c r="AH305" s="7" t="s">
        <v>37</v>
      </c>
      <c r="AI305" s="7">
        <v>6.03</v>
      </c>
      <c r="AJ305" s="7">
        <v>48.423000000000002</v>
      </c>
      <c r="AK305" s="7">
        <v>0</v>
      </c>
      <c r="AL305" s="7">
        <v>49.418999999999997</v>
      </c>
      <c r="AM305" s="7" t="s">
        <v>37</v>
      </c>
      <c r="AN305" s="9">
        <v>2.1183599999999999E-11</v>
      </c>
      <c r="AO305" s="7" t="s">
        <v>37</v>
      </c>
      <c r="AP305" s="7">
        <v>1.0417638830084201E-3</v>
      </c>
      <c r="AQ305" s="7">
        <v>1</v>
      </c>
      <c r="AR305" s="7">
        <v>1</v>
      </c>
      <c r="AS305"/>
    </row>
    <row r="306" spans="1:45" ht="19.5" customHeight="1" x14ac:dyDescent="0.3">
      <c r="A306" s="7" t="s">
        <v>1470</v>
      </c>
      <c r="B306" s="7" t="s">
        <v>2080</v>
      </c>
      <c r="C306" s="7">
        <v>30</v>
      </c>
      <c r="D306" s="7">
        <v>2886.7402381576298</v>
      </c>
      <c r="E306" s="7">
        <v>461</v>
      </c>
      <c r="F306" s="7">
        <v>36.9186351706037</v>
      </c>
      <c r="G306" s="7" t="s">
        <v>1471</v>
      </c>
      <c r="H306" s="7" t="s">
        <v>1472</v>
      </c>
      <c r="I306" s="7" t="s">
        <v>1473</v>
      </c>
      <c r="J306" s="8" t="s">
        <v>1474</v>
      </c>
      <c r="K306" s="7" t="s">
        <v>1475</v>
      </c>
      <c r="L306" s="7">
        <v>410.49299999999897</v>
      </c>
      <c r="M306" s="7" t="s">
        <v>37</v>
      </c>
      <c r="N306" s="7" t="s">
        <v>37</v>
      </c>
      <c r="O306" s="7" t="s">
        <v>37</v>
      </c>
      <c r="P306" s="7" t="s">
        <v>37</v>
      </c>
      <c r="Q306" s="7" t="s">
        <v>37</v>
      </c>
      <c r="R306" s="7" t="s">
        <v>37</v>
      </c>
      <c r="S306" s="7" t="s">
        <v>37</v>
      </c>
      <c r="T306" s="7" t="s">
        <v>37</v>
      </c>
      <c r="U306" s="7">
        <v>548</v>
      </c>
      <c r="V306" s="7">
        <v>1.367</v>
      </c>
      <c r="W306" s="7">
        <v>286.79300000000001</v>
      </c>
      <c r="X306" s="9">
        <v>2.81838293126446E-8</v>
      </c>
      <c r="Y306" s="7">
        <v>1.677</v>
      </c>
      <c r="Z306" s="7">
        <v>18.72</v>
      </c>
      <c r="AA306" s="7">
        <v>1.87</v>
      </c>
      <c r="AB306" s="7">
        <v>3.56</v>
      </c>
      <c r="AC306" s="7">
        <v>11.69</v>
      </c>
      <c r="AD306" s="7">
        <v>3.4325000000000001</v>
      </c>
      <c r="AE306" s="7">
        <v>170</v>
      </c>
      <c r="AF306" s="7">
        <v>111.747</v>
      </c>
      <c r="AG306" s="7">
        <v>296.83999999999997</v>
      </c>
      <c r="AH306" s="7" t="s">
        <v>37</v>
      </c>
      <c r="AI306" s="7">
        <v>7.61</v>
      </c>
      <c r="AJ306" s="7">
        <v>44.3</v>
      </c>
      <c r="AK306" s="7">
        <v>0</v>
      </c>
      <c r="AL306" s="7">
        <v>51.106000000000002</v>
      </c>
      <c r="AM306" s="7" t="s">
        <v>37</v>
      </c>
      <c r="AN306" s="9">
        <v>8.6696199999999999E-11</v>
      </c>
      <c r="AO306" s="7" t="s">
        <v>37</v>
      </c>
      <c r="AP306" s="9">
        <v>1.95761E-5</v>
      </c>
      <c r="AQ306" s="7">
        <v>1</v>
      </c>
      <c r="AR306" s="7">
        <v>1</v>
      </c>
      <c r="AS306"/>
    </row>
    <row r="307" spans="1:45" ht="19.5" customHeight="1" x14ac:dyDescent="0.3">
      <c r="A307" s="7" t="s">
        <v>1096</v>
      </c>
      <c r="B307" s="7" t="s">
        <v>2080</v>
      </c>
      <c r="C307" s="7">
        <v>43</v>
      </c>
      <c r="D307" s="7">
        <v>19239.3658718673</v>
      </c>
      <c r="E307" s="7">
        <v>866</v>
      </c>
      <c r="F307" s="7">
        <v>54.780799999999999</v>
      </c>
      <c r="G307" s="7" t="s">
        <v>1097</v>
      </c>
      <c r="H307" s="7" t="s">
        <v>1098</v>
      </c>
      <c r="I307" s="7" t="s">
        <v>1099</v>
      </c>
      <c r="J307" s="8" t="s">
        <v>1100</v>
      </c>
      <c r="K307" s="7" t="s">
        <v>1101</v>
      </c>
      <c r="L307" s="7">
        <v>435.88</v>
      </c>
      <c r="M307" s="7" t="s">
        <v>37</v>
      </c>
      <c r="N307" s="7" t="s">
        <v>37</v>
      </c>
      <c r="O307" s="7" t="s">
        <v>37</v>
      </c>
      <c r="P307" s="7" t="s">
        <v>37</v>
      </c>
      <c r="Q307" s="7" t="s">
        <v>37</v>
      </c>
      <c r="R307" s="7" t="s">
        <v>37</v>
      </c>
      <c r="S307" s="7" t="s">
        <v>37</v>
      </c>
      <c r="T307" s="7" t="s">
        <v>37</v>
      </c>
      <c r="U307" s="7">
        <v>389</v>
      </c>
      <c r="V307" s="7" t="s">
        <v>37</v>
      </c>
      <c r="W307" s="7" t="s">
        <v>37</v>
      </c>
      <c r="X307" s="9">
        <v>2.9512092266663898E-10</v>
      </c>
      <c r="Y307" s="7" t="s">
        <v>37</v>
      </c>
      <c r="Z307" s="7">
        <v>14.57</v>
      </c>
      <c r="AA307" s="7">
        <v>2.0699999999999998</v>
      </c>
      <c r="AB307" s="7">
        <v>2.08</v>
      </c>
      <c r="AC307" s="7">
        <v>10.18</v>
      </c>
      <c r="AD307" s="7">
        <v>2.08</v>
      </c>
      <c r="AE307" s="7">
        <v>164</v>
      </c>
      <c r="AF307" s="7" t="s">
        <v>37</v>
      </c>
      <c r="AG307" s="7" t="s">
        <v>37</v>
      </c>
      <c r="AH307" s="7" t="s">
        <v>37</v>
      </c>
      <c r="AI307" s="7">
        <v>3.94</v>
      </c>
      <c r="AJ307" s="7" t="s">
        <v>37</v>
      </c>
      <c r="AK307" s="7">
        <v>0</v>
      </c>
      <c r="AL307" s="7" t="s">
        <v>37</v>
      </c>
      <c r="AM307" s="7" t="s">
        <v>37</v>
      </c>
      <c r="AN307" s="9">
        <v>1.2589254117941701E-8</v>
      </c>
      <c r="AO307" s="7" t="s">
        <v>37</v>
      </c>
      <c r="AP307" s="9">
        <v>4.0738027780411301E-5</v>
      </c>
      <c r="AQ307" s="7">
        <v>1</v>
      </c>
      <c r="AR307" s="7">
        <v>1</v>
      </c>
      <c r="AS307"/>
    </row>
    <row r="308" spans="1:45" ht="19.5" customHeight="1" x14ac:dyDescent="0.3">
      <c r="A308" s="7" t="s">
        <v>1262</v>
      </c>
      <c r="B308" s="7" t="s">
        <v>2080</v>
      </c>
      <c r="C308" s="7">
        <v>26</v>
      </c>
      <c r="D308" s="7">
        <v>9647.1090772949301</v>
      </c>
      <c r="E308" s="7">
        <v>290</v>
      </c>
      <c r="F308" s="7">
        <v>15.2465753424658</v>
      </c>
      <c r="G308" s="7" t="s">
        <v>1263</v>
      </c>
      <c r="H308" s="7" t="s">
        <v>1264</v>
      </c>
      <c r="I308" s="7" t="s">
        <v>1265</v>
      </c>
      <c r="J308" s="8" t="s">
        <v>1266</v>
      </c>
      <c r="K308" s="7" t="s">
        <v>1267</v>
      </c>
      <c r="L308" s="7">
        <v>269.35199999999901</v>
      </c>
      <c r="M308" s="7" t="s">
        <v>37</v>
      </c>
      <c r="N308" s="7" t="s">
        <v>37</v>
      </c>
      <c r="O308" s="7" t="s">
        <v>37</v>
      </c>
      <c r="P308" s="7" t="s">
        <v>37</v>
      </c>
      <c r="Q308" s="7" t="s">
        <v>37</v>
      </c>
      <c r="R308" s="7" t="s">
        <v>37</v>
      </c>
      <c r="S308" s="7" t="s">
        <v>37</v>
      </c>
      <c r="T308" s="7" t="s">
        <v>37</v>
      </c>
      <c r="U308" s="7">
        <v>417.36250000000001</v>
      </c>
      <c r="V308" s="7">
        <v>1.236</v>
      </c>
      <c r="W308" s="7">
        <v>267.76499999999999</v>
      </c>
      <c r="X308" s="9">
        <v>4.0738027780411201E-10</v>
      </c>
      <c r="Y308" s="7">
        <v>1.6459999999999999</v>
      </c>
      <c r="Z308" s="7">
        <v>9.85</v>
      </c>
      <c r="AA308" s="7">
        <v>0.93</v>
      </c>
      <c r="AB308" s="7">
        <v>1.59</v>
      </c>
      <c r="AC308" s="7">
        <v>11.32</v>
      </c>
      <c r="AD308" s="7">
        <v>1.5249999999999999</v>
      </c>
      <c r="AE308" s="7">
        <v>179</v>
      </c>
      <c r="AF308" s="7">
        <v>80.730999999999995</v>
      </c>
      <c r="AG308" s="7">
        <v>222.54900000000001</v>
      </c>
      <c r="AH308" s="7" t="s">
        <v>37</v>
      </c>
      <c r="AI308" s="7">
        <v>6.08</v>
      </c>
      <c r="AJ308" s="7">
        <v>32.003999999999998</v>
      </c>
      <c r="AK308" s="7">
        <v>0</v>
      </c>
      <c r="AL308" s="7">
        <v>46.646999999999998</v>
      </c>
      <c r="AM308" s="7" t="s">
        <v>37</v>
      </c>
      <c r="AN308" s="9">
        <v>4.5603699999999996E-9</v>
      </c>
      <c r="AO308" s="7" t="s">
        <v>37</v>
      </c>
      <c r="AP308" s="7">
        <v>3.2552524999999999E-3</v>
      </c>
      <c r="AQ308" s="7">
        <v>1</v>
      </c>
      <c r="AR308" s="7">
        <v>0</v>
      </c>
      <c r="AS308"/>
    </row>
    <row r="309" spans="1:45" ht="19.5" customHeight="1" x14ac:dyDescent="0.3">
      <c r="A309" s="7" t="s">
        <v>1518</v>
      </c>
      <c r="B309" s="7" t="s">
        <v>2080</v>
      </c>
      <c r="C309" s="7">
        <v>10</v>
      </c>
      <c r="D309" s="7">
        <v>1811.2838456115101</v>
      </c>
      <c r="E309" s="7">
        <v>405</v>
      </c>
      <c r="F309" s="7">
        <v>65.84</v>
      </c>
      <c r="G309" s="7" t="s">
        <v>1519</v>
      </c>
      <c r="H309" s="7" t="s">
        <v>1520</v>
      </c>
      <c r="I309" s="7" t="s">
        <v>1521</v>
      </c>
      <c r="J309" s="8" t="s">
        <v>1522</v>
      </c>
      <c r="K309" s="7" t="s">
        <v>277</v>
      </c>
      <c r="L309" s="7">
        <v>260.38099999999901</v>
      </c>
      <c r="M309" s="7" t="s">
        <v>37</v>
      </c>
      <c r="N309" s="7" t="s">
        <v>37</v>
      </c>
      <c r="O309" s="7" t="s">
        <v>37</v>
      </c>
      <c r="P309" s="7" t="s">
        <v>37</v>
      </c>
      <c r="Q309" s="7" t="s">
        <v>37</v>
      </c>
      <c r="R309" s="7" t="s">
        <v>37</v>
      </c>
      <c r="S309" s="7" t="s">
        <v>37</v>
      </c>
      <c r="T309" s="7" t="s">
        <v>37</v>
      </c>
      <c r="U309" s="7">
        <v>383.59300000000002</v>
      </c>
      <c r="V309" s="7">
        <v>1.0654999999999999</v>
      </c>
      <c r="W309" s="7">
        <v>209.66499999999999</v>
      </c>
      <c r="X309" s="9">
        <v>1.0000000000000001E-9</v>
      </c>
      <c r="Y309" s="7">
        <v>1.5389999999999999</v>
      </c>
      <c r="Z309" s="7">
        <v>15.52</v>
      </c>
      <c r="AA309" s="7">
        <v>1.81</v>
      </c>
      <c r="AB309" s="7">
        <v>2.66</v>
      </c>
      <c r="AC309" s="7">
        <v>11.4</v>
      </c>
      <c r="AD309" s="7">
        <v>2.7</v>
      </c>
      <c r="AE309" s="7">
        <v>246.5</v>
      </c>
      <c r="AF309" s="7">
        <v>78.361999999999995</v>
      </c>
      <c r="AG309" s="7">
        <v>250.166</v>
      </c>
      <c r="AH309" s="7" t="s">
        <v>37</v>
      </c>
      <c r="AI309" s="7">
        <v>6.33</v>
      </c>
      <c r="AJ309" s="7">
        <v>31.065000000000001</v>
      </c>
      <c r="AK309" s="7">
        <v>0</v>
      </c>
      <c r="AL309" s="7">
        <v>40.473999999999997</v>
      </c>
      <c r="AM309" s="7">
        <v>157.80500000000001</v>
      </c>
      <c r="AN309" s="9">
        <v>6.0100000000000005E-7</v>
      </c>
      <c r="AO309" s="7">
        <v>83.945999999999998</v>
      </c>
      <c r="AP309" s="7">
        <v>3.74041694616788E-4</v>
      </c>
      <c r="AQ309" s="7">
        <v>1</v>
      </c>
      <c r="AR309" s="7">
        <v>1</v>
      </c>
      <c r="AS309"/>
    </row>
    <row r="310" spans="1:45" ht="19.5" customHeight="1" x14ac:dyDescent="0.3">
      <c r="A310" s="7" t="s">
        <v>1137</v>
      </c>
      <c r="B310" s="7" t="s">
        <v>2080</v>
      </c>
      <c r="C310" s="7">
        <v>90</v>
      </c>
      <c r="D310" s="7">
        <v>17474.747893915501</v>
      </c>
      <c r="E310" s="7">
        <v>2685</v>
      </c>
      <c r="F310" s="7">
        <v>67.059147869674206</v>
      </c>
      <c r="G310" s="7" t="s">
        <v>1138</v>
      </c>
      <c r="H310" s="7" t="s">
        <v>1139</v>
      </c>
      <c r="I310" s="7" t="s">
        <v>1140</v>
      </c>
      <c r="J310" s="8" t="s">
        <v>1141</v>
      </c>
      <c r="K310" s="7" t="s">
        <v>1142</v>
      </c>
      <c r="L310" s="7">
        <v>481.54</v>
      </c>
      <c r="M310" s="7" t="s">
        <v>37</v>
      </c>
      <c r="N310" s="7" t="s">
        <v>37</v>
      </c>
      <c r="O310" s="7" t="s">
        <v>37</v>
      </c>
      <c r="P310" s="7" t="s">
        <v>37</v>
      </c>
      <c r="Q310" s="7" t="s">
        <v>37</v>
      </c>
      <c r="R310" s="7" t="s">
        <v>37</v>
      </c>
      <c r="S310" s="7">
        <v>481.53899999999999</v>
      </c>
      <c r="T310" s="7">
        <v>48.1539</v>
      </c>
      <c r="U310" s="7">
        <v>559.80600000000004</v>
      </c>
      <c r="V310" s="7">
        <v>1.4165000000000001</v>
      </c>
      <c r="W310" s="7">
        <v>345.17149999999998</v>
      </c>
      <c r="X310" s="9">
        <v>1.3182567385563999E-11</v>
      </c>
      <c r="Y310" s="7">
        <v>1.5980000000000001</v>
      </c>
      <c r="Z310" s="7">
        <v>12.36</v>
      </c>
      <c r="AA310" s="7">
        <v>2.5299999999999998</v>
      </c>
      <c r="AB310" s="7">
        <v>2.5299999999999998</v>
      </c>
      <c r="AC310" s="7">
        <v>9.41</v>
      </c>
      <c r="AD310" s="7">
        <v>1.359</v>
      </c>
      <c r="AE310" s="7">
        <v>204.2825</v>
      </c>
      <c r="AF310" s="7">
        <v>119.98399999999999</v>
      </c>
      <c r="AG310" s="7">
        <v>351.86399999999998</v>
      </c>
      <c r="AH310" s="7">
        <v>9.89</v>
      </c>
      <c r="AI310" s="7">
        <v>1.7</v>
      </c>
      <c r="AJ310" s="7">
        <v>47.564999999999998</v>
      </c>
      <c r="AK310" s="7">
        <v>0</v>
      </c>
      <c r="AL310" s="7">
        <v>62.268999999999998</v>
      </c>
      <c r="AM310" s="7" t="s">
        <v>37</v>
      </c>
      <c r="AN310" s="9">
        <v>2.4043600000000002E-10</v>
      </c>
      <c r="AO310" s="7" t="s">
        <v>37</v>
      </c>
      <c r="AP310" s="9">
        <v>5.8076399999999998E-5</v>
      </c>
      <c r="AQ310" s="7">
        <v>1</v>
      </c>
      <c r="AR310" s="7">
        <v>0</v>
      </c>
      <c r="AS310"/>
    </row>
    <row r="311" spans="1:45" ht="19.5" customHeight="1" x14ac:dyDescent="0.3">
      <c r="A311" s="7" t="s">
        <v>1684</v>
      </c>
      <c r="B311" s="7" t="s">
        <v>2089</v>
      </c>
      <c r="C311" s="7">
        <v>0</v>
      </c>
      <c r="D311" s="7">
        <v>43.733333333333299</v>
      </c>
      <c r="E311" s="7">
        <v>23</v>
      </c>
      <c r="F311" s="7">
        <v>90</v>
      </c>
      <c r="G311" s="7" t="s">
        <v>1685</v>
      </c>
      <c r="H311" s="7" t="s">
        <v>1686</v>
      </c>
      <c r="I311" s="7" t="s">
        <v>1687</v>
      </c>
      <c r="J311" s="8" t="s">
        <v>1688</v>
      </c>
      <c r="K311" s="7" t="s">
        <v>1592</v>
      </c>
      <c r="L311" s="7">
        <v>415.57400000000001</v>
      </c>
      <c r="M311" s="7" t="s">
        <v>37</v>
      </c>
      <c r="N311" s="7" t="s">
        <v>37</v>
      </c>
      <c r="O311" s="7" t="s">
        <v>37</v>
      </c>
      <c r="P311" s="7" t="s">
        <v>37</v>
      </c>
      <c r="Q311" s="7" t="s">
        <v>37</v>
      </c>
      <c r="R311" s="7" t="s">
        <v>37</v>
      </c>
      <c r="S311" s="7" t="s">
        <v>37</v>
      </c>
      <c r="T311" s="7" t="s">
        <v>37</v>
      </c>
      <c r="U311" s="7">
        <v>603</v>
      </c>
      <c r="V311" s="7">
        <v>1.1134999999999999</v>
      </c>
      <c r="W311" s="7">
        <v>308.1465</v>
      </c>
      <c r="X311" s="9">
        <v>6.7608297539198201E-12</v>
      </c>
      <c r="Y311" s="7">
        <v>1.5660000000000001</v>
      </c>
      <c r="Z311" s="7">
        <v>25.47</v>
      </c>
      <c r="AA311" s="7">
        <v>-0.36</v>
      </c>
      <c r="AB311" s="7">
        <v>1.54</v>
      </c>
      <c r="AC311" s="7">
        <v>9.44</v>
      </c>
      <c r="AD311" s="7">
        <v>3.6684999999999999</v>
      </c>
      <c r="AE311" s="7">
        <v>76.125</v>
      </c>
      <c r="AF311" s="7">
        <v>121.82899999999999</v>
      </c>
      <c r="AG311" s="7">
        <v>373.69900000000001</v>
      </c>
      <c r="AH311" s="7">
        <v>9.68</v>
      </c>
      <c r="AI311" s="7">
        <v>9.02</v>
      </c>
      <c r="AJ311" s="7">
        <v>48.296999999999997</v>
      </c>
      <c r="AK311" s="7">
        <v>0</v>
      </c>
      <c r="AL311" s="7">
        <v>48.5075</v>
      </c>
      <c r="AM311" s="7">
        <v>181.52600000000001</v>
      </c>
      <c r="AN311" s="9">
        <v>4.57088E-10</v>
      </c>
      <c r="AO311" s="7">
        <v>101.85899999999999</v>
      </c>
      <c r="AP311" s="9">
        <v>6.7521898545946801E-5</v>
      </c>
      <c r="AQ311" s="7">
        <v>1</v>
      </c>
      <c r="AR311" s="7">
        <v>0</v>
      </c>
      <c r="AS311"/>
    </row>
    <row r="312" spans="1:45" ht="19.5" customHeight="1" x14ac:dyDescent="0.3">
      <c r="A312" s="7" t="s">
        <v>1635</v>
      </c>
      <c r="B312" s="7" t="s">
        <v>2080</v>
      </c>
      <c r="C312" s="7">
        <v>100</v>
      </c>
      <c r="D312" s="7">
        <v>8626.1600753673192</v>
      </c>
      <c r="E312" s="7">
        <v>14</v>
      </c>
      <c r="F312" s="7">
        <v>39.712025316455701</v>
      </c>
      <c r="G312" s="7" t="s">
        <v>1636</v>
      </c>
      <c r="H312" s="7" t="s">
        <v>1637</v>
      </c>
      <c r="I312" s="7" t="s">
        <v>1638</v>
      </c>
      <c r="J312" s="8" t="s">
        <v>1639</v>
      </c>
      <c r="K312" s="7" t="s">
        <v>1640</v>
      </c>
      <c r="L312" s="7">
        <v>4113.6409999999896</v>
      </c>
      <c r="M312" s="7" t="s">
        <v>37</v>
      </c>
      <c r="N312" s="7" t="s">
        <v>37</v>
      </c>
      <c r="O312" s="7" t="s">
        <v>37</v>
      </c>
      <c r="P312" s="7" t="s">
        <v>37</v>
      </c>
      <c r="Q312" s="7" t="s">
        <v>37</v>
      </c>
      <c r="R312" s="7" t="s">
        <v>37</v>
      </c>
      <c r="S312" s="7" t="s">
        <v>37</v>
      </c>
      <c r="T312" s="7" t="s">
        <v>37</v>
      </c>
      <c r="U312" s="7" t="s">
        <v>37</v>
      </c>
      <c r="V312" s="7" t="s">
        <v>37</v>
      </c>
      <c r="W312" s="7" t="s">
        <v>37</v>
      </c>
      <c r="X312" s="7" t="s">
        <v>37</v>
      </c>
      <c r="Y312" s="7" t="s">
        <v>37</v>
      </c>
      <c r="Z312" s="7" t="s">
        <v>37</v>
      </c>
      <c r="AA312" s="7" t="s">
        <v>37</v>
      </c>
      <c r="AB312" s="7" t="s">
        <v>37</v>
      </c>
      <c r="AC312" s="7" t="s">
        <v>37</v>
      </c>
      <c r="AD312" s="7" t="s">
        <v>37</v>
      </c>
      <c r="AE312" s="7" t="s">
        <v>37</v>
      </c>
      <c r="AF312" s="7" t="s">
        <v>37</v>
      </c>
      <c r="AG312" s="7" t="s">
        <v>37</v>
      </c>
      <c r="AH312" s="7" t="s">
        <v>37</v>
      </c>
      <c r="AI312" s="7" t="s">
        <v>37</v>
      </c>
      <c r="AJ312" s="7" t="s">
        <v>37</v>
      </c>
      <c r="AK312" s="7" t="s">
        <v>37</v>
      </c>
      <c r="AL312" s="7" t="s">
        <v>37</v>
      </c>
      <c r="AM312" s="7" t="s">
        <v>37</v>
      </c>
      <c r="AN312" s="7" t="s">
        <v>37</v>
      </c>
      <c r="AO312" s="7" t="s">
        <v>37</v>
      </c>
      <c r="AP312" s="7" t="s">
        <v>37</v>
      </c>
      <c r="AQ312" s="7">
        <v>1</v>
      </c>
      <c r="AR312" s="7">
        <v>1</v>
      </c>
      <c r="AS312"/>
    </row>
    <row r="313" spans="1:45" ht="19.5" customHeight="1" x14ac:dyDescent="0.3">
      <c r="A313" s="7" t="s">
        <v>1635</v>
      </c>
      <c r="B313" s="7" t="s">
        <v>2153</v>
      </c>
      <c r="C313" s="7">
        <v>100</v>
      </c>
      <c r="D313" s="7">
        <v>216.18244889479499</v>
      </c>
      <c r="E313" s="7">
        <v>419</v>
      </c>
      <c r="F313" s="7">
        <v>45.287876499199399</v>
      </c>
      <c r="G313" s="7" t="s">
        <v>1636</v>
      </c>
      <c r="H313" s="7" t="s">
        <v>1637</v>
      </c>
      <c r="I313" s="7" t="s">
        <v>1638</v>
      </c>
      <c r="J313" s="8" t="s">
        <v>1639</v>
      </c>
      <c r="K313" s="7" t="s">
        <v>1640</v>
      </c>
      <c r="L313" s="7">
        <v>4113.6409999999896</v>
      </c>
      <c r="M313" s="7" t="s">
        <v>37</v>
      </c>
      <c r="N313" s="7" t="s">
        <v>37</v>
      </c>
      <c r="O313" s="7" t="s">
        <v>37</v>
      </c>
      <c r="P313" s="7" t="s">
        <v>37</v>
      </c>
      <c r="Q313" s="7" t="s">
        <v>37</v>
      </c>
      <c r="R313" s="7" t="s">
        <v>37</v>
      </c>
      <c r="S313" s="7" t="s">
        <v>37</v>
      </c>
      <c r="T313" s="7" t="s">
        <v>37</v>
      </c>
      <c r="U313" s="7" t="s">
        <v>37</v>
      </c>
      <c r="V313" s="7" t="s">
        <v>37</v>
      </c>
      <c r="W313" s="7" t="s">
        <v>37</v>
      </c>
      <c r="X313" s="7" t="s">
        <v>37</v>
      </c>
      <c r="Y313" s="7" t="s">
        <v>37</v>
      </c>
      <c r="Z313" s="7" t="s">
        <v>37</v>
      </c>
      <c r="AA313" s="7" t="s">
        <v>37</v>
      </c>
      <c r="AB313" s="7" t="s">
        <v>37</v>
      </c>
      <c r="AC313" s="7" t="s">
        <v>37</v>
      </c>
      <c r="AD313" s="7" t="s">
        <v>37</v>
      </c>
      <c r="AE313" s="7" t="s">
        <v>37</v>
      </c>
      <c r="AF313" s="7" t="s">
        <v>37</v>
      </c>
      <c r="AG313" s="7" t="s">
        <v>37</v>
      </c>
      <c r="AH313" s="7" t="s">
        <v>37</v>
      </c>
      <c r="AI313" s="7" t="s">
        <v>37</v>
      </c>
      <c r="AJ313" s="7" t="s">
        <v>37</v>
      </c>
      <c r="AK313" s="7" t="s">
        <v>37</v>
      </c>
      <c r="AL313" s="7" t="s">
        <v>37</v>
      </c>
      <c r="AM313" s="7" t="s">
        <v>37</v>
      </c>
      <c r="AN313" s="7" t="s">
        <v>37</v>
      </c>
      <c r="AO313" s="7" t="s">
        <v>37</v>
      </c>
      <c r="AP313" s="7" t="s">
        <v>37</v>
      </c>
      <c r="AQ313" s="7">
        <v>1</v>
      </c>
      <c r="AR313" s="7">
        <v>1</v>
      </c>
      <c r="AS313"/>
    </row>
    <row r="314" spans="1:45" ht="19.5" customHeight="1" x14ac:dyDescent="0.3">
      <c r="A314" s="7" t="s">
        <v>1005</v>
      </c>
      <c r="B314" s="7" t="s">
        <v>2080</v>
      </c>
      <c r="C314" s="7">
        <v>100</v>
      </c>
      <c r="D314" s="7">
        <v>25651.3629842181</v>
      </c>
      <c r="E314" s="7">
        <v>82</v>
      </c>
      <c r="F314" s="7">
        <v>37.317073170731703</v>
      </c>
      <c r="G314" s="7" t="s">
        <v>37</v>
      </c>
      <c r="H314" s="7" t="s">
        <v>37</v>
      </c>
      <c r="I314" s="7" t="s">
        <v>37</v>
      </c>
      <c r="J314" s="7" t="s">
        <v>37</v>
      </c>
      <c r="K314" s="7" t="s">
        <v>37</v>
      </c>
      <c r="L314" s="7" t="s">
        <v>37</v>
      </c>
      <c r="M314" s="7" t="s">
        <v>37</v>
      </c>
      <c r="N314" s="7" t="s">
        <v>37</v>
      </c>
      <c r="O314" s="7" t="s">
        <v>37</v>
      </c>
      <c r="P314" s="7" t="s">
        <v>37</v>
      </c>
      <c r="Q314" s="7" t="s">
        <v>37</v>
      </c>
      <c r="R314" s="7" t="s">
        <v>37</v>
      </c>
      <c r="S314" s="7" t="s">
        <v>37</v>
      </c>
      <c r="T314" s="7" t="s">
        <v>37</v>
      </c>
      <c r="U314" s="7" t="s">
        <v>37</v>
      </c>
      <c r="V314" s="7" t="s">
        <v>37</v>
      </c>
      <c r="W314" s="7" t="s">
        <v>37</v>
      </c>
      <c r="X314" s="7" t="s">
        <v>37</v>
      </c>
      <c r="Y314" s="7" t="s">
        <v>37</v>
      </c>
      <c r="Z314" s="7" t="s">
        <v>37</v>
      </c>
      <c r="AA314" s="7" t="s">
        <v>37</v>
      </c>
      <c r="AB314" s="7" t="s">
        <v>37</v>
      </c>
      <c r="AC314" s="7" t="s">
        <v>37</v>
      </c>
      <c r="AD314" s="7" t="s">
        <v>37</v>
      </c>
      <c r="AE314" s="7" t="s">
        <v>37</v>
      </c>
      <c r="AF314" s="7" t="s">
        <v>37</v>
      </c>
      <c r="AG314" s="7" t="s">
        <v>37</v>
      </c>
      <c r="AH314" s="7" t="s">
        <v>37</v>
      </c>
      <c r="AI314" s="7" t="s">
        <v>37</v>
      </c>
      <c r="AJ314" s="7" t="s">
        <v>37</v>
      </c>
      <c r="AK314" s="7" t="s">
        <v>37</v>
      </c>
      <c r="AL314" s="7" t="s">
        <v>37</v>
      </c>
      <c r="AM314" s="7" t="s">
        <v>37</v>
      </c>
      <c r="AN314" s="7" t="s">
        <v>37</v>
      </c>
      <c r="AO314" s="7" t="s">
        <v>37</v>
      </c>
      <c r="AP314" s="7" t="s">
        <v>37</v>
      </c>
      <c r="AQ314" s="7" t="s">
        <v>37</v>
      </c>
      <c r="AR314" s="7" t="s">
        <v>37</v>
      </c>
      <c r="AS314"/>
    </row>
    <row r="315" spans="1:45" ht="19.5" customHeight="1" x14ac:dyDescent="0.3">
      <c r="A315" s="7" t="s">
        <v>623</v>
      </c>
      <c r="B315" s="7" t="s">
        <v>2080</v>
      </c>
      <c r="C315" s="7">
        <v>14</v>
      </c>
      <c r="D315" s="7">
        <v>100575.446481201</v>
      </c>
      <c r="E315" s="7">
        <v>3200</v>
      </c>
      <c r="F315" s="7">
        <v>53.173034694773797</v>
      </c>
      <c r="G315" s="7" t="s">
        <v>624</v>
      </c>
      <c r="H315" s="7" t="s">
        <v>625</v>
      </c>
      <c r="I315" s="7" t="s">
        <v>626</v>
      </c>
      <c r="J315" s="8" t="s">
        <v>627</v>
      </c>
      <c r="K315" s="7" t="s">
        <v>628</v>
      </c>
      <c r="L315" s="7">
        <v>306.23</v>
      </c>
      <c r="M315" s="7">
        <v>537.51</v>
      </c>
      <c r="N315" s="7" t="s">
        <v>37</v>
      </c>
      <c r="O315" s="7">
        <v>191</v>
      </c>
      <c r="P315" s="7">
        <v>14.3</v>
      </c>
      <c r="Q315" s="7">
        <v>32</v>
      </c>
      <c r="R315" s="7">
        <v>50</v>
      </c>
      <c r="S315" s="7" t="s">
        <v>37</v>
      </c>
      <c r="T315" s="7" t="s">
        <v>37</v>
      </c>
      <c r="U315" s="7">
        <v>381.21</v>
      </c>
      <c r="V315" s="7">
        <v>1.2284999999999999</v>
      </c>
      <c r="W315" s="7">
        <v>205.01150000000001</v>
      </c>
      <c r="X315" s="9">
        <v>6.4565422903465505E-5</v>
      </c>
      <c r="Y315" s="7">
        <v>1.621</v>
      </c>
      <c r="Z315" s="7">
        <v>22.74</v>
      </c>
      <c r="AA315" s="7">
        <v>2.15</v>
      </c>
      <c r="AB315" s="7">
        <v>3.98</v>
      </c>
      <c r="AC315" s="7">
        <v>11.44</v>
      </c>
      <c r="AD315" s="7">
        <v>4.9755000000000003</v>
      </c>
      <c r="AE315" s="7">
        <v>244</v>
      </c>
      <c r="AF315" s="7">
        <v>85.825999999999993</v>
      </c>
      <c r="AG315" s="7">
        <v>243.92699999999999</v>
      </c>
      <c r="AH315" s="7" t="s">
        <v>37</v>
      </c>
      <c r="AI315" s="7">
        <v>8.16</v>
      </c>
      <c r="AJ315" s="7">
        <v>34.024000000000001</v>
      </c>
      <c r="AK315" s="7">
        <v>0</v>
      </c>
      <c r="AL315" s="7">
        <v>48.875</v>
      </c>
      <c r="AM315" s="7">
        <v>136.459</v>
      </c>
      <c r="AN315" s="9">
        <v>3.31131121482591E-7</v>
      </c>
      <c r="AO315" s="7">
        <v>44.874499999999998</v>
      </c>
      <c r="AP315" s="9">
        <v>1.4800000000000001E-5</v>
      </c>
      <c r="AQ315" s="7">
        <v>1</v>
      </c>
      <c r="AR315" s="7">
        <v>0</v>
      </c>
      <c r="AS315"/>
    </row>
    <row r="316" spans="1:45" ht="19.5" customHeight="1" x14ac:dyDescent="0.3">
      <c r="A316" s="7" t="s">
        <v>880</v>
      </c>
      <c r="B316" s="7" t="s">
        <v>2080</v>
      </c>
      <c r="C316" s="7">
        <v>0</v>
      </c>
      <c r="D316" s="7">
        <v>36244.466039742503</v>
      </c>
      <c r="E316" s="7">
        <v>294</v>
      </c>
      <c r="F316" s="7">
        <v>38.189573459715596</v>
      </c>
      <c r="G316" s="7" t="s">
        <v>881</v>
      </c>
      <c r="H316" s="7" t="s">
        <v>882</v>
      </c>
      <c r="I316" s="7" t="s">
        <v>883</v>
      </c>
      <c r="J316" s="8" t="s">
        <v>884</v>
      </c>
      <c r="K316" s="7" t="s">
        <v>885</v>
      </c>
      <c r="L316" s="7">
        <v>474.58</v>
      </c>
      <c r="M316" s="7" t="s">
        <v>37</v>
      </c>
      <c r="N316" s="7" t="s">
        <v>37</v>
      </c>
      <c r="O316" s="7" t="s">
        <v>37</v>
      </c>
      <c r="P316" s="7" t="s">
        <v>37</v>
      </c>
      <c r="Q316" s="7" t="s">
        <v>37</v>
      </c>
      <c r="R316" s="7" t="s">
        <v>37</v>
      </c>
      <c r="S316" s="7" t="s">
        <v>37</v>
      </c>
      <c r="T316" s="7" t="s">
        <v>37</v>
      </c>
      <c r="U316" s="7">
        <v>536.85500000000002</v>
      </c>
      <c r="V316" s="7">
        <v>1.3779999999999999</v>
      </c>
      <c r="W316" s="7">
        <v>344.80700000000002</v>
      </c>
      <c r="X316" s="9">
        <v>1.2882495516931299E-11</v>
      </c>
      <c r="Y316" s="7">
        <v>1.665</v>
      </c>
      <c r="Z316" s="7">
        <v>9.9499999999999993</v>
      </c>
      <c r="AA316" s="7">
        <v>-2.6</v>
      </c>
      <c r="AB316" s="7">
        <v>-0.7</v>
      </c>
      <c r="AC316" s="7">
        <v>10.26</v>
      </c>
      <c r="AD316" s="7">
        <v>2.75</v>
      </c>
      <c r="AE316" s="7">
        <v>189.5</v>
      </c>
      <c r="AF316" s="7">
        <v>126.026</v>
      </c>
      <c r="AG316" s="7">
        <v>339.43799999999999</v>
      </c>
      <c r="AH316" s="7" t="s">
        <v>37</v>
      </c>
      <c r="AI316" s="7">
        <v>10.85</v>
      </c>
      <c r="AJ316" s="7">
        <v>49.960999999999999</v>
      </c>
      <c r="AK316" s="7">
        <v>0</v>
      </c>
      <c r="AL316" s="7">
        <v>54.470999999999997</v>
      </c>
      <c r="AM316" s="7" t="s">
        <v>37</v>
      </c>
      <c r="AN316" s="9">
        <v>2.0770192806960101E-9</v>
      </c>
      <c r="AO316" s="7" t="s">
        <v>37</v>
      </c>
      <c r="AP316" s="9">
        <v>2.19121E-5</v>
      </c>
      <c r="AQ316" s="7">
        <v>1</v>
      </c>
      <c r="AR316" s="7">
        <v>1</v>
      </c>
      <c r="AS316"/>
    </row>
    <row r="317" spans="1:45" ht="19.5" customHeight="1" x14ac:dyDescent="0.3">
      <c r="A317" s="7" t="s">
        <v>2217</v>
      </c>
      <c r="B317" s="7" t="s">
        <v>2083</v>
      </c>
      <c r="C317" s="7">
        <v>100</v>
      </c>
      <c r="D317" s="7">
        <v>5672278.1557067297</v>
      </c>
      <c r="E317" s="7">
        <v>35</v>
      </c>
      <c r="F317" s="7">
        <v>21.6</v>
      </c>
      <c r="G317" s="7" t="s">
        <v>2218</v>
      </c>
      <c r="H317" s="7" t="s">
        <v>2219</v>
      </c>
      <c r="I317" s="7" t="s">
        <v>2220</v>
      </c>
      <c r="J317" s="7" t="s">
        <v>2221</v>
      </c>
      <c r="K317" s="7" t="s">
        <v>2222</v>
      </c>
      <c r="L317" s="7">
        <v>357.14</v>
      </c>
      <c r="M317" s="7" t="s">
        <v>37</v>
      </c>
      <c r="N317" s="7" t="s">
        <v>37</v>
      </c>
      <c r="O317" s="7" t="s">
        <v>37</v>
      </c>
      <c r="P317" s="7" t="s">
        <v>37</v>
      </c>
      <c r="Q317" s="7" t="s">
        <v>37</v>
      </c>
      <c r="R317" s="7" t="s">
        <v>37</v>
      </c>
      <c r="S317" s="7" t="s">
        <v>37</v>
      </c>
      <c r="T317" s="7" t="s">
        <v>37</v>
      </c>
      <c r="U317" s="7">
        <v>332</v>
      </c>
      <c r="V317" s="7">
        <v>1.464</v>
      </c>
      <c r="W317" s="7">
        <v>265.36200000000002</v>
      </c>
      <c r="X317" s="9">
        <v>7.0794578438413701E-11</v>
      </c>
      <c r="Y317" s="7" t="s">
        <v>37</v>
      </c>
      <c r="Z317" s="7">
        <v>5.79</v>
      </c>
      <c r="AA317" s="7">
        <v>-2.69</v>
      </c>
      <c r="AB317" s="7">
        <v>-2.65</v>
      </c>
      <c r="AC317" s="7">
        <v>8.15</v>
      </c>
      <c r="AD317" s="7">
        <v>-2.65</v>
      </c>
      <c r="AE317" s="7">
        <v>205.77250000000001</v>
      </c>
      <c r="AF317" s="7" t="s">
        <v>37</v>
      </c>
      <c r="AG317" s="7" t="s">
        <v>37</v>
      </c>
      <c r="AH317" s="7" t="s">
        <v>37</v>
      </c>
      <c r="AI317" s="7">
        <v>4.5199999999999996</v>
      </c>
      <c r="AJ317" s="7" t="s">
        <v>37</v>
      </c>
      <c r="AK317" s="7">
        <v>0</v>
      </c>
      <c r="AL317" s="7" t="s">
        <v>37</v>
      </c>
      <c r="AM317" s="7" t="s">
        <v>37</v>
      </c>
      <c r="AN317" s="9">
        <v>3.0876980811974801E-9</v>
      </c>
      <c r="AO317" s="7" t="s">
        <v>37</v>
      </c>
      <c r="AP317" s="7">
        <v>9.7157867224009601E-4</v>
      </c>
      <c r="AQ317" s="7">
        <v>0</v>
      </c>
      <c r="AR317" s="7" t="s">
        <v>37</v>
      </c>
      <c r="AS317"/>
    </row>
    <row r="318" spans="1:45" ht="19.5" customHeight="1" x14ac:dyDescent="0.3">
      <c r="A318" s="7" t="s">
        <v>1012</v>
      </c>
      <c r="B318" s="7" t="s">
        <v>2080</v>
      </c>
      <c r="C318" s="7">
        <v>30</v>
      </c>
      <c r="D318" s="7">
        <v>25392.729658543602</v>
      </c>
      <c r="E318" s="7">
        <v>3445</v>
      </c>
      <c r="F318" s="7">
        <v>75.570635936833099</v>
      </c>
      <c r="G318" s="7" t="s">
        <v>1013</v>
      </c>
      <c r="H318" s="7" t="s">
        <v>1014</v>
      </c>
      <c r="I318" s="7" t="s">
        <v>1015</v>
      </c>
      <c r="J318" s="8" t="s">
        <v>1016</v>
      </c>
      <c r="K318" s="7" t="s">
        <v>1017</v>
      </c>
      <c r="L318" s="7">
        <v>418.57400000000001</v>
      </c>
      <c r="M318" s="7" t="s">
        <v>37</v>
      </c>
      <c r="N318" s="7" t="s">
        <v>37</v>
      </c>
      <c r="O318" s="7">
        <v>2680</v>
      </c>
      <c r="P318" s="7">
        <v>268</v>
      </c>
      <c r="Q318" s="7">
        <v>1.6</v>
      </c>
      <c r="R318" s="7">
        <v>6250</v>
      </c>
      <c r="S318" s="7">
        <v>1250</v>
      </c>
      <c r="T318" s="7">
        <v>1.6742900000000001</v>
      </c>
      <c r="U318" s="7">
        <v>478.72800000000001</v>
      </c>
      <c r="V318" s="7">
        <v>1.1180000000000001</v>
      </c>
      <c r="W318" s="7">
        <v>212.5915</v>
      </c>
      <c r="X318" s="9">
        <v>3.5481338923357498E-8</v>
      </c>
      <c r="Y318" s="7">
        <v>1.53</v>
      </c>
      <c r="Z318" s="7">
        <v>23.68</v>
      </c>
      <c r="AA318" s="7">
        <v>1.85</v>
      </c>
      <c r="AB318" s="7">
        <v>3.7</v>
      </c>
      <c r="AC318" s="7">
        <v>10.33</v>
      </c>
      <c r="AD318" s="7">
        <v>4.68</v>
      </c>
      <c r="AE318" s="7">
        <v>136.5</v>
      </c>
      <c r="AF318" s="7">
        <v>116.372</v>
      </c>
      <c r="AG318" s="7">
        <v>376.55799999999999</v>
      </c>
      <c r="AH318" s="7" t="s">
        <v>37</v>
      </c>
      <c r="AI318" s="7">
        <v>8.33</v>
      </c>
      <c r="AJ318" s="7">
        <v>46.133000000000003</v>
      </c>
      <c r="AK318" s="7">
        <v>0</v>
      </c>
      <c r="AL318" s="7">
        <v>43.06</v>
      </c>
      <c r="AM318" s="7" t="s">
        <v>37</v>
      </c>
      <c r="AN318" s="9">
        <v>8.7902300000000002E-9</v>
      </c>
      <c r="AO318" s="7" t="s">
        <v>37</v>
      </c>
      <c r="AP318" s="9">
        <v>3.5835831900000003E-5</v>
      </c>
      <c r="AQ318" s="7">
        <v>1</v>
      </c>
      <c r="AR318" s="7">
        <v>1</v>
      </c>
      <c r="AS318"/>
    </row>
    <row r="319" spans="1:45" ht="19.5" customHeight="1" x14ac:dyDescent="0.3">
      <c r="A319" s="7" t="s">
        <v>593</v>
      </c>
      <c r="B319" s="7" t="s">
        <v>2080</v>
      </c>
      <c r="C319" s="7">
        <v>92</v>
      </c>
      <c r="D319" s="7">
        <v>110520.698596464</v>
      </c>
      <c r="E319" s="7">
        <v>924</v>
      </c>
      <c r="F319" s="7">
        <v>54.616528925619797</v>
      </c>
      <c r="G319" s="7" t="s">
        <v>594</v>
      </c>
      <c r="H319" s="7" t="s">
        <v>595</v>
      </c>
      <c r="I319" s="7" t="s">
        <v>596</v>
      </c>
      <c r="J319" s="8" t="s">
        <v>597</v>
      </c>
      <c r="K319" s="7" t="s">
        <v>598</v>
      </c>
      <c r="L319" s="7">
        <v>407.32</v>
      </c>
      <c r="M319" s="7" t="s">
        <v>37</v>
      </c>
      <c r="N319" s="7" t="s">
        <v>37</v>
      </c>
      <c r="O319" s="7" t="s">
        <v>37</v>
      </c>
      <c r="P319" s="7" t="s">
        <v>37</v>
      </c>
      <c r="Q319" s="7" t="s">
        <v>37</v>
      </c>
      <c r="R319" s="7" t="s">
        <v>37</v>
      </c>
      <c r="S319" s="7" t="s">
        <v>37</v>
      </c>
      <c r="T319" s="7" t="s">
        <v>37</v>
      </c>
      <c r="U319" s="7">
        <v>529.9</v>
      </c>
      <c r="V319" s="7">
        <v>1.571</v>
      </c>
      <c r="W319" s="7">
        <v>277.30450000000002</v>
      </c>
      <c r="X319" s="9">
        <v>6.3095734448019404E-10</v>
      </c>
      <c r="Y319" s="7">
        <v>1.59</v>
      </c>
      <c r="Z319" s="7">
        <v>17.96</v>
      </c>
      <c r="AA319" s="7">
        <v>0.85</v>
      </c>
      <c r="AB319" s="7">
        <v>0.26</v>
      </c>
      <c r="AC319" s="7">
        <v>10.97</v>
      </c>
      <c r="AD319" s="7">
        <v>1.3440000000000001</v>
      </c>
      <c r="AE319" s="7">
        <v>203</v>
      </c>
      <c r="AF319" s="7">
        <v>85.18</v>
      </c>
      <c r="AG319" s="7">
        <v>252.363</v>
      </c>
      <c r="AH319" s="7">
        <v>4.3525</v>
      </c>
      <c r="AI319" s="7">
        <v>4.62</v>
      </c>
      <c r="AJ319" s="7">
        <v>33.768000000000001</v>
      </c>
      <c r="AK319" s="7">
        <v>0</v>
      </c>
      <c r="AL319" s="7">
        <v>42.478000000000002</v>
      </c>
      <c r="AM319" s="7" t="s">
        <v>37</v>
      </c>
      <c r="AN319" s="9">
        <v>9.5499258602143702E-10</v>
      </c>
      <c r="AO319" s="7" t="s">
        <v>37</v>
      </c>
      <c r="AP319" s="9">
        <v>6.4565400000000002E-6</v>
      </c>
      <c r="AQ319" s="7">
        <v>1</v>
      </c>
      <c r="AR319" s="7">
        <v>1</v>
      </c>
      <c r="AS319"/>
    </row>
    <row r="320" spans="1:45" ht="19.5" customHeight="1" x14ac:dyDescent="0.3">
      <c r="A320" s="7" t="s">
        <v>1369</v>
      </c>
      <c r="B320" s="7" t="s">
        <v>2080</v>
      </c>
      <c r="C320" s="7">
        <v>38</v>
      </c>
      <c r="D320" s="7">
        <v>6232.1173104434902</v>
      </c>
      <c r="E320" s="7">
        <v>126</v>
      </c>
      <c r="F320" s="7">
        <v>51.208791208791197</v>
      </c>
      <c r="G320" s="7" t="s">
        <v>1370</v>
      </c>
      <c r="H320" s="7" t="s">
        <v>1371</v>
      </c>
      <c r="I320" s="7" t="s">
        <v>1372</v>
      </c>
      <c r="J320" s="8" t="s">
        <v>1373</v>
      </c>
      <c r="K320" s="7" t="s">
        <v>1374</v>
      </c>
      <c r="L320" s="7">
        <v>362.47300000000001</v>
      </c>
      <c r="M320" s="7" t="s">
        <v>37</v>
      </c>
      <c r="N320" s="7" t="s">
        <v>37</v>
      </c>
      <c r="O320" s="7" t="s">
        <v>37</v>
      </c>
      <c r="P320" s="7" t="s">
        <v>37</v>
      </c>
      <c r="Q320" s="7" t="s">
        <v>37</v>
      </c>
      <c r="R320" s="7" t="s">
        <v>37</v>
      </c>
      <c r="S320" s="7" t="s">
        <v>37</v>
      </c>
      <c r="T320" s="7" t="s">
        <v>37</v>
      </c>
      <c r="U320" s="7">
        <v>440.1</v>
      </c>
      <c r="V320" s="7">
        <v>1.218</v>
      </c>
      <c r="W320" s="7">
        <v>235.81399999999999</v>
      </c>
      <c r="X320" s="9">
        <v>5.4954087385762501E-7</v>
      </c>
      <c r="Y320" s="7">
        <v>1.649</v>
      </c>
      <c r="Z320" s="7">
        <v>23.28</v>
      </c>
      <c r="AA320" s="7">
        <v>2.95</v>
      </c>
      <c r="AB320" s="7">
        <v>3.36</v>
      </c>
      <c r="AC320" s="7">
        <v>11.76</v>
      </c>
      <c r="AD320" s="7">
        <v>3.7174999999999998</v>
      </c>
      <c r="AE320" s="7">
        <v>153</v>
      </c>
      <c r="AF320" s="7">
        <v>105.82299999999999</v>
      </c>
      <c r="AG320" s="7">
        <v>290.57400000000001</v>
      </c>
      <c r="AH320" s="7" t="s">
        <v>37</v>
      </c>
      <c r="AI320" s="7">
        <v>5.72</v>
      </c>
      <c r="AJ320" s="7">
        <v>41.951000000000001</v>
      </c>
      <c r="AK320" s="7">
        <v>0</v>
      </c>
      <c r="AL320" s="7">
        <v>57.466999999999999</v>
      </c>
      <c r="AM320" s="7" t="s">
        <v>37</v>
      </c>
      <c r="AN320" s="9">
        <v>2.7542287033381601E-9</v>
      </c>
      <c r="AO320" s="7" t="s">
        <v>37</v>
      </c>
      <c r="AP320" s="9">
        <v>4.1411364999999999E-5</v>
      </c>
      <c r="AQ320" s="7">
        <v>1</v>
      </c>
      <c r="AR320" s="7">
        <v>0</v>
      </c>
      <c r="AS320"/>
    </row>
    <row r="321" spans="1:45" ht="19.5" customHeight="1" x14ac:dyDescent="0.3">
      <c r="A321" s="7" t="s">
        <v>468</v>
      </c>
      <c r="B321" s="7" t="s">
        <v>2080</v>
      </c>
      <c r="C321" s="7">
        <v>100</v>
      </c>
      <c r="D321" s="7">
        <v>203490.90784796301</v>
      </c>
      <c r="E321" s="7">
        <v>96</v>
      </c>
      <c r="F321" s="7">
        <v>56.697674418604599</v>
      </c>
      <c r="G321" s="7" t="s">
        <v>469</v>
      </c>
      <c r="H321" s="7" t="s">
        <v>470</v>
      </c>
      <c r="I321" s="7" t="s">
        <v>471</v>
      </c>
      <c r="J321" s="8" t="s">
        <v>472</v>
      </c>
      <c r="K321" s="7" t="s">
        <v>473</v>
      </c>
      <c r="L321" s="7">
        <v>272.36</v>
      </c>
      <c r="M321" s="7" t="s">
        <v>37</v>
      </c>
      <c r="N321" s="7" t="s">
        <v>37</v>
      </c>
      <c r="O321" s="7" t="s">
        <v>37</v>
      </c>
      <c r="P321" s="7" t="s">
        <v>37</v>
      </c>
      <c r="Q321" s="7" t="s">
        <v>37</v>
      </c>
      <c r="R321" s="7" t="s">
        <v>37</v>
      </c>
      <c r="S321" s="7">
        <v>272.36200000000002</v>
      </c>
      <c r="T321" s="7">
        <v>27.2362</v>
      </c>
      <c r="U321" s="7">
        <v>407.42</v>
      </c>
      <c r="V321" s="7">
        <v>1.2444999999999999</v>
      </c>
      <c r="W321" s="7">
        <v>222.9375</v>
      </c>
      <c r="X321" s="9">
        <v>1.8620871366628699E-9</v>
      </c>
      <c r="Y321" s="7">
        <v>1.571</v>
      </c>
      <c r="Z321" s="7">
        <v>9.74</v>
      </c>
      <c r="AA321" s="7">
        <v>0.24</v>
      </c>
      <c r="AB321" s="7">
        <v>0.16</v>
      </c>
      <c r="AC321" s="7">
        <v>8.5399999999999991</v>
      </c>
      <c r="AD321" s="7">
        <v>0.24</v>
      </c>
      <c r="AE321" s="7">
        <v>206.75</v>
      </c>
      <c r="AF321" s="7">
        <v>72.137</v>
      </c>
      <c r="AG321" s="7">
        <v>219.70699999999999</v>
      </c>
      <c r="AH321" s="7">
        <v>8.1199999999999992</v>
      </c>
      <c r="AI321" s="7" t="s">
        <v>37</v>
      </c>
      <c r="AJ321" s="7">
        <v>28.597000000000001</v>
      </c>
      <c r="AK321" s="7">
        <v>0</v>
      </c>
      <c r="AL321" s="7">
        <v>50.621000000000002</v>
      </c>
      <c r="AM321" s="7" t="s">
        <v>37</v>
      </c>
      <c r="AN321" s="9">
        <v>1.22E-8</v>
      </c>
      <c r="AO321" s="7" t="s">
        <v>37</v>
      </c>
      <c r="AP321" s="7">
        <v>1.29325066259517E-2</v>
      </c>
      <c r="AQ321" s="7">
        <v>1</v>
      </c>
      <c r="AR321" s="7">
        <v>0</v>
      </c>
      <c r="AS321"/>
    </row>
    <row r="322" spans="1:45" ht="19.5" customHeight="1" x14ac:dyDescent="0.3">
      <c r="A322" s="7" t="s">
        <v>2223</v>
      </c>
      <c r="B322" s="7" t="s">
        <v>2083</v>
      </c>
      <c r="C322" s="7">
        <v>100</v>
      </c>
      <c r="D322" s="7">
        <v>15428571.428571399</v>
      </c>
      <c r="E322" s="7">
        <v>3</v>
      </c>
      <c r="F322" s="7">
        <v>7</v>
      </c>
      <c r="G322" s="7" t="s">
        <v>2224</v>
      </c>
      <c r="H322" s="7" t="s">
        <v>37</v>
      </c>
      <c r="I322" s="7" t="s">
        <v>37</v>
      </c>
      <c r="J322" s="7" t="s">
        <v>37</v>
      </c>
      <c r="K322" s="7" t="s">
        <v>37</v>
      </c>
      <c r="L322" s="7" t="s">
        <v>37</v>
      </c>
      <c r="M322" s="7" t="s">
        <v>37</v>
      </c>
      <c r="N322" s="7" t="s">
        <v>37</v>
      </c>
      <c r="O322" s="7" t="s">
        <v>37</v>
      </c>
      <c r="P322" s="7" t="s">
        <v>37</v>
      </c>
      <c r="Q322" s="7" t="s">
        <v>37</v>
      </c>
      <c r="R322" s="7" t="s">
        <v>37</v>
      </c>
      <c r="S322" s="7" t="s">
        <v>37</v>
      </c>
      <c r="T322" s="7" t="s">
        <v>37</v>
      </c>
      <c r="U322" s="7" t="s">
        <v>37</v>
      </c>
      <c r="V322" s="7" t="s">
        <v>37</v>
      </c>
      <c r="W322" s="7" t="s">
        <v>37</v>
      </c>
      <c r="X322" s="7" t="s">
        <v>37</v>
      </c>
      <c r="Y322" s="7" t="s">
        <v>37</v>
      </c>
      <c r="Z322" s="7" t="s">
        <v>37</v>
      </c>
      <c r="AA322" s="7" t="s">
        <v>37</v>
      </c>
      <c r="AB322" s="7" t="s">
        <v>37</v>
      </c>
      <c r="AC322" s="7" t="s">
        <v>37</v>
      </c>
      <c r="AD322" s="7" t="s">
        <v>37</v>
      </c>
      <c r="AE322" s="7" t="s">
        <v>37</v>
      </c>
      <c r="AF322" s="7" t="s">
        <v>37</v>
      </c>
      <c r="AG322" s="7" t="s">
        <v>37</v>
      </c>
      <c r="AH322" s="7" t="s">
        <v>37</v>
      </c>
      <c r="AI322" s="7" t="s">
        <v>37</v>
      </c>
      <c r="AJ322" s="7" t="s">
        <v>37</v>
      </c>
      <c r="AK322" s="7" t="s">
        <v>37</v>
      </c>
      <c r="AL322" s="7" t="s">
        <v>37</v>
      </c>
      <c r="AM322" s="7" t="s">
        <v>37</v>
      </c>
      <c r="AN322" s="7" t="s">
        <v>37</v>
      </c>
      <c r="AO322" s="7" t="s">
        <v>37</v>
      </c>
      <c r="AP322" s="7" t="s">
        <v>37</v>
      </c>
      <c r="AQ322" s="7" t="s">
        <v>37</v>
      </c>
      <c r="AR322" s="7" t="s">
        <v>37</v>
      </c>
      <c r="AS322"/>
    </row>
    <row r="323" spans="1:45" ht="19.5" customHeight="1" x14ac:dyDescent="0.3">
      <c r="A323" s="7" t="s">
        <v>773</v>
      </c>
      <c r="B323" s="7" t="s">
        <v>2080</v>
      </c>
      <c r="C323" s="7">
        <v>30</v>
      </c>
      <c r="D323" s="7">
        <v>48008.806448044197</v>
      </c>
      <c r="E323" s="7">
        <v>1192</v>
      </c>
      <c r="F323" s="7">
        <v>59.904608788853203</v>
      </c>
      <c r="G323" s="7" t="s">
        <v>774</v>
      </c>
      <c r="H323" s="7" t="s">
        <v>775</v>
      </c>
      <c r="I323" s="7" t="s">
        <v>776</v>
      </c>
      <c r="J323" s="8" t="s">
        <v>777</v>
      </c>
      <c r="K323" s="7" t="s">
        <v>778</v>
      </c>
      <c r="L323" s="7">
        <v>416.58</v>
      </c>
      <c r="M323" s="7" t="s">
        <v>37</v>
      </c>
      <c r="N323" s="7" t="s">
        <v>37</v>
      </c>
      <c r="O323" s="7" t="s">
        <v>37</v>
      </c>
      <c r="P323" s="7" t="s">
        <v>37</v>
      </c>
      <c r="Q323" s="7" t="s">
        <v>37</v>
      </c>
      <c r="R323" s="7" t="s">
        <v>37</v>
      </c>
      <c r="S323" s="7">
        <v>23.65</v>
      </c>
      <c r="T323" s="7">
        <v>4.0000000000000001E-3</v>
      </c>
      <c r="U323" s="7">
        <v>530.08000000000004</v>
      </c>
      <c r="V323" s="7">
        <v>1.24</v>
      </c>
      <c r="W323" s="7">
        <v>287.81950000000001</v>
      </c>
      <c r="X323" s="9">
        <v>1.12201845430196E-8</v>
      </c>
      <c r="Y323" s="7">
        <v>1.5860000000000001</v>
      </c>
      <c r="Z323" s="7">
        <v>22.11</v>
      </c>
      <c r="AA323" s="7">
        <v>2.78</v>
      </c>
      <c r="AB323" s="7">
        <v>2.78</v>
      </c>
      <c r="AC323" s="7">
        <v>11.68</v>
      </c>
      <c r="AD323" s="7">
        <v>2.78</v>
      </c>
      <c r="AE323" s="7">
        <v>207.5</v>
      </c>
      <c r="AF323" s="7">
        <v>112.688</v>
      </c>
      <c r="AG323" s="7">
        <v>335.8</v>
      </c>
      <c r="AH323" s="7" t="s">
        <v>37</v>
      </c>
      <c r="AI323" s="7" t="s">
        <v>37</v>
      </c>
      <c r="AJ323" s="7">
        <v>44.673000000000002</v>
      </c>
      <c r="AK323" s="7">
        <v>0</v>
      </c>
      <c r="AL323" s="7">
        <v>50.887</v>
      </c>
      <c r="AM323" s="7" t="s">
        <v>37</v>
      </c>
      <c r="AN323" s="9">
        <v>3.9716573736214104E-9</v>
      </c>
      <c r="AO323" s="7" t="s">
        <v>37</v>
      </c>
      <c r="AP323" s="9">
        <v>5.2654000000000001E-5</v>
      </c>
      <c r="AQ323" s="7">
        <v>1</v>
      </c>
      <c r="AR323" s="7">
        <v>1</v>
      </c>
      <c r="AS323"/>
    </row>
    <row r="324" spans="1:45" ht="19.5" customHeight="1" x14ac:dyDescent="0.3">
      <c r="A324" s="7" t="s">
        <v>2225</v>
      </c>
      <c r="B324" s="7" t="s">
        <v>2083</v>
      </c>
      <c r="C324" s="7">
        <v>96.33</v>
      </c>
      <c r="D324" s="7">
        <v>110200000</v>
      </c>
      <c r="E324" s="7">
        <v>5</v>
      </c>
      <c r="F324" s="7">
        <v>18.75</v>
      </c>
      <c r="G324" s="7" t="s">
        <v>2226</v>
      </c>
      <c r="H324" s="7" t="s">
        <v>2227</v>
      </c>
      <c r="I324" s="7" t="s">
        <v>2228</v>
      </c>
      <c r="J324" s="7" t="s">
        <v>2229</v>
      </c>
      <c r="K324" s="7" t="s">
        <v>2230</v>
      </c>
      <c r="L324" s="7">
        <v>254.24</v>
      </c>
      <c r="M324" s="7" t="s">
        <v>37</v>
      </c>
      <c r="N324" s="7" t="s">
        <v>37</v>
      </c>
      <c r="O324" s="7" t="s">
        <v>37</v>
      </c>
      <c r="P324" s="7" t="s">
        <v>37</v>
      </c>
      <c r="Q324" s="7" t="s">
        <v>37</v>
      </c>
      <c r="R324" s="7" t="s">
        <v>37</v>
      </c>
      <c r="S324" s="7" t="s">
        <v>37</v>
      </c>
      <c r="T324" s="7" t="s">
        <v>37</v>
      </c>
      <c r="U324" s="7">
        <v>264</v>
      </c>
      <c r="V324" s="7">
        <v>1.397</v>
      </c>
      <c r="W324" s="7">
        <v>228.369</v>
      </c>
      <c r="X324" s="9">
        <v>3.8904514499427999E-11</v>
      </c>
      <c r="Y324" s="7" t="s">
        <v>37</v>
      </c>
      <c r="Z324" s="7">
        <v>3.18</v>
      </c>
      <c r="AA324" s="7">
        <v>-2.81</v>
      </c>
      <c r="AB324" s="7">
        <v>-4.34</v>
      </c>
      <c r="AC324" s="7">
        <v>8.14</v>
      </c>
      <c r="AD324" s="7">
        <v>-2.57</v>
      </c>
      <c r="AE324" s="7">
        <v>186</v>
      </c>
      <c r="AF324" s="7" t="s">
        <v>37</v>
      </c>
      <c r="AG324" s="7" t="s">
        <v>37</v>
      </c>
      <c r="AH324" s="7">
        <v>5.64</v>
      </c>
      <c r="AI324" s="7" t="s">
        <v>37</v>
      </c>
      <c r="AJ324" s="7" t="s">
        <v>37</v>
      </c>
      <c r="AK324" s="7">
        <v>1</v>
      </c>
      <c r="AL324" s="7" t="s">
        <v>37</v>
      </c>
      <c r="AM324" s="7" t="s">
        <v>37</v>
      </c>
      <c r="AN324" s="9">
        <v>1.62181009735893E-10</v>
      </c>
      <c r="AO324" s="7" t="s">
        <v>37</v>
      </c>
      <c r="AP324" s="7">
        <v>3.8018939632056097E-2</v>
      </c>
      <c r="AQ324" s="7">
        <v>1</v>
      </c>
      <c r="AR324" s="7" t="s">
        <v>37</v>
      </c>
      <c r="AS324"/>
    </row>
    <row r="325" spans="1:45" ht="19.5" customHeight="1" x14ac:dyDescent="0.3">
      <c r="A325" s="7" t="s">
        <v>104</v>
      </c>
      <c r="B325" s="7" t="s">
        <v>2080</v>
      </c>
      <c r="C325" s="7">
        <v>30</v>
      </c>
      <c r="D325" s="7">
        <v>1600000</v>
      </c>
      <c r="E325" s="7">
        <v>4</v>
      </c>
      <c r="F325" s="7">
        <v>3</v>
      </c>
      <c r="G325" s="7" t="s">
        <v>105</v>
      </c>
      <c r="H325" s="7" t="s">
        <v>106</v>
      </c>
      <c r="I325" s="7" t="s">
        <v>107</v>
      </c>
      <c r="J325" s="8" t="s">
        <v>108</v>
      </c>
      <c r="K325" s="7" t="s">
        <v>109</v>
      </c>
      <c r="L325" s="7">
        <v>253.28</v>
      </c>
      <c r="M325" s="7">
        <v>126700</v>
      </c>
      <c r="N325" s="7" t="s">
        <v>37</v>
      </c>
      <c r="O325" s="7">
        <v>563000</v>
      </c>
      <c r="P325" s="7">
        <v>56250</v>
      </c>
      <c r="Q325" s="7">
        <v>7500</v>
      </c>
      <c r="R325" s="7">
        <v>500</v>
      </c>
      <c r="S325" s="7">
        <v>7914.86</v>
      </c>
      <c r="T325" s="7">
        <v>1</v>
      </c>
      <c r="U325" s="7">
        <v>414.01</v>
      </c>
      <c r="V325" s="7">
        <v>1.4524999999999999</v>
      </c>
      <c r="W325" s="7">
        <v>248.65950000000001</v>
      </c>
      <c r="X325" s="9">
        <v>1.7378008287493799E-10</v>
      </c>
      <c r="Y325" s="7">
        <v>1.641</v>
      </c>
      <c r="Z325" s="7">
        <v>6.69</v>
      </c>
      <c r="AA325" s="7">
        <v>0.81</v>
      </c>
      <c r="AB325" s="7">
        <v>-0.36</v>
      </c>
      <c r="AC325" s="7">
        <v>9.02</v>
      </c>
      <c r="AD325" s="7">
        <v>0.89</v>
      </c>
      <c r="AE325" s="7">
        <v>168</v>
      </c>
      <c r="AF325" s="7">
        <v>62.454000000000001</v>
      </c>
      <c r="AG325" s="7">
        <v>173.125</v>
      </c>
      <c r="AH325" s="7">
        <v>6.18</v>
      </c>
      <c r="AI325" s="7" t="s">
        <v>37</v>
      </c>
      <c r="AJ325" s="7">
        <v>24.759</v>
      </c>
      <c r="AK325" s="7">
        <v>0</v>
      </c>
      <c r="AL325" s="7">
        <v>70.903000000000006</v>
      </c>
      <c r="AM325" s="7" t="s">
        <v>37</v>
      </c>
      <c r="AN325" s="9">
        <v>1.87E-9</v>
      </c>
      <c r="AO325" s="7" t="s">
        <v>37</v>
      </c>
      <c r="AP325" s="7">
        <v>2E-3</v>
      </c>
      <c r="AQ325" s="7">
        <v>1</v>
      </c>
      <c r="AR325" s="7">
        <v>0</v>
      </c>
      <c r="AS325"/>
    </row>
    <row r="326" spans="1:45" ht="19.5" customHeight="1" x14ac:dyDescent="0.3">
      <c r="A326" s="7" t="s">
        <v>80</v>
      </c>
      <c r="B326" s="7" t="s">
        <v>2080</v>
      </c>
      <c r="C326" s="7">
        <v>100</v>
      </c>
      <c r="D326" s="7">
        <v>1890007.32237339</v>
      </c>
      <c r="E326" s="7">
        <v>147</v>
      </c>
      <c r="F326" s="7">
        <v>52.844036697247702</v>
      </c>
      <c r="G326" s="7" t="s">
        <v>81</v>
      </c>
      <c r="H326" s="7" t="s">
        <v>82</v>
      </c>
      <c r="I326" s="7" t="s">
        <v>83</v>
      </c>
      <c r="J326" s="8" t="s">
        <v>84</v>
      </c>
      <c r="K326" s="7" t="s">
        <v>85</v>
      </c>
      <c r="L326" s="7">
        <v>398.39</v>
      </c>
      <c r="M326" s="7" t="s">
        <v>37</v>
      </c>
      <c r="N326" s="7" t="s">
        <v>37</v>
      </c>
      <c r="O326" s="7" t="s">
        <v>37</v>
      </c>
      <c r="P326" s="7" t="s">
        <v>37</v>
      </c>
      <c r="Q326" s="7" t="s">
        <v>37</v>
      </c>
      <c r="R326" s="7" t="s">
        <v>37</v>
      </c>
      <c r="S326" s="7" t="s">
        <v>37</v>
      </c>
      <c r="T326" s="7" t="s">
        <v>37</v>
      </c>
      <c r="U326" s="7">
        <v>275</v>
      </c>
      <c r="V326" s="7" t="s">
        <v>37</v>
      </c>
      <c r="W326" s="7" t="s">
        <v>37</v>
      </c>
      <c r="X326" s="9">
        <v>1.34896288259166E-10</v>
      </c>
      <c r="Y326" s="7" t="s">
        <v>37</v>
      </c>
      <c r="Z326" s="7">
        <v>13.06</v>
      </c>
      <c r="AA326" s="7">
        <v>0.93</v>
      </c>
      <c r="AB326" s="7">
        <v>-0.96</v>
      </c>
      <c r="AC326" s="7">
        <v>9.34</v>
      </c>
      <c r="AD326" s="7">
        <v>2.4300000000000002</v>
      </c>
      <c r="AE326" s="7">
        <v>234.5</v>
      </c>
      <c r="AF326" s="7" t="s">
        <v>37</v>
      </c>
      <c r="AG326" s="7" t="s">
        <v>37</v>
      </c>
      <c r="AH326" s="7">
        <v>4.01</v>
      </c>
      <c r="AI326" s="7" t="s">
        <v>37</v>
      </c>
      <c r="AJ326" s="7" t="s">
        <v>37</v>
      </c>
      <c r="AK326" s="7">
        <v>0</v>
      </c>
      <c r="AL326" s="7" t="s">
        <v>37</v>
      </c>
      <c r="AM326" s="7" t="s">
        <v>37</v>
      </c>
      <c r="AN326" s="9">
        <v>7.4131024130091598E-10</v>
      </c>
      <c r="AO326" s="7" t="s">
        <v>37</v>
      </c>
      <c r="AP326" s="9">
        <v>1.94984459975805E-5</v>
      </c>
      <c r="AQ326" s="7">
        <v>0</v>
      </c>
      <c r="AR326" s="7">
        <v>0</v>
      </c>
      <c r="AS326"/>
    </row>
    <row r="327" spans="1:45" ht="19.5" customHeight="1" x14ac:dyDescent="0.3">
      <c r="A327" s="7" t="s">
        <v>325</v>
      </c>
      <c r="B327" s="7" t="s">
        <v>2080</v>
      </c>
      <c r="C327" s="7">
        <v>30</v>
      </c>
      <c r="D327" s="7">
        <v>317417.41741741699</v>
      </c>
      <c r="E327" s="7">
        <v>37</v>
      </c>
      <c r="F327" s="7">
        <v>79.411764705882305</v>
      </c>
      <c r="G327" s="7" t="s">
        <v>326</v>
      </c>
      <c r="H327" s="7" t="s">
        <v>327</v>
      </c>
      <c r="I327" s="7" t="s">
        <v>328</v>
      </c>
      <c r="J327" s="8" t="s">
        <v>329</v>
      </c>
      <c r="K327" s="7" t="s">
        <v>330</v>
      </c>
      <c r="L327" s="7">
        <v>356.41</v>
      </c>
      <c r="M327" s="7" t="s">
        <v>37</v>
      </c>
      <c r="N327" s="7" t="s">
        <v>37</v>
      </c>
      <c r="O327" s="7" t="s">
        <v>37</v>
      </c>
      <c r="P327" s="7" t="s">
        <v>37</v>
      </c>
      <c r="Q327" s="7" t="s">
        <v>37</v>
      </c>
      <c r="R327" s="7" t="s">
        <v>37</v>
      </c>
      <c r="S327" s="7" t="s">
        <v>37</v>
      </c>
      <c r="T327" s="7" t="s">
        <v>37</v>
      </c>
      <c r="U327" s="7">
        <v>512.07000000000005</v>
      </c>
      <c r="V327" s="7">
        <v>1.4670000000000001</v>
      </c>
      <c r="W327" s="7">
        <v>303.42649999999998</v>
      </c>
      <c r="X327" s="9">
        <v>1.0232929922807499E-8</v>
      </c>
      <c r="Y327" s="7">
        <v>1.673</v>
      </c>
      <c r="Z327" s="7">
        <v>14.59</v>
      </c>
      <c r="AA327" s="7">
        <v>3.37</v>
      </c>
      <c r="AB327" s="7">
        <v>2.41</v>
      </c>
      <c r="AC327" s="7">
        <v>10.33</v>
      </c>
      <c r="AD327" s="7">
        <v>3.42</v>
      </c>
      <c r="AE327" s="7">
        <v>183</v>
      </c>
      <c r="AF327" s="7">
        <v>96.224999999999994</v>
      </c>
      <c r="AG327" s="7">
        <v>256.72500000000002</v>
      </c>
      <c r="AH327" s="7">
        <v>6.43</v>
      </c>
      <c r="AI327" s="7" t="s">
        <v>37</v>
      </c>
      <c r="AJ327" s="7">
        <v>38.146000000000001</v>
      </c>
      <c r="AK327" s="7">
        <v>0</v>
      </c>
      <c r="AL327" s="7">
        <v>65.912999999999997</v>
      </c>
      <c r="AM327" s="7" t="s">
        <v>37</v>
      </c>
      <c r="AN327" s="9">
        <v>8.2980480371878199E-10</v>
      </c>
      <c r="AO327" s="7" t="s">
        <v>37</v>
      </c>
      <c r="AP327" s="9">
        <v>2.1699999999999999E-5</v>
      </c>
      <c r="AQ327" s="7">
        <v>0</v>
      </c>
      <c r="AR327" s="7">
        <v>0</v>
      </c>
      <c r="AS327"/>
    </row>
    <row r="328" spans="1:45" ht="19.5" customHeight="1" x14ac:dyDescent="0.3">
      <c r="A328" s="7" t="s">
        <v>862</v>
      </c>
      <c r="B328" s="7" t="s">
        <v>2091</v>
      </c>
      <c r="C328" s="7">
        <v>3</v>
      </c>
      <c r="D328" s="7">
        <v>12800</v>
      </c>
      <c r="E328" s="7">
        <v>25</v>
      </c>
      <c r="F328" s="7">
        <v>23.52</v>
      </c>
      <c r="G328" s="7" t="s">
        <v>863</v>
      </c>
      <c r="H328" s="7" t="s">
        <v>864</v>
      </c>
      <c r="I328" s="7" t="s">
        <v>865</v>
      </c>
      <c r="J328" s="8" t="s">
        <v>866</v>
      </c>
      <c r="K328" s="7" t="s">
        <v>867</v>
      </c>
      <c r="L328" s="7">
        <v>295.39999999999901</v>
      </c>
      <c r="M328" s="7" t="s">
        <v>37</v>
      </c>
      <c r="N328" s="7" t="s">
        <v>37</v>
      </c>
      <c r="O328" s="7" t="s">
        <v>37</v>
      </c>
      <c r="P328" s="7" t="s">
        <v>37</v>
      </c>
      <c r="Q328" s="7" t="s">
        <v>37</v>
      </c>
      <c r="R328" s="7" t="s">
        <v>37</v>
      </c>
      <c r="S328" s="7" t="s">
        <v>37</v>
      </c>
      <c r="T328" s="7" t="s">
        <v>37</v>
      </c>
      <c r="U328" s="7">
        <v>454.08</v>
      </c>
      <c r="V328" s="7">
        <v>1.264</v>
      </c>
      <c r="W328" s="7">
        <v>251.42699999999999</v>
      </c>
      <c r="X328" s="9">
        <v>2.04173794466953E-8</v>
      </c>
      <c r="Y328" s="7">
        <v>1.61</v>
      </c>
      <c r="Z328" s="7">
        <v>7.69</v>
      </c>
      <c r="AA328" s="7">
        <v>0.93</v>
      </c>
      <c r="AB328" s="7">
        <v>0.93</v>
      </c>
      <c r="AC328" s="7">
        <v>9.17</v>
      </c>
      <c r="AD328" s="7">
        <v>0.93</v>
      </c>
      <c r="AE328" s="7">
        <v>169.5</v>
      </c>
      <c r="AF328" s="7">
        <v>82.358999999999995</v>
      </c>
      <c r="AG328" s="7">
        <v>237.62200000000001</v>
      </c>
      <c r="AH328" s="7">
        <v>10.220000000000001</v>
      </c>
      <c r="AI328" s="7" t="s">
        <v>37</v>
      </c>
      <c r="AJ328" s="7">
        <v>32.65</v>
      </c>
      <c r="AK328" s="7">
        <v>1</v>
      </c>
      <c r="AL328" s="7">
        <v>52.722999999999999</v>
      </c>
      <c r="AM328" s="7" t="s">
        <v>37</v>
      </c>
      <c r="AN328" s="9">
        <v>4.8299999999999999E-10</v>
      </c>
      <c r="AO328" s="7" t="s">
        <v>37</v>
      </c>
      <c r="AP328" s="7">
        <v>1.9744814412958299E-3</v>
      </c>
      <c r="AQ328" s="7">
        <v>1</v>
      </c>
      <c r="AR328" s="7">
        <v>0</v>
      </c>
      <c r="AS328"/>
    </row>
    <row r="329" spans="1:45" ht="19.5" customHeight="1" x14ac:dyDescent="0.3">
      <c r="A329" s="7" t="s">
        <v>862</v>
      </c>
      <c r="B329" s="7" t="s">
        <v>2080</v>
      </c>
      <c r="C329" s="7">
        <v>3</v>
      </c>
      <c r="D329" s="7">
        <v>40983.567466124397</v>
      </c>
      <c r="E329" s="7">
        <v>448</v>
      </c>
      <c r="F329" s="7">
        <v>26.568452380952401</v>
      </c>
      <c r="G329" s="7" t="s">
        <v>863</v>
      </c>
      <c r="H329" s="7" t="s">
        <v>864</v>
      </c>
      <c r="I329" s="7" t="s">
        <v>865</v>
      </c>
      <c r="J329" s="8" t="s">
        <v>866</v>
      </c>
      <c r="K329" s="7" t="s">
        <v>867</v>
      </c>
      <c r="L329" s="7">
        <v>295.39999999999901</v>
      </c>
      <c r="M329" s="7" t="s">
        <v>37</v>
      </c>
      <c r="N329" s="7" t="s">
        <v>37</v>
      </c>
      <c r="O329" s="7" t="s">
        <v>37</v>
      </c>
      <c r="P329" s="7" t="s">
        <v>37</v>
      </c>
      <c r="Q329" s="7" t="s">
        <v>37</v>
      </c>
      <c r="R329" s="7" t="s">
        <v>37</v>
      </c>
      <c r="S329" s="7" t="s">
        <v>37</v>
      </c>
      <c r="T329" s="7" t="s">
        <v>37</v>
      </c>
      <c r="U329" s="7">
        <v>454.08</v>
      </c>
      <c r="V329" s="7">
        <v>1.264</v>
      </c>
      <c r="W329" s="7">
        <v>251.42699999999999</v>
      </c>
      <c r="X329" s="9">
        <v>2.04173794466953E-8</v>
      </c>
      <c r="Y329" s="7">
        <v>1.61</v>
      </c>
      <c r="Z329" s="7">
        <v>7.69</v>
      </c>
      <c r="AA329" s="7">
        <v>0.93</v>
      </c>
      <c r="AB329" s="7">
        <v>0.93</v>
      </c>
      <c r="AC329" s="7">
        <v>9.17</v>
      </c>
      <c r="AD329" s="7">
        <v>0.93</v>
      </c>
      <c r="AE329" s="7">
        <v>169.5</v>
      </c>
      <c r="AF329" s="7">
        <v>82.358999999999995</v>
      </c>
      <c r="AG329" s="7">
        <v>237.62200000000001</v>
      </c>
      <c r="AH329" s="7">
        <v>10.220000000000001</v>
      </c>
      <c r="AI329" s="7" t="s">
        <v>37</v>
      </c>
      <c r="AJ329" s="7">
        <v>32.65</v>
      </c>
      <c r="AK329" s="7">
        <v>1</v>
      </c>
      <c r="AL329" s="7">
        <v>52.722999999999999</v>
      </c>
      <c r="AM329" s="7" t="s">
        <v>37</v>
      </c>
      <c r="AN329" s="9">
        <v>4.8299999999999999E-10</v>
      </c>
      <c r="AO329" s="7" t="s">
        <v>37</v>
      </c>
      <c r="AP329" s="7">
        <v>1.9744814412958299E-3</v>
      </c>
      <c r="AQ329" s="7">
        <v>1</v>
      </c>
      <c r="AR329" s="7">
        <v>0</v>
      </c>
      <c r="AS329"/>
    </row>
    <row r="330" spans="1:45" ht="19.5" customHeight="1" x14ac:dyDescent="0.3">
      <c r="A330" s="7" t="s">
        <v>862</v>
      </c>
      <c r="B330" s="7" t="s">
        <v>2153</v>
      </c>
      <c r="C330" s="7">
        <v>26</v>
      </c>
      <c r="D330" s="7">
        <v>818.18181818181802</v>
      </c>
      <c r="E330" s="7">
        <v>4</v>
      </c>
      <c r="F330" s="7">
        <v>22</v>
      </c>
      <c r="G330" s="7" t="s">
        <v>863</v>
      </c>
      <c r="H330" s="7" t="s">
        <v>864</v>
      </c>
      <c r="I330" s="7" t="s">
        <v>865</v>
      </c>
      <c r="J330" s="8" t="s">
        <v>866</v>
      </c>
      <c r="K330" s="7" t="s">
        <v>867</v>
      </c>
      <c r="L330" s="7">
        <v>295.39999999999901</v>
      </c>
      <c r="M330" s="7" t="s">
        <v>37</v>
      </c>
      <c r="N330" s="7" t="s">
        <v>37</v>
      </c>
      <c r="O330" s="7" t="s">
        <v>37</v>
      </c>
      <c r="P330" s="7" t="s">
        <v>37</v>
      </c>
      <c r="Q330" s="7" t="s">
        <v>37</v>
      </c>
      <c r="R330" s="7" t="s">
        <v>37</v>
      </c>
      <c r="S330" s="7" t="s">
        <v>37</v>
      </c>
      <c r="T330" s="7" t="s">
        <v>37</v>
      </c>
      <c r="U330" s="7">
        <v>454.08</v>
      </c>
      <c r="V330" s="7">
        <v>1.264</v>
      </c>
      <c r="W330" s="7">
        <v>251.42699999999999</v>
      </c>
      <c r="X330" s="9">
        <v>2.04173794466953E-8</v>
      </c>
      <c r="Y330" s="7">
        <v>1.61</v>
      </c>
      <c r="Z330" s="7">
        <v>7.69</v>
      </c>
      <c r="AA330" s="7">
        <v>0.93</v>
      </c>
      <c r="AB330" s="7">
        <v>0.93</v>
      </c>
      <c r="AC330" s="7">
        <v>9.17</v>
      </c>
      <c r="AD330" s="7">
        <v>0.93</v>
      </c>
      <c r="AE330" s="7">
        <v>169.5</v>
      </c>
      <c r="AF330" s="7">
        <v>82.358999999999995</v>
      </c>
      <c r="AG330" s="7">
        <v>237.62200000000001</v>
      </c>
      <c r="AH330" s="7">
        <v>10.220000000000001</v>
      </c>
      <c r="AI330" s="7" t="s">
        <v>37</v>
      </c>
      <c r="AJ330" s="7">
        <v>32.65</v>
      </c>
      <c r="AK330" s="7">
        <v>1</v>
      </c>
      <c r="AL330" s="7">
        <v>52.722999999999999</v>
      </c>
      <c r="AM330" s="7" t="s">
        <v>37</v>
      </c>
      <c r="AN330" s="9">
        <v>4.8299999999999999E-10</v>
      </c>
      <c r="AO330" s="7" t="s">
        <v>37</v>
      </c>
      <c r="AP330" s="7">
        <v>1.9744814412958299E-3</v>
      </c>
      <c r="AQ330" s="7">
        <v>1</v>
      </c>
      <c r="AR330" s="7">
        <v>0</v>
      </c>
      <c r="AS330"/>
    </row>
    <row r="331" spans="1:45" ht="19.5" customHeight="1" x14ac:dyDescent="0.3">
      <c r="A331" s="7" t="s">
        <v>2231</v>
      </c>
      <c r="B331" s="7" t="s">
        <v>2083</v>
      </c>
      <c r="C331" s="7">
        <v>100</v>
      </c>
      <c r="D331" s="7">
        <v>204190.47619047601</v>
      </c>
      <c r="E331" s="7">
        <v>50</v>
      </c>
      <c r="F331" s="7">
        <v>26.25</v>
      </c>
      <c r="G331" s="7" t="s">
        <v>2232</v>
      </c>
      <c r="H331" s="7" t="s">
        <v>2233</v>
      </c>
      <c r="I331" s="7" t="s">
        <v>2234</v>
      </c>
      <c r="J331" s="8" t="s">
        <v>2235</v>
      </c>
      <c r="K331" s="7" t="s">
        <v>2236</v>
      </c>
      <c r="L331" s="7">
        <v>804.03099999999904</v>
      </c>
      <c r="M331" s="7" t="s">
        <v>37</v>
      </c>
      <c r="N331" s="7" t="s">
        <v>37</v>
      </c>
      <c r="O331" s="7" t="s">
        <v>37</v>
      </c>
      <c r="P331" s="7" t="s">
        <v>37</v>
      </c>
      <c r="Q331" s="7" t="s">
        <v>37</v>
      </c>
      <c r="R331" s="7" t="s">
        <v>37</v>
      </c>
      <c r="S331" s="7" t="s">
        <v>37</v>
      </c>
      <c r="T331" s="7" t="s">
        <v>37</v>
      </c>
      <c r="U331" s="7">
        <v>676.18799999999999</v>
      </c>
      <c r="V331" s="7">
        <v>1.24</v>
      </c>
      <c r="W331" s="7">
        <v>497.96499999999997</v>
      </c>
      <c r="X331" s="9">
        <v>1.9054607179632399E-9</v>
      </c>
      <c r="Y331" s="7" t="s">
        <v>37</v>
      </c>
      <c r="Z331" s="7">
        <v>31.01</v>
      </c>
      <c r="AA331" s="7">
        <v>1.66</v>
      </c>
      <c r="AB331" s="7">
        <v>2.4</v>
      </c>
      <c r="AC331" s="7">
        <v>9.61</v>
      </c>
      <c r="AD331" s="7">
        <v>2.73</v>
      </c>
      <c r="AE331" s="7">
        <v>114</v>
      </c>
      <c r="AF331" s="7" t="s">
        <v>37</v>
      </c>
      <c r="AG331" s="7" t="s">
        <v>37</v>
      </c>
      <c r="AH331" s="7" t="s">
        <v>37</v>
      </c>
      <c r="AI331" s="7">
        <v>6.19</v>
      </c>
      <c r="AJ331" s="7" t="s">
        <v>37</v>
      </c>
      <c r="AK331" s="7">
        <v>0</v>
      </c>
      <c r="AL331" s="7" t="s">
        <v>37</v>
      </c>
      <c r="AM331" s="7" t="s">
        <v>37</v>
      </c>
      <c r="AN331" s="9">
        <v>7.2272002403896401E-11</v>
      </c>
      <c r="AO331" s="7" t="s">
        <v>37</v>
      </c>
      <c r="AP331" s="9">
        <v>4.4668400000000004E-6</v>
      </c>
      <c r="AQ331" s="7">
        <v>0</v>
      </c>
      <c r="AR331" s="7">
        <v>1</v>
      </c>
      <c r="AS331"/>
    </row>
    <row r="332" spans="1:45" ht="19.5" customHeight="1" x14ac:dyDescent="0.3">
      <c r="A332" s="7" t="s">
        <v>1143</v>
      </c>
      <c r="B332" s="7" t="s">
        <v>2080</v>
      </c>
      <c r="C332" s="7">
        <v>30</v>
      </c>
      <c r="D332" s="7">
        <v>17103.643765157602</v>
      </c>
      <c r="E332" s="7">
        <v>159</v>
      </c>
      <c r="F332" s="7">
        <v>33.513043478260897</v>
      </c>
      <c r="G332" s="7" t="s">
        <v>1144</v>
      </c>
      <c r="H332" s="7" t="s">
        <v>1145</v>
      </c>
      <c r="I332" s="7" t="s">
        <v>1146</v>
      </c>
      <c r="J332" s="8" t="s">
        <v>1147</v>
      </c>
      <c r="K332" s="7" t="s">
        <v>1148</v>
      </c>
      <c r="L332" s="7">
        <v>389.411</v>
      </c>
      <c r="M332" s="7" t="s">
        <v>37</v>
      </c>
      <c r="N332" s="7" t="s">
        <v>37</v>
      </c>
      <c r="O332" s="7" t="s">
        <v>37</v>
      </c>
      <c r="P332" s="7" t="s">
        <v>37</v>
      </c>
      <c r="Q332" s="7" t="s">
        <v>37</v>
      </c>
      <c r="R332" s="7" t="s">
        <v>37</v>
      </c>
      <c r="S332" s="7" t="s">
        <v>37</v>
      </c>
      <c r="T332" s="7" t="s">
        <v>37</v>
      </c>
      <c r="U332" s="7">
        <v>679.1</v>
      </c>
      <c r="V332" s="7">
        <v>1.4550000000000001</v>
      </c>
      <c r="W332" s="7">
        <v>364.03800000000001</v>
      </c>
      <c r="X332" s="9">
        <v>1.34896288259166E-11</v>
      </c>
      <c r="Y332" s="7">
        <v>1.758</v>
      </c>
      <c r="Z332" s="7">
        <v>9.35</v>
      </c>
      <c r="AA332" s="7">
        <v>-0.4</v>
      </c>
      <c r="AB332" s="7">
        <v>1.37</v>
      </c>
      <c r="AC332" s="7">
        <v>10.25</v>
      </c>
      <c r="AD332" s="7">
        <v>1.659</v>
      </c>
      <c r="AE332" s="7">
        <v>299.75</v>
      </c>
      <c r="AF332" s="7">
        <v>105.27800000000001</v>
      </c>
      <c r="AG332" s="7">
        <v>256.23899999999998</v>
      </c>
      <c r="AH332" s="7" t="s">
        <v>37</v>
      </c>
      <c r="AI332" s="7">
        <v>7.84</v>
      </c>
      <c r="AJ332" s="7">
        <v>41.734999999999999</v>
      </c>
      <c r="AK332" s="7">
        <v>0</v>
      </c>
      <c r="AL332" s="7">
        <v>81.557000000000002</v>
      </c>
      <c r="AM332" s="7" t="s">
        <v>37</v>
      </c>
      <c r="AN332" s="9">
        <v>1.7947299999999999E-15</v>
      </c>
      <c r="AO332" s="7" t="s">
        <v>37</v>
      </c>
      <c r="AP332" s="7">
        <v>3.60057E-4</v>
      </c>
      <c r="AQ332" s="7">
        <v>1</v>
      </c>
      <c r="AR332" s="7">
        <v>1</v>
      </c>
      <c r="AS332"/>
    </row>
    <row r="333" spans="1:45" ht="19.5" customHeight="1" x14ac:dyDescent="0.3">
      <c r="A333" s="7" t="s">
        <v>1125</v>
      </c>
      <c r="B333" s="7" t="s">
        <v>2080</v>
      </c>
      <c r="C333" s="7">
        <v>30</v>
      </c>
      <c r="D333" s="7">
        <v>17858.196948682398</v>
      </c>
      <c r="E333" s="7">
        <v>103</v>
      </c>
      <c r="F333" s="7">
        <v>64.814814814814795</v>
      </c>
      <c r="G333" s="7" t="s">
        <v>1126</v>
      </c>
      <c r="H333" s="7" t="s">
        <v>1127</v>
      </c>
      <c r="I333" s="7" t="s">
        <v>1128</v>
      </c>
      <c r="J333" s="8" t="s">
        <v>1129</v>
      </c>
      <c r="K333" s="7" t="s">
        <v>1130</v>
      </c>
      <c r="L333" s="7">
        <v>371.524</v>
      </c>
      <c r="M333" s="7" t="s">
        <v>37</v>
      </c>
      <c r="N333" s="7" t="s">
        <v>37</v>
      </c>
      <c r="O333" s="7" t="s">
        <v>37</v>
      </c>
      <c r="P333" s="7" t="s">
        <v>37</v>
      </c>
      <c r="Q333" s="7">
        <v>50</v>
      </c>
      <c r="R333" s="7" t="s">
        <v>37</v>
      </c>
      <c r="S333" s="7">
        <v>100</v>
      </c>
      <c r="T333" s="7">
        <v>0.25</v>
      </c>
      <c r="U333" s="7">
        <v>448.29649999999998</v>
      </c>
      <c r="V333" s="7">
        <v>1.0449999999999999</v>
      </c>
      <c r="W333" s="7">
        <v>183.126</v>
      </c>
      <c r="X333" s="9">
        <v>2.2387211385683401E-8</v>
      </c>
      <c r="Y333" s="7">
        <v>1.5820000000000001</v>
      </c>
      <c r="Z333" s="7">
        <v>30.25</v>
      </c>
      <c r="AA333" s="7">
        <v>1.97</v>
      </c>
      <c r="AB333" s="7">
        <v>3.87</v>
      </c>
      <c r="AC333" s="7">
        <v>11.7</v>
      </c>
      <c r="AD333" s="7">
        <v>6.6280000000000001</v>
      </c>
      <c r="AE333" s="7">
        <v>97</v>
      </c>
      <c r="AF333" s="7">
        <v>118.893</v>
      </c>
      <c r="AG333" s="7">
        <v>356.23700000000002</v>
      </c>
      <c r="AH333" s="7" t="s">
        <v>37</v>
      </c>
      <c r="AI333" s="7">
        <v>9.2304999999999993</v>
      </c>
      <c r="AJ333" s="7">
        <v>47.133000000000003</v>
      </c>
      <c r="AK333" s="7">
        <v>0</v>
      </c>
      <c r="AL333" s="7">
        <v>40.406999999999996</v>
      </c>
      <c r="AM333" s="7" t="s">
        <v>37</v>
      </c>
      <c r="AN333" s="9">
        <v>5.2722999999999997E-9</v>
      </c>
      <c r="AO333" s="7">
        <v>46.773499999999999</v>
      </c>
      <c r="AP333" s="9">
        <v>3.7607854616131902E-6</v>
      </c>
      <c r="AQ333" s="7">
        <v>0</v>
      </c>
      <c r="AR333" s="7">
        <v>0</v>
      </c>
      <c r="AS333"/>
    </row>
    <row r="334" spans="1:45" ht="19.5" customHeight="1" x14ac:dyDescent="0.3">
      <c r="A334" s="7" t="s">
        <v>1641</v>
      </c>
      <c r="B334" s="7" t="s">
        <v>2080</v>
      </c>
      <c r="C334" s="7">
        <v>31</v>
      </c>
      <c r="D334" s="7">
        <v>486.158086923528</v>
      </c>
      <c r="E334" s="7">
        <v>2275</v>
      </c>
      <c r="F334" s="7">
        <v>68.992878338278899</v>
      </c>
      <c r="G334" s="7" t="s">
        <v>1642</v>
      </c>
      <c r="H334" s="7" t="s">
        <v>1643</v>
      </c>
      <c r="I334" s="7" t="s">
        <v>1644</v>
      </c>
      <c r="J334" s="8" t="s">
        <v>1645</v>
      </c>
      <c r="K334" s="7" t="s">
        <v>1646</v>
      </c>
      <c r="L334" s="7">
        <v>408.51</v>
      </c>
      <c r="M334" s="7" t="s">
        <v>37</v>
      </c>
      <c r="N334" s="7" t="s">
        <v>37</v>
      </c>
      <c r="O334" s="7" t="s">
        <v>37</v>
      </c>
      <c r="P334" s="7" t="s">
        <v>37</v>
      </c>
      <c r="Q334" s="7" t="s">
        <v>37</v>
      </c>
      <c r="R334" s="7" t="s">
        <v>37</v>
      </c>
      <c r="S334" s="7" t="s">
        <v>37</v>
      </c>
      <c r="T334" s="7" t="s">
        <v>37</v>
      </c>
      <c r="U334" s="7">
        <v>595.5</v>
      </c>
      <c r="V334" s="7">
        <v>1.2484999999999999</v>
      </c>
      <c r="W334" s="7">
        <v>313.39550000000003</v>
      </c>
      <c r="X334" s="9">
        <v>2.0892961308540399E-10</v>
      </c>
      <c r="Y334" s="7">
        <v>1.5529999999999999</v>
      </c>
      <c r="Z334" s="7">
        <v>20.79</v>
      </c>
      <c r="AA334" s="7">
        <v>0.21</v>
      </c>
      <c r="AB334" s="7">
        <v>1.91</v>
      </c>
      <c r="AC334" s="7">
        <v>9.4499999999999993</v>
      </c>
      <c r="AD334" s="7">
        <v>2.294</v>
      </c>
      <c r="AE334" s="7">
        <v>228</v>
      </c>
      <c r="AF334" s="7">
        <v>109.78400000000001</v>
      </c>
      <c r="AG334" s="7">
        <v>342.81700000000001</v>
      </c>
      <c r="AH334" s="7" t="s">
        <v>37</v>
      </c>
      <c r="AI334" s="7">
        <v>7.64</v>
      </c>
      <c r="AJ334" s="7">
        <v>43.521999999999998</v>
      </c>
      <c r="AK334" s="7">
        <v>0</v>
      </c>
      <c r="AL334" s="7">
        <v>45.281999999999996</v>
      </c>
      <c r="AM334" s="7" t="s">
        <v>37</v>
      </c>
      <c r="AN334" s="9">
        <v>1.6330500000000001E-9</v>
      </c>
      <c r="AO334" s="7" t="s">
        <v>37</v>
      </c>
      <c r="AP334" s="7">
        <v>2.341965E-4</v>
      </c>
      <c r="AQ334" s="7">
        <v>1</v>
      </c>
      <c r="AR334" s="7">
        <v>0</v>
      </c>
      <c r="AS334"/>
    </row>
    <row r="335" spans="1:45" ht="19.5" customHeight="1" x14ac:dyDescent="0.3">
      <c r="A335" s="7" t="s">
        <v>725</v>
      </c>
      <c r="B335" s="7" t="s">
        <v>2080</v>
      </c>
      <c r="C335" s="7">
        <v>97.49</v>
      </c>
      <c r="D335" s="7">
        <v>61447.958529908603</v>
      </c>
      <c r="E335" s="7">
        <v>177</v>
      </c>
      <c r="F335" s="7">
        <v>70.975609756097597</v>
      </c>
      <c r="G335" s="7" t="s">
        <v>726</v>
      </c>
      <c r="H335" s="7" t="s">
        <v>727</v>
      </c>
      <c r="I335" s="7" t="s">
        <v>728</v>
      </c>
      <c r="J335" s="8" t="s">
        <v>729</v>
      </c>
      <c r="K335" s="7" t="s">
        <v>730</v>
      </c>
      <c r="L335" s="7">
        <v>514.62900000000002</v>
      </c>
      <c r="M335" s="7" t="s">
        <v>37</v>
      </c>
      <c r="N335" s="7" t="s">
        <v>37</v>
      </c>
      <c r="O335" s="7" t="s">
        <v>37</v>
      </c>
      <c r="P335" s="7" t="s">
        <v>37</v>
      </c>
      <c r="Q335" s="7" t="s">
        <v>37</v>
      </c>
      <c r="R335" s="7" t="s">
        <v>37</v>
      </c>
      <c r="S335" s="7">
        <v>267.60604999999998</v>
      </c>
      <c r="T335" s="7">
        <v>2.0585100000000001</v>
      </c>
      <c r="U335" s="7">
        <v>771.9</v>
      </c>
      <c r="V335" s="7">
        <v>1.2869999999999999</v>
      </c>
      <c r="W335" s="7">
        <v>409.60500000000002</v>
      </c>
      <c r="X335" s="9">
        <v>2.1379620895022299E-8</v>
      </c>
      <c r="Y335" s="7">
        <v>1.667</v>
      </c>
      <c r="Z335" s="7">
        <v>29.28</v>
      </c>
      <c r="AA335" s="7">
        <v>6.86</v>
      </c>
      <c r="AB335" s="7">
        <v>6.82</v>
      </c>
      <c r="AC335" s="7">
        <v>11.38</v>
      </c>
      <c r="AD335" s="7">
        <v>7.5469999999999997</v>
      </c>
      <c r="AE335" s="7">
        <v>262</v>
      </c>
      <c r="AF335" s="7">
        <v>154.511</v>
      </c>
      <c r="AG335" s="7">
        <v>414.90100000000001</v>
      </c>
      <c r="AH335" s="7">
        <v>8.4</v>
      </c>
      <c r="AI335" s="7" t="s">
        <v>37</v>
      </c>
      <c r="AJ335" s="7">
        <v>61.253</v>
      </c>
      <c r="AK335" s="7">
        <v>0</v>
      </c>
      <c r="AL335" s="7">
        <v>48.741999999999997</v>
      </c>
      <c r="AM335" s="7" t="s">
        <v>37</v>
      </c>
      <c r="AN335" s="9">
        <v>4.3853100000000001E-14</v>
      </c>
      <c r="AO335" s="7" t="s">
        <v>37</v>
      </c>
      <c r="AP335" s="9">
        <v>3.9573874999999999E-7</v>
      </c>
      <c r="AQ335" s="7">
        <v>0</v>
      </c>
      <c r="AR335" s="7">
        <v>0</v>
      </c>
      <c r="AS335"/>
    </row>
    <row r="336" spans="1:45" ht="19.5" customHeight="1" x14ac:dyDescent="0.3">
      <c r="A336" s="7" t="s">
        <v>1060</v>
      </c>
      <c r="B336" s="7" t="s">
        <v>2080</v>
      </c>
      <c r="C336" s="7">
        <v>0</v>
      </c>
      <c r="D336" s="7">
        <v>22191.1383249592</v>
      </c>
      <c r="E336" s="7">
        <v>236</v>
      </c>
      <c r="F336" s="7">
        <v>38.113402061855702</v>
      </c>
      <c r="G336" s="7" t="s">
        <v>1061</v>
      </c>
      <c r="H336" s="7" t="s">
        <v>1062</v>
      </c>
      <c r="I336" s="7" t="s">
        <v>1063</v>
      </c>
      <c r="J336" s="8" t="s">
        <v>1064</v>
      </c>
      <c r="K336" s="7" t="s">
        <v>1065</v>
      </c>
      <c r="L336" s="7">
        <v>300.74</v>
      </c>
      <c r="M336" s="7" t="s">
        <v>37</v>
      </c>
      <c r="N336" s="7" t="s">
        <v>37</v>
      </c>
      <c r="O336" s="7" t="s">
        <v>37</v>
      </c>
      <c r="P336" s="7" t="s">
        <v>37</v>
      </c>
      <c r="Q336" s="7" t="s">
        <v>37</v>
      </c>
      <c r="R336" s="7" t="s">
        <v>37</v>
      </c>
      <c r="S336" s="7">
        <v>0.70799999999999996</v>
      </c>
      <c r="T336" s="7">
        <v>7.0800000000000002E-2</v>
      </c>
      <c r="U336" s="7">
        <v>424.95549999999997</v>
      </c>
      <c r="V336" s="7">
        <v>1.3374999999999999</v>
      </c>
      <c r="W336" s="7">
        <v>275.10250000000002</v>
      </c>
      <c r="X336" s="9">
        <v>9.5499258602143702E-10</v>
      </c>
      <c r="Y336" s="7">
        <v>1.6539999999999999</v>
      </c>
      <c r="Z336" s="7">
        <v>14.59</v>
      </c>
      <c r="AA336" s="7">
        <v>2.17</v>
      </c>
      <c r="AB336" s="7">
        <v>2.19</v>
      </c>
      <c r="AC336" s="7">
        <v>10.97</v>
      </c>
      <c r="AD336" s="7">
        <v>2.19</v>
      </c>
      <c r="AE336" s="7">
        <v>120</v>
      </c>
      <c r="AF336" s="7">
        <v>81.765000000000001</v>
      </c>
      <c r="AG336" s="7">
        <v>223.16</v>
      </c>
      <c r="AH336" s="7" t="s">
        <v>37</v>
      </c>
      <c r="AI336" s="7">
        <v>4.1900000000000004</v>
      </c>
      <c r="AJ336" s="7">
        <v>32.414000000000001</v>
      </c>
      <c r="AK336" s="7">
        <v>0</v>
      </c>
      <c r="AL336" s="7">
        <v>50.29</v>
      </c>
      <c r="AM336" s="7" t="s">
        <v>37</v>
      </c>
      <c r="AN336" s="9">
        <v>4.3651583224016703E-9</v>
      </c>
      <c r="AO336" s="7" t="s">
        <v>37</v>
      </c>
      <c r="AP336" s="7">
        <v>3.7865650000000001E-4</v>
      </c>
      <c r="AQ336" s="7">
        <v>1</v>
      </c>
      <c r="AR336" s="7">
        <v>1</v>
      </c>
      <c r="AS336"/>
    </row>
    <row r="337" spans="1:45" ht="19.5" customHeight="1" x14ac:dyDescent="0.3">
      <c r="A337" s="7" t="s">
        <v>1387</v>
      </c>
      <c r="B337" s="7" t="s">
        <v>2080</v>
      </c>
      <c r="C337" s="7">
        <v>30</v>
      </c>
      <c r="D337" s="7">
        <v>5443.2359507635001</v>
      </c>
      <c r="E337" s="7">
        <v>221</v>
      </c>
      <c r="F337" s="7">
        <v>63.519553072625698</v>
      </c>
      <c r="G337" s="7" t="s">
        <v>1388</v>
      </c>
      <c r="H337" s="7" t="s">
        <v>1389</v>
      </c>
      <c r="I337" s="7" t="s">
        <v>1390</v>
      </c>
      <c r="J337" s="8" t="s">
        <v>1391</v>
      </c>
      <c r="K337" s="7" t="s">
        <v>1392</v>
      </c>
      <c r="L337" s="7">
        <v>387.44</v>
      </c>
      <c r="M337" s="7" t="s">
        <v>37</v>
      </c>
      <c r="N337" s="7" t="s">
        <v>37</v>
      </c>
      <c r="O337" s="7" t="s">
        <v>37</v>
      </c>
      <c r="P337" s="7" t="s">
        <v>37</v>
      </c>
      <c r="Q337" s="7" t="s">
        <v>37</v>
      </c>
      <c r="R337" s="7" t="s">
        <v>37</v>
      </c>
      <c r="S337" s="7" t="s">
        <v>37</v>
      </c>
      <c r="T337" s="7" t="s">
        <v>37</v>
      </c>
      <c r="U337" s="7">
        <v>523.81650000000002</v>
      </c>
      <c r="V337" s="7">
        <v>1.343</v>
      </c>
      <c r="W337" s="7">
        <v>330.6995</v>
      </c>
      <c r="X337" s="9">
        <v>2.1379620895022301E-11</v>
      </c>
      <c r="Y337" s="7">
        <v>1.6359999999999999</v>
      </c>
      <c r="Z337" s="7">
        <v>11.05</v>
      </c>
      <c r="AA337" s="7">
        <v>1.47</v>
      </c>
      <c r="AB337" s="7">
        <v>2.2599999999999998</v>
      </c>
      <c r="AC337" s="7">
        <v>10.25</v>
      </c>
      <c r="AD337" s="7">
        <v>1.0085</v>
      </c>
      <c r="AE337" s="7">
        <v>273</v>
      </c>
      <c r="AF337" s="7">
        <v>104.264</v>
      </c>
      <c r="AG337" s="7">
        <v>290.67200000000003</v>
      </c>
      <c r="AH337" s="7" t="s">
        <v>37</v>
      </c>
      <c r="AI337" s="7">
        <v>6.25</v>
      </c>
      <c r="AJ337" s="7">
        <v>41.334000000000003</v>
      </c>
      <c r="AK337" s="7">
        <v>0</v>
      </c>
      <c r="AL337" s="7">
        <v>64.138000000000005</v>
      </c>
      <c r="AM337" s="7" t="s">
        <v>37</v>
      </c>
      <c r="AN337" s="9">
        <v>3.31894E-11</v>
      </c>
      <c r="AO337" s="7" t="s">
        <v>37</v>
      </c>
      <c r="AP337" s="7">
        <v>5.2782399999999998E-4</v>
      </c>
      <c r="AQ337" s="7">
        <v>1</v>
      </c>
      <c r="AR337" s="7">
        <v>1</v>
      </c>
      <c r="AS337"/>
    </row>
    <row r="338" spans="1:45" ht="19.5" customHeight="1" x14ac:dyDescent="0.3">
      <c r="A338" s="7" t="s">
        <v>396</v>
      </c>
      <c r="B338" s="7" t="s">
        <v>2080</v>
      </c>
      <c r="C338" s="7">
        <v>30</v>
      </c>
      <c r="D338" s="7">
        <v>241411.934858213</v>
      </c>
      <c r="E338" s="7">
        <v>120</v>
      </c>
      <c r="F338" s="7">
        <v>45.063291139240498</v>
      </c>
      <c r="G338" s="7" t="s">
        <v>397</v>
      </c>
      <c r="H338" s="7" t="s">
        <v>398</v>
      </c>
      <c r="I338" s="7" t="s">
        <v>399</v>
      </c>
      <c r="J338" s="8" t="s">
        <v>400</v>
      </c>
      <c r="K338" s="7" t="s">
        <v>401</v>
      </c>
      <c r="L338" s="7">
        <v>291.43799999999902</v>
      </c>
      <c r="M338" s="7" t="s">
        <v>37</v>
      </c>
      <c r="N338" s="7" t="s">
        <v>37</v>
      </c>
      <c r="O338" s="7" t="s">
        <v>37</v>
      </c>
      <c r="P338" s="7" t="s">
        <v>37</v>
      </c>
      <c r="Q338" s="7" t="s">
        <v>37</v>
      </c>
      <c r="R338" s="7">
        <v>5</v>
      </c>
      <c r="S338" s="7" t="s">
        <v>37</v>
      </c>
      <c r="T338" s="7" t="s">
        <v>37</v>
      </c>
      <c r="U338" s="7">
        <v>386.61649999999997</v>
      </c>
      <c r="V338" s="7">
        <v>0.98499999999999999</v>
      </c>
      <c r="W338" s="7">
        <v>190.1155</v>
      </c>
      <c r="X338" s="9">
        <v>6.7608297539198201E-7</v>
      </c>
      <c r="Y338" s="7">
        <v>1.5860000000000001</v>
      </c>
      <c r="Z338" s="7">
        <v>23.68</v>
      </c>
      <c r="AA338" s="7">
        <v>5.24</v>
      </c>
      <c r="AB338" s="7">
        <v>5.97</v>
      </c>
      <c r="AC338" s="7">
        <v>9.7799999999999994</v>
      </c>
      <c r="AD338" s="7">
        <v>6</v>
      </c>
      <c r="AE338" s="7">
        <v>196.5</v>
      </c>
      <c r="AF338" s="7">
        <v>97.09</v>
      </c>
      <c r="AG338" s="7">
        <v>289.149</v>
      </c>
      <c r="AH338" s="7" t="s">
        <v>37</v>
      </c>
      <c r="AI338" s="7">
        <v>6.18</v>
      </c>
      <c r="AJ338" s="7">
        <v>38.49</v>
      </c>
      <c r="AK338" s="7">
        <v>0</v>
      </c>
      <c r="AL338" s="7">
        <v>37.997500000000002</v>
      </c>
      <c r="AM338" s="7">
        <v>138.13200000000001</v>
      </c>
      <c r="AN338" s="9">
        <v>1.3963699999999999E-6</v>
      </c>
      <c r="AO338" s="7" t="s">
        <v>37</v>
      </c>
      <c r="AP338" s="9">
        <v>1.8222795000000001E-5</v>
      </c>
      <c r="AQ338" s="7">
        <v>1</v>
      </c>
      <c r="AR338" s="7">
        <v>0</v>
      </c>
      <c r="AS338"/>
    </row>
    <row r="339" spans="1:45" ht="19.5" customHeight="1" x14ac:dyDescent="0.3">
      <c r="A339" s="7" t="s">
        <v>492</v>
      </c>
      <c r="B339" s="7" t="s">
        <v>2080</v>
      </c>
      <c r="C339" s="7">
        <v>59</v>
      </c>
      <c r="D339" s="7">
        <v>176743.666061706</v>
      </c>
      <c r="E339" s="7">
        <v>145</v>
      </c>
      <c r="F339" s="7">
        <v>47.029702970297002</v>
      </c>
      <c r="G339" s="7" t="s">
        <v>493</v>
      </c>
      <c r="H339" s="7" t="s">
        <v>494</v>
      </c>
      <c r="I339" s="7" t="s">
        <v>495</v>
      </c>
      <c r="J339" s="8" t="s">
        <v>496</v>
      </c>
      <c r="K339" s="7" t="s">
        <v>497</v>
      </c>
      <c r="L339" s="7">
        <v>522.57000000000005</v>
      </c>
      <c r="M339" s="7" t="s">
        <v>37</v>
      </c>
      <c r="N339" s="7" t="s">
        <v>37</v>
      </c>
      <c r="O339" s="7" t="s">
        <v>37</v>
      </c>
      <c r="P339" s="7" t="s">
        <v>37</v>
      </c>
      <c r="Q339" s="7" t="s">
        <v>37</v>
      </c>
      <c r="R339" s="7" t="s">
        <v>37</v>
      </c>
      <c r="S339" s="7" t="s">
        <v>37</v>
      </c>
      <c r="T339" s="7" t="s">
        <v>37</v>
      </c>
      <c r="U339" s="7">
        <v>165</v>
      </c>
      <c r="V339" s="7">
        <v>522.56799999999998</v>
      </c>
      <c r="W339" s="7">
        <v>5</v>
      </c>
      <c r="X339" s="9">
        <v>1.4791083881682099E-11</v>
      </c>
      <c r="Y339" s="7">
        <v>760</v>
      </c>
      <c r="Z339" s="7">
        <v>20.04</v>
      </c>
      <c r="AA339" s="7">
        <v>2.79</v>
      </c>
      <c r="AB339" s="7">
        <v>2.8</v>
      </c>
      <c r="AC339" s="7">
        <v>9.4700000000000006</v>
      </c>
      <c r="AD339" s="7">
        <v>2.8</v>
      </c>
      <c r="AE339" s="7">
        <v>222</v>
      </c>
      <c r="AF339" s="7">
        <v>25</v>
      </c>
      <c r="AG339" s="7">
        <v>0.63900000000000001</v>
      </c>
      <c r="AH339" s="7" t="s">
        <v>37</v>
      </c>
      <c r="AI339" s="7">
        <v>3.57</v>
      </c>
      <c r="AJ339" s="7">
        <v>0.30599999999999999</v>
      </c>
      <c r="AK339" s="7">
        <v>0</v>
      </c>
      <c r="AL339" s="7">
        <v>5.6000000000000001E-2</v>
      </c>
      <c r="AM339" s="7" t="s">
        <v>37</v>
      </c>
      <c r="AN339" s="7">
        <v>1.0000000000456</v>
      </c>
      <c r="AO339" s="7" t="s">
        <v>37</v>
      </c>
      <c r="AP339" s="7">
        <v>25.042681539027399</v>
      </c>
      <c r="AQ339" s="7">
        <v>1</v>
      </c>
      <c r="AR339" s="7">
        <v>0</v>
      </c>
      <c r="AS339"/>
    </row>
    <row r="340" spans="1:45" ht="19.5" customHeight="1" x14ac:dyDescent="0.3">
      <c r="A340" s="7" t="s">
        <v>671</v>
      </c>
      <c r="B340" s="7" t="s">
        <v>2092</v>
      </c>
      <c r="C340" s="7">
        <v>80</v>
      </c>
      <c r="D340" s="7">
        <v>79416.714438168099</v>
      </c>
      <c r="E340" s="7">
        <v>435</v>
      </c>
      <c r="F340" s="7">
        <v>61.132947976878597</v>
      </c>
      <c r="G340" s="7" t="s">
        <v>672</v>
      </c>
      <c r="H340" s="7" t="s">
        <v>673</v>
      </c>
      <c r="I340" s="7" t="s">
        <v>674</v>
      </c>
      <c r="J340" s="8" t="s">
        <v>675</v>
      </c>
      <c r="K340" s="7" t="s">
        <v>676</v>
      </c>
      <c r="L340" s="7">
        <v>316.42</v>
      </c>
      <c r="M340" s="7" t="s">
        <v>37</v>
      </c>
      <c r="N340" s="7" t="s">
        <v>37</v>
      </c>
      <c r="O340" s="7" t="s">
        <v>37</v>
      </c>
      <c r="P340" s="7" t="s">
        <v>37</v>
      </c>
      <c r="Q340" s="7" t="s">
        <v>37</v>
      </c>
      <c r="R340" s="7" t="s">
        <v>37</v>
      </c>
      <c r="S340" s="7" t="s">
        <v>37</v>
      </c>
      <c r="T340" s="7" t="s">
        <v>37</v>
      </c>
      <c r="U340" s="7">
        <v>394.74149999999997</v>
      </c>
      <c r="V340" s="7">
        <v>1.2504999999999999</v>
      </c>
      <c r="W340" s="7">
        <v>249.446</v>
      </c>
      <c r="X340" s="9">
        <v>1.5848931924611101E-9</v>
      </c>
      <c r="Y340" s="7">
        <v>1.5489999999999999</v>
      </c>
      <c r="Z340" s="7">
        <v>10.29</v>
      </c>
      <c r="AA340" s="7">
        <v>-2.27</v>
      </c>
      <c r="AB340" s="7">
        <v>-0.37</v>
      </c>
      <c r="AC340" s="7">
        <v>9.24</v>
      </c>
      <c r="AD340" s="7">
        <v>1.83</v>
      </c>
      <c r="AE340" s="7">
        <v>202</v>
      </c>
      <c r="AF340" s="7">
        <v>82.16</v>
      </c>
      <c r="AG340" s="7">
        <v>258.46100000000001</v>
      </c>
      <c r="AH340" s="7">
        <v>9.3520000000000003</v>
      </c>
      <c r="AI340" s="7">
        <v>11.488</v>
      </c>
      <c r="AJ340" s="7">
        <v>32.570999999999998</v>
      </c>
      <c r="AK340" s="7">
        <v>0</v>
      </c>
      <c r="AL340" s="7">
        <v>52.462000000000003</v>
      </c>
      <c r="AM340" s="7" t="s">
        <v>37</v>
      </c>
      <c r="AN340" s="9">
        <v>9.1201100000000003E-8</v>
      </c>
      <c r="AO340" s="7" t="s">
        <v>37</v>
      </c>
      <c r="AP340" s="7">
        <v>8.2574499999999995E-3</v>
      </c>
      <c r="AQ340" s="7">
        <v>1</v>
      </c>
      <c r="AR340" s="7">
        <v>0</v>
      </c>
      <c r="AS340"/>
    </row>
    <row r="341" spans="1:45" ht="19.5" customHeight="1" x14ac:dyDescent="0.3">
      <c r="A341" s="7" t="s">
        <v>1707</v>
      </c>
      <c r="B341" s="7" t="s">
        <v>2089</v>
      </c>
      <c r="C341" s="7">
        <v>7</v>
      </c>
      <c r="D341" s="7">
        <v>0.51288327019395796</v>
      </c>
      <c r="E341" s="7">
        <v>330</v>
      </c>
      <c r="F341" s="7">
        <v>45.9353106353106</v>
      </c>
      <c r="G341" s="7" t="s">
        <v>1708</v>
      </c>
      <c r="H341" s="7" t="s">
        <v>1709</v>
      </c>
      <c r="I341" s="7" t="s">
        <v>1710</v>
      </c>
      <c r="J341" s="8" t="s">
        <v>1711</v>
      </c>
      <c r="K341" s="7" t="s">
        <v>1712</v>
      </c>
      <c r="L341" s="7">
        <v>392.51</v>
      </c>
      <c r="M341" s="7" t="s">
        <v>37</v>
      </c>
      <c r="N341" s="7" t="s">
        <v>37</v>
      </c>
      <c r="O341" s="7" t="s">
        <v>37</v>
      </c>
      <c r="P341" s="7" t="s">
        <v>37</v>
      </c>
      <c r="Q341" s="7" t="s">
        <v>37</v>
      </c>
      <c r="R341" s="7" t="s">
        <v>37</v>
      </c>
      <c r="S341" s="7" t="s">
        <v>37</v>
      </c>
      <c r="T341" s="7" t="s">
        <v>37</v>
      </c>
      <c r="U341" s="7">
        <v>345</v>
      </c>
      <c r="V341" s="7" t="s">
        <v>37</v>
      </c>
      <c r="W341" s="7" t="s">
        <v>37</v>
      </c>
      <c r="X341" s="9">
        <v>1.38038426460288E-8</v>
      </c>
      <c r="Y341" s="7" t="s">
        <v>37</v>
      </c>
      <c r="Z341" s="7">
        <v>13.94</v>
      </c>
      <c r="AA341" s="7">
        <v>1.64</v>
      </c>
      <c r="AB341" s="7">
        <v>1.64</v>
      </c>
      <c r="AC341" s="7">
        <v>10.68</v>
      </c>
      <c r="AD341" s="7">
        <v>1.64</v>
      </c>
      <c r="AE341" s="7">
        <v>118</v>
      </c>
      <c r="AF341" s="7" t="s">
        <v>37</v>
      </c>
      <c r="AG341" s="7" t="s">
        <v>37</v>
      </c>
      <c r="AH341" s="7" t="s">
        <v>37</v>
      </c>
      <c r="AI341" s="7">
        <v>3.45</v>
      </c>
      <c r="AJ341" s="7" t="s">
        <v>37</v>
      </c>
      <c r="AK341" s="7">
        <v>0</v>
      </c>
      <c r="AL341" s="7" t="s">
        <v>37</v>
      </c>
      <c r="AM341" s="7" t="s">
        <v>37</v>
      </c>
      <c r="AN341" s="9">
        <v>8.9125093813374603E-8</v>
      </c>
      <c r="AO341" s="7" t="s">
        <v>37</v>
      </c>
      <c r="AP341" s="9">
        <v>3.54813389233575E-5</v>
      </c>
      <c r="AQ341" s="7">
        <v>1</v>
      </c>
      <c r="AR341" s="7">
        <v>1</v>
      </c>
      <c r="AS341"/>
    </row>
    <row r="342" spans="1:45" ht="19.5" customHeight="1" x14ac:dyDescent="0.3">
      <c r="A342" s="7" t="s">
        <v>1707</v>
      </c>
      <c r="B342" s="7" t="s">
        <v>2080</v>
      </c>
      <c r="C342" s="7">
        <v>7</v>
      </c>
      <c r="D342" s="7">
        <v>18.891042592958101</v>
      </c>
      <c r="E342" s="7">
        <v>264</v>
      </c>
      <c r="F342" s="7">
        <v>44.625745875745899</v>
      </c>
      <c r="G342" s="7" t="s">
        <v>1708</v>
      </c>
      <c r="H342" s="7" t="s">
        <v>1709</v>
      </c>
      <c r="I342" s="7" t="s">
        <v>1710</v>
      </c>
      <c r="J342" s="8" t="s">
        <v>1711</v>
      </c>
      <c r="K342" s="7" t="s">
        <v>1712</v>
      </c>
      <c r="L342" s="7">
        <v>392.51</v>
      </c>
      <c r="M342" s="7" t="s">
        <v>37</v>
      </c>
      <c r="N342" s="7" t="s">
        <v>37</v>
      </c>
      <c r="O342" s="7" t="s">
        <v>37</v>
      </c>
      <c r="P342" s="7" t="s">
        <v>37</v>
      </c>
      <c r="Q342" s="7" t="s">
        <v>37</v>
      </c>
      <c r="R342" s="7" t="s">
        <v>37</v>
      </c>
      <c r="S342" s="7" t="s">
        <v>37</v>
      </c>
      <c r="T342" s="7" t="s">
        <v>37</v>
      </c>
      <c r="U342" s="7">
        <v>345</v>
      </c>
      <c r="V342" s="7" t="s">
        <v>37</v>
      </c>
      <c r="W342" s="7" t="s">
        <v>37</v>
      </c>
      <c r="X342" s="9">
        <v>1.38038426460288E-8</v>
      </c>
      <c r="Y342" s="7" t="s">
        <v>37</v>
      </c>
      <c r="Z342" s="7">
        <v>13.94</v>
      </c>
      <c r="AA342" s="7">
        <v>1.64</v>
      </c>
      <c r="AB342" s="7">
        <v>1.64</v>
      </c>
      <c r="AC342" s="7">
        <v>10.68</v>
      </c>
      <c r="AD342" s="7">
        <v>1.64</v>
      </c>
      <c r="AE342" s="7">
        <v>118</v>
      </c>
      <c r="AF342" s="7" t="s">
        <v>37</v>
      </c>
      <c r="AG342" s="7" t="s">
        <v>37</v>
      </c>
      <c r="AH342" s="7" t="s">
        <v>37</v>
      </c>
      <c r="AI342" s="7">
        <v>3.45</v>
      </c>
      <c r="AJ342" s="7" t="s">
        <v>37</v>
      </c>
      <c r="AK342" s="7">
        <v>0</v>
      </c>
      <c r="AL342" s="7" t="s">
        <v>37</v>
      </c>
      <c r="AM342" s="7" t="s">
        <v>37</v>
      </c>
      <c r="AN342" s="9">
        <v>8.9125093813374603E-8</v>
      </c>
      <c r="AO342" s="7" t="s">
        <v>37</v>
      </c>
      <c r="AP342" s="9">
        <v>3.54813389233575E-5</v>
      </c>
      <c r="AQ342" s="7">
        <v>1</v>
      </c>
      <c r="AR342" s="7">
        <v>1</v>
      </c>
      <c r="AS342"/>
    </row>
    <row r="343" spans="1:45" ht="19.5" customHeight="1" x14ac:dyDescent="0.3">
      <c r="A343" s="7" t="s">
        <v>1291</v>
      </c>
      <c r="B343" s="7" t="s">
        <v>2080</v>
      </c>
      <c r="C343" s="7">
        <v>5</v>
      </c>
      <c r="D343" s="7">
        <v>8929.7969195222195</v>
      </c>
      <c r="E343" s="7">
        <v>752</v>
      </c>
      <c r="F343" s="7">
        <v>33.525217391304302</v>
      </c>
      <c r="G343" s="7" t="s">
        <v>1292</v>
      </c>
      <c r="H343" s="7" t="s">
        <v>1293</v>
      </c>
      <c r="I343" s="7" t="s">
        <v>1294</v>
      </c>
      <c r="J343" s="8" t="s">
        <v>1295</v>
      </c>
      <c r="K343" s="7" t="s">
        <v>1296</v>
      </c>
      <c r="L343" s="7">
        <v>253.71</v>
      </c>
      <c r="M343" s="7" t="s">
        <v>37</v>
      </c>
      <c r="N343" s="7" t="s">
        <v>37</v>
      </c>
      <c r="O343" s="7" t="s">
        <v>37</v>
      </c>
      <c r="P343" s="7" t="s">
        <v>37</v>
      </c>
      <c r="Q343" s="7" t="s">
        <v>37</v>
      </c>
      <c r="R343" s="7" t="s">
        <v>37</v>
      </c>
      <c r="S343" s="7" t="s">
        <v>37</v>
      </c>
      <c r="T343" s="7" t="s">
        <v>37</v>
      </c>
      <c r="U343" s="7">
        <v>391.17</v>
      </c>
      <c r="V343" s="7">
        <v>1.7464999999999999</v>
      </c>
      <c r="W343" s="7">
        <v>186.035</v>
      </c>
      <c r="X343" s="9">
        <v>9.3325430079699198E-9</v>
      </c>
      <c r="Y343" s="7">
        <v>1.885</v>
      </c>
      <c r="Z343" s="7">
        <v>9.83</v>
      </c>
      <c r="AA343" s="7">
        <v>-0.33</v>
      </c>
      <c r="AB343" s="7">
        <v>1.47</v>
      </c>
      <c r="AC343" s="7">
        <v>8.98</v>
      </c>
      <c r="AD343" s="7">
        <v>1.323</v>
      </c>
      <c r="AE343" s="7">
        <v>187</v>
      </c>
      <c r="AF343" s="7">
        <v>64.055000000000007</v>
      </c>
      <c r="AG343" s="7">
        <v>139.357</v>
      </c>
      <c r="AH343" s="7">
        <v>7.08</v>
      </c>
      <c r="AI343" s="7">
        <v>8.83</v>
      </c>
      <c r="AJ343" s="7">
        <v>25.393000000000001</v>
      </c>
      <c r="AK343" s="7">
        <v>0</v>
      </c>
      <c r="AL343" s="7">
        <v>78.346999999999994</v>
      </c>
      <c r="AM343" s="7" t="s">
        <v>37</v>
      </c>
      <c r="AN343" s="9">
        <v>1.54881661891248E-7</v>
      </c>
      <c r="AO343" s="7" t="s">
        <v>37</v>
      </c>
      <c r="AP343" s="7">
        <v>1.32271988537296E-3</v>
      </c>
      <c r="AQ343" s="7">
        <v>1</v>
      </c>
      <c r="AR343" s="7">
        <v>0</v>
      </c>
      <c r="AS343"/>
    </row>
    <row r="344" spans="1:45" ht="19.5" customHeight="1" x14ac:dyDescent="0.3">
      <c r="A344" s="7" t="s">
        <v>629</v>
      </c>
      <c r="B344" s="7" t="s">
        <v>2092</v>
      </c>
      <c r="C344" s="7">
        <v>80</v>
      </c>
      <c r="D344" s="7">
        <v>96335.497835497794</v>
      </c>
      <c r="E344" s="7">
        <v>35</v>
      </c>
      <c r="F344" s="7">
        <v>19.411764705882401</v>
      </c>
      <c r="G344" s="7" t="s">
        <v>630</v>
      </c>
      <c r="H344" s="7" t="s">
        <v>631</v>
      </c>
      <c r="I344" s="7" t="s">
        <v>632</v>
      </c>
      <c r="J344" s="8" t="s">
        <v>633</v>
      </c>
      <c r="K344" s="7" t="s">
        <v>634</v>
      </c>
      <c r="L344" s="7">
        <v>467.52</v>
      </c>
      <c r="M344" s="7" t="s">
        <v>37</v>
      </c>
      <c r="N344" s="7" t="s">
        <v>37</v>
      </c>
      <c r="O344" s="7" t="s">
        <v>37</v>
      </c>
      <c r="P344" s="7" t="s">
        <v>37</v>
      </c>
      <c r="Q344" s="7" t="s">
        <v>37</v>
      </c>
      <c r="R344" s="7" t="s">
        <v>37</v>
      </c>
      <c r="S344" s="7" t="s">
        <v>37</v>
      </c>
      <c r="T344" s="7" t="s">
        <v>37</v>
      </c>
      <c r="U344" s="7">
        <v>606.12249999999995</v>
      </c>
      <c r="V344" s="7">
        <v>1.5325</v>
      </c>
      <c r="W344" s="7">
        <v>441.65699999999998</v>
      </c>
      <c r="X344" s="9">
        <v>2.2908676527677699E-11</v>
      </c>
      <c r="Y344" s="7">
        <v>1.651</v>
      </c>
      <c r="Z344" s="7">
        <v>7.0000000000000007E-2</v>
      </c>
      <c r="AA344" s="7">
        <v>-2.93</v>
      </c>
      <c r="AB344" s="7">
        <v>-1.95</v>
      </c>
      <c r="AC344" s="7">
        <v>9.6</v>
      </c>
      <c r="AD344" s="7">
        <v>-3.7685</v>
      </c>
      <c r="AE344" s="7">
        <v>220.43199999999999</v>
      </c>
      <c r="AF344" s="7">
        <v>111.717</v>
      </c>
      <c r="AG344" s="7">
        <v>305.93700000000001</v>
      </c>
      <c r="AH344" s="7" t="s">
        <v>37</v>
      </c>
      <c r="AI344" s="7">
        <v>6.49</v>
      </c>
      <c r="AJ344" s="7">
        <v>44.287999999999997</v>
      </c>
      <c r="AK344" s="7">
        <v>1</v>
      </c>
      <c r="AL344" s="7">
        <v>92.665999999999997</v>
      </c>
      <c r="AM344" s="7" t="s">
        <v>37</v>
      </c>
      <c r="AN344" s="9">
        <v>2.67917E-9</v>
      </c>
      <c r="AO344" s="7" t="s">
        <v>37</v>
      </c>
      <c r="AP344" s="7">
        <v>0.56732690191011903</v>
      </c>
      <c r="AQ344" s="7">
        <v>1</v>
      </c>
      <c r="AR344" s="7">
        <v>0</v>
      </c>
      <c r="AS344"/>
    </row>
    <row r="345" spans="1:45" ht="19.5" customHeight="1" x14ac:dyDescent="0.3">
      <c r="A345" s="7" t="s">
        <v>1440</v>
      </c>
      <c r="B345" s="7" t="s">
        <v>2080</v>
      </c>
      <c r="C345" s="7">
        <v>2.5</v>
      </c>
      <c r="D345" s="7">
        <v>4271.9764546554798</v>
      </c>
      <c r="E345" s="7">
        <v>137</v>
      </c>
      <c r="F345" s="7">
        <v>61.116071428571402</v>
      </c>
      <c r="G345" s="7" t="s">
        <v>1441</v>
      </c>
      <c r="H345" s="7" t="s">
        <v>1442</v>
      </c>
      <c r="I345" s="7" t="s">
        <v>1443</v>
      </c>
      <c r="J345" s="8" t="s">
        <v>1444</v>
      </c>
      <c r="K345" s="7" t="s">
        <v>1445</v>
      </c>
      <c r="L345" s="7">
        <v>325.49599999999901</v>
      </c>
      <c r="M345" s="7" t="s">
        <v>37</v>
      </c>
      <c r="N345" s="7" t="s">
        <v>37</v>
      </c>
      <c r="O345" s="7" t="s">
        <v>37</v>
      </c>
      <c r="P345" s="7" t="s">
        <v>37</v>
      </c>
      <c r="Q345" s="7" t="s">
        <v>37</v>
      </c>
      <c r="R345" s="7" t="s">
        <v>37</v>
      </c>
      <c r="S345" s="7" t="s">
        <v>37</v>
      </c>
      <c r="T345" s="7" t="s">
        <v>37</v>
      </c>
      <c r="U345" s="7">
        <v>391.29</v>
      </c>
      <c r="V345" s="7">
        <v>1.0049999999999999</v>
      </c>
      <c r="W345" s="7">
        <v>193.93</v>
      </c>
      <c r="X345" s="9">
        <v>9.5499258602143702E-10</v>
      </c>
      <c r="Y345" s="7">
        <v>1.548</v>
      </c>
      <c r="Z345" s="7">
        <v>25.87</v>
      </c>
      <c r="AA345" s="7">
        <v>0.93</v>
      </c>
      <c r="AB345" s="7">
        <v>2.83</v>
      </c>
      <c r="AC345" s="7">
        <v>10.76</v>
      </c>
      <c r="AD345" s="7">
        <v>5.7484999999999999</v>
      </c>
      <c r="AE345" s="7">
        <v>94.528000000000006</v>
      </c>
      <c r="AF345" s="7">
        <v>102.97799999999999</v>
      </c>
      <c r="AG345" s="7">
        <v>324.34899999999999</v>
      </c>
      <c r="AH345" s="7">
        <v>12.16</v>
      </c>
      <c r="AI345" s="7">
        <v>8.81</v>
      </c>
      <c r="AJ345" s="7">
        <v>40.823999999999998</v>
      </c>
      <c r="AK345" s="7">
        <v>0</v>
      </c>
      <c r="AL345" s="7">
        <v>38.887999999999998</v>
      </c>
      <c r="AM345" s="7">
        <v>138.02000000000001</v>
      </c>
      <c r="AN345" s="9">
        <v>1.9700000000000001E-8</v>
      </c>
      <c r="AO345" s="7">
        <v>79.983400000000003</v>
      </c>
      <c r="AP345" s="9">
        <v>5.1667798769599101E-5</v>
      </c>
      <c r="AQ345" s="7">
        <v>1</v>
      </c>
      <c r="AR345" s="7">
        <v>0</v>
      </c>
      <c r="AS345"/>
    </row>
    <row r="346" spans="1:45" ht="19.5" customHeight="1" x14ac:dyDescent="0.3">
      <c r="A346" s="7" t="s">
        <v>575</v>
      </c>
      <c r="B346" s="7" t="s">
        <v>2080</v>
      </c>
      <c r="C346" s="7">
        <v>70</v>
      </c>
      <c r="D346" s="7">
        <v>124559.14758114101</v>
      </c>
      <c r="E346" s="7">
        <v>1041</v>
      </c>
      <c r="F346" s="7">
        <v>45.836088154270001</v>
      </c>
      <c r="G346" s="7" t="s">
        <v>576</v>
      </c>
      <c r="H346" s="7" t="s">
        <v>577</v>
      </c>
      <c r="I346" s="7" t="s">
        <v>578</v>
      </c>
      <c r="J346" s="8" t="s">
        <v>579</v>
      </c>
      <c r="K346" s="7" t="s">
        <v>580</v>
      </c>
      <c r="L346" s="7">
        <v>339.36</v>
      </c>
      <c r="M346" s="7" t="s">
        <v>37</v>
      </c>
      <c r="N346" s="7" t="s">
        <v>37</v>
      </c>
      <c r="O346" s="7" t="s">
        <v>37</v>
      </c>
      <c r="P346" s="7" t="s">
        <v>37</v>
      </c>
      <c r="Q346" s="7" t="s">
        <v>37</v>
      </c>
      <c r="R346" s="7" t="s">
        <v>37</v>
      </c>
      <c r="S346" s="7" t="s">
        <v>37</v>
      </c>
      <c r="T346" s="7" t="s">
        <v>37</v>
      </c>
      <c r="U346" s="7">
        <v>420.95</v>
      </c>
      <c r="V346" s="7">
        <v>1.3540000000000001</v>
      </c>
      <c r="W346" s="7">
        <v>208.31399999999999</v>
      </c>
      <c r="X346" s="9">
        <v>9.3325430079699198E-9</v>
      </c>
      <c r="Y346" s="7">
        <v>1.4970000000000001</v>
      </c>
      <c r="Z346" s="7">
        <v>7.57</v>
      </c>
      <c r="AA346" s="7">
        <v>0.15</v>
      </c>
      <c r="AB346" s="7">
        <v>0.26</v>
      </c>
      <c r="AC346" s="7">
        <v>9.35</v>
      </c>
      <c r="AD346" s="7">
        <v>1.2055</v>
      </c>
      <c r="AE346" s="7">
        <v>163</v>
      </c>
      <c r="AF346" s="7">
        <v>74.328000000000003</v>
      </c>
      <c r="AG346" s="7">
        <v>253.86500000000001</v>
      </c>
      <c r="AH346" s="7" t="s">
        <v>37</v>
      </c>
      <c r="AI346" s="7">
        <v>4.97</v>
      </c>
      <c r="AJ346" s="7">
        <v>29.466000000000001</v>
      </c>
      <c r="AK346" s="7">
        <v>0</v>
      </c>
      <c r="AL346" s="7">
        <v>53.381999999999998</v>
      </c>
      <c r="AM346" s="7" t="s">
        <v>37</v>
      </c>
      <c r="AN346" s="9">
        <v>1.0471285480509001E-5</v>
      </c>
      <c r="AO346" s="7" t="s">
        <v>37</v>
      </c>
      <c r="AP346" s="7">
        <v>3.7837299999999997E-2</v>
      </c>
      <c r="AQ346" s="7">
        <v>1</v>
      </c>
      <c r="AR346" s="7">
        <v>0</v>
      </c>
      <c r="AS346"/>
    </row>
    <row r="347" spans="1:45" ht="19.5" customHeight="1" x14ac:dyDescent="0.3">
      <c r="A347" s="7" t="s">
        <v>939</v>
      </c>
      <c r="B347" s="7" t="s">
        <v>2080</v>
      </c>
      <c r="C347" s="7">
        <v>21</v>
      </c>
      <c r="D347" s="7">
        <v>31534.394140926499</v>
      </c>
      <c r="E347" s="7">
        <v>212</v>
      </c>
      <c r="F347" s="7">
        <v>72.264150943396203</v>
      </c>
      <c r="G347" s="7" t="s">
        <v>940</v>
      </c>
      <c r="H347" s="7" t="s">
        <v>941</v>
      </c>
      <c r="I347" s="7" t="s">
        <v>942</v>
      </c>
      <c r="J347" s="8" t="s">
        <v>943</v>
      </c>
      <c r="K347" s="7" t="s">
        <v>944</v>
      </c>
      <c r="L347" s="7">
        <v>348.42</v>
      </c>
      <c r="M347" s="7" t="s">
        <v>37</v>
      </c>
      <c r="N347" s="7" t="s">
        <v>37</v>
      </c>
      <c r="O347" s="7" t="s">
        <v>37</v>
      </c>
      <c r="P347" s="7" t="s">
        <v>37</v>
      </c>
      <c r="Q347" s="7" t="s">
        <v>37</v>
      </c>
      <c r="R347" s="7" t="s">
        <v>37</v>
      </c>
      <c r="S347" s="7" t="s">
        <v>37</v>
      </c>
      <c r="T347" s="7" t="s">
        <v>37</v>
      </c>
      <c r="U347" s="7">
        <v>396.12</v>
      </c>
      <c r="V347" s="7">
        <v>1.3089999999999999</v>
      </c>
      <c r="W347" s="7">
        <v>302.77999999999997</v>
      </c>
      <c r="X347" s="9">
        <v>1.81970085860998E-11</v>
      </c>
      <c r="Y347" s="7">
        <v>1.595</v>
      </c>
      <c r="Z347" s="7">
        <v>14.96</v>
      </c>
      <c r="AA347" s="7">
        <v>2.85</v>
      </c>
      <c r="AB347" s="7">
        <v>1.82</v>
      </c>
      <c r="AC347" s="7">
        <v>9.35</v>
      </c>
      <c r="AD347" s="7">
        <v>3.37</v>
      </c>
      <c r="AE347" s="7">
        <v>164</v>
      </c>
      <c r="AF347" s="7">
        <v>92.266000000000005</v>
      </c>
      <c r="AG347" s="7">
        <v>271.399</v>
      </c>
      <c r="AH347" s="7">
        <v>6</v>
      </c>
      <c r="AI347" s="7">
        <v>5.73</v>
      </c>
      <c r="AJ347" s="7">
        <v>36.576999999999998</v>
      </c>
      <c r="AK347" s="7">
        <v>0</v>
      </c>
      <c r="AL347" s="7">
        <v>54.475999999999999</v>
      </c>
      <c r="AM347" s="7" t="s">
        <v>37</v>
      </c>
      <c r="AN347" s="9">
        <v>7.3549909480743801E-11</v>
      </c>
      <c r="AO347" s="7" t="s">
        <v>37</v>
      </c>
      <c r="AP347" s="7">
        <v>2.861785E-4</v>
      </c>
      <c r="AQ347" s="7">
        <v>1</v>
      </c>
      <c r="AR347" s="7">
        <v>1</v>
      </c>
      <c r="AS347"/>
    </row>
    <row r="348" spans="1:45" ht="19.5" customHeight="1" x14ac:dyDescent="0.3">
      <c r="A348" s="7" t="s">
        <v>486</v>
      </c>
      <c r="B348" s="7" t="s">
        <v>2080</v>
      </c>
      <c r="C348" s="7">
        <v>30</v>
      </c>
      <c r="D348" s="7">
        <v>178540.17794339301</v>
      </c>
      <c r="E348" s="7">
        <v>1679</v>
      </c>
      <c r="F348" s="7">
        <v>21.1231766612642</v>
      </c>
      <c r="G348" s="7" t="s">
        <v>487</v>
      </c>
      <c r="H348" s="7" t="s">
        <v>488</v>
      </c>
      <c r="I348" s="7" t="s">
        <v>489</v>
      </c>
      <c r="J348" s="8" t="s">
        <v>490</v>
      </c>
      <c r="K348" s="7" t="s">
        <v>491</v>
      </c>
      <c r="L348" s="7">
        <v>263.38099999999901</v>
      </c>
      <c r="M348" s="7" t="s">
        <v>37</v>
      </c>
      <c r="N348" s="7" t="s">
        <v>37</v>
      </c>
      <c r="O348" s="7" t="s">
        <v>37</v>
      </c>
      <c r="P348" s="7" t="s">
        <v>37</v>
      </c>
      <c r="Q348" s="7" t="s">
        <v>37</v>
      </c>
      <c r="R348" s="7" t="s">
        <v>37</v>
      </c>
      <c r="S348" s="7">
        <v>658.45</v>
      </c>
      <c r="T348" s="7">
        <v>65.844999999999999</v>
      </c>
      <c r="U348" s="7">
        <v>317.976</v>
      </c>
      <c r="V348" s="7">
        <v>1.04</v>
      </c>
      <c r="W348" s="7">
        <v>169.84950000000001</v>
      </c>
      <c r="X348" s="9">
        <v>1.1220184543019601E-6</v>
      </c>
      <c r="Y348" s="7">
        <v>1.5329999999999999</v>
      </c>
      <c r="Z348" s="7">
        <v>12.94</v>
      </c>
      <c r="AA348" s="7">
        <v>-0.68</v>
      </c>
      <c r="AB348" s="7">
        <v>1.2</v>
      </c>
      <c r="AC348" s="7">
        <v>9.94</v>
      </c>
      <c r="AD348" s="7">
        <v>2.512</v>
      </c>
      <c r="AE348" s="7">
        <v>104.386</v>
      </c>
      <c r="AF348" s="7">
        <v>77.97</v>
      </c>
      <c r="AG348" s="7">
        <v>251.39</v>
      </c>
      <c r="AH348" s="7" t="s">
        <v>37</v>
      </c>
      <c r="AI348" s="7">
        <v>8.69</v>
      </c>
      <c r="AJ348" s="7">
        <v>30.91</v>
      </c>
      <c r="AK348" s="7">
        <v>0</v>
      </c>
      <c r="AL348" s="7">
        <v>40.285499999999999</v>
      </c>
      <c r="AM348" s="7">
        <v>143.291</v>
      </c>
      <c r="AN348" s="9">
        <v>1.02E-6</v>
      </c>
      <c r="AO348" s="7">
        <v>17.298200000000001</v>
      </c>
      <c r="AP348" s="7">
        <v>1.25603E-3</v>
      </c>
      <c r="AQ348" s="7">
        <v>1</v>
      </c>
      <c r="AR348" s="7">
        <v>0</v>
      </c>
      <c r="AS348"/>
    </row>
    <row r="349" spans="1:45" ht="19.5" customHeight="1" x14ac:dyDescent="0.3">
      <c r="A349" s="7" t="s">
        <v>1629</v>
      </c>
      <c r="B349" s="7" t="s">
        <v>2092</v>
      </c>
      <c r="C349" s="7">
        <v>2</v>
      </c>
      <c r="D349" s="7">
        <v>532.91926053658904</v>
      </c>
      <c r="E349" s="7">
        <v>128</v>
      </c>
      <c r="F349" s="7">
        <v>48.7222222222222</v>
      </c>
      <c r="G349" s="7" t="s">
        <v>1630</v>
      </c>
      <c r="H349" s="7" t="s">
        <v>1631</v>
      </c>
      <c r="I349" s="7" t="s">
        <v>1632</v>
      </c>
      <c r="J349" s="8" t="s">
        <v>1633</v>
      </c>
      <c r="K349" s="7" t="s">
        <v>1634</v>
      </c>
      <c r="L349" s="7">
        <v>500.55500000000001</v>
      </c>
      <c r="M349" s="7" t="s">
        <v>37</v>
      </c>
      <c r="N349" s="7" t="s">
        <v>37</v>
      </c>
      <c r="O349" s="7" t="s">
        <v>37</v>
      </c>
      <c r="P349" s="7" t="s">
        <v>37</v>
      </c>
      <c r="Q349" s="7" t="s">
        <v>37</v>
      </c>
      <c r="R349" s="7" t="s">
        <v>37</v>
      </c>
      <c r="S349" s="7" t="s">
        <v>37</v>
      </c>
      <c r="T349" s="7" t="s">
        <v>37</v>
      </c>
      <c r="U349" s="7">
        <v>490.41050000000001</v>
      </c>
      <c r="V349" s="7">
        <v>1.2450000000000001</v>
      </c>
      <c r="W349" s="7">
        <v>307.48899999999998</v>
      </c>
      <c r="X349" s="9">
        <v>1.5135612484362101E-11</v>
      </c>
      <c r="Y349" s="7">
        <v>1.5469999999999999</v>
      </c>
      <c r="Z349" s="7">
        <v>27.78</v>
      </c>
      <c r="AA349" s="7">
        <v>4.5999999999999996</v>
      </c>
      <c r="AB349" s="7">
        <v>4.7300000000000004</v>
      </c>
      <c r="AC349" s="7">
        <v>9.36</v>
      </c>
      <c r="AD349" s="7">
        <v>3.984</v>
      </c>
      <c r="AE349" s="7">
        <v>162</v>
      </c>
      <c r="AF349" s="7">
        <v>127.52200000000001</v>
      </c>
      <c r="AG349" s="7">
        <v>401.96800000000002</v>
      </c>
      <c r="AH349" s="7">
        <v>26</v>
      </c>
      <c r="AI349" s="7">
        <v>5.0599999999999996</v>
      </c>
      <c r="AJ349" s="7">
        <v>50.554000000000002</v>
      </c>
      <c r="AK349" s="7">
        <v>0</v>
      </c>
      <c r="AL349" s="7">
        <v>41.661000000000001</v>
      </c>
      <c r="AM349" s="7" t="s">
        <v>37</v>
      </c>
      <c r="AN349" s="9">
        <v>1.1994245095097499E-9</v>
      </c>
      <c r="AO349" s="7" t="s">
        <v>37</v>
      </c>
      <c r="AP349" s="7">
        <v>3.0142182767779399E-4</v>
      </c>
      <c r="AQ349" s="7">
        <v>0</v>
      </c>
      <c r="AR349" s="7">
        <v>1</v>
      </c>
      <c r="AS349"/>
    </row>
    <row r="350" spans="1:45" ht="19.5" customHeight="1" x14ac:dyDescent="0.3">
      <c r="A350" s="7" t="s">
        <v>599</v>
      </c>
      <c r="B350" s="7" t="s">
        <v>2080</v>
      </c>
      <c r="C350" s="7">
        <v>1</v>
      </c>
      <c r="D350" s="7">
        <v>105201.001144389</v>
      </c>
      <c r="E350" s="7">
        <v>2595</v>
      </c>
      <c r="F350" s="7">
        <v>49.560924369747902</v>
      </c>
      <c r="G350" s="7" t="s">
        <v>600</v>
      </c>
      <c r="H350" s="7" t="s">
        <v>601</v>
      </c>
      <c r="I350" s="7" t="s">
        <v>602</v>
      </c>
      <c r="J350" s="8" t="s">
        <v>603</v>
      </c>
      <c r="K350" s="7" t="s">
        <v>604</v>
      </c>
      <c r="L350" s="7">
        <v>371.87</v>
      </c>
      <c r="M350" s="7" t="s">
        <v>37</v>
      </c>
      <c r="N350" s="7" t="s">
        <v>37</v>
      </c>
      <c r="O350" s="7" t="s">
        <v>37</v>
      </c>
      <c r="P350" s="7" t="s">
        <v>37</v>
      </c>
      <c r="Q350" s="7" t="s">
        <v>37</v>
      </c>
      <c r="R350" s="7" t="s">
        <v>37</v>
      </c>
      <c r="S350" s="7" t="s">
        <v>37</v>
      </c>
      <c r="T350" s="7" t="s">
        <v>37</v>
      </c>
      <c r="U350" s="7">
        <v>497.57</v>
      </c>
      <c r="V350" s="7">
        <v>1.3425</v>
      </c>
      <c r="W350" s="7">
        <v>270.8005</v>
      </c>
      <c r="X350" s="9">
        <v>1.1748975549395301E-8</v>
      </c>
      <c r="Y350" s="7">
        <v>1.671</v>
      </c>
      <c r="Z350" s="7">
        <v>15.08</v>
      </c>
      <c r="AA350" s="7">
        <v>1.79</v>
      </c>
      <c r="AB350" s="7">
        <v>2.4</v>
      </c>
      <c r="AC350" s="7">
        <v>11.7</v>
      </c>
      <c r="AD350" s="7">
        <v>2.5914999999999999</v>
      </c>
      <c r="AE350" s="7">
        <v>87</v>
      </c>
      <c r="AF350" s="7">
        <v>104.246</v>
      </c>
      <c r="AG350" s="7">
        <v>278.803</v>
      </c>
      <c r="AH350" s="7" t="s">
        <v>37</v>
      </c>
      <c r="AI350" s="7">
        <v>6.02</v>
      </c>
      <c r="AJ350" s="7">
        <v>41.326000000000001</v>
      </c>
      <c r="AK350" s="7">
        <v>0</v>
      </c>
      <c r="AL350" s="7">
        <v>55.078000000000003</v>
      </c>
      <c r="AM350" s="7" t="s">
        <v>37</v>
      </c>
      <c r="AN350" s="9">
        <v>4.8417199999999997E-9</v>
      </c>
      <c r="AO350" s="7" t="s">
        <v>37</v>
      </c>
      <c r="AP350" s="7">
        <v>1.3666271503984999E-4</v>
      </c>
      <c r="AQ350" s="7">
        <v>1</v>
      </c>
      <c r="AR350" s="7">
        <v>0</v>
      </c>
      <c r="AS350"/>
    </row>
    <row r="351" spans="1:45" ht="19.5" customHeight="1" x14ac:dyDescent="0.3">
      <c r="A351" s="7" t="s">
        <v>1689</v>
      </c>
      <c r="B351" s="7" t="s">
        <v>2091</v>
      </c>
      <c r="C351" s="7">
        <v>100</v>
      </c>
      <c r="D351" s="7">
        <v>37.650764493522999</v>
      </c>
      <c r="E351" s="7">
        <v>17</v>
      </c>
      <c r="F351" s="7">
        <v>26.0397249809015</v>
      </c>
      <c r="G351" s="7" t="s">
        <v>1690</v>
      </c>
      <c r="H351" s="7" t="s">
        <v>1691</v>
      </c>
      <c r="I351" s="7" t="s">
        <v>1692</v>
      </c>
      <c r="J351" s="8" t="s">
        <v>1693</v>
      </c>
      <c r="K351" s="7" t="s">
        <v>1694</v>
      </c>
      <c r="L351" s="7">
        <v>394.43900000000002</v>
      </c>
      <c r="M351" s="7" t="s">
        <v>37</v>
      </c>
      <c r="N351" s="7" t="s">
        <v>37</v>
      </c>
      <c r="O351" s="7" t="s">
        <v>37</v>
      </c>
      <c r="P351" s="7" t="s">
        <v>37</v>
      </c>
      <c r="Q351" s="7" t="s">
        <v>37</v>
      </c>
      <c r="R351" s="7" t="s">
        <v>37</v>
      </c>
      <c r="S351" s="7" t="s">
        <v>37</v>
      </c>
      <c r="T351" s="7" t="s">
        <v>37</v>
      </c>
      <c r="U351" s="7">
        <v>495.43450000000001</v>
      </c>
      <c r="V351" s="7">
        <v>1.3959999999999999</v>
      </c>
      <c r="W351" s="7">
        <v>314.8295</v>
      </c>
      <c r="X351" s="9">
        <v>1.3182567385563999E-11</v>
      </c>
      <c r="Y351" s="7">
        <v>1.6180000000000001</v>
      </c>
      <c r="Z351" s="7">
        <v>8.0399999999999991</v>
      </c>
      <c r="AA351" s="7">
        <v>1.1399999999999999</v>
      </c>
      <c r="AB351" s="7">
        <v>0.44</v>
      </c>
      <c r="AC351" s="7">
        <v>9.42</v>
      </c>
      <c r="AD351" s="7">
        <v>1.1599999999999999</v>
      </c>
      <c r="AE351" s="7">
        <v>270</v>
      </c>
      <c r="AF351" s="7">
        <v>97.143000000000001</v>
      </c>
      <c r="AG351" s="7">
        <v>277.36200000000002</v>
      </c>
      <c r="AH351" s="7">
        <v>6.77</v>
      </c>
      <c r="AI351" s="7">
        <v>11.571</v>
      </c>
      <c r="AJ351" s="7">
        <v>38.511000000000003</v>
      </c>
      <c r="AK351" s="7">
        <v>0</v>
      </c>
      <c r="AL351" s="7">
        <v>65.582999999999998</v>
      </c>
      <c r="AM351" s="7" t="s">
        <v>37</v>
      </c>
      <c r="AN351" s="9">
        <v>1.29718E-10</v>
      </c>
      <c r="AO351" s="7" t="s">
        <v>37</v>
      </c>
      <c r="AP351" s="7">
        <v>2.0408700000000001E-4</v>
      </c>
      <c r="AQ351" s="7">
        <v>1</v>
      </c>
      <c r="AR351" s="7">
        <v>0</v>
      </c>
      <c r="AS351"/>
    </row>
    <row r="352" spans="1:45" ht="19.5" customHeight="1" x14ac:dyDescent="0.3">
      <c r="A352" s="7" t="s">
        <v>1689</v>
      </c>
      <c r="B352" s="7" t="s">
        <v>2083</v>
      </c>
      <c r="C352" s="7">
        <v>100</v>
      </c>
      <c r="D352" s="7">
        <v>542422.74322185502</v>
      </c>
      <c r="E352" s="7">
        <v>534</v>
      </c>
      <c r="F352" s="7">
        <v>21.442579892018099</v>
      </c>
      <c r="G352" s="7" t="s">
        <v>1690</v>
      </c>
      <c r="H352" s="7" t="s">
        <v>1691</v>
      </c>
      <c r="I352" s="7" t="s">
        <v>1692</v>
      </c>
      <c r="J352" s="8" t="s">
        <v>1693</v>
      </c>
      <c r="K352" s="7" t="s">
        <v>1694</v>
      </c>
      <c r="L352" s="7">
        <v>394.43900000000002</v>
      </c>
      <c r="M352" s="7" t="s">
        <v>37</v>
      </c>
      <c r="N352" s="7" t="s">
        <v>37</v>
      </c>
      <c r="O352" s="7" t="s">
        <v>37</v>
      </c>
      <c r="P352" s="7" t="s">
        <v>37</v>
      </c>
      <c r="Q352" s="7" t="s">
        <v>37</v>
      </c>
      <c r="R352" s="7" t="s">
        <v>37</v>
      </c>
      <c r="S352" s="7" t="s">
        <v>37</v>
      </c>
      <c r="T352" s="7" t="s">
        <v>37</v>
      </c>
      <c r="U352" s="7">
        <v>495.43450000000001</v>
      </c>
      <c r="V352" s="7">
        <v>1.3959999999999999</v>
      </c>
      <c r="W352" s="7">
        <v>314.8295</v>
      </c>
      <c r="X352" s="9">
        <v>1.3182567385563999E-11</v>
      </c>
      <c r="Y352" s="7">
        <v>1.6180000000000001</v>
      </c>
      <c r="Z352" s="7">
        <v>8.0399999999999991</v>
      </c>
      <c r="AA352" s="7">
        <v>1.1399999999999999</v>
      </c>
      <c r="AB352" s="7">
        <v>0.44</v>
      </c>
      <c r="AC352" s="7">
        <v>9.42</v>
      </c>
      <c r="AD352" s="7">
        <v>1.1599999999999999</v>
      </c>
      <c r="AE352" s="7">
        <v>270</v>
      </c>
      <c r="AF352" s="7">
        <v>97.143000000000001</v>
      </c>
      <c r="AG352" s="7">
        <v>277.36200000000002</v>
      </c>
      <c r="AH352" s="7">
        <v>6.77</v>
      </c>
      <c r="AI352" s="7">
        <v>11.571</v>
      </c>
      <c r="AJ352" s="7">
        <v>38.511000000000003</v>
      </c>
      <c r="AK352" s="7">
        <v>0</v>
      </c>
      <c r="AL352" s="7">
        <v>65.582999999999998</v>
      </c>
      <c r="AM352" s="7" t="s">
        <v>37</v>
      </c>
      <c r="AN352" s="9">
        <v>1.29718E-10</v>
      </c>
      <c r="AO352" s="7" t="s">
        <v>37</v>
      </c>
      <c r="AP352" s="7">
        <v>2.0408700000000001E-4</v>
      </c>
      <c r="AQ352" s="7">
        <v>1</v>
      </c>
      <c r="AR352" s="7">
        <v>0</v>
      </c>
      <c r="AS352"/>
    </row>
    <row r="353" spans="1:45" ht="19.5" customHeight="1" x14ac:dyDescent="0.3">
      <c r="A353" s="7" t="s">
        <v>1036</v>
      </c>
      <c r="B353" s="7" t="s">
        <v>2080</v>
      </c>
      <c r="C353" s="7">
        <v>30</v>
      </c>
      <c r="D353" s="7">
        <v>23765.2492019848</v>
      </c>
      <c r="E353" s="7">
        <v>15</v>
      </c>
      <c r="F353" s="7">
        <v>141.333333333333</v>
      </c>
      <c r="G353" s="7" t="s">
        <v>1037</v>
      </c>
      <c r="H353" s="7" t="s">
        <v>1038</v>
      </c>
      <c r="I353" s="7" t="s">
        <v>1039</v>
      </c>
      <c r="J353" s="8" t="s">
        <v>1040</v>
      </c>
      <c r="K353" s="7" t="s">
        <v>1041</v>
      </c>
      <c r="L353" s="7">
        <v>253.26900000000001</v>
      </c>
      <c r="M353" s="7" t="s">
        <v>37</v>
      </c>
      <c r="N353" s="7" t="s">
        <v>37</v>
      </c>
      <c r="O353" s="7" t="s">
        <v>37</v>
      </c>
      <c r="P353" s="7" t="s">
        <v>37</v>
      </c>
      <c r="Q353" s="7" t="s">
        <v>37</v>
      </c>
      <c r="R353" s="7" t="s">
        <v>37</v>
      </c>
      <c r="S353" s="7" t="s">
        <v>37</v>
      </c>
      <c r="T353" s="7" t="s">
        <v>37</v>
      </c>
      <c r="U353" s="7">
        <v>474.50150000000002</v>
      </c>
      <c r="V353" s="7">
        <v>1.5009999999999999</v>
      </c>
      <c r="W353" s="7">
        <v>328.50749999999999</v>
      </c>
      <c r="X353" s="9">
        <v>1.12201845430197E-11</v>
      </c>
      <c r="Y353" s="7">
        <v>1.8260000000000001</v>
      </c>
      <c r="Z353" s="7">
        <v>8.0399999999999991</v>
      </c>
      <c r="AA353" s="7">
        <v>0.03</v>
      </c>
      <c r="AB353" s="7">
        <v>0.94</v>
      </c>
      <c r="AC353" s="7">
        <v>9.31</v>
      </c>
      <c r="AD353" s="7">
        <v>0.98</v>
      </c>
      <c r="AE353" s="7">
        <v>316</v>
      </c>
      <c r="AF353" s="7">
        <v>73.760999999999996</v>
      </c>
      <c r="AG353" s="7">
        <v>168.56899999999999</v>
      </c>
      <c r="AH353" s="7" t="s">
        <v>37</v>
      </c>
      <c r="AI353" s="7">
        <v>6.4</v>
      </c>
      <c r="AJ353" s="7">
        <v>29.241</v>
      </c>
      <c r="AK353" s="7">
        <v>0</v>
      </c>
      <c r="AL353" s="7">
        <v>104.184</v>
      </c>
      <c r="AM353" s="7" t="s">
        <v>37</v>
      </c>
      <c r="AN353" s="9">
        <v>2.8773999999999998E-10</v>
      </c>
      <c r="AO353" s="7" t="s">
        <v>37</v>
      </c>
      <c r="AP353" s="7">
        <v>1.13E-4</v>
      </c>
      <c r="AQ353" s="7">
        <v>0</v>
      </c>
      <c r="AR353" s="7">
        <v>0</v>
      </c>
      <c r="AS353"/>
    </row>
    <row r="354" spans="1:45" ht="19.5" customHeight="1" x14ac:dyDescent="0.3">
      <c r="A354" s="7" t="s">
        <v>319</v>
      </c>
      <c r="B354" s="7" t="s">
        <v>2080</v>
      </c>
      <c r="C354" s="7">
        <v>66.8</v>
      </c>
      <c r="D354" s="7">
        <v>320000</v>
      </c>
      <c r="E354" s="7">
        <v>4</v>
      </c>
      <c r="F354" s="7">
        <v>3</v>
      </c>
      <c r="G354" s="7" t="s">
        <v>320</v>
      </c>
      <c r="H354" s="7" t="s">
        <v>321</v>
      </c>
      <c r="I354" s="7" t="s">
        <v>322</v>
      </c>
      <c r="J354" s="8" t="s">
        <v>323</v>
      </c>
      <c r="K354" s="7" t="s">
        <v>324</v>
      </c>
      <c r="L354" s="7">
        <v>290.32299999999901</v>
      </c>
      <c r="M354" s="7">
        <v>243900</v>
      </c>
      <c r="N354" s="7" t="s">
        <v>37</v>
      </c>
      <c r="O354" s="9">
        <v>100000</v>
      </c>
      <c r="P354" s="7">
        <v>10000</v>
      </c>
      <c r="Q354" s="7">
        <v>3120</v>
      </c>
      <c r="R354" s="7">
        <v>16000</v>
      </c>
      <c r="S354" s="7">
        <v>12578.5</v>
      </c>
      <c r="T354" s="7">
        <v>15.7</v>
      </c>
      <c r="U354" s="7">
        <v>442.52949999999998</v>
      </c>
      <c r="V354" s="7">
        <v>1.323</v>
      </c>
      <c r="W354" s="7">
        <v>274.09800000000001</v>
      </c>
      <c r="X354" s="9">
        <v>1.65958690743756E-8</v>
      </c>
      <c r="Y354" s="7">
        <v>1.609</v>
      </c>
      <c r="Z354" s="7">
        <v>8.8699999999999992</v>
      </c>
      <c r="AA354" s="7">
        <v>-0.92</v>
      </c>
      <c r="AB354" s="7">
        <v>0.65</v>
      </c>
      <c r="AC354" s="7">
        <v>9.34</v>
      </c>
      <c r="AD354" s="7">
        <v>0.91</v>
      </c>
      <c r="AE354" s="7">
        <v>201</v>
      </c>
      <c r="AF354" s="7">
        <v>80.257999999999996</v>
      </c>
      <c r="AG354" s="7">
        <v>231.85</v>
      </c>
      <c r="AH354" s="7" t="s">
        <v>37</v>
      </c>
      <c r="AI354" s="7">
        <v>7.32</v>
      </c>
      <c r="AJ354" s="7">
        <v>31.817</v>
      </c>
      <c r="AK354" s="7">
        <v>0</v>
      </c>
      <c r="AL354" s="7">
        <v>53.929000000000002</v>
      </c>
      <c r="AM354" s="7" t="s">
        <v>37</v>
      </c>
      <c r="AN354" s="9">
        <v>1.9952623149688799E-9</v>
      </c>
      <c r="AO354" s="7" t="s">
        <v>37</v>
      </c>
      <c r="AP354" s="7">
        <v>1.3799999999999999E-3</v>
      </c>
      <c r="AQ354" s="7">
        <v>1</v>
      </c>
      <c r="AR354" s="7">
        <v>0</v>
      </c>
      <c r="AS354"/>
    </row>
    <row r="355" spans="1:45" ht="19.5" customHeight="1" x14ac:dyDescent="0.3">
      <c r="A355" s="7" t="s">
        <v>1512</v>
      </c>
      <c r="B355" s="7" t="s">
        <v>2080</v>
      </c>
      <c r="C355" s="7">
        <v>100</v>
      </c>
      <c r="D355" s="7">
        <v>1918.5366993922401</v>
      </c>
      <c r="E355" s="7">
        <v>6</v>
      </c>
      <c r="F355" s="7">
        <v>17</v>
      </c>
      <c r="G355" s="7" t="s">
        <v>1513</v>
      </c>
      <c r="H355" s="7" t="s">
        <v>1514</v>
      </c>
      <c r="I355" s="7" t="s">
        <v>1515</v>
      </c>
      <c r="J355" s="8" t="s">
        <v>1516</v>
      </c>
      <c r="K355" s="7" t="s">
        <v>1517</v>
      </c>
      <c r="L355" s="7">
        <v>278.399</v>
      </c>
      <c r="M355" s="7" t="s">
        <v>37</v>
      </c>
      <c r="N355" s="7" t="s">
        <v>37</v>
      </c>
      <c r="O355" s="7" t="s">
        <v>37</v>
      </c>
      <c r="P355" s="7" t="s">
        <v>37</v>
      </c>
      <c r="Q355" s="7" t="s">
        <v>37</v>
      </c>
      <c r="R355" s="7" t="s">
        <v>37</v>
      </c>
      <c r="S355" s="7" t="s">
        <v>37</v>
      </c>
      <c r="T355" s="7" t="s">
        <v>37</v>
      </c>
      <c r="U355" s="7">
        <v>383.18650000000002</v>
      </c>
      <c r="V355" s="7">
        <v>1.0609999999999999</v>
      </c>
      <c r="W355" s="7">
        <v>207.893</v>
      </c>
      <c r="X355" s="9">
        <v>1.8620871366628699E-8</v>
      </c>
      <c r="Y355" s="7">
        <v>1.587</v>
      </c>
      <c r="Z355" s="7">
        <v>20.89</v>
      </c>
      <c r="AA355" s="7">
        <v>1.27</v>
      </c>
      <c r="AB355" s="7">
        <v>3.1</v>
      </c>
      <c r="AC355" s="7">
        <v>10.199999999999999</v>
      </c>
      <c r="AD355" s="7">
        <v>3.92</v>
      </c>
      <c r="AE355" s="7">
        <v>60</v>
      </c>
      <c r="AF355" s="7">
        <v>88.123999999999995</v>
      </c>
      <c r="AG355" s="7">
        <v>262.15899999999999</v>
      </c>
      <c r="AH355" s="7" t="s">
        <v>37</v>
      </c>
      <c r="AI355" s="7">
        <v>8.15</v>
      </c>
      <c r="AJ355" s="7">
        <v>34.935000000000002</v>
      </c>
      <c r="AK355" s="7">
        <v>0</v>
      </c>
      <c r="AL355" s="7">
        <v>43.298000000000002</v>
      </c>
      <c r="AM355" s="7" t="s">
        <v>37</v>
      </c>
      <c r="AN355" s="9">
        <v>1.0666E-7</v>
      </c>
      <c r="AO355" s="7">
        <v>22.3872</v>
      </c>
      <c r="AP355" s="7">
        <v>3.2454219816028097E-4</v>
      </c>
      <c r="AQ355" s="7">
        <v>0</v>
      </c>
      <c r="AR355" s="7">
        <v>0</v>
      </c>
      <c r="AS355"/>
    </row>
    <row r="356" spans="1:45" ht="19.5" customHeight="1" x14ac:dyDescent="0.3">
      <c r="A356" s="7" t="s">
        <v>1678</v>
      </c>
      <c r="B356" s="7" t="s">
        <v>2089</v>
      </c>
      <c r="C356" s="7">
        <v>100</v>
      </c>
      <c r="D356" s="7">
        <v>74.691240132416596</v>
      </c>
      <c r="E356" s="7">
        <v>187</v>
      </c>
      <c r="F356" s="7">
        <v>33.157894736842103</v>
      </c>
      <c r="G356" s="7" t="s">
        <v>1679</v>
      </c>
      <c r="H356" s="7" t="s">
        <v>1680</v>
      </c>
      <c r="I356" s="7" t="s">
        <v>1681</v>
      </c>
      <c r="J356" s="8" t="s">
        <v>1682</v>
      </c>
      <c r="K356" s="7" t="s">
        <v>1683</v>
      </c>
      <c r="L356" s="7">
        <v>428.59500000000003</v>
      </c>
      <c r="M356" s="7" t="s">
        <v>37</v>
      </c>
      <c r="N356" s="7" t="s">
        <v>37</v>
      </c>
      <c r="O356" s="7" t="s">
        <v>37</v>
      </c>
      <c r="P356" s="7" t="s">
        <v>37</v>
      </c>
      <c r="Q356" s="7" t="s">
        <v>37</v>
      </c>
      <c r="R356" s="7" t="s">
        <v>37</v>
      </c>
      <c r="S356" s="7" t="s">
        <v>37</v>
      </c>
      <c r="T356" s="7" t="s">
        <v>37</v>
      </c>
      <c r="U356" s="7">
        <v>565.59500000000003</v>
      </c>
      <c r="V356" s="7" t="s">
        <v>37</v>
      </c>
      <c r="W356" s="7" t="s">
        <v>37</v>
      </c>
      <c r="X356" s="9">
        <v>7.9432823472428206E-8</v>
      </c>
      <c r="Y356" s="7" t="s">
        <v>37</v>
      </c>
      <c r="Z356" s="7">
        <v>28.02</v>
      </c>
      <c r="AA356" s="7">
        <v>3.21</v>
      </c>
      <c r="AB356" s="7">
        <v>4.7699999999999996</v>
      </c>
      <c r="AC356" s="7">
        <v>10.27</v>
      </c>
      <c r="AD356" s="7">
        <v>2.9990000000000001</v>
      </c>
      <c r="AE356" s="7">
        <v>195</v>
      </c>
      <c r="AF356" s="7" t="s">
        <v>37</v>
      </c>
      <c r="AG356" s="7" t="s">
        <v>37</v>
      </c>
      <c r="AH356" s="7" t="s">
        <v>37</v>
      </c>
      <c r="AI356" s="7">
        <v>7.31</v>
      </c>
      <c r="AJ356" s="7" t="s">
        <v>37</v>
      </c>
      <c r="AK356" s="7">
        <v>0</v>
      </c>
      <c r="AL356" s="7" t="s">
        <v>37</v>
      </c>
      <c r="AM356" s="7" t="s">
        <v>37</v>
      </c>
      <c r="AN356" s="9">
        <v>4.5708818961487497E-8</v>
      </c>
      <c r="AO356" s="7" t="s">
        <v>37</v>
      </c>
      <c r="AP356" s="7">
        <v>4.0959462100000001E-4</v>
      </c>
      <c r="AQ356" s="7">
        <v>1</v>
      </c>
      <c r="AR356" s="7">
        <v>0</v>
      </c>
      <c r="AS356"/>
    </row>
    <row r="357" spans="1:45" ht="19.5" customHeight="1" x14ac:dyDescent="0.3">
      <c r="A357" s="7" t="s">
        <v>146</v>
      </c>
      <c r="B357" s="7" t="s">
        <v>2080</v>
      </c>
      <c r="C357" s="7">
        <v>52.06</v>
      </c>
      <c r="D357" s="7">
        <v>1292890.30884587</v>
      </c>
      <c r="E357" s="7">
        <v>447</v>
      </c>
      <c r="F357" s="7">
        <v>42.963696369636999</v>
      </c>
      <c r="G357" s="7" t="s">
        <v>147</v>
      </c>
      <c r="H357" s="7" t="s">
        <v>148</v>
      </c>
      <c r="I357" s="7" t="s">
        <v>149</v>
      </c>
      <c r="J357" s="8" t="s">
        <v>150</v>
      </c>
      <c r="K357" s="7" t="s">
        <v>151</v>
      </c>
      <c r="L357" s="7">
        <v>324.34100000000001</v>
      </c>
      <c r="M357" s="7" t="s">
        <v>37</v>
      </c>
      <c r="N357" s="7" t="s">
        <v>37</v>
      </c>
      <c r="O357" s="7" t="s">
        <v>37</v>
      </c>
      <c r="P357" s="7" t="s">
        <v>37</v>
      </c>
      <c r="Q357" s="7" t="s">
        <v>37</v>
      </c>
      <c r="R357" s="7" t="s">
        <v>37</v>
      </c>
      <c r="S357" s="7" t="s">
        <v>37</v>
      </c>
      <c r="T357" s="7" t="s">
        <v>37</v>
      </c>
      <c r="U357" s="7">
        <v>588.4</v>
      </c>
      <c r="V357" s="7">
        <v>1.6579999999999999</v>
      </c>
      <c r="W357" s="7">
        <v>238.309</v>
      </c>
      <c r="X357" s="9">
        <v>1.34896288259166E-11</v>
      </c>
      <c r="Y357" s="7">
        <v>1.673</v>
      </c>
      <c r="Z357" s="7">
        <v>5</v>
      </c>
      <c r="AA357" s="7">
        <v>0.56000000000000005</v>
      </c>
      <c r="AB357" s="7">
        <v>0.59</v>
      </c>
      <c r="AC357" s="7">
        <v>9.2799999999999994</v>
      </c>
      <c r="AD357" s="7">
        <v>-0.67749999999999999</v>
      </c>
      <c r="AE357" s="7">
        <v>235</v>
      </c>
      <c r="AF357" s="7">
        <v>78.418000000000006</v>
      </c>
      <c r="AG357" s="7">
        <v>209.18600000000001</v>
      </c>
      <c r="AH357" s="7" t="s">
        <v>37</v>
      </c>
      <c r="AI357" s="7">
        <v>4.4000000000000004</v>
      </c>
      <c r="AJ357" s="7">
        <v>31.087</v>
      </c>
      <c r="AK357" s="7">
        <v>0</v>
      </c>
      <c r="AL357" s="7">
        <v>62.878999999999998</v>
      </c>
      <c r="AM357" s="7" t="s">
        <v>37</v>
      </c>
      <c r="AN357" s="9">
        <v>1.81433556928417E-8</v>
      </c>
      <c r="AO357" s="7" t="s">
        <v>37</v>
      </c>
      <c r="AP357" s="7">
        <v>5.7016150000000002E-3</v>
      </c>
      <c r="AQ357" s="7">
        <v>1</v>
      </c>
      <c r="AR357" s="7">
        <v>1</v>
      </c>
      <c r="AS357"/>
    </row>
    <row r="358" spans="1:45" ht="19.5" customHeight="1" x14ac:dyDescent="0.3">
      <c r="A358" s="7" t="s">
        <v>480</v>
      </c>
      <c r="B358" s="7" t="s">
        <v>2080</v>
      </c>
      <c r="C358" s="7">
        <v>79</v>
      </c>
      <c r="D358" s="7">
        <v>193072.796934866</v>
      </c>
      <c r="E358" s="7">
        <v>406</v>
      </c>
      <c r="F358" s="7">
        <v>60</v>
      </c>
      <c r="G358" s="7" t="s">
        <v>481</v>
      </c>
      <c r="H358" s="7" t="s">
        <v>482</v>
      </c>
      <c r="I358" s="7" t="s">
        <v>483</v>
      </c>
      <c r="J358" s="8" t="s">
        <v>484</v>
      </c>
      <c r="K358" s="7" t="s">
        <v>485</v>
      </c>
      <c r="L358" s="7">
        <v>435.52800000000002</v>
      </c>
      <c r="M358" s="7" t="s">
        <v>37</v>
      </c>
      <c r="N358" s="7" t="s">
        <v>37</v>
      </c>
      <c r="O358" s="7" t="s">
        <v>37</v>
      </c>
      <c r="P358" s="7" t="s">
        <v>37</v>
      </c>
      <c r="Q358" s="7" t="s">
        <v>37</v>
      </c>
      <c r="R358" s="7" t="s">
        <v>37</v>
      </c>
      <c r="S358" s="7">
        <v>435.52600000000001</v>
      </c>
      <c r="T358" s="7">
        <v>43.552599999999998</v>
      </c>
      <c r="U358" s="7">
        <v>337</v>
      </c>
      <c r="V358" s="7" t="s">
        <v>37</v>
      </c>
      <c r="W358" s="7" t="s">
        <v>37</v>
      </c>
      <c r="X358" s="9">
        <v>7.7624711662869304E-10</v>
      </c>
      <c r="Y358" s="7" t="s">
        <v>37</v>
      </c>
      <c r="Z358" s="7">
        <v>14.33</v>
      </c>
      <c r="AA358" s="7">
        <v>-1.78</v>
      </c>
      <c r="AB358" s="7">
        <v>-3.68</v>
      </c>
      <c r="AC358" s="7">
        <v>9.6199999999999992</v>
      </c>
      <c r="AD358" s="7">
        <v>0.9</v>
      </c>
      <c r="AE358" s="7">
        <v>185</v>
      </c>
      <c r="AF358" s="7" t="s">
        <v>37</v>
      </c>
      <c r="AG358" s="7" t="s">
        <v>37</v>
      </c>
      <c r="AH358" s="7">
        <v>2.82</v>
      </c>
      <c r="AI358" s="7" t="s">
        <v>37</v>
      </c>
      <c r="AJ358" s="7" t="s">
        <v>37</v>
      </c>
      <c r="AK358" s="7">
        <v>0</v>
      </c>
      <c r="AL358" s="7" t="s">
        <v>37</v>
      </c>
      <c r="AM358" s="7" t="s">
        <v>37</v>
      </c>
      <c r="AN358" s="9">
        <v>4.1686938347033499E-10</v>
      </c>
      <c r="AO358" s="7" t="s">
        <v>37</v>
      </c>
      <c r="AP358" s="9">
        <v>3.2359365692962802E-5</v>
      </c>
      <c r="AQ358" s="7">
        <v>1</v>
      </c>
      <c r="AR358" s="7">
        <v>1</v>
      </c>
      <c r="AS358"/>
    </row>
    <row r="359" spans="1:45" ht="19.5" customHeight="1" x14ac:dyDescent="0.3">
      <c r="A359" s="7" t="s">
        <v>1506</v>
      </c>
      <c r="B359" s="7" t="s">
        <v>2080</v>
      </c>
      <c r="C359" s="7">
        <v>92</v>
      </c>
      <c r="D359" s="7">
        <v>1968.4562529920299</v>
      </c>
      <c r="E359" s="7">
        <v>89</v>
      </c>
      <c r="F359" s="7">
        <v>31.781818181818199</v>
      </c>
      <c r="G359" s="7" t="s">
        <v>1507</v>
      </c>
      <c r="H359" s="7" t="s">
        <v>1508</v>
      </c>
      <c r="I359" s="7" t="s">
        <v>1509</v>
      </c>
      <c r="J359" s="8" t="s">
        <v>1510</v>
      </c>
      <c r="K359" s="7" t="s">
        <v>1511</v>
      </c>
      <c r="L359" s="7">
        <v>211.268</v>
      </c>
      <c r="M359" s="7" t="s">
        <v>37</v>
      </c>
      <c r="N359" s="7" t="s">
        <v>37</v>
      </c>
      <c r="O359" s="7" t="s">
        <v>37</v>
      </c>
      <c r="P359" s="7" t="s">
        <v>37</v>
      </c>
      <c r="Q359" s="7" t="s">
        <v>37</v>
      </c>
      <c r="R359" s="7" t="s">
        <v>37</v>
      </c>
      <c r="S359" s="7" t="s">
        <v>37</v>
      </c>
      <c r="T359" s="7" t="s">
        <v>37</v>
      </c>
      <c r="U359" s="7">
        <v>364.31349999999998</v>
      </c>
      <c r="V359" s="7">
        <v>1.2470000000000001</v>
      </c>
      <c r="W359" s="7">
        <v>196.09200000000001</v>
      </c>
      <c r="X359" s="9">
        <v>1.44543977074593E-7</v>
      </c>
      <c r="Y359" s="7">
        <v>1.667</v>
      </c>
      <c r="Z359" s="7">
        <v>10.11</v>
      </c>
      <c r="AA359" s="7">
        <v>-0.6</v>
      </c>
      <c r="AB359" s="7">
        <v>1.23</v>
      </c>
      <c r="AC359" s="7">
        <v>9.84</v>
      </c>
      <c r="AD359" s="7">
        <v>1.218</v>
      </c>
      <c r="AE359" s="7">
        <v>125</v>
      </c>
      <c r="AF359" s="7">
        <v>63.076000000000001</v>
      </c>
      <c r="AG359" s="7">
        <v>169.35599999999999</v>
      </c>
      <c r="AH359" s="7" t="s">
        <v>37</v>
      </c>
      <c r="AI359" s="7">
        <v>8.16</v>
      </c>
      <c r="AJ359" s="7">
        <v>25.004999999999999</v>
      </c>
      <c r="AK359" s="7">
        <v>0</v>
      </c>
      <c r="AL359" s="7">
        <v>57.936</v>
      </c>
      <c r="AM359" s="7" t="s">
        <v>37</v>
      </c>
      <c r="AN359" s="9">
        <v>6.3699416459509804E-7</v>
      </c>
      <c r="AO359" s="7" t="s">
        <v>37</v>
      </c>
      <c r="AP359" s="7">
        <v>8.6851589818512601E-3</v>
      </c>
      <c r="AQ359" s="7">
        <v>1</v>
      </c>
      <c r="AR359" s="7">
        <v>0</v>
      </c>
      <c r="AS359"/>
    </row>
    <row r="360" spans="1:45" ht="19.5" customHeight="1" x14ac:dyDescent="0.3">
      <c r="A360" s="7" t="s">
        <v>510</v>
      </c>
      <c r="B360" s="7" t="s">
        <v>2080</v>
      </c>
      <c r="C360" s="7">
        <v>5</v>
      </c>
      <c r="D360" s="7">
        <v>151185.243018782</v>
      </c>
      <c r="E360" s="7">
        <v>1322</v>
      </c>
      <c r="F360" s="7">
        <v>50.822784810126599</v>
      </c>
      <c r="G360" s="7" t="s">
        <v>511</v>
      </c>
      <c r="H360" s="7" t="s">
        <v>512</v>
      </c>
      <c r="I360" s="7" t="s">
        <v>513</v>
      </c>
      <c r="J360" s="8" t="s">
        <v>514</v>
      </c>
      <c r="K360" s="7" t="s">
        <v>515</v>
      </c>
      <c r="L360" s="7">
        <v>277.40800000000002</v>
      </c>
      <c r="M360" s="7" t="s">
        <v>37</v>
      </c>
      <c r="N360" s="7" t="s">
        <v>37</v>
      </c>
      <c r="O360" s="7" t="s">
        <v>37</v>
      </c>
      <c r="P360" s="7" t="s">
        <v>37</v>
      </c>
      <c r="Q360" s="7" t="s">
        <v>37</v>
      </c>
      <c r="R360" s="7" t="s">
        <v>37</v>
      </c>
      <c r="S360" s="7">
        <v>38.299999999999997</v>
      </c>
      <c r="T360" s="7">
        <v>0.1086</v>
      </c>
      <c r="U360" s="7">
        <v>335.28399999999999</v>
      </c>
      <c r="V360" s="7">
        <v>1.0389999999999999</v>
      </c>
      <c r="W360" s="7">
        <v>180.92400000000001</v>
      </c>
      <c r="X360" s="9">
        <v>2.0892961308540398E-6</v>
      </c>
      <c r="Y360" s="7">
        <v>1.544</v>
      </c>
      <c r="Z360" s="7">
        <v>14.99</v>
      </c>
      <c r="AA360" s="7">
        <v>-0.77</v>
      </c>
      <c r="AB360" s="7">
        <v>1.1299999999999999</v>
      </c>
      <c r="AC360" s="7">
        <v>10.57</v>
      </c>
      <c r="AD360" s="7">
        <v>3.1395</v>
      </c>
      <c r="AE360" s="7">
        <v>114</v>
      </c>
      <c r="AF360" s="7">
        <v>82.634</v>
      </c>
      <c r="AG360" s="7">
        <v>261.697</v>
      </c>
      <c r="AH360" s="7" t="s">
        <v>37</v>
      </c>
      <c r="AI360" s="7">
        <v>9.4</v>
      </c>
      <c r="AJ360" s="7">
        <v>32.759</v>
      </c>
      <c r="AK360" s="7">
        <v>0</v>
      </c>
      <c r="AL360" s="7">
        <v>40.264499999999998</v>
      </c>
      <c r="AM360" s="7">
        <v>147.69300000000001</v>
      </c>
      <c r="AN360" s="9">
        <v>4.9200000000000001E-7</v>
      </c>
      <c r="AO360" s="7">
        <v>24.7742</v>
      </c>
      <c r="AP360" s="7">
        <v>1.123345E-3</v>
      </c>
      <c r="AQ360" s="7">
        <v>1</v>
      </c>
      <c r="AR360" s="7">
        <v>0</v>
      </c>
      <c r="AS360"/>
    </row>
    <row r="361" spans="1:45" ht="19.5" customHeight="1" x14ac:dyDescent="0.3">
      <c r="A361" s="7" t="s">
        <v>444</v>
      </c>
      <c r="B361" s="7" t="s">
        <v>2080</v>
      </c>
      <c r="C361" s="7">
        <v>30</v>
      </c>
      <c r="D361" s="7">
        <v>209593.16567551799</v>
      </c>
      <c r="E361" s="7">
        <v>397</v>
      </c>
      <c r="F361" s="7">
        <v>65.753968253968296</v>
      </c>
      <c r="G361" s="7" t="s">
        <v>445</v>
      </c>
      <c r="H361" s="7" t="s">
        <v>446</v>
      </c>
      <c r="I361" s="7" t="s">
        <v>447</v>
      </c>
      <c r="J361" s="8" t="s">
        <v>448</v>
      </c>
      <c r="K361" s="7" t="s">
        <v>449</v>
      </c>
      <c r="L361" s="7">
        <v>454.61099999999902</v>
      </c>
      <c r="M361" s="7">
        <v>13040</v>
      </c>
      <c r="N361" s="7" t="s">
        <v>37</v>
      </c>
      <c r="O361" s="7">
        <v>2720</v>
      </c>
      <c r="P361" s="7">
        <v>60</v>
      </c>
      <c r="Q361" s="7">
        <v>5682.62</v>
      </c>
      <c r="R361" s="7">
        <v>45461</v>
      </c>
      <c r="S361" s="7">
        <v>300</v>
      </c>
      <c r="T361" s="7">
        <v>4.7E-2</v>
      </c>
      <c r="U361" s="7">
        <v>511.065</v>
      </c>
      <c r="V361" s="7">
        <v>1.0505</v>
      </c>
      <c r="W361" s="7">
        <v>294.99400000000003</v>
      </c>
      <c r="X361" s="9">
        <v>4.6773514128719799E-7</v>
      </c>
      <c r="Y361" s="7">
        <v>1.526</v>
      </c>
      <c r="Z361" s="7">
        <v>22.83</v>
      </c>
      <c r="AA361" s="7">
        <v>0.86</v>
      </c>
      <c r="AB361" s="7">
        <v>2.72</v>
      </c>
      <c r="AC361" s="7">
        <v>11.68</v>
      </c>
      <c r="AD361" s="7">
        <v>3.79</v>
      </c>
      <c r="AE361" s="7">
        <v>117</v>
      </c>
      <c r="AF361" s="7">
        <v>131.86500000000001</v>
      </c>
      <c r="AG361" s="7">
        <v>429.392</v>
      </c>
      <c r="AH361" s="7" t="s">
        <v>37</v>
      </c>
      <c r="AI361" s="7">
        <v>8.43</v>
      </c>
      <c r="AJ361" s="7">
        <v>52.274999999999999</v>
      </c>
      <c r="AK361" s="7">
        <v>0</v>
      </c>
      <c r="AL361" s="7">
        <v>37.700000000000003</v>
      </c>
      <c r="AM361" s="7">
        <v>160.934</v>
      </c>
      <c r="AN361" s="9">
        <v>6.0255958607435701E-10</v>
      </c>
      <c r="AO361" s="7" t="s">
        <v>37</v>
      </c>
      <c r="AP361" s="9">
        <v>6.3929996133331904E-6</v>
      </c>
      <c r="AQ361" s="7">
        <v>1</v>
      </c>
      <c r="AR361" s="7">
        <v>1</v>
      </c>
      <c r="AS361"/>
    </row>
    <row r="362" spans="1:45" ht="19.5" customHeight="1" x14ac:dyDescent="0.3">
      <c r="A362" s="7" t="s">
        <v>1149</v>
      </c>
      <c r="B362" s="7" t="s">
        <v>2080</v>
      </c>
      <c r="C362" s="7">
        <v>1</v>
      </c>
      <c r="D362" s="7">
        <v>16253.717684740301</v>
      </c>
      <c r="E362" s="7">
        <v>141</v>
      </c>
      <c r="F362" s="7">
        <v>38.75</v>
      </c>
      <c r="G362" s="7" t="s">
        <v>1150</v>
      </c>
      <c r="H362" s="7" t="s">
        <v>1151</v>
      </c>
      <c r="I362" s="7" t="s">
        <v>1152</v>
      </c>
      <c r="J362" s="8" t="s">
        <v>1153</v>
      </c>
      <c r="K362" s="7" t="s">
        <v>1154</v>
      </c>
      <c r="L362" s="7">
        <v>298.45</v>
      </c>
      <c r="M362" s="7" t="s">
        <v>37</v>
      </c>
      <c r="N362" s="7" t="s">
        <v>37</v>
      </c>
      <c r="O362" s="7" t="s">
        <v>37</v>
      </c>
      <c r="P362" s="7" t="s">
        <v>37</v>
      </c>
      <c r="Q362" s="7" t="s">
        <v>37</v>
      </c>
      <c r="R362" s="7" t="s">
        <v>37</v>
      </c>
      <c r="S362" s="7" t="s">
        <v>37</v>
      </c>
      <c r="T362" s="7" t="s">
        <v>37</v>
      </c>
      <c r="U362" s="7">
        <v>399.91649999999998</v>
      </c>
      <c r="V362" s="7">
        <v>1.1639999999999999</v>
      </c>
      <c r="W362" s="7">
        <v>210.732</v>
      </c>
      <c r="X362" s="9">
        <v>8.7096358995608005E-10</v>
      </c>
      <c r="Y362" s="7">
        <v>1.643</v>
      </c>
      <c r="Z362" s="7">
        <v>15.42</v>
      </c>
      <c r="AA362" s="7">
        <v>2.54</v>
      </c>
      <c r="AB362" s="7">
        <v>4.1100000000000003</v>
      </c>
      <c r="AC362" s="7">
        <v>10.6</v>
      </c>
      <c r="AD362" s="7">
        <v>4.38</v>
      </c>
      <c r="AE362" s="7">
        <v>153</v>
      </c>
      <c r="AF362" s="7">
        <v>92.730999999999995</v>
      </c>
      <c r="AG362" s="7">
        <v>256.48500000000001</v>
      </c>
      <c r="AH362" s="7" t="s">
        <v>37</v>
      </c>
      <c r="AI362" s="7">
        <v>7.33</v>
      </c>
      <c r="AJ362" s="7">
        <v>36.761000000000003</v>
      </c>
      <c r="AK362" s="7">
        <v>0</v>
      </c>
      <c r="AL362" s="7">
        <v>52.374000000000002</v>
      </c>
      <c r="AM362" s="7" t="s">
        <v>37</v>
      </c>
      <c r="AN362" s="9">
        <v>1.06941247758466E-7</v>
      </c>
      <c r="AO362" s="7" t="s">
        <v>37</v>
      </c>
      <c r="AP362" s="7">
        <v>6.5144201575156305E-4</v>
      </c>
      <c r="AQ362" s="7">
        <v>1</v>
      </c>
      <c r="AR362" s="7">
        <v>0</v>
      </c>
      <c r="AS362"/>
    </row>
    <row r="363" spans="1:45" ht="19.5" customHeight="1" x14ac:dyDescent="0.3">
      <c r="A363" s="7" t="s">
        <v>1393</v>
      </c>
      <c r="B363" s="7" t="s">
        <v>2080</v>
      </c>
      <c r="C363" s="7">
        <v>1</v>
      </c>
      <c r="D363" s="7">
        <v>5061.5144580467504</v>
      </c>
      <c r="E363" s="7">
        <v>1126</v>
      </c>
      <c r="F363" s="7">
        <v>62.334384858044203</v>
      </c>
      <c r="G363" s="7" t="s">
        <v>1394</v>
      </c>
      <c r="H363" s="7" t="s">
        <v>1395</v>
      </c>
      <c r="I363" s="7" t="s">
        <v>1396</v>
      </c>
      <c r="J363" s="8" t="s">
        <v>1397</v>
      </c>
      <c r="K363" s="7" t="s">
        <v>1398</v>
      </c>
      <c r="L363" s="7">
        <v>308.33300000000003</v>
      </c>
      <c r="M363" s="7">
        <v>444000</v>
      </c>
      <c r="N363" s="7" t="s">
        <v>37</v>
      </c>
      <c r="O363" s="7">
        <v>17000</v>
      </c>
      <c r="P363" s="7">
        <v>3.43</v>
      </c>
      <c r="Q363" s="7" t="s">
        <v>37</v>
      </c>
      <c r="R363" s="7" t="s">
        <v>37</v>
      </c>
      <c r="S363" s="7">
        <v>9635.42</v>
      </c>
      <c r="T363" s="7">
        <v>963.54200000000003</v>
      </c>
      <c r="U363" s="7">
        <v>473.12150000000003</v>
      </c>
      <c r="V363" s="7">
        <v>1.3185</v>
      </c>
      <c r="W363" s="7">
        <v>211.9495</v>
      </c>
      <c r="X363" s="9">
        <v>6.1659500186148098E-9</v>
      </c>
      <c r="Y363" s="7">
        <v>1.635</v>
      </c>
      <c r="Z363" s="7">
        <v>16.8</v>
      </c>
      <c r="AA363" s="7">
        <v>2.7</v>
      </c>
      <c r="AB363" s="7">
        <v>2.7</v>
      </c>
      <c r="AC363" s="7">
        <v>10.66</v>
      </c>
      <c r="AD363" s="7">
        <v>2.7</v>
      </c>
      <c r="AE363" s="7">
        <v>161.5</v>
      </c>
      <c r="AF363" s="7">
        <v>84.447000000000003</v>
      </c>
      <c r="AG363" s="7">
        <v>235.75800000000001</v>
      </c>
      <c r="AH363" s="7" t="s">
        <v>37</v>
      </c>
      <c r="AI363" s="7" t="s">
        <v>37</v>
      </c>
      <c r="AJ363" s="7">
        <v>33.476999999999997</v>
      </c>
      <c r="AK363" s="7">
        <v>0</v>
      </c>
      <c r="AL363" s="7">
        <v>58.658000000000001</v>
      </c>
      <c r="AM363" s="7" t="s">
        <v>37</v>
      </c>
      <c r="AN363" s="9">
        <v>1.1601100000000001E-7</v>
      </c>
      <c r="AO363" s="7">
        <v>66.680700000000002</v>
      </c>
      <c r="AP363" s="9">
        <v>9.1978249999999996E-5</v>
      </c>
      <c r="AQ363" s="7">
        <v>1</v>
      </c>
      <c r="AR363" s="7">
        <v>1</v>
      </c>
      <c r="AS363"/>
    </row>
    <row r="364" spans="1:45" ht="19.5" customHeight="1" x14ac:dyDescent="0.3">
      <c r="A364" s="7" t="s">
        <v>2237</v>
      </c>
      <c r="B364" s="7" t="s">
        <v>2083</v>
      </c>
      <c r="C364" s="7">
        <v>100</v>
      </c>
      <c r="D364" s="7">
        <v>166666666.66666701</v>
      </c>
      <c r="E364" s="7">
        <v>2</v>
      </c>
      <c r="F364" s="7">
        <v>30</v>
      </c>
      <c r="G364" s="7" t="s">
        <v>2238</v>
      </c>
      <c r="H364" s="7" t="s">
        <v>37</v>
      </c>
      <c r="I364" s="7" t="s">
        <v>37</v>
      </c>
      <c r="J364" s="7" t="s">
        <v>37</v>
      </c>
      <c r="K364" s="7" t="s">
        <v>37</v>
      </c>
      <c r="L364" s="7" t="s">
        <v>37</v>
      </c>
      <c r="M364" s="7" t="s">
        <v>37</v>
      </c>
      <c r="N364" s="7" t="s">
        <v>37</v>
      </c>
      <c r="O364" s="7" t="s">
        <v>37</v>
      </c>
      <c r="P364" s="7" t="s">
        <v>37</v>
      </c>
      <c r="Q364" s="7" t="s">
        <v>37</v>
      </c>
      <c r="R364" s="7" t="s">
        <v>37</v>
      </c>
      <c r="S364" s="7" t="s">
        <v>37</v>
      </c>
      <c r="T364" s="7" t="s">
        <v>37</v>
      </c>
      <c r="U364" s="7" t="s">
        <v>37</v>
      </c>
      <c r="V364" s="7" t="s">
        <v>37</v>
      </c>
      <c r="W364" s="7" t="s">
        <v>37</v>
      </c>
      <c r="X364" s="7" t="s">
        <v>37</v>
      </c>
      <c r="Y364" s="7" t="s">
        <v>37</v>
      </c>
      <c r="Z364" s="7" t="s">
        <v>37</v>
      </c>
      <c r="AA364" s="7" t="s">
        <v>37</v>
      </c>
      <c r="AB364" s="7" t="s">
        <v>37</v>
      </c>
      <c r="AC364" s="7" t="s">
        <v>37</v>
      </c>
      <c r="AD364" s="7" t="s">
        <v>37</v>
      </c>
      <c r="AE364" s="7" t="s">
        <v>37</v>
      </c>
      <c r="AF364" s="7" t="s">
        <v>37</v>
      </c>
      <c r="AG364" s="7" t="s">
        <v>37</v>
      </c>
      <c r="AH364" s="7" t="s">
        <v>37</v>
      </c>
      <c r="AI364" s="7" t="s">
        <v>37</v>
      </c>
      <c r="AJ364" s="7" t="s">
        <v>37</v>
      </c>
      <c r="AK364" s="7" t="s">
        <v>37</v>
      </c>
      <c r="AL364" s="7" t="s">
        <v>37</v>
      </c>
      <c r="AM364" s="7" t="s">
        <v>37</v>
      </c>
      <c r="AN364" s="7" t="s">
        <v>37</v>
      </c>
      <c r="AO364" s="7" t="s">
        <v>37</v>
      </c>
      <c r="AP364" s="7" t="s">
        <v>37</v>
      </c>
      <c r="AQ364" s="7" t="s">
        <v>37</v>
      </c>
      <c r="AR364" s="7" t="s">
        <v>37</v>
      </c>
      <c r="AS364"/>
    </row>
    <row r="365" spans="1:45" ht="19.5" customHeight="1" x14ac:dyDescent="0.3">
      <c r="A365" s="7" t="s">
        <v>635</v>
      </c>
      <c r="B365" s="7" t="s">
        <v>2080</v>
      </c>
      <c r="C365" s="7">
        <v>5</v>
      </c>
      <c r="D365" s="7">
        <v>96015.015015015</v>
      </c>
      <c r="E365" s="7">
        <v>111</v>
      </c>
      <c r="F365" s="7">
        <v>44.342342342342299</v>
      </c>
      <c r="G365" s="7" t="s">
        <v>636</v>
      </c>
      <c r="H365" s="7" t="s">
        <v>637</v>
      </c>
      <c r="I365" s="7" t="s">
        <v>638</v>
      </c>
      <c r="J365" s="8" t="s">
        <v>639</v>
      </c>
      <c r="K365" s="7" t="s">
        <v>640</v>
      </c>
      <c r="L365" s="7">
        <v>412.94</v>
      </c>
      <c r="M365" s="7" t="s">
        <v>37</v>
      </c>
      <c r="N365" s="7" t="s">
        <v>37</v>
      </c>
      <c r="O365" s="7" t="s">
        <v>37</v>
      </c>
      <c r="P365" s="7" t="s">
        <v>37</v>
      </c>
      <c r="Q365" s="7" t="s">
        <v>37</v>
      </c>
      <c r="R365" s="7" t="s">
        <v>37</v>
      </c>
      <c r="S365" s="7" t="s">
        <v>37</v>
      </c>
      <c r="T365" s="7" t="s">
        <v>37</v>
      </c>
      <c r="U365" s="7">
        <v>490.0145</v>
      </c>
      <c r="V365" s="7">
        <v>1.3915</v>
      </c>
      <c r="W365" s="7">
        <v>307.74549999999999</v>
      </c>
      <c r="X365" s="9">
        <v>6.0255958607435697E-9</v>
      </c>
      <c r="Y365" s="7">
        <v>1.681</v>
      </c>
      <c r="Z365" s="7">
        <v>18.809999999999999</v>
      </c>
      <c r="AA365" s="7">
        <v>3.26</v>
      </c>
      <c r="AB365" s="7">
        <v>3.75</v>
      </c>
      <c r="AC365" s="7">
        <v>10.210000000000001</v>
      </c>
      <c r="AD365" s="7">
        <v>3.8805000000000001</v>
      </c>
      <c r="AE365" s="7">
        <v>191</v>
      </c>
      <c r="AF365" s="7">
        <v>114.093</v>
      </c>
      <c r="AG365" s="7">
        <v>301.42899999999997</v>
      </c>
      <c r="AH365" s="7" t="s">
        <v>37</v>
      </c>
      <c r="AI365" s="7">
        <v>5.83</v>
      </c>
      <c r="AJ365" s="7">
        <v>45.23</v>
      </c>
      <c r="AK365" s="7">
        <v>0</v>
      </c>
      <c r="AL365" s="7">
        <v>61.466000000000001</v>
      </c>
      <c r="AM365" s="7" t="s">
        <v>37</v>
      </c>
      <c r="AN365" s="9">
        <v>3.5318300000000001E-11</v>
      </c>
      <c r="AO365" s="7" t="s">
        <v>37</v>
      </c>
      <c r="AP365" s="9">
        <v>6.7033900000000002E-6</v>
      </c>
      <c r="AQ365" s="7">
        <v>1</v>
      </c>
      <c r="AR365" s="7">
        <v>1</v>
      </c>
      <c r="AS365"/>
    </row>
    <row r="366" spans="1:45" ht="19.5" customHeight="1" x14ac:dyDescent="0.3">
      <c r="A366" s="7" t="s">
        <v>1303</v>
      </c>
      <c r="B366" s="7" t="s">
        <v>2080</v>
      </c>
      <c r="C366" s="7">
        <v>0</v>
      </c>
      <c r="D366" s="7">
        <v>8710.0873030558996</v>
      </c>
      <c r="E366" s="7">
        <v>1216</v>
      </c>
      <c r="F366" s="7">
        <v>34.378854625550701</v>
      </c>
      <c r="G366" s="7" t="s">
        <v>1304</v>
      </c>
      <c r="H366" s="7" t="s">
        <v>1305</v>
      </c>
      <c r="I366" s="7" t="s">
        <v>1306</v>
      </c>
      <c r="J366" s="8" t="s">
        <v>1307</v>
      </c>
      <c r="K366" s="7" t="s">
        <v>1308</v>
      </c>
      <c r="L366" s="7">
        <v>307.39699999999903</v>
      </c>
      <c r="M366" s="7" t="s">
        <v>37</v>
      </c>
      <c r="N366" s="7" t="s">
        <v>37</v>
      </c>
      <c r="O366" s="7" t="s">
        <v>37</v>
      </c>
      <c r="P366" s="7" t="s">
        <v>37</v>
      </c>
      <c r="Q366" s="7" t="s">
        <v>37</v>
      </c>
      <c r="R366" s="7" t="s">
        <v>37</v>
      </c>
      <c r="S366" s="7" t="s">
        <v>37</v>
      </c>
      <c r="T366" s="7" t="s">
        <v>37</v>
      </c>
      <c r="U366" s="7">
        <v>430.89</v>
      </c>
      <c r="V366" s="7">
        <v>1.1259999999999999</v>
      </c>
      <c r="W366" s="7" t="s">
        <v>37</v>
      </c>
      <c r="X366" s="9">
        <v>4.1686938347033503E-8</v>
      </c>
      <c r="Y366" s="7">
        <v>1.601</v>
      </c>
      <c r="Z366" s="7">
        <v>16.489999999999998</v>
      </c>
      <c r="AA366" s="7">
        <v>3.3</v>
      </c>
      <c r="AB366" s="7">
        <v>3.45</v>
      </c>
      <c r="AC366" s="7">
        <v>11.69</v>
      </c>
      <c r="AD366" s="7">
        <v>3.2835000000000001</v>
      </c>
      <c r="AE366" s="7">
        <v>196</v>
      </c>
      <c r="AF366" s="7">
        <v>93.54</v>
      </c>
      <c r="AG366" s="7">
        <v>273.00099999999998</v>
      </c>
      <c r="AH366" s="7" t="s">
        <v>37</v>
      </c>
      <c r="AI366" s="7">
        <v>5.12</v>
      </c>
      <c r="AJ366" s="7">
        <v>37.082000000000001</v>
      </c>
      <c r="AK366" s="7">
        <v>0</v>
      </c>
      <c r="AL366" s="7">
        <v>40.14</v>
      </c>
      <c r="AM366" s="7" t="s">
        <v>37</v>
      </c>
      <c r="AN366" s="9">
        <v>2.1988706074129499E-8</v>
      </c>
      <c r="AO366" s="7" t="s">
        <v>37</v>
      </c>
      <c r="AP366" s="9">
        <v>2.0095500000000001E-5</v>
      </c>
      <c r="AQ366" s="7">
        <v>1</v>
      </c>
      <c r="AR366" s="7">
        <v>1</v>
      </c>
      <c r="AS366"/>
    </row>
    <row r="367" spans="1:45" ht="19.5" customHeight="1" x14ac:dyDescent="0.3">
      <c r="A367" s="7" t="s">
        <v>348</v>
      </c>
      <c r="B367" s="7" t="s">
        <v>2080</v>
      </c>
      <c r="C367" s="7">
        <v>35</v>
      </c>
      <c r="D367" s="7">
        <v>275827.86754119297</v>
      </c>
      <c r="E367" s="7">
        <v>94</v>
      </c>
      <c r="F367" s="7">
        <v>49.259259259259302</v>
      </c>
      <c r="G367" s="7" t="s">
        <v>349</v>
      </c>
      <c r="H367" s="7" t="s">
        <v>350</v>
      </c>
      <c r="I367" s="7" t="s">
        <v>351</v>
      </c>
      <c r="J367" s="8" t="s">
        <v>352</v>
      </c>
      <c r="K367" s="7" t="s">
        <v>353</v>
      </c>
      <c r="L367" s="7">
        <v>212.22</v>
      </c>
      <c r="M367" s="7" t="s">
        <v>37</v>
      </c>
      <c r="N367" s="7" t="s">
        <v>37</v>
      </c>
      <c r="O367" s="7" t="s">
        <v>37</v>
      </c>
      <c r="P367" s="7" t="s">
        <v>37</v>
      </c>
      <c r="Q367" s="7" t="s">
        <v>37</v>
      </c>
      <c r="R367" s="7" t="s">
        <v>37</v>
      </c>
      <c r="S367" s="7" t="s">
        <v>37</v>
      </c>
      <c r="T367" s="7" t="s">
        <v>37</v>
      </c>
      <c r="U367" s="7">
        <v>367.26</v>
      </c>
      <c r="V367" s="7">
        <v>1.4359999999999999</v>
      </c>
      <c r="W367" s="7">
        <v>219.30950000000001</v>
      </c>
      <c r="X367" s="9">
        <v>1.14815362149688E-8</v>
      </c>
      <c r="Y367" s="7">
        <v>1.6559999999999999</v>
      </c>
      <c r="Z367" s="7">
        <v>5.4</v>
      </c>
      <c r="AA367" s="7">
        <v>0.48</v>
      </c>
      <c r="AB367" s="7">
        <v>0.27</v>
      </c>
      <c r="AC367" s="7">
        <v>8.6199999999999992</v>
      </c>
      <c r="AD367" s="7">
        <v>0.40649999999999997</v>
      </c>
      <c r="AE367" s="7">
        <v>162</v>
      </c>
      <c r="AF367" s="7">
        <v>51.661000000000001</v>
      </c>
      <c r="AG367" s="7">
        <v>140.58799999999999</v>
      </c>
      <c r="AH367" s="7">
        <v>7.61</v>
      </c>
      <c r="AI367" s="7" t="s">
        <v>37</v>
      </c>
      <c r="AJ367" s="7">
        <v>20.48</v>
      </c>
      <c r="AK367" s="7">
        <v>0</v>
      </c>
      <c r="AL367" s="7">
        <v>71.117999999999995</v>
      </c>
      <c r="AM367" s="7" t="s">
        <v>37</v>
      </c>
      <c r="AN367" s="9">
        <v>1.51E-8</v>
      </c>
      <c r="AO367" s="7" t="s">
        <v>37</v>
      </c>
      <c r="AP367" s="7">
        <v>3.5037841612008298E-2</v>
      </c>
      <c r="AQ367" s="7">
        <v>1</v>
      </c>
      <c r="AR367" s="7">
        <v>0</v>
      </c>
      <c r="AS367"/>
    </row>
    <row r="368" spans="1:45" ht="19.5" customHeight="1" x14ac:dyDescent="0.3">
      <c r="A368" s="38" t="s">
        <v>3993</v>
      </c>
      <c r="C368" s="38" t="s">
        <v>3994</v>
      </c>
    </row>
    <row r="369" spans="1:3" ht="19.5" customHeight="1" x14ac:dyDescent="0.3">
      <c r="A369" s="7" t="s">
        <v>3930</v>
      </c>
      <c r="C369" s="54" t="s">
        <v>3991</v>
      </c>
    </row>
    <row r="370" spans="1:3" ht="19.5" customHeight="1" x14ac:dyDescent="0.3">
      <c r="A370" s="7" t="s">
        <v>3931</v>
      </c>
      <c r="C370" s="54" t="s">
        <v>3990</v>
      </c>
    </row>
    <row r="371" spans="1:3" ht="19.5" customHeight="1" x14ac:dyDescent="0.3">
      <c r="A371" s="7" t="s">
        <v>3932</v>
      </c>
      <c r="C371" s="54" t="s">
        <v>3992</v>
      </c>
    </row>
    <row r="372" spans="1:3" ht="19.5" customHeight="1" x14ac:dyDescent="0.3">
      <c r="A372" s="7" t="s">
        <v>3933</v>
      </c>
      <c r="C372" s="54" t="s">
        <v>3995</v>
      </c>
    </row>
    <row r="373" spans="1:3" ht="19.5" customHeight="1" x14ac:dyDescent="0.3">
      <c r="A373" s="7" t="s">
        <v>3934</v>
      </c>
      <c r="C373" s="54" t="s">
        <v>3996</v>
      </c>
    </row>
    <row r="374" spans="1:3" ht="19.5" customHeight="1" x14ac:dyDescent="0.3">
      <c r="A374" s="7" t="s">
        <v>3935</v>
      </c>
    </row>
    <row r="375" spans="1:3" ht="19.5" customHeight="1" x14ac:dyDescent="0.3">
      <c r="A375" s="50" t="s">
        <v>3936</v>
      </c>
    </row>
    <row r="376" spans="1:3" ht="19.5" customHeight="1" x14ac:dyDescent="0.3">
      <c r="A376" s="50" t="s">
        <v>3937</v>
      </c>
    </row>
    <row r="377" spans="1:3" ht="19.5" customHeight="1" x14ac:dyDescent="0.3">
      <c r="A377" s="50" t="s">
        <v>3938</v>
      </c>
    </row>
    <row r="378" spans="1:3" ht="21" customHeight="1" x14ac:dyDescent="0.3">
      <c r="A378" s="52" t="s">
        <v>3939</v>
      </c>
    </row>
    <row r="379" spans="1:3" ht="19.5" customHeight="1" x14ac:dyDescent="0.3">
      <c r="A379" s="52" t="s">
        <v>3940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63B2-58E6-4CE8-A26D-C30AFEA5A0D2}">
  <dimension ref="A1:S42"/>
  <sheetViews>
    <sheetView workbookViewId="0">
      <selection activeCell="K4" sqref="K4"/>
    </sheetView>
  </sheetViews>
  <sheetFormatPr defaultRowHeight="14.4" x14ac:dyDescent="0.3"/>
  <cols>
    <col min="1" max="1" width="12.6640625" customWidth="1"/>
    <col min="2" max="2" width="11.88671875" customWidth="1"/>
    <col min="3" max="3" width="10.88671875" customWidth="1"/>
    <col min="4" max="4" width="14.44140625" customWidth="1"/>
    <col min="5" max="5" width="17.21875" customWidth="1"/>
    <col min="6" max="6" width="16" customWidth="1"/>
    <col min="7" max="7" width="19.21875" customWidth="1"/>
    <col min="8" max="8" width="13.33203125" customWidth="1"/>
    <col min="9" max="9" width="10.33203125" customWidth="1"/>
    <col min="10" max="10" width="9.5546875" customWidth="1"/>
    <col min="11" max="11" width="9.88671875" customWidth="1"/>
    <col min="12" max="12" width="12.5546875" customWidth="1"/>
    <col min="13" max="13" width="14.44140625" customWidth="1"/>
    <col min="14" max="14" width="9" bestFit="1" customWidth="1"/>
    <col min="15" max="15" width="10" customWidth="1"/>
    <col min="16" max="16" width="9.88671875" bestFit="1" customWidth="1"/>
    <col min="17" max="17" width="9" bestFit="1" customWidth="1"/>
    <col min="18" max="18" width="13.6640625" customWidth="1"/>
    <col min="19" max="19" width="125.88671875" bestFit="1" customWidth="1"/>
  </cols>
  <sheetData>
    <row r="1" spans="1:19" ht="15.6" x14ac:dyDescent="0.3">
      <c r="A1" s="38" t="s">
        <v>4021</v>
      </c>
    </row>
    <row r="2" spans="1:19" s="58" customFormat="1" ht="31.2" x14ac:dyDescent="0.3">
      <c r="A2" s="56" t="s">
        <v>2239</v>
      </c>
      <c r="B2" s="56" t="s">
        <v>3230</v>
      </c>
      <c r="C2" s="56" t="s">
        <v>3231</v>
      </c>
      <c r="D2" s="56" t="s">
        <v>4067</v>
      </c>
      <c r="E2" s="56" t="s">
        <v>4068</v>
      </c>
      <c r="F2" s="56" t="s">
        <v>3232</v>
      </c>
      <c r="G2" s="56" t="s">
        <v>3233</v>
      </c>
      <c r="H2" s="56" t="s">
        <v>3234</v>
      </c>
      <c r="I2" s="56" t="s">
        <v>3235</v>
      </c>
      <c r="J2" s="56" t="s">
        <v>3236</v>
      </c>
      <c r="K2" s="56" t="s">
        <v>3237</v>
      </c>
      <c r="L2" s="56" t="s">
        <v>3238</v>
      </c>
      <c r="M2" s="57" t="s">
        <v>3239</v>
      </c>
      <c r="N2" s="56" t="s">
        <v>3240</v>
      </c>
      <c r="O2" s="56" t="s">
        <v>3241</v>
      </c>
      <c r="P2" s="56" t="s">
        <v>3242</v>
      </c>
      <c r="Q2" s="56" t="s">
        <v>3243</v>
      </c>
      <c r="R2" s="57" t="s">
        <v>3244</v>
      </c>
      <c r="S2" s="57" t="s">
        <v>3245</v>
      </c>
    </row>
    <row r="3" spans="1:19" ht="192" customHeight="1" x14ac:dyDescent="0.3">
      <c r="A3" s="24">
        <v>1</v>
      </c>
      <c r="B3" s="29" t="s">
        <v>3246</v>
      </c>
      <c r="C3" s="24" t="s">
        <v>3247</v>
      </c>
      <c r="D3" s="30" t="s">
        <v>3998</v>
      </c>
      <c r="E3" s="30" t="s">
        <v>3997</v>
      </c>
      <c r="F3" s="24" t="s">
        <v>2245</v>
      </c>
      <c r="G3" s="24" t="s">
        <v>1801</v>
      </c>
      <c r="H3" s="24" t="s">
        <v>3248</v>
      </c>
      <c r="I3" s="24" t="s">
        <v>3512</v>
      </c>
      <c r="J3" s="24"/>
      <c r="K3" s="24" t="s">
        <v>3249</v>
      </c>
      <c r="L3" s="24"/>
      <c r="M3" s="24"/>
      <c r="N3" s="24">
        <v>2020</v>
      </c>
      <c r="O3" s="24">
        <v>745</v>
      </c>
      <c r="P3" s="24">
        <v>140697</v>
      </c>
      <c r="Q3" s="24"/>
      <c r="R3" s="24"/>
      <c r="S3" s="31" t="s">
        <v>3250</v>
      </c>
    </row>
    <row r="4" spans="1:19" ht="255.6" x14ac:dyDescent="0.3">
      <c r="A4" s="24">
        <v>2</v>
      </c>
      <c r="B4" s="29" t="s">
        <v>3251</v>
      </c>
      <c r="C4" s="24" t="s">
        <v>3252</v>
      </c>
      <c r="D4" s="30" t="s">
        <v>4005</v>
      </c>
      <c r="E4" s="30" t="s">
        <v>4006</v>
      </c>
      <c r="F4" s="24" t="s">
        <v>1804</v>
      </c>
      <c r="G4" s="24" t="s">
        <v>1805</v>
      </c>
      <c r="H4" s="24" t="s">
        <v>3253</v>
      </c>
      <c r="I4" s="24" t="s">
        <v>3254</v>
      </c>
      <c r="J4" s="24"/>
      <c r="K4" s="24" t="s">
        <v>3255</v>
      </c>
      <c r="L4" s="24" t="s">
        <v>3256</v>
      </c>
      <c r="M4" s="24"/>
      <c r="N4" s="24">
        <v>2020</v>
      </c>
      <c r="O4" s="24">
        <v>6</v>
      </c>
      <c r="P4" s="24">
        <v>1</v>
      </c>
      <c r="Q4" s="24" t="s">
        <v>3257</v>
      </c>
      <c r="R4" s="24"/>
      <c r="S4" s="31" t="s">
        <v>3258</v>
      </c>
    </row>
    <row r="5" spans="1:19" ht="296.39999999999998" x14ac:dyDescent="0.3">
      <c r="A5" s="24">
        <v>3</v>
      </c>
      <c r="B5" s="29" t="s">
        <v>3259</v>
      </c>
      <c r="C5" s="24" t="s">
        <v>3260</v>
      </c>
      <c r="D5" s="30" t="s">
        <v>4007</v>
      </c>
      <c r="E5" s="30" t="s">
        <v>4008</v>
      </c>
      <c r="F5" s="32" t="s">
        <v>3261</v>
      </c>
      <c r="G5" s="24" t="s">
        <v>3262</v>
      </c>
      <c r="H5" s="24" t="s">
        <v>3263</v>
      </c>
      <c r="I5" s="24" t="s">
        <v>3264</v>
      </c>
      <c r="J5" s="24"/>
      <c r="K5" s="24"/>
      <c r="L5" s="24" t="s">
        <v>3265</v>
      </c>
      <c r="M5" s="24" t="s">
        <v>3266</v>
      </c>
      <c r="N5" s="24">
        <v>2023</v>
      </c>
      <c r="O5" s="24"/>
      <c r="P5" s="24" t="s">
        <v>3267</v>
      </c>
      <c r="Q5" s="24" t="s">
        <v>3268</v>
      </c>
      <c r="R5" s="24" t="s">
        <v>3269</v>
      </c>
      <c r="S5" s="31" t="s">
        <v>3270</v>
      </c>
    </row>
    <row r="6" spans="1:19" ht="409.6" x14ac:dyDescent="0.3">
      <c r="A6" s="24">
        <v>4</v>
      </c>
      <c r="B6" s="29" t="s">
        <v>3271</v>
      </c>
      <c r="C6" s="24" t="s">
        <v>3272</v>
      </c>
      <c r="D6" s="55" t="s">
        <v>4010</v>
      </c>
      <c r="E6" s="30" t="s">
        <v>4009</v>
      </c>
      <c r="F6" s="24" t="s">
        <v>3273</v>
      </c>
      <c r="G6" s="24" t="s">
        <v>1809</v>
      </c>
      <c r="H6" s="24" t="s">
        <v>3274</v>
      </c>
      <c r="I6" s="24" t="s">
        <v>3275</v>
      </c>
      <c r="J6" s="24"/>
      <c r="K6" s="24"/>
      <c r="L6" s="24" t="s">
        <v>3276</v>
      </c>
      <c r="M6" s="24" t="s">
        <v>3277</v>
      </c>
      <c r="N6" s="24">
        <v>2023</v>
      </c>
      <c r="O6" s="24"/>
      <c r="P6" s="24">
        <v>3347</v>
      </c>
      <c r="Q6" s="24" t="s">
        <v>3278</v>
      </c>
      <c r="R6" s="24" t="s">
        <v>3279</v>
      </c>
      <c r="S6" s="31" t="s">
        <v>3280</v>
      </c>
    </row>
    <row r="7" spans="1:19" ht="405.6" x14ac:dyDescent="0.3">
      <c r="A7" s="24">
        <v>5</v>
      </c>
      <c r="B7" s="29" t="s">
        <v>3281</v>
      </c>
      <c r="C7" s="24" t="s">
        <v>3517</v>
      </c>
      <c r="D7" s="30" t="s">
        <v>4011</v>
      </c>
      <c r="E7" s="30" t="s">
        <v>4012</v>
      </c>
      <c r="F7" s="24" t="s">
        <v>3282</v>
      </c>
      <c r="G7" s="24" t="s">
        <v>3283</v>
      </c>
      <c r="H7" s="24" t="s">
        <v>3284</v>
      </c>
      <c r="I7" s="24" t="s">
        <v>3285</v>
      </c>
      <c r="J7" s="24"/>
      <c r="K7" s="24" t="s">
        <v>3286</v>
      </c>
      <c r="L7" s="24"/>
      <c r="M7" s="24"/>
      <c r="N7" s="24">
        <v>2021</v>
      </c>
      <c r="O7" s="24">
        <v>206</v>
      </c>
      <c r="P7" s="24">
        <v>117743</v>
      </c>
      <c r="Q7" s="24"/>
      <c r="R7" s="24"/>
      <c r="S7" s="31" t="s">
        <v>3287</v>
      </c>
    </row>
    <row r="8" spans="1:19" ht="234" x14ac:dyDescent="0.3">
      <c r="A8" s="24">
        <v>6</v>
      </c>
      <c r="B8" s="29" t="s">
        <v>3288</v>
      </c>
      <c r="C8" s="24" t="s">
        <v>3289</v>
      </c>
      <c r="D8" s="30" t="s">
        <v>3998</v>
      </c>
      <c r="E8" s="30" t="s">
        <v>4013</v>
      </c>
      <c r="F8" s="24" t="s">
        <v>3290</v>
      </c>
      <c r="G8" s="24" t="s">
        <v>1812</v>
      </c>
      <c r="H8" s="24" t="s">
        <v>3291</v>
      </c>
      <c r="I8" s="24" t="s">
        <v>3513</v>
      </c>
      <c r="J8" s="24"/>
      <c r="K8" s="24" t="s">
        <v>3292</v>
      </c>
      <c r="L8" s="24"/>
      <c r="M8" s="24"/>
      <c r="N8" s="24">
        <v>2022</v>
      </c>
      <c r="O8" s="24">
        <v>51</v>
      </c>
      <c r="P8" s="24">
        <v>5</v>
      </c>
      <c r="Q8" s="24" t="s">
        <v>3293</v>
      </c>
      <c r="R8" s="24"/>
      <c r="S8" s="31" t="s">
        <v>3294</v>
      </c>
    </row>
    <row r="9" spans="1:19" ht="409.6" x14ac:dyDescent="0.3">
      <c r="A9" s="24">
        <v>7</v>
      </c>
      <c r="B9" s="29" t="s">
        <v>3295</v>
      </c>
      <c r="C9" s="24" t="s">
        <v>3296</v>
      </c>
      <c r="D9" s="30" t="s">
        <v>4014</v>
      </c>
      <c r="E9" s="30" t="s">
        <v>4015</v>
      </c>
      <c r="F9" s="24" t="s">
        <v>3297</v>
      </c>
      <c r="G9" s="24" t="s">
        <v>3298</v>
      </c>
      <c r="H9" s="24" t="s">
        <v>3299</v>
      </c>
      <c r="I9" s="24" t="s">
        <v>3300</v>
      </c>
      <c r="J9" s="24"/>
      <c r="K9" s="24"/>
      <c r="L9" s="24" t="s">
        <v>3301</v>
      </c>
      <c r="M9" s="24" t="s">
        <v>3302</v>
      </c>
      <c r="N9" s="24">
        <v>2020</v>
      </c>
      <c r="O9" s="24"/>
      <c r="P9" s="24">
        <v>28090196</v>
      </c>
      <c r="Q9" s="24" t="s">
        <v>3303</v>
      </c>
      <c r="R9" s="24" t="s">
        <v>3304</v>
      </c>
      <c r="S9" s="31" t="s">
        <v>3305</v>
      </c>
    </row>
    <row r="10" spans="1:19" ht="218.4" x14ac:dyDescent="0.3">
      <c r="A10" s="24">
        <v>8</v>
      </c>
      <c r="B10" s="29" t="s">
        <v>3306</v>
      </c>
      <c r="C10" s="24" t="s">
        <v>3307</v>
      </c>
      <c r="D10" s="30" t="s">
        <v>4016</v>
      </c>
      <c r="E10" s="30" t="s">
        <v>4015</v>
      </c>
      <c r="F10" s="24">
        <v>2009</v>
      </c>
      <c r="G10" s="24" t="s">
        <v>3304</v>
      </c>
      <c r="H10" s="24" t="s">
        <v>3308</v>
      </c>
      <c r="I10" s="24" t="s">
        <v>3309</v>
      </c>
      <c r="J10" s="24"/>
      <c r="K10" s="24" t="s">
        <v>3310</v>
      </c>
      <c r="L10" s="24"/>
      <c r="M10" s="24"/>
      <c r="N10" s="24">
        <v>2016</v>
      </c>
      <c r="O10" s="24">
        <v>37</v>
      </c>
      <c r="P10" s="24"/>
      <c r="Q10" s="24" t="s">
        <v>3311</v>
      </c>
      <c r="R10" s="24"/>
      <c r="S10" s="31" t="s">
        <v>3312</v>
      </c>
    </row>
    <row r="11" spans="1:19" ht="234" x14ac:dyDescent="0.3">
      <c r="A11" s="24">
        <v>9</v>
      </c>
      <c r="B11" s="29" t="s">
        <v>3313</v>
      </c>
      <c r="C11" s="24" t="s">
        <v>3518</v>
      </c>
      <c r="D11" s="30" t="s">
        <v>4017</v>
      </c>
      <c r="E11" s="30" t="s">
        <v>4018</v>
      </c>
      <c r="F11" s="24" t="s">
        <v>3314</v>
      </c>
      <c r="G11" s="24" t="s">
        <v>3315</v>
      </c>
      <c r="H11" s="24" t="s">
        <v>3284</v>
      </c>
      <c r="I11" s="24" t="s">
        <v>3316</v>
      </c>
      <c r="J11" s="24"/>
      <c r="K11" s="24" t="s">
        <v>3249</v>
      </c>
      <c r="L11" s="24"/>
      <c r="M11" s="24"/>
      <c r="N11" s="24">
        <v>2023</v>
      </c>
      <c r="O11" s="24" t="s">
        <v>3317</v>
      </c>
      <c r="P11" s="24"/>
      <c r="Q11" s="24">
        <v>159351</v>
      </c>
      <c r="R11" s="24"/>
      <c r="S11" s="31" t="s">
        <v>3318</v>
      </c>
    </row>
    <row r="12" spans="1:19" ht="409.6" x14ac:dyDescent="0.3">
      <c r="A12" s="24">
        <v>10</v>
      </c>
      <c r="B12" s="29" t="s">
        <v>3319</v>
      </c>
      <c r="C12" s="24" t="s">
        <v>3320</v>
      </c>
      <c r="D12" s="30" t="s">
        <v>4019</v>
      </c>
      <c r="E12" s="30" t="s">
        <v>4020</v>
      </c>
      <c r="F12" s="24" t="s">
        <v>3321</v>
      </c>
      <c r="G12" s="24" t="s">
        <v>3322</v>
      </c>
      <c r="H12" s="24" t="s">
        <v>3323</v>
      </c>
      <c r="I12" s="24" t="s">
        <v>3324</v>
      </c>
      <c r="J12" s="24"/>
      <c r="K12" s="24" t="s">
        <v>3325</v>
      </c>
      <c r="L12" s="24"/>
      <c r="M12" s="24"/>
      <c r="N12" s="24">
        <v>2019</v>
      </c>
      <c r="O12" s="24">
        <v>250</v>
      </c>
      <c r="P12" s="24"/>
      <c r="Q12" s="24" t="s">
        <v>3326</v>
      </c>
      <c r="R12" s="31"/>
      <c r="S12" s="28" t="s">
        <v>3327</v>
      </c>
    </row>
    <row r="13" spans="1:19" ht="265.2" x14ac:dyDescent="0.3">
      <c r="A13" s="24">
        <v>11</v>
      </c>
      <c r="B13" s="29" t="s">
        <v>3328</v>
      </c>
      <c r="C13" s="24" t="s">
        <v>3329</v>
      </c>
      <c r="D13" s="30" t="s">
        <v>4022</v>
      </c>
      <c r="E13" s="30" t="s">
        <v>4023</v>
      </c>
      <c r="F13" s="24" t="s">
        <v>3330</v>
      </c>
      <c r="G13" s="24" t="s">
        <v>3331</v>
      </c>
      <c r="H13" s="24" t="s">
        <v>3332</v>
      </c>
      <c r="I13" s="24" t="s">
        <v>3333</v>
      </c>
      <c r="J13" s="24" t="s">
        <v>3334</v>
      </c>
      <c r="K13" s="24"/>
      <c r="L13" s="24"/>
      <c r="M13" s="24"/>
      <c r="N13" s="24">
        <v>2019</v>
      </c>
      <c r="O13" s="24"/>
      <c r="P13" s="24"/>
      <c r="Q13" s="24" t="s">
        <v>3335</v>
      </c>
      <c r="R13" s="24" t="s">
        <v>3336</v>
      </c>
      <c r="S13" s="31" t="s">
        <v>3337</v>
      </c>
    </row>
    <row r="14" spans="1:19" ht="409.6" x14ac:dyDescent="0.3">
      <c r="A14" s="24">
        <v>12</v>
      </c>
      <c r="B14" s="29" t="s">
        <v>3338</v>
      </c>
      <c r="C14" s="24" t="s">
        <v>3339</v>
      </c>
      <c r="D14" s="30" t="s">
        <v>4024</v>
      </c>
      <c r="E14" s="30" t="s">
        <v>4025</v>
      </c>
      <c r="F14" s="30" t="s">
        <v>3340</v>
      </c>
      <c r="G14" s="30" t="s">
        <v>3341</v>
      </c>
      <c r="H14" s="24" t="s">
        <v>3342</v>
      </c>
      <c r="I14" s="24" t="s">
        <v>3343</v>
      </c>
      <c r="J14" s="24"/>
      <c r="K14" s="24" t="s">
        <v>3325</v>
      </c>
      <c r="L14" s="24"/>
      <c r="M14" s="24"/>
      <c r="N14" s="24">
        <v>2023</v>
      </c>
      <c r="O14" s="24">
        <v>320</v>
      </c>
      <c r="P14" s="24"/>
      <c r="Q14" s="24">
        <v>121042</v>
      </c>
      <c r="R14" s="24"/>
      <c r="S14" s="28" t="s">
        <v>3344</v>
      </c>
    </row>
    <row r="15" spans="1:19" ht="343.2" x14ac:dyDescent="0.3">
      <c r="A15" s="24">
        <v>13</v>
      </c>
      <c r="B15" s="29" t="s">
        <v>3345</v>
      </c>
      <c r="C15" s="24" t="s">
        <v>3519</v>
      </c>
      <c r="D15" s="30" t="s">
        <v>4027</v>
      </c>
      <c r="E15" s="30" t="s">
        <v>4026</v>
      </c>
      <c r="F15" s="24" t="s">
        <v>3346</v>
      </c>
      <c r="G15" s="24" t="s">
        <v>1833</v>
      </c>
      <c r="H15" s="24" t="s">
        <v>3347</v>
      </c>
      <c r="I15" s="24" t="s">
        <v>3348</v>
      </c>
      <c r="J15" s="24"/>
      <c r="K15" s="24" t="s">
        <v>3349</v>
      </c>
      <c r="L15" s="24"/>
      <c r="M15" s="24"/>
      <c r="N15" s="24">
        <v>2020</v>
      </c>
      <c r="O15" s="24">
        <v>6</v>
      </c>
      <c r="P15" s="24"/>
      <c r="Q15" s="24" t="s">
        <v>3350</v>
      </c>
      <c r="R15" s="24"/>
      <c r="S15" s="31" t="s">
        <v>3351</v>
      </c>
    </row>
    <row r="16" spans="1:19" ht="327.60000000000002" x14ac:dyDescent="0.3">
      <c r="A16" s="24">
        <v>14</v>
      </c>
      <c r="B16" s="29" t="s">
        <v>3352</v>
      </c>
      <c r="C16" s="24" t="s">
        <v>3353</v>
      </c>
      <c r="D16" s="30" t="s">
        <v>4028</v>
      </c>
      <c r="E16" s="30" t="s">
        <v>4029</v>
      </c>
      <c r="F16" s="24" t="s">
        <v>3354</v>
      </c>
      <c r="G16" s="24" t="s">
        <v>3355</v>
      </c>
      <c r="H16" s="24" t="s">
        <v>3308</v>
      </c>
      <c r="I16" s="24" t="s">
        <v>3356</v>
      </c>
      <c r="J16" s="24"/>
      <c r="K16" s="24" t="s">
        <v>3357</v>
      </c>
      <c r="L16" s="24"/>
      <c r="M16" s="24"/>
      <c r="N16" s="24">
        <v>2022</v>
      </c>
      <c r="O16" s="24">
        <v>40</v>
      </c>
      <c r="P16" s="24">
        <v>2</v>
      </c>
      <c r="Q16" s="24" t="s">
        <v>3358</v>
      </c>
      <c r="R16" s="24"/>
      <c r="S16" s="31" t="s">
        <v>3359</v>
      </c>
    </row>
    <row r="17" spans="1:19" ht="124.8" x14ac:dyDescent="0.3">
      <c r="A17" s="24">
        <v>15</v>
      </c>
      <c r="B17" s="29" t="s">
        <v>3360</v>
      </c>
      <c r="C17" s="24" t="s">
        <v>3361</v>
      </c>
      <c r="D17" s="30" t="s">
        <v>4030</v>
      </c>
      <c r="E17" s="30" t="s">
        <v>4031</v>
      </c>
      <c r="F17" s="24" t="s">
        <v>1835</v>
      </c>
      <c r="G17" s="24" t="s">
        <v>1836</v>
      </c>
      <c r="H17" s="24" t="s">
        <v>3362</v>
      </c>
      <c r="I17" s="24" t="s">
        <v>3363</v>
      </c>
      <c r="J17" s="24"/>
      <c r="K17" s="24"/>
      <c r="L17" s="24" t="s">
        <v>3364</v>
      </c>
      <c r="M17" s="24" t="s">
        <v>3365</v>
      </c>
      <c r="N17" s="24">
        <v>2019</v>
      </c>
      <c r="O17" s="24"/>
      <c r="P17" s="24"/>
      <c r="Q17" s="24" t="s">
        <v>3366</v>
      </c>
      <c r="R17" s="24" t="s">
        <v>3367</v>
      </c>
      <c r="S17" s="31" t="s">
        <v>3368</v>
      </c>
    </row>
    <row r="18" spans="1:19" ht="218.4" x14ac:dyDescent="0.3">
      <c r="A18" s="24">
        <v>16</v>
      </c>
      <c r="B18" s="29" t="s">
        <v>3369</v>
      </c>
      <c r="C18" s="24" t="s">
        <v>3370</v>
      </c>
      <c r="D18" s="30" t="s">
        <v>4032</v>
      </c>
      <c r="E18" s="30" t="s">
        <v>4033</v>
      </c>
      <c r="F18" s="32">
        <v>39448</v>
      </c>
      <c r="G18" s="24" t="s">
        <v>3371</v>
      </c>
      <c r="H18" s="24" t="s">
        <v>3308</v>
      </c>
      <c r="I18" s="24" t="s">
        <v>3372</v>
      </c>
      <c r="J18" s="24"/>
      <c r="K18" s="24" t="s">
        <v>3373</v>
      </c>
      <c r="L18" s="24"/>
      <c r="M18" s="24"/>
      <c r="N18" s="24">
        <v>2024</v>
      </c>
      <c r="O18" s="24">
        <v>465</v>
      </c>
      <c r="P18" s="24"/>
      <c r="Q18" s="24">
        <v>133167</v>
      </c>
      <c r="R18" s="24"/>
      <c r="S18" s="31" t="s">
        <v>3374</v>
      </c>
    </row>
    <row r="19" spans="1:19" ht="171.6" x14ac:dyDescent="0.3">
      <c r="A19" s="24">
        <v>17</v>
      </c>
      <c r="B19" s="29" t="s">
        <v>3375</v>
      </c>
      <c r="C19" s="24" t="s">
        <v>3376</v>
      </c>
      <c r="D19" s="30" t="s">
        <v>4034</v>
      </c>
      <c r="E19" s="30" t="s">
        <v>4035</v>
      </c>
      <c r="F19" s="30" t="s">
        <v>3377</v>
      </c>
      <c r="G19" s="30" t="s">
        <v>3378</v>
      </c>
      <c r="H19" s="24" t="s">
        <v>3379</v>
      </c>
      <c r="I19" s="24" t="s">
        <v>3380</v>
      </c>
      <c r="J19" s="24"/>
      <c r="K19" s="24" t="s">
        <v>3325</v>
      </c>
      <c r="L19" s="24"/>
      <c r="M19" s="24"/>
      <c r="N19" s="24">
        <v>2020</v>
      </c>
      <c r="O19" s="24" t="s">
        <v>3381</v>
      </c>
      <c r="P19" s="24"/>
      <c r="Q19" s="24">
        <v>115269</v>
      </c>
      <c r="R19" s="24"/>
      <c r="S19" s="31" t="s">
        <v>3382</v>
      </c>
    </row>
    <row r="20" spans="1:19" ht="187.2" x14ac:dyDescent="0.3">
      <c r="A20" s="24">
        <v>18</v>
      </c>
      <c r="B20" s="29" t="s">
        <v>3383</v>
      </c>
      <c r="C20" s="24" t="s">
        <v>3384</v>
      </c>
      <c r="D20" s="30" t="s">
        <v>4036</v>
      </c>
      <c r="E20" s="30" t="s">
        <v>4037</v>
      </c>
      <c r="F20" s="24" t="s">
        <v>3385</v>
      </c>
      <c r="G20" s="24" t="s">
        <v>3386</v>
      </c>
      <c r="H20" s="24" t="s">
        <v>3387</v>
      </c>
      <c r="I20" s="24" t="s">
        <v>3388</v>
      </c>
      <c r="J20" s="24"/>
      <c r="K20" s="24" t="s">
        <v>3389</v>
      </c>
      <c r="L20" s="24"/>
      <c r="M20" s="24"/>
      <c r="N20" s="24">
        <v>2023</v>
      </c>
      <c r="O20" s="24"/>
      <c r="P20" s="24"/>
      <c r="Q20" s="24"/>
      <c r="R20" s="24"/>
      <c r="S20" s="31" t="s">
        <v>3390</v>
      </c>
    </row>
    <row r="21" spans="1:19" ht="409.6" x14ac:dyDescent="0.3">
      <c r="A21" s="24">
        <v>19</v>
      </c>
      <c r="B21" s="29" t="s">
        <v>3391</v>
      </c>
      <c r="C21" s="24" t="s">
        <v>3392</v>
      </c>
      <c r="D21" s="30" t="s">
        <v>4038</v>
      </c>
      <c r="E21" s="30" t="s">
        <v>4039</v>
      </c>
      <c r="F21" s="24" t="s">
        <v>3393</v>
      </c>
      <c r="G21" s="24" t="s">
        <v>3394</v>
      </c>
      <c r="H21" s="24" t="s">
        <v>3395</v>
      </c>
      <c r="I21" s="24" t="s">
        <v>3396</v>
      </c>
      <c r="J21" s="24"/>
      <c r="K21" s="24" t="s">
        <v>3249</v>
      </c>
      <c r="L21" s="24"/>
      <c r="M21" s="24"/>
      <c r="N21" s="24">
        <v>2024</v>
      </c>
      <c r="O21" s="24">
        <v>908</v>
      </c>
      <c r="P21" s="24"/>
      <c r="Q21" s="24">
        <v>168369</v>
      </c>
      <c r="R21" s="24"/>
      <c r="S21" s="31" t="s">
        <v>3397</v>
      </c>
    </row>
    <row r="22" spans="1:19" ht="218.4" x14ac:dyDescent="0.3">
      <c r="A22" s="24">
        <v>20</v>
      </c>
      <c r="B22" s="29" t="s">
        <v>3398</v>
      </c>
      <c r="C22" s="24" t="s">
        <v>3399</v>
      </c>
      <c r="D22" s="30" t="s">
        <v>4041</v>
      </c>
      <c r="E22" s="30" t="s">
        <v>4040</v>
      </c>
      <c r="F22" s="24" t="s">
        <v>2319</v>
      </c>
      <c r="G22" s="24" t="s">
        <v>1813</v>
      </c>
      <c r="H22" s="24" t="s">
        <v>3400</v>
      </c>
      <c r="I22" s="24" t="s">
        <v>3514</v>
      </c>
      <c r="J22" s="24"/>
      <c r="K22" s="24" t="s">
        <v>3401</v>
      </c>
      <c r="L22" s="24"/>
      <c r="M22" s="24"/>
      <c r="N22" s="24">
        <v>2022</v>
      </c>
      <c r="O22" s="24">
        <v>56</v>
      </c>
      <c r="P22" s="24">
        <v>21</v>
      </c>
      <c r="Q22" s="24" t="s">
        <v>3402</v>
      </c>
      <c r="R22" s="24"/>
      <c r="S22" s="31" t="s">
        <v>3403</v>
      </c>
    </row>
    <row r="23" spans="1:19" ht="358.8" x14ac:dyDescent="0.3">
      <c r="A23" s="24">
        <v>21</v>
      </c>
      <c r="B23" s="29" t="s">
        <v>3404</v>
      </c>
      <c r="C23" s="24" t="s">
        <v>3405</v>
      </c>
      <c r="D23" s="30" t="s">
        <v>4042</v>
      </c>
      <c r="E23" s="30" t="s">
        <v>4043</v>
      </c>
      <c r="F23" s="24" t="s">
        <v>1830</v>
      </c>
      <c r="G23" s="24" t="s">
        <v>1831</v>
      </c>
      <c r="H23" s="24" t="s">
        <v>3406</v>
      </c>
      <c r="I23" s="24" t="s">
        <v>3407</v>
      </c>
      <c r="J23" s="24"/>
      <c r="K23" s="24" t="s">
        <v>3373</v>
      </c>
      <c r="L23" s="24"/>
      <c r="M23" s="24"/>
      <c r="N23" s="24">
        <v>2020</v>
      </c>
      <c r="O23" s="24">
        <v>384</v>
      </c>
      <c r="P23" s="24"/>
      <c r="Q23" s="24">
        <v>121306</v>
      </c>
      <c r="R23" s="24"/>
      <c r="S23" s="31" t="s">
        <v>3408</v>
      </c>
    </row>
    <row r="24" spans="1:19" ht="249.6" x14ac:dyDescent="0.3">
      <c r="A24" s="24">
        <v>22</v>
      </c>
      <c r="B24" s="29" t="s">
        <v>3409</v>
      </c>
      <c r="C24" s="24" t="s">
        <v>3410</v>
      </c>
      <c r="D24" s="30" t="s">
        <v>4044</v>
      </c>
      <c r="E24" s="30" t="s">
        <v>4045</v>
      </c>
      <c r="F24" s="30" t="s">
        <v>3411</v>
      </c>
      <c r="G24" s="30" t="s">
        <v>3412</v>
      </c>
      <c r="H24" s="24" t="s">
        <v>3413</v>
      </c>
      <c r="I24" s="24" t="s">
        <v>3414</v>
      </c>
      <c r="J24" s="24"/>
      <c r="K24" s="24" t="s">
        <v>3415</v>
      </c>
      <c r="L24" s="24"/>
      <c r="M24" s="24"/>
      <c r="N24" s="24">
        <v>2019</v>
      </c>
      <c r="O24" s="24">
        <v>233</v>
      </c>
      <c r="P24" s="24"/>
      <c r="Q24" s="24" t="s">
        <v>3416</v>
      </c>
      <c r="R24" s="24"/>
      <c r="S24" s="31" t="s">
        <v>3417</v>
      </c>
    </row>
    <row r="25" spans="1:19" ht="409.6" x14ac:dyDescent="0.3">
      <c r="A25" s="24">
        <v>23</v>
      </c>
      <c r="B25" s="30" t="s">
        <v>3418</v>
      </c>
      <c r="C25" s="24" t="s">
        <v>3419</v>
      </c>
      <c r="D25" s="30" t="s">
        <v>4046</v>
      </c>
      <c r="E25" s="30" t="s">
        <v>4047</v>
      </c>
      <c r="F25" s="30" t="s">
        <v>3420</v>
      </c>
      <c r="G25" s="24" t="s">
        <v>3421</v>
      </c>
      <c r="H25" s="30" t="s">
        <v>3422</v>
      </c>
      <c r="I25" s="24" t="s">
        <v>3423</v>
      </c>
      <c r="J25" s="24"/>
      <c r="K25" s="24"/>
      <c r="L25" s="24" t="s">
        <v>3424</v>
      </c>
      <c r="M25" s="24" t="s">
        <v>3425</v>
      </c>
      <c r="N25" s="24">
        <v>2022</v>
      </c>
      <c r="O25" s="24"/>
      <c r="P25" s="24"/>
      <c r="Q25" s="24">
        <v>37</v>
      </c>
      <c r="R25" s="24" t="s">
        <v>3426</v>
      </c>
      <c r="S25" s="31" t="s">
        <v>3427</v>
      </c>
    </row>
    <row r="26" spans="1:19" ht="409.6" x14ac:dyDescent="0.3">
      <c r="A26" s="24">
        <v>24</v>
      </c>
      <c r="B26" s="29" t="s">
        <v>3428</v>
      </c>
      <c r="C26" s="24" t="s">
        <v>3520</v>
      </c>
      <c r="D26" s="30" t="s">
        <v>4048</v>
      </c>
      <c r="E26" s="30" t="s">
        <v>4049</v>
      </c>
      <c r="F26" s="24" t="s">
        <v>3429</v>
      </c>
      <c r="G26" s="24" t="s">
        <v>3430</v>
      </c>
      <c r="H26" s="24" t="s">
        <v>3431</v>
      </c>
      <c r="I26" s="24" t="s">
        <v>3432</v>
      </c>
      <c r="J26" s="24"/>
      <c r="K26" s="24" t="s">
        <v>3433</v>
      </c>
      <c r="L26" s="24"/>
      <c r="M26" s="24"/>
      <c r="N26" s="24">
        <v>2023</v>
      </c>
      <c r="O26" s="24">
        <v>12</v>
      </c>
      <c r="P26" s="24">
        <v>11</v>
      </c>
      <c r="Q26" s="24">
        <v>1586</v>
      </c>
      <c r="R26" s="24"/>
      <c r="S26" s="31" t="s">
        <v>3434</v>
      </c>
    </row>
    <row r="27" spans="1:19" ht="265.2" x14ac:dyDescent="0.3">
      <c r="A27" s="24">
        <v>25</v>
      </c>
      <c r="B27" s="29" t="s">
        <v>3435</v>
      </c>
      <c r="C27" s="24" t="s">
        <v>3436</v>
      </c>
      <c r="D27" s="30" t="s">
        <v>4050</v>
      </c>
      <c r="E27" s="30" t="s">
        <v>4051</v>
      </c>
      <c r="F27" s="24" t="s">
        <v>1842</v>
      </c>
      <c r="G27" s="24" t="s">
        <v>1843</v>
      </c>
      <c r="H27" s="24" t="s">
        <v>3437</v>
      </c>
      <c r="I27" s="24" t="s">
        <v>3438</v>
      </c>
      <c r="J27" s="24"/>
      <c r="K27" s="24"/>
      <c r="L27" s="24" t="s">
        <v>3439</v>
      </c>
      <c r="M27" s="24" t="s">
        <v>3440</v>
      </c>
      <c r="N27" s="24">
        <v>2021</v>
      </c>
      <c r="O27" s="24"/>
      <c r="P27" s="24"/>
      <c r="Q27" s="24">
        <v>30</v>
      </c>
      <c r="R27" s="24" t="s">
        <v>3441</v>
      </c>
      <c r="S27" s="31" t="s">
        <v>3442</v>
      </c>
    </row>
    <row r="28" spans="1:19" ht="265.2" x14ac:dyDescent="0.3">
      <c r="A28" s="24">
        <v>26</v>
      </c>
      <c r="B28" s="29" t="s">
        <v>3443</v>
      </c>
      <c r="C28" s="24" t="s">
        <v>3444</v>
      </c>
      <c r="D28" s="30" t="s">
        <v>4052</v>
      </c>
      <c r="E28" s="30" t="s">
        <v>4053</v>
      </c>
      <c r="F28" s="24" t="s">
        <v>3445</v>
      </c>
      <c r="G28" s="24" t="s">
        <v>3446</v>
      </c>
      <c r="H28" s="24" t="s">
        <v>3447</v>
      </c>
      <c r="I28" s="24" t="s">
        <v>3448</v>
      </c>
      <c r="J28" s="24"/>
      <c r="K28" s="24"/>
      <c r="L28" s="24" t="s">
        <v>3449</v>
      </c>
      <c r="M28" s="24" t="s">
        <v>3450</v>
      </c>
      <c r="N28" s="24">
        <v>2019</v>
      </c>
      <c r="O28" s="24"/>
      <c r="P28" s="24"/>
      <c r="Q28" s="24" t="s">
        <v>3451</v>
      </c>
      <c r="R28" s="24" t="s">
        <v>3336</v>
      </c>
      <c r="S28" s="31" t="s">
        <v>3452</v>
      </c>
    </row>
    <row r="29" spans="1:19" ht="312" x14ac:dyDescent="0.3">
      <c r="A29" s="24">
        <v>27</v>
      </c>
      <c r="B29" s="29" t="s">
        <v>3453</v>
      </c>
      <c r="C29" s="24" t="s">
        <v>3454</v>
      </c>
      <c r="D29" s="30" t="s">
        <v>4054</v>
      </c>
      <c r="E29" s="30" t="s">
        <v>4055</v>
      </c>
      <c r="F29" s="30" t="s">
        <v>3455</v>
      </c>
      <c r="G29" s="30" t="s">
        <v>3456</v>
      </c>
      <c r="H29" s="24" t="s">
        <v>3457</v>
      </c>
      <c r="I29" s="24" t="s">
        <v>3458</v>
      </c>
      <c r="J29" s="24"/>
      <c r="K29" s="24" t="s">
        <v>3459</v>
      </c>
      <c r="L29" s="24"/>
      <c r="M29" s="24"/>
      <c r="N29" s="24">
        <v>2023</v>
      </c>
      <c r="O29" s="24">
        <v>218</v>
      </c>
      <c r="P29" s="24"/>
      <c r="Q29" s="24">
        <v>114962</v>
      </c>
      <c r="R29" s="24"/>
      <c r="S29" s="31" t="s">
        <v>3460</v>
      </c>
    </row>
    <row r="30" spans="1:19" ht="409.6" x14ac:dyDescent="0.3">
      <c r="A30" s="24">
        <v>28</v>
      </c>
      <c r="B30" s="33" t="s">
        <v>3461</v>
      </c>
      <c r="C30" s="24" t="s">
        <v>3462</v>
      </c>
      <c r="D30" s="30" t="s">
        <v>4056</v>
      </c>
      <c r="E30" s="30" t="s">
        <v>4057</v>
      </c>
      <c r="F30" s="30" t="s">
        <v>3463</v>
      </c>
      <c r="G30" s="30" t="s">
        <v>3464</v>
      </c>
      <c r="H30" s="24" t="s">
        <v>3422</v>
      </c>
      <c r="I30" s="24" t="s">
        <v>3515</v>
      </c>
      <c r="J30" s="24"/>
      <c r="K30" s="24"/>
      <c r="L30" s="24" t="s">
        <v>3465</v>
      </c>
      <c r="M30" s="24" t="s">
        <v>3466</v>
      </c>
      <c r="N30" s="24">
        <v>2019</v>
      </c>
      <c r="O30" s="24"/>
      <c r="P30" s="24"/>
      <c r="Q30" s="24">
        <v>18</v>
      </c>
      <c r="R30" s="24" t="s">
        <v>3467</v>
      </c>
      <c r="S30" s="31" t="s">
        <v>3468</v>
      </c>
    </row>
    <row r="31" spans="1:19" ht="409.6" x14ac:dyDescent="0.3">
      <c r="A31" s="24">
        <v>29</v>
      </c>
      <c r="B31" s="30" t="s">
        <v>3469</v>
      </c>
      <c r="C31" s="24" t="s">
        <v>3470</v>
      </c>
      <c r="D31" s="30" t="s">
        <v>4058</v>
      </c>
      <c r="E31" s="30" t="s">
        <v>4059</v>
      </c>
      <c r="F31" s="30" t="s">
        <v>3471</v>
      </c>
      <c r="G31" s="30" t="s">
        <v>3472</v>
      </c>
      <c r="H31" s="24" t="s">
        <v>3473</v>
      </c>
      <c r="I31" s="24" t="s">
        <v>3474</v>
      </c>
      <c r="J31" s="24" t="s">
        <v>3475</v>
      </c>
      <c r="K31" s="24" t="s">
        <v>3476</v>
      </c>
      <c r="L31" s="24" t="s">
        <v>3477</v>
      </c>
      <c r="M31" s="24"/>
      <c r="N31" s="24">
        <v>2022</v>
      </c>
      <c r="O31" s="24"/>
      <c r="P31" s="24"/>
      <c r="Q31" s="24" t="s">
        <v>3478</v>
      </c>
      <c r="R31" s="24" t="s">
        <v>3479</v>
      </c>
      <c r="S31" s="31" t="s">
        <v>3480</v>
      </c>
    </row>
    <row r="32" spans="1:19" ht="409.6" x14ac:dyDescent="0.3">
      <c r="A32" s="24">
        <v>30</v>
      </c>
      <c r="B32" s="30" t="s">
        <v>3481</v>
      </c>
      <c r="C32" s="24" t="s">
        <v>3482</v>
      </c>
      <c r="D32" s="30" t="s">
        <v>4060</v>
      </c>
      <c r="E32" s="30" t="s">
        <v>4061</v>
      </c>
      <c r="F32" s="30" t="s">
        <v>3483</v>
      </c>
      <c r="G32" s="30" t="s">
        <v>3484</v>
      </c>
      <c r="H32" s="24" t="s">
        <v>3457</v>
      </c>
      <c r="I32" s="24" t="s">
        <v>3485</v>
      </c>
      <c r="J32" s="24" t="s">
        <v>3475</v>
      </c>
      <c r="K32" s="24" t="s">
        <v>3476</v>
      </c>
      <c r="L32" s="24" t="s">
        <v>3477</v>
      </c>
      <c r="M32" s="24"/>
      <c r="N32" s="24">
        <v>2022</v>
      </c>
      <c r="O32" s="24"/>
      <c r="P32" s="24"/>
      <c r="Q32" s="24" t="s">
        <v>3486</v>
      </c>
      <c r="R32" s="24" t="s">
        <v>3479</v>
      </c>
      <c r="S32" s="31" t="s">
        <v>3487</v>
      </c>
    </row>
    <row r="33" spans="1:19" ht="296.39999999999998" x14ac:dyDescent="0.3">
      <c r="A33" s="24">
        <v>31</v>
      </c>
      <c r="B33" s="29" t="s">
        <v>3488</v>
      </c>
      <c r="C33" s="24" t="s">
        <v>3489</v>
      </c>
      <c r="D33" s="30" t="s">
        <v>4062</v>
      </c>
      <c r="E33" s="30" t="s">
        <v>4063</v>
      </c>
      <c r="F33" s="30" t="s">
        <v>3490</v>
      </c>
      <c r="G33" s="30" t="s">
        <v>3491</v>
      </c>
      <c r="H33" s="24" t="s">
        <v>3308</v>
      </c>
      <c r="I33" s="24" t="s">
        <v>3516</v>
      </c>
      <c r="J33" s="24"/>
      <c r="K33" s="24" t="s">
        <v>3492</v>
      </c>
      <c r="L33" s="24"/>
      <c r="M33" s="24"/>
      <c r="N33" s="24">
        <v>2021</v>
      </c>
      <c r="O33" s="24">
        <v>13</v>
      </c>
      <c r="P33" s="24">
        <v>21</v>
      </c>
      <c r="Q33" s="24">
        <v>11760</v>
      </c>
      <c r="R33" s="24"/>
      <c r="S33" s="31" t="s">
        <v>3493</v>
      </c>
    </row>
    <row r="34" spans="1:19" ht="280.8" x14ac:dyDescent="0.3">
      <c r="A34" s="24">
        <v>32</v>
      </c>
      <c r="B34" s="29" t="s">
        <v>3494</v>
      </c>
      <c r="C34" s="24" t="s">
        <v>3495</v>
      </c>
      <c r="D34" s="30" t="s">
        <v>3998</v>
      </c>
      <c r="E34" s="30" t="s">
        <v>4064</v>
      </c>
      <c r="F34" s="30" t="s">
        <v>3496</v>
      </c>
      <c r="G34" s="30" t="s">
        <v>1859</v>
      </c>
      <c r="H34" s="24" t="s">
        <v>3413</v>
      </c>
      <c r="I34" s="24" t="s">
        <v>3497</v>
      </c>
      <c r="J34" s="24"/>
      <c r="K34" s="24"/>
      <c r="L34" s="24" t="s">
        <v>3498</v>
      </c>
      <c r="M34" s="24" t="s">
        <v>3499</v>
      </c>
      <c r="N34" s="24">
        <v>2019</v>
      </c>
      <c r="O34" s="24"/>
      <c r="P34" s="24"/>
      <c r="Q34" s="24">
        <v>25</v>
      </c>
      <c r="R34" s="24" t="s">
        <v>3500</v>
      </c>
      <c r="S34" s="28" t="s">
        <v>3501</v>
      </c>
    </row>
    <row r="35" spans="1:19" ht="409.6" x14ac:dyDescent="0.3">
      <c r="A35" s="24">
        <v>33</v>
      </c>
      <c r="B35" s="29" t="s">
        <v>3502</v>
      </c>
      <c r="C35" s="24" t="s">
        <v>3503</v>
      </c>
      <c r="D35" s="30" t="s">
        <v>4065</v>
      </c>
      <c r="E35" s="30" t="s">
        <v>4066</v>
      </c>
      <c r="F35" s="30" t="s">
        <v>3504</v>
      </c>
      <c r="G35" s="30" t="s">
        <v>1860</v>
      </c>
      <c r="H35" s="24" t="s">
        <v>3505</v>
      </c>
      <c r="I35" s="24" t="s">
        <v>3506</v>
      </c>
      <c r="J35" s="24"/>
      <c r="K35" s="24"/>
      <c r="L35" s="24" t="s">
        <v>3507</v>
      </c>
      <c r="M35" s="24" t="s">
        <v>3508</v>
      </c>
      <c r="N35" s="24">
        <v>2021</v>
      </c>
      <c r="O35" s="24"/>
      <c r="P35" s="24"/>
      <c r="Q35" s="24" t="s">
        <v>3509</v>
      </c>
      <c r="R35" s="24" t="s">
        <v>3510</v>
      </c>
      <c r="S35" s="31" t="s">
        <v>3511</v>
      </c>
    </row>
    <row r="36" spans="1:19" ht="18.600000000000001" x14ac:dyDescent="0.3">
      <c r="A36" s="7" t="s">
        <v>3999</v>
      </c>
      <c r="B36" s="7"/>
      <c r="C36" s="7"/>
      <c r="D36" s="7"/>
      <c r="E36" s="7"/>
      <c r="F36" s="7"/>
      <c r="G36" s="7"/>
      <c r="H36" s="7"/>
      <c r="I36" s="7"/>
      <c r="J36" s="7"/>
      <c r="K36" s="7"/>
      <c r="L36" s="7"/>
      <c r="M36" s="7"/>
      <c r="N36" s="7"/>
      <c r="O36" s="7"/>
      <c r="P36" s="7"/>
      <c r="Q36" s="7"/>
      <c r="R36" s="7"/>
      <c r="S36" s="7"/>
    </row>
    <row r="37" spans="1:19" ht="18.600000000000001" x14ac:dyDescent="0.3">
      <c r="A37" s="53" t="s">
        <v>3942</v>
      </c>
      <c r="B37" s="7"/>
      <c r="C37" s="7"/>
      <c r="D37" s="7"/>
      <c r="E37" s="7"/>
      <c r="F37" s="7"/>
      <c r="G37" s="7"/>
      <c r="H37" s="7"/>
      <c r="I37" s="7"/>
      <c r="J37" s="7"/>
      <c r="K37" s="7"/>
      <c r="L37" s="7"/>
      <c r="M37" s="7"/>
      <c r="N37" s="7"/>
      <c r="O37" s="7"/>
      <c r="P37" s="7"/>
      <c r="Q37" s="7"/>
      <c r="R37" s="7"/>
      <c r="S37" s="7"/>
    </row>
    <row r="38" spans="1:19" ht="18.600000000000001" x14ac:dyDescent="0.3">
      <c r="A38" s="7" t="s">
        <v>4000</v>
      </c>
      <c r="B38" s="7"/>
      <c r="C38" s="7"/>
      <c r="D38" s="7"/>
      <c r="E38" s="7"/>
      <c r="F38" s="7"/>
      <c r="G38" s="7"/>
      <c r="H38" s="7"/>
      <c r="I38" s="7"/>
      <c r="J38" s="7"/>
      <c r="K38" s="7"/>
      <c r="L38" s="7"/>
      <c r="M38" s="7"/>
      <c r="N38" s="7"/>
      <c r="O38" s="7"/>
      <c r="P38" s="7"/>
      <c r="Q38" s="7"/>
      <c r="R38" s="7"/>
      <c r="S38" s="7"/>
    </row>
    <row r="39" spans="1:19" ht="18.600000000000001" x14ac:dyDescent="0.3">
      <c r="A39" s="53" t="s">
        <v>4001</v>
      </c>
      <c r="B39" s="7"/>
      <c r="C39" s="7"/>
      <c r="D39" s="7"/>
      <c r="E39" s="7"/>
      <c r="F39" s="7"/>
      <c r="G39" s="7"/>
      <c r="H39" s="7"/>
      <c r="I39" s="7"/>
      <c r="J39" s="7"/>
      <c r="K39" s="7"/>
      <c r="L39" s="7"/>
      <c r="M39" s="7"/>
      <c r="N39" s="7"/>
      <c r="O39" s="7"/>
      <c r="P39" s="7"/>
      <c r="Q39" s="7"/>
      <c r="R39" s="7"/>
      <c r="S39" s="7"/>
    </row>
    <row r="40" spans="1:19" ht="18.600000000000001" x14ac:dyDescent="0.3">
      <c r="A40" s="53" t="s">
        <v>4002</v>
      </c>
      <c r="B40" s="7"/>
      <c r="C40" s="7"/>
      <c r="D40" s="7"/>
      <c r="E40" s="7"/>
      <c r="F40" s="7"/>
      <c r="G40" s="7"/>
      <c r="H40" s="7"/>
      <c r="I40" s="7"/>
      <c r="J40" s="7"/>
      <c r="K40" s="7"/>
      <c r="L40" s="7"/>
      <c r="M40" s="7"/>
      <c r="N40" s="7"/>
      <c r="O40" s="7"/>
      <c r="P40" s="7"/>
      <c r="Q40" s="7"/>
      <c r="R40" s="7"/>
      <c r="S40" s="7"/>
    </row>
    <row r="41" spans="1:19" ht="18.600000000000001" x14ac:dyDescent="0.3">
      <c r="A41" s="53" t="s">
        <v>4003</v>
      </c>
      <c r="B41" s="7"/>
      <c r="C41" s="7"/>
      <c r="D41" s="7"/>
      <c r="E41" s="7"/>
      <c r="F41" s="7"/>
      <c r="G41" s="7"/>
      <c r="H41" s="7"/>
      <c r="I41" s="7"/>
      <c r="J41" s="7"/>
      <c r="K41" s="7"/>
      <c r="L41" s="7"/>
      <c r="M41" s="7"/>
      <c r="N41" s="7"/>
      <c r="O41" s="7"/>
      <c r="P41" s="7"/>
      <c r="Q41" s="7"/>
      <c r="R41" s="7"/>
      <c r="S41" s="7"/>
    </row>
    <row r="42" spans="1:19" ht="18.600000000000001" x14ac:dyDescent="0.3">
      <c r="A42" s="53" t="s">
        <v>4004</v>
      </c>
      <c r="B42" s="7"/>
      <c r="C42" s="7"/>
      <c r="D42" s="7"/>
      <c r="E42" s="7"/>
      <c r="F42" s="7"/>
      <c r="G42" s="7"/>
      <c r="H42" s="7"/>
      <c r="I42" s="7"/>
      <c r="J42" s="7"/>
      <c r="K42" s="7"/>
      <c r="L42" s="7"/>
      <c r="M42" s="7"/>
      <c r="N42" s="7"/>
      <c r="O42" s="7"/>
      <c r="P42" s="7"/>
      <c r="Q42" s="7"/>
      <c r="R42" s="7"/>
      <c r="S42" s="7"/>
    </row>
  </sheetData>
  <conditionalFormatting sqref="B2:B35">
    <cfRule type="duplicateValues" dxfId="35" priority="33"/>
  </conditionalFormatting>
  <conditionalFormatting sqref="B3">
    <cfRule type="duplicateValues" dxfId="34" priority="34"/>
  </conditionalFormatting>
  <conditionalFormatting sqref="B4">
    <cfRule type="duplicateValues" dxfId="33" priority="31"/>
  </conditionalFormatting>
  <conditionalFormatting sqref="B5">
    <cfRule type="duplicateValues" dxfId="32" priority="30"/>
  </conditionalFormatting>
  <conditionalFormatting sqref="B6">
    <cfRule type="duplicateValues" dxfId="31" priority="29"/>
  </conditionalFormatting>
  <conditionalFormatting sqref="B7">
    <cfRule type="duplicateValues" dxfId="30" priority="28"/>
  </conditionalFormatting>
  <conditionalFormatting sqref="B8">
    <cfRule type="duplicateValues" dxfId="29" priority="27"/>
  </conditionalFormatting>
  <conditionalFormatting sqref="B9">
    <cfRule type="duplicateValues" dxfId="28" priority="26"/>
  </conditionalFormatting>
  <conditionalFormatting sqref="B10">
    <cfRule type="duplicateValues" dxfId="27" priority="32"/>
  </conditionalFormatting>
  <conditionalFormatting sqref="B11">
    <cfRule type="duplicateValues" dxfId="26" priority="24"/>
  </conditionalFormatting>
  <conditionalFormatting sqref="B12">
    <cfRule type="duplicateValues" dxfId="25" priority="23"/>
  </conditionalFormatting>
  <conditionalFormatting sqref="B13">
    <cfRule type="duplicateValues" dxfId="24" priority="22"/>
  </conditionalFormatting>
  <conditionalFormatting sqref="B14">
    <cfRule type="duplicateValues" dxfId="23" priority="21"/>
  </conditionalFormatting>
  <conditionalFormatting sqref="B15">
    <cfRule type="duplicateValues" dxfId="22" priority="20"/>
  </conditionalFormatting>
  <conditionalFormatting sqref="B16">
    <cfRule type="duplicateValues" dxfId="21" priority="19"/>
  </conditionalFormatting>
  <conditionalFormatting sqref="B17">
    <cfRule type="duplicateValues" dxfId="20" priority="18"/>
  </conditionalFormatting>
  <conditionalFormatting sqref="B18">
    <cfRule type="duplicateValues" dxfId="19" priority="17"/>
  </conditionalFormatting>
  <conditionalFormatting sqref="B19">
    <cfRule type="duplicateValues" dxfId="18" priority="16"/>
  </conditionalFormatting>
  <conditionalFormatting sqref="B20">
    <cfRule type="duplicateValues" dxfId="17" priority="15"/>
  </conditionalFormatting>
  <conditionalFormatting sqref="B21">
    <cfRule type="duplicateValues" dxfId="16" priority="14"/>
  </conditionalFormatting>
  <conditionalFormatting sqref="B22">
    <cfRule type="duplicateValues" dxfId="15" priority="13"/>
  </conditionalFormatting>
  <conditionalFormatting sqref="B23">
    <cfRule type="duplicateValues" dxfId="14" priority="12"/>
  </conditionalFormatting>
  <conditionalFormatting sqref="B24">
    <cfRule type="duplicateValues" dxfId="13" priority="11"/>
  </conditionalFormatting>
  <conditionalFormatting sqref="B25">
    <cfRule type="duplicateValues" dxfId="12" priority="10"/>
  </conditionalFormatting>
  <conditionalFormatting sqref="B26">
    <cfRule type="duplicateValues" dxfId="11" priority="9"/>
  </conditionalFormatting>
  <conditionalFormatting sqref="B27">
    <cfRule type="duplicateValues" dxfId="10" priority="8"/>
  </conditionalFormatting>
  <conditionalFormatting sqref="B28">
    <cfRule type="duplicateValues" dxfId="9" priority="3"/>
  </conditionalFormatting>
  <conditionalFormatting sqref="B29">
    <cfRule type="duplicateValues" dxfId="8" priority="2"/>
  </conditionalFormatting>
  <conditionalFormatting sqref="B30">
    <cfRule type="duplicateValues" dxfId="7" priority="7"/>
  </conditionalFormatting>
  <conditionalFormatting sqref="B31">
    <cfRule type="duplicateValues" dxfId="6" priority="6"/>
  </conditionalFormatting>
  <conditionalFormatting sqref="B32">
    <cfRule type="duplicateValues" dxfId="5" priority="5"/>
  </conditionalFormatting>
  <conditionalFormatting sqref="B33:B34">
    <cfRule type="duplicateValues" dxfId="4" priority="4"/>
  </conditionalFormatting>
  <conditionalFormatting sqref="B35">
    <cfRule type="duplicateValues" dxfId="3" priority="1"/>
  </conditionalFormatting>
  <hyperlinks>
    <hyperlink ref="S3" r:id="rId1" xr:uid="{A2D69579-9DF6-4C44-9459-3AA14B9E3108}"/>
    <hyperlink ref="S4" r:id="rId2" xr:uid="{7300B6B0-1702-4120-9E78-2AD77E807C50}"/>
    <hyperlink ref="I11" r:id="rId3" display="https://www-sciencedirect-com.colorado.idm.oclc.org/author/12753795900/leon-p-barron" xr:uid="{E5524C06-168F-4235-A52D-BCEDC15988A0}"/>
    <hyperlink ref="S16" r:id="rId4" xr:uid="{2571290D-DB1D-4732-A6A0-ADF22D6A2202}"/>
    <hyperlink ref="S5" r:id="rId5" xr:uid="{3C264590-63F4-4300-803E-55AA54E57678}"/>
    <hyperlink ref="S6" r:id="rId6" xr:uid="{1D20BFCE-0F86-4B76-B109-B2D44D72A1FC}"/>
    <hyperlink ref="S9" r:id="rId7" xr:uid="{37D53C5F-29FF-450C-88FA-1AFC79387BAC}"/>
    <hyperlink ref="S10" r:id="rId8" xr:uid="{C1E115F8-B892-48B6-BB58-65B85E31E382}"/>
    <hyperlink ref="S11" r:id="rId9" xr:uid="{5674FF62-E14A-4EA4-89DB-300801A576C1}"/>
    <hyperlink ref="S14" r:id="rId10" xr:uid="{21C29DE3-7E86-411C-93AC-E94169621701}"/>
    <hyperlink ref="S18" r:id="rId11" xr:uid="{105C63CD-269C-43FA-84AF-A9C610FF04ED}"/>
    <hyperlink ref="S19" r:id="rId12" xr:uid="{40ABC1B5-794F-4429-B621-966B0B9F517D}"/>
    <hyperlink ref="S20" r:id="rId13" xr:uid="{4B48B710-000A-481C-B5E1-270E28E5FD45}"/>
    <hyperlink ref="S21" r:id="rId14" xr:uid="{238BE84E-EB8D-45F2-BDD9-30B9935270CA}"/>
    <hyperlink ref="S22" r:id="rId15" xr:uid="{DBC7A32C-BAAC-4948-A69F-6F8ED5AB5FE4}"/>
    <hyperlink ref="S23" r:id="rId16" xr:uid="{150124F7-5E0F-4D51-BE09-2FA006D2EC07}"/>
    <hyperlink ref="S24" r:id="rId17" xr:uid="{0F5C478E-B43D-4FBE-A979-1A9B2BF069E4}"/>
    <hyperlink ref="S26" r:id="rId18" xr:uid="{9E045CA2-B73B-42E0-86D5-35CC1ADD5E7D}"/>
    <hyperlink ref="S29" r:id="rId19" xr:uid="{B9FE7BD8-051C-4A9F-B00C-1E8E6A35FFE9}"/>
    <hyperlink ref="S31" r:id="rId20" xr:uid="{6F4FA214-EE9D-4211-863F-E819BB19724E}"/>
    <hyperlink ref="S32" r:id="rId21" xr:uid="{9562C726-464F-4D12-843E-444B4E8595FC}"/>
    <hyperlink ref="S33" r:id="rId22" xr:uid="{2AB3BB7C-AC06-41F3-A83B-C4BA564EBBF2}"/>
    <hyperlink ref="S8" r:id="rId23" xr:uid="{5D028785-5773-4789-8E9F-FC636B10DCDE}"/>
    <hyperlink ref="S12" r:id="rId24" xr:uid="{1A089FA3-981B-42A8-B0D8-4A935C4A68A0}"/>
    <hyperlink ref="S13" r:id="rId25" xr:uid="{11710C7D-0507-4DA2-9CB5-C82C9F5765F4}"/>
    <hyperlink ref="S15" r:id="rId26" xr:uid="{9E41F13F-8949-4F1A-849B-AA8D5A22F618}"/>
    <hyperlink ref="S7" r:id="rId27" xr:uid="{46DF6A0B-593E-47E7-B109-CD9FB59E99CB}"/>
    <hyperlink ref="S25" r:id="rId28" xr:uid="{463E7597-C86B-4A52-8952-3A1496257B77}"/>
    <hyperlink ref="S30" r:id="rId29" xr:uid="{62570E86-9715-48F7-ABFE-7F455ED0B70A}"/>
    <hyperlink ref="S27" r:id="rId30" xr:uid="{3530BC0A-D741-40E2-9117-4B2DFDBD095B}"/>
    <hyperlink ref="S17" r:id="rId31" xr:uid="{94EC1819-6EC3-4F04-BE05-DE704F028634}"/>
    <hyperlink ref="S28" r:id="rId32" xr:uid="{2ADAD9C9-3FBD-4A6E-A136-426141AEA2AC}"/>
    <hyperlink ref="S34" r:id="rId33" xr:uid="{7BA897B2-CBAA-4409-A082-808E48A94A70}"/>
    <hyperlink ref="S35" r:id="rId34" xr:uid="{F5057164-E232-4DCF-8BEC-994CF9F283E9}"/>
  </hyperlinks>
  <pageMargins left="0.7" right="0.7" top="0.75" bottom="0.75" header="0.3" footer="0.3"/>
  <drawing r:id="rId35"/>
  <tableParts count="1">
    <tablePart r:id="rId3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ADB7E-E014-4625-9E1B-D14F6D915A36}">
  <dimension ref="A1:N2234"/>
  <sheetViews>
    <sheetView workbookViewId="0">
      <selection activeCell="A2" sqref="A1:A1048576"/>
    </sheetView>
  </sheetViews>
  <sheetFormatPr defaultRowHeight="14.4" x14ac:dyDescent="0.3"/>
  <cols>
    <col min="1" max="1" width="26.44140625" customWidth="1"/>
    <col min="2" max="2" width="23.88671875" customWidth="1"/>
    <col min="3" max="3" width="27.33203125" bestFit="1" customWidth="1"/>
    <col min="4" max="4" width="31.44140625" bestFit="1" customWidth="1"/>
    <col min="5" max="5" width="29" customWidth="1"/>
    <col min="6" max="6" width="32.77734375" customWidth="1"/>
    <col min="7" max="7" width="36.6640625" customWidth="1"/>
    <col min="8" max="8" width="22.5546875" bestFit="1" customWidth="1"/>
    <col min="9" max="9" width="19.77734375" customWidth="1"/>
    <col min="10" max="10" width="27.44140625" bestFit="1" customWidth="1"/>
    <col min="11" max="11" width="26.109375" bestFit="1" customWidth="1"/>
    <col min="12" max="12" width="15.21875" bestFit="1" customWidth="1"/>
    <col min="13" max="13" width="28.33203125" customWidth="1"/>
    <col min="14" max="14" width="36" customWidth="1"/>
  </cols>
  <sheetData>
    <row r="1" spans="1:14" s="69" customFormat="1" ht="32.4" customHeight="1" x14ac:dyDescent="0.3">
      <c r="A1" s="68" t="s">
        <v>3941</v>
      </c>
    </row>
    <row r="2" spans="1:14" s="12" customFormat="1" ht="18" x14ac:dyDescent="0.3">
      <c r="A2" s="17" t="s">
        <v>30</v>
      </c>
      <c r="B2" s="17" t="s">
        <v>3524</v>
      </c>
      <c r="C2" s="17" t="s">
        <v>3525</v>
      </c>
      <c r="D2" s="17" t="s">
        <v>3526</v>
      </c>
      <c r="E2" s="17" t="s">
        <v>3527</v>
      </c>
      <c r="F2" s="17" t="s">
        <v>2344</v>
      </c>
      <c r="G2" s="17" t="s">
        <v>3528</v>
      </c>
      <c r="H2" s="17" t="s">
        <v>2240</v>
      </c>
      <c r="I2" s="17" t="s">
        <v>2241</v>
      </c>
      <c r="J2" s="17" t="s">
        <v>2242</v>
      </c>
      <c r="K2" s="17" t="s">
        <v>2243</v>
      </c>
      <c r="L2" s="17" t="s">
        <v>3529</v>
      </c>
      <c r="M2" s="17" t="s">
        <v>2342</v>
      </c>
      <c r="N2" s="17" t="s">
        <v>2343</v>
      </c>
    </row>
    <row r="3" spans="1:14" ht="15.6" x14ac:dyDescent="0.3">
      <c r="A3" s="18" t="s">
        <v>1713</v>
      </c>
      <c r="B3" s="7">
        <v>1</v>
      </c>
      <c r="C3" s="7">
        <v>1</v>
      </c>
      <c r="D3" s="18" t="s">
        <v>2244</v>
      </c>
      <c r="E3" s="7">
        <v>27000000</v>
      </c>
      <c r="F3" s="7">
        <f>E3</f>
        <v>27000000</v>
      </c>
      <c r="G3" s="7">
        <v>45000</v>
      </c>
      <c r="H3" s="7" t="s">
        <v>2245</v>
      </c>
      <c r="I3" s="18" t="s">
        <v>1801</v>
      </c>
      <c r="J3" s="18" t="s">
        <v>1802</v>
      </c>
      <c r="K3" s="3">
        <v>178</v>
      </c>
      <c r="L3" s="7" t="s">
        <v>2246</v>
      </c>
      <c r="M3" s="7">
        <f>IFERROR(K3/1000,"ND")</f>
        <v>0.17799999999999999</v>
      </c>
      <c r="N3" s="7">
        <f t="shared" ref="N3:N66" si="0">IFERROR((M3*F3)/G3,"ND")</f>
        <v>106.8</v>
      </c>
    </row>
    <row r="4" spans="1:14" ht="15.6" x14ac:dyDescent="0.3">
      <c r="A4" s="18" t="s">
        <v>1713</v>
      </c>
      <c r="B4" s="7">
        <v>1</v>
      </c>
      <c r="C4" s="7">
        <v>2</v>
      </c>
      <c r="D4" s="18" t="s">
        <v>2247</v>
      </c>
      <c r="E4" s="7">
        <v>2000000</v>
      </c>
      <c r="F4" s="7">
        <f t="shared" ref="F4:F40" si="1">E4</f>
        <v>2000000</v>
      </c>
      <c r="G4" s="7">
        <v>4000</v>
      </c>
      <c r="H4" s="7" t="s">
        <v>2245</v>
      </c>
      <c r="I4" s="18" t="s">
        <v>1801</v>
      </c>
      <c r="J4" s="18" t="s">
        <v>1802</v>
      </c>
      <c r="K4" s="3">
        <v>193</v>
      </c>
      <c r="L4" s="7" t="s">
        <v>2246</v>
      </c>
      <c r="M4" s="7">
        <f t="shared" ref="M4:M40" si="2">IFERROR(K4/1000,"ND")</f>
        <v>0.193</v>
      </c>
      <c r="N4" s="7">
        <f t="shared" si="0"/>
        <v>96.5</v>
      </c>
    </row>
    <row r="5" spans="1:14" ht="15.6" x14ac:dyDescent="0.3">
      <c r="A5" s="18" t="s">
        <v>1714</v>
      </c>
      <c r="B5" s="7">
        <v>1</v>
      </c>
      <c r="C5" s="7">
        <v>2</v>
      </c>
      <c r="D5" s="18" t="s">
        <v>2247</v>
      </c>
      <c r="E5" s="7">
        <v>2000000</v>
      </c>
      <c r="F5" s="7">
        <f t="shared" si="1"/>
        <v>2000000</v>
      </c>
      <c r="G5" s="7">
        <v>4000</v>
      </c>
      <c r="H5" s="7" t="s">
        <v>2245</v>
      </c>
      <c r="I5" s="18" t="s">
        <v>1801</v>
      </c>
      <c r="J5" s="18" t="s">
        <v>1802</v>
      </c>
      <c r="K5" s="3">
        <v>320</v>
      </c>
      <c r="L5" s="7" t="s">
        <v>2246</v>
      </c>
      <c r="M5" s="7">
        <f t="shared" si="2"/>
        <v>0.32</v>
      </c>
      <c r="N5" s="7">
        <f t="shared" si="0"/>
        <v>160</v>
      </c>
    </row>
    <row r="6" spans="1:14" ht="15.6" x14ac:dyDescent="0.3">
      <c r="A6" s="18" t="s">
        <v>1714</v>
      </c>
      <c r="B6" s="7">
        <v>1</v>
      </c>
      <c r="C6" s="7">
        <v>1</v>
      </c>
      <c r="D6" s="18" t="s">
        <v>2244</v>
      </c>
      <c r="E6" s="7">
        <v>27000000</v>
      </c>
      <c r="F6" s="7">
        <f t="shared" si="1"/>
        <v>27000000</v>
      </c>
      <c r="G6" s="7">
        <v>45000</v>
      </c>
      <c r="H6" s="7" t="s">
        <v>2245</v>
      </c>
      <c r="I6" s="18" t="s">
        <v>1801</v>
      </c>
      <c r="J6" s="18" t="s">
        <v>1802</v>
      </c>
      <c r="K6" s="3">
        <v>529</v>
      </c>
      <c r="L6" s="7" t="s">
        <v>2246</v>
      </c>
      <c r="M6" s="7">
        <f t="shared" si="2"/>
        <v>0.52900000000000003</v>
      </c>
      <c r="N6" s="7">
        <f t="shared" si="0"/>
        <v>317.39999999999998</v>
      </c>
    </row>
    <row r="7" spans="1:14" ht="15.6" x14ac:dyDescent="0.3">
      <c r="A7" s="18" t="s">
        <v>1715</v>
      </c>
      <c r="B7" s="7">
        <v>1</v>
      </c>
      <c r="C7" s="7">
        <v>2</v>
      </c>
      <c r="D7" s="18" t="s">
        <v>2247</v>
      </c>
      <c r="E7" s="7">
        <v>2000000</v>
      </c>
      <c r="F7" s="7">
        <f t="shared" si="1"/>
        <v>2000000</v>
      </c>
      <c r="G7" s="7">
        <v>4000</v>
      </c>
      <c r="H7" s="7" t="s">
        <v>2245</v>
      </c>
      <c r="I7" s="18" t="s">
        <v>1801</v>
      </c>
      <c r="J7" s="18" t="s">
        <v>1802</v>
      </c>
      <c r="K7" s="3">
        <v>114</v>
      </c>
      <c r="L7" s="7" t="s">
        <v>2246</v>
      </c>
      <c r="M7" s="7">
        <f t="shared" si="2"/>
        <v>0.114</v>
      </c>
      <c r="N7" s="7">
        <f t="shared" si="0"/>
        <v>57</v>
      </c>
    </row>
    <row r="8" spans="1:14" ht="15.6" x14ac:dyDescent="0.3">
      <c r="A8" s="18" t="s">
        <v>1715</v>
      </c>
      <c r="B8" s="7">
        <v>1</v>
      </c>
      <c r="C8" s="7">
        <v>1</v>
      </c>
      <c r="D8" s="18" t="s">
        <v>2244</v>
      </c>
      <c r="E8" s="7">
        <v>27000000</v>
      </c>
      <c r="F8" s="7">
        <f t="shared" si="1"/>
        <v>27000000</v>
      </c>
      <c r="G8" s="7">
        <v>45000</v>
      </c>
      <c r="H8" s="7" t="s">
        <v>2245</v>
      </c>
      <c r="I8" s="18" t="s">
        <v>1801</v>
      </c>
      <c r="J8" s="18" t="s">
        <v>1802</v>
      </c>
      <c r="K8" s="3">
        <v>29</v>
      </c>
      <c r="L8" s="7" t="s">
        <v>2246</v>
      </c>
      <c r="M8" s="7">
        <f t="shared" si="2"/>
        <v>2.9000000000000001E-2</v>
      </c>
      <c r="N8" s="7">
        <f t="shared" si="0"/>
        <v>17.399999999999999</v>
      </c>
    </row>
    <row r="9" spans="1:14" ht="15.6" x14ac:dyDescent="0.3">
      <c r="A9" s="18" t="s">
        <v>1717</v>
      </c>
      <c r="B9" s="7">
        <v>1</v>
      </c>
      <c r="C9" s="7">
        <v>2</v>
      </c>
      <c r="D9" s="18" t="s">
        <v>2247</v>
      </c>
      <c r="E9" s="7">
        <v>2000000</v>
      </c>
      <c r="F9" s="7">
        <f t="shared" si="1"/>
        <v>2000000</v>
      </c>
      <c r="G9" s="7">
        <v>4000</v>
      </c>
      <c r="H9" s="7" t="s">
        <v>2245</v>
      </c>
      <c r="I9" s="18" t="s">
        <v>1801</v>
      </c>
      <c r="J9" s="18" t="s">
        <v>1802</v>
      </c>
      <c r="K9" s="3">
        <v>49</v>
      </c>
      <c r="L9" s="7" t="s">
        <v>2246</v>
      </c>
      <c r="M9" s="7">
        <f t="shared" si="2"/>
        <v>4.9000000000000002E-2</v>
      </c>
      <c r="N9" s="7">
        <f t="shared" si="0"/>
        <v>24.5</v>
      </c>
    </row>
    <row r="10" spans="1:14" ht="15.6" x14ac:dyDescent="0.3">
      <c r="A10" s="18" t="s">
        <v>1717</v>
      </c>
      <c r="B10" s="7">
        <v>1</v>
      </c>
      <c r="C10" s="7">
        <v>1</v>
      </c>
      <c r="D10" s="18" t="s">
        <v>2244</v>
      </c>
      <c r="E10" s="7">
        <v>27000000</v>
      </c>
      <c r="F10" s="7">
        <f t="shared" si="1"/>
        <v>27000000</v>
      </c>
      <c r="G10" s="7">
        <v>45000</v>
      </c>
      <c r="H10" s="7" t="s">
        <v>2245</v>
      </c>
      <c r="I10" s="18" t="s">
        <v>1801</v>
      </c>
      <c r="J10" s="18" t="s">
        <v>1802</v>
      </c>
      <c r="K10" s="3">
        <v>36.200000000000003</v>
      </c>
      <c r="L10" s="7" t="s">
        <v>2246</v>
      </c>
      <c r="M10" s="7">
        <f t="shared" si="2"/>
        <v>3.6200000000000003E-2</v>
      </c>
      <c r="N10" s="7">
        <f t="shared" si="0"/>
        <v>21.720000000000002</v>
      </c>
    </row>
    <row r="11" spans="1:14" ht="15.6" x14ac:dyDescent="0.3">
      <c r="A11" s="18" t="s">
        <v>1718</v>
      </c>
      <c r="B11" s="7">
        <v>1</v>
      </c>
      <c r="C11" s="7">
        <v>2</v>
      </c>
      <c r="D11" s="18" t="s">
        <v>2247</v>
      </c>
      <c r="E11" s="7">
        <v>2000000</v>
      </c>
      <c r="F11" s="7">
        <f t="shared" si="1"/>
        <v>2000000</v>
      </c>
      <c r="G11" s="7">
        <v>4000</v>
      </c>
      <c r="H11" s="7" t="s">
        <v>2245</v>
      </c>
      <c r="I11" s="18" t="s">
        <v>1801</v>
      </c>
      <c r="J11" s="18" t="s">
        <v>1802</v>
      </c>
      <c r="K11" s="3">
        <v>86</v>
      </c>
      <c r="L11" s="7" t="s">
        <v>2246</v>
      </c>
      <c r="M11" s="7">
        <f t="shared" si="2"/>
        <v>8.5999999999999993E-2</v>
      </c>
      <c r="N11" s="7">
        <f t="shared" si="0"/>
        <v>43</v>
      </c>
    </row>
    <row r="12" spans="1:14" ht="15.6" x14ac:dyDescent="0.3">
      <c r="A12" s="18" t="s">
        <v>1718</v>
      </c>
      <c r="B12" s="7">
        <v>1</v>
      </c>
      <c r="C12" s="7">
        <v>1</v>
      </c>
      <c r="D12" s="18" t="s">
        <v>2244</v>
      </c>
      <c r="E12" s="7">
        <v>27000000</v>
      </c>
      <c r="F12" s="7">
        <f t="shared" si="1"/>
        <v>27000000</v>
      </c>
      <c r="G12" s="7">
        <v>45000</v>
      </c>
      <c r="H12" s="7" t="s">
        <v>2245</v>
      </c>
      <c r="I12" s="18" t="s">
        <v>1801</v>
      </c>
      <c r="J12" s="18" t="s">
        <v>1802</v>
      </c>
      <c r="K12" s="3">
        <v>47</v>
      </c>
      <c r="L12" s="7" t="s">
        <v>2246</v>
      </c>
      <c r="M12" s="7">
        <f t="shared" si="2"/>
        <v>4.7E-2</v>
      </c>
      <c r="N12" s="7">
        <f t="shared" si="0"/>
        <v>28.2</v>
      </c>
    </row>
    <row r="13" spans="1:14" ht="15.6" x14ac:dyDescent="0.3">
      <c r="A13" s="18" t="s">
        <v>1719</v>
      </c>
      <c r="B13" s="7">
        <v>1</v>
      </c>
      <c r="C13" s="7">
        <v>2</v>
      </c>
      <c r="D13" s="18" t="s">
        <v>2247</v>
      </c>
      <c r="E13" s="7">
        <v>2000000</v>
      </c>
      <c r="F13" s="7">
        <f t="shared" si="1"/>
        <v>2000000</v>
      </c>
      <c r="G13" s="7">
        <v>4000</v>
      </c>
      <c r="H13" s="7" t="s">
        <v>2245</v>
      </c>
      <c r="I13" s="18" t="s">
        <v>1801</v>
      </c>
      <c r="J13" s="18" t="s">
        <v>1802</v>
      </c>
      <c r="K13" s="3">
        <v>1357</v>
      </c>
      <c r="L13" s="7" t="s">
        <v>2246</v>
      </c>
      <c r="M13" s="7">
        <f t="shared" si="2"/>
        <v>1.357</v>
      </c>
      <c r="N13" s="7">
        <f t="shared" si="0"/>
        <v>678.5</v>
      </c>
    </row>
    <row r="14" spans="1:14" ht="15.6" x14ac:dyDescent="0.3">
      <c r="A14" s="18" t="s">
        <v>1719</v>
      </c>
      <c r="B14" s="7">
        <v>1</v>
      </c>
      <c r="C14" s="7">
        <v>1</v>
      </c>
      <c r="D14" s="18" t="s">
        <v>2244</v>
      </c>
      <c r="E14" s="7">
        <v>27000000</v>
      </c>
      <c r="F14" s="7">
        <f t="shared" si="1"/>
        <v>27000000</v>
      </c>
      <c r="G14" s="7">
        <v>45000</v>
      </c>
      <c r="H14" s="7" t="s">
        <v>2245</v>
      </c>
      <c r="I14" s="18" t="s">
        <v>1801</v>
      </c>
      <c r="J14" s="18" t="s">
        <v>1802</v>
      </c>
      <c r="K14" s="3">
        <v>674</v>
      </c>
      <c r="L14" s="7" t="s">
        <v>2246</v>
      </c>
      <c r="M14" s="7">
        <f t="shared" si="2"/>
        <v>0.67400000000000004</v>
      </c>
      <c r="N14" s="7">
        <f t="shared" si="0"/>
        <v>404.4</v>
      </c>
    </row>
    <row r="15" spans="1:14" ht="15.6" x14ac:dyDescent="0.3">
      <c r="A15" s="18" t="s">
        <v>1720</v>
      </c>
      <c r="B15" s="7">
        <v>1</v>
      </c>
      <c r="C15" s="7">
        <v>2</v>
      </c>
      <c r="D15" s="18" t="s">
        <v>2247</v>
      </c>
      <c r="E15" s="7">
        <v>2000000</v>
      </c>
      <c r="F15" s="7">
        <f t="shared" si="1"/>
        <v>2000000</v>
      </c>
      <c r="G15" s="7">
        <v>4000</v>
      </c>
      <c r="H15" s="7" t="s">
        <v>2245</v>
      </c>
      <c r="I15" s="18" t="s">
        <v>1801</v>
      </c>
      <c r="J15" s="18" t="s">
        <v>1802</v>
      </c>
      <c r="K15" s="3">
        <v>66</v>
      </c>
      <c r="L15" s="7" t="s">
        <v>2246</v>
      </c>
      <c r="M15" s="7">
        <f t="shared" si="2"/>
        <v>6.6000000000000003E-2</v>
      </c>
      <c r="N15" s="7">
        <f t="shared" si="0"/>
        <v>33</v>
      </c>
    </row>
    <row r="16" spans="1:14" ht="15.6" x14ac:dyDescent="0.3">
      <c r="A16" s="18" t="s">
        <v>1720</v>
      </c>
      <c r="B16" s="7">
        <v>1</v>
      </c>
      <c r="C16" s="7">
        <v>1</v>
      </c>
      <c r="D16" s="18" t="s">
        <v>2244</v>
      </c>
      <c r="E16" s="7">
        <v>27000000</v>
      </c>
      <c r="F16" s="7">
        <f t="shared" si="1"/>
        <v>27000000</v>
      </c>
      <c r="G16" s="7">
        <v>45000</v>
      </c>
      <c r="H16" s="7" t="s">
        <v>2245</v>
      </c>
      <c r="I16" s="18" t="s">
        <v>1801</v>
      </c>
      <c r="J16" s="18" t="s">
        <v>1802</v>
      </c>
      <c r="K16" s="3">
        <v>15.2</v>
      </c>
      <c r="L16" s="7" t="s">
        <v>2246</v>
      </c>
      <c r="M16" s="7">
        <f t="shared" si="2"/>
        <v>1.52E-2</v>
      </c>
      <c r="N16" s="7">
        <f t="shared" si="0"/>
        <v>9.1199999999999992</v>
      </c>
    </row>
    <row r="17" spans="1:14" ht="15.6" x14ac:dyDescent="0.3">
      <c r="A17" s="18" t="s">
        <v>1721</v>
      </c>
      <c r="B17" s="7">
        <v>1</v>
      </c>
      <c r="C17" s="7">
        <v>2</v>
      </c>
      <c r="D17" s="18" t="s">
        <v>2247</v>
      </c>
      <c r="E17" s="7">
        <v>2000000</v>
      </c>
      <c r="F17" s="7">
        <f t="shared" si="1"/>
        <v>2000000</v>
      </c>
      <c r="G17" s="7">
        <v>4000</v>
      </c>
      <c r="H17" s="7" t="s">
        <v>2245</v>
      </c>
      <c r="I17" s="18" t="s">
        <v>1801</v>
      </c>
      <c r="J17" s="18" t="s">
        <v>1802</v>
      </c>
      <c r="K17" s="3" t="s">
        <v>1716</v>
      </c>
      <c r="L17" s="7" t="s">
        <v>2246</v>
      </c>
      <c r="M17" s="7" t="str">
        <f t="shared" si="2"/>
        <v>ND</v>
      </c>
      <c r="N17" s="7" t="str">
        <f t="shared" si="0"/>
        <v>ND</v>
      </c>
    </row>
    <row r="18" spans="1:14" ht="15.6" x14ac:dyDescent="0.3">
      <c r="A18" s="18" t="s">
        <v>1721</v>
      </c>
      <c r="B18" s="7">
        <v>1</v>
      </c>
      <c r="C18" s="7">
        <v>1</v>
      </c>
      <c r="D18" s="18" t="s">
        <v>2244</v>
      </c>
      <c r="E18" s="7">
        <v>27000000</v>
      </c>
      <c r="F18" s="7">
        <f t="shared" si="1"/>
        <v>27000000</v>
      </c>
      <c r="G18" s="7">
        <v>45000</v>
      </c>
      <c r="H18" s="7" t="s">
        <v>2245</v>
      </c>
      <c r="I18" s="18" t="s">
        <v>1801</v>
      </c>
      <c r="J18" s="18" t="s">
        <v>1802</v>
      </c>
      <c r="K18" s="3" t="s">
        <v>1716</v>
      </c>
      <c r="L18" s="7" t="s">
        <v>2246</v>
      </c>
      <c r="M18" s="7" t="str">
        <f t="shared" si="2"/>
        <v>ND</v>
      </c>
      <c r="N18" s="7" t="str">
        <f t="shared" si="0"/>
        <v>ND</v>
      </c>
    </row>
    <row r="19" spans="1:14" ht="15.6" x14ac:dyDescent="0.3">
      <c r="A19" s="18" t="s">
        <v>1722</v>
      </c>
      <c r="B19" s="7">
        <v>1</v>
      </c>
      <c r="C19" s="7">
        <v>2</v>
      </c>
      <c r="D19" s="18" t="s">
        <v>2247</v>
      </c>
      <c r="E19" s="7">
        <v>2000000</v>
      </c>
      <c r="F19" s="7">
        <f t="shared" si="1"/>
        <v>2000000</v>
      </c>
      <c r="G19" s="7">
        <v>4000</v>
      </c>
      <c r="H19" s="7" t="s">
        <v>2245</v>
      </c>
      <c r="I19" s="18" t="s">
        <v>1801</v>
      </c>
      <c r="J19" s="18" t="s">
        <v>1802</v>
      </c>
      <c r="K19" s="3" t="s">
        <v>1716</v>
      </c>
      <c r="L19" s="7" t="s">
        <v>2246</v>
      </c>
      <c r="M19" s="7" t="str">
        <f t="shared" si="2"/>
        <v>ND</v>
      </c>
      <c r="N19" s="7" t="str">
        <f t="shared" si="0"/>
        <v>ND</v>
      </c>
    </row>
    <row r="20" spans="1:14" ht="15.6" x14ac:dyDescent="0.3">
      <c r="A20" s="18" t="s">
        <v>1722</v>
      </c>
      <c r="B20" s="7">
        <v>1</v>
      </c>
      <c r="C20" s="7">
        <v>1</v>
      </c>
      <c r="D20" s="18" t="s">
        <v>2244</v>
      </c>
      <c r="E20" s="7">
        <v>27000000</v>
      </c>
      <c r="F20" s="7">
        <f t="shared" si="1"/>
        <v>27000000</v>
      </c>
      <c r="G20" s="7">
        <v>45000</v>
      </c>
      <c r="H20" s="7" t="s">
        <v>2245</v>
      </c>
      <c r="I20" s="18" t="s">
        <v>1801</v>
      </c>
      <c r="J20" s="18" t="s">
        <v>1802</v>
      </c>
      <c r="K20" s="3" t="s">
        <v>1716</v>
      </c>
      <c r="L20" s="7" t="s">
        <v>2246</v>
      </c>
      <c r="M20" s="7" t="str">
        <f t="shared" si="2"/>
        <v>ND</v>
      </c>
      <c r="N20" s="7" t="str">
        <f t="shared" si="0"/>
        <v>ND</v>
      </c>
    </row>
    <row r="21" spans="1:14" ht="15.6" x14ac:dyDescent="0.3">
      <c r="A21" s="18" t="s">
        <v>1723</v>
      </c>
      <c r="B21" s="7">
        <v>1</v>
      </c>
      <c r="C21" s="7">
        <v>2</v>
      </c>
      <c r="D21" s="18" t="s">
        <v>2247</v>
      </c>
      <c r="E21" s="7">
        <v>2000000</v>
      </c>
      <c r="F21" s="7">
        <f t="shared" si="1"/>
        <v>2000000</v>
      </c>
      <c r="G21" s="7">
        <v>4000</v>
      </c>
      <c r="H21" s="7" t="s">
        <v>2245</v>
      </c>
      <c r="I21" s="18" t="s">
        <v>1801</v>
      </c>
      <c r="J21" s="18" t="s">
        <v>1802</v>
      </c>
      <c r="K21" s="3">
        <v>32</v>
      </c>
      <c r="L21" s="7" t="s">
        <v>2246</v>
      </c>
      <c r="M21" s="7">
        <f t="shared" si="2"/>
        <v>3.2000000000000001E-2</v>
      </c>
      <c r="N21" s="7">
        <f t="shared" si="0"/>
        <v>16</v>
      </c>
    </row>
    <row r="22" spans="1:14" ht="15.6" x14ac:dyDescent="0.3">
      <c r="A22" s="18" t="s">
        <v>1723</v>
      </c>
      <c r="B22" s="7">
        <v>1</v>
      </c>
      <c r="C22" s="7">
        <v>1</v>
      </c>
      <c r="D22" s="18" t="s">
        <v>2244</v>
      </c>
      <c r="E22" s="7">
        <v>27000000</v>
      </c>
      <c r="F22" s="7">
        <f t="shared" si="1"/>
        <v>27000000</v>
      </c>
      <c r="G22" s="7">
        <v>45000</v>
      </c>
      <c r="H22" s="7" t="s">
        <v>2245</v>
      </c>
      <c r="I22" s="18" t="s">
        <v>1801</v>
      </c>
      <c r="J22" s="18" t="s">
        <v>1802</v>
      </c>
      <c r="K22" s="3">
        <v>34.1</v>
      </c>
      <c r="L22" s="7" t="s">
        <v>2246</v>
      </c>
      <c r="M22" s="7">
        <f t="shared" si="2"/>
        <v>3.4099999999999998E-2</v>
      </c>
      <c r="N22" s="7">
        <f t="shared" si="0"/>
        <v>20.46</v>
      </c>
    </row>
    <row r="23" spans="1:14" ht="15.6" x14ac:dyDescent="0.3">
      <c r="A23" s="18" t="s">
        <v>1724</v>
      </c>
      <c r="B23" s="7">
        <v>1</v>
      </c>
      <c r="C23" s="7">
        <v>2</v>
      </c>
      <c r="D23" s="18" t="s">
        <v>2247</v>
      </c>
      <c r="E23" s="7">
        <v>2000000</v>
      </c>
      <c r="F23" s="7">
        <f t="shared" si="1"/>
        <v>2000000</v>
      </c>
      <c r="G23" s="7">
        <v>4000</v>
      </c>
      <c r="H23" s="7" t="s">
        <v>2245</v>
      </c>
      <c r="I23" s="18" t="s">
        <v>1801</v>
      </c>
      <c r="J23" s="18" t="s">
        <v>1802</v>
      </c>
      <c r="K23" s="3">
        <v>36</v>
      </c>
      <c r="L23" s="7" t="s">
        <v>2246</v>
      </c>
      <c r="M23" s="7">
        <f t="shared" si="2"/>
        <v>3.5999999999999997E-2</v>
      </c>
      <c r="N23" s="7">
        <f t="shared" si="0"/>
        <v>18</v>
      </c>
    </row>
    <row r="24" spans="1:14" ht="15.6" x14ac:dyDescent="0.3">
      <c r="A24" s="18" t="s">
        <v>1724</v>
      </c>
      <c r="B24" s="7">
        <v>1</v>
      </c>
      <c r="C24" s="7">
        <v>1</v>
      </c>
      <c r="D24" s="18" t="s">
        <v>2244</v>
      </c>
      <c r="E24" s="7">
        <v>27000000</v>
      </c>
      <c r="F24" s="7">
        <f t="shared" si="1"/>
        <v>27000000</v>
      </c>
      <c r="G24" s="7">
        <v>45000</v>
      </c>
      <c r="H24" s="7" t="s">
        <v>2245</v>
      </c>
      <c r="I24" s="18" t="s">
        <v>1801</v>
      </c>
      <c r="J24" s="18" t="s">
        <v>1802</v>
      </c>
      <c r="K24" s="3">
        <v>15.6</v>
      </c>
      <c r="L24" s="7" t="s">
        <v>2246</v>
      </c>
      <c r="M24" s="7">
        <f t="shared" si="2"/>
        <v>1.5599999999999999E-2</v>
      </c>
      <c r="N24" s="7">
        <f t="shared" si="0"/>
        <v>9.36</v>
      </c>
    </row>
    <row r="25" spans="1:14" ht="15.6" x14ac:dyDescent="0.3">
      <c r="A25" s="18" t="s">
        <v>1725</v>
      </c>
      <c r="B25" s="7">
        <v>1</v>
      </c>
      <c r="C25" s="7">
        <v>2</v>
      </c>
      <c r="D25" s="18" t="s">
        <v>2247</v>
      </c>
      <c r="E25" s="7">
        <v>2000000</v>
      </c>
      <c r="F25" s="7">
        <f t="shared" si="1"/>
        <v>2000000</v>
      </c>
      <c r="G25" s="7">
        <v>4000</v>
      </c>
      <c r="H25" s="7" t="s">
        <v>2245</v>
      </c>
      <c r="I25" s="18" t="s">
        <v>1801</v>
      </c>
      <c r="J25" s="18" t="s">
        <v>1802</v>
      </c>
      <c r="K25" s="3">
        <v>30</v>
      </c>
      <c r="L25" s="7" t="s">
        <v>2246</v>
      </c>
      <c r="M25" s="7">
        <f t="shared" si="2"/>
        <v>0.03</v>
      </c>
      <c r="N25" s="7">
        <f t="shared" si="0"/>
        <v>15</v>
      </c>
    </row>
    <row r="26" spans="1:14" ht="15.6" x14ac:dyDescent="0.3">
      <c r="A26" s="18" t="s">
        <v>1725</v>
      </c>
      <c r="B26" s="7">
        <v>1</v>
      </c>
      <c r="C26" s="7">
        <v>1</v>
      </c>
      <c r="D26" s="18" t="s">
        <v>2244</v>
      </c>
      <c r="E26" s="7">
        <v>27000000</v>
      </c>
      <c r="F26" s="7">
        <f t="shared" si="1"/>
        <v>27000000</v>
      </c>
      <c r="G26" s="7">
        <v>45000</v>
      </c>
      <c r="H26" s="7" t="s">
        <v>2245</v>
      </c>
      <c r="I26" s="18" t="s">
        <v>1801</v>
      </c>
      <c r="J26" s="18" t="s">
        <v>1802</v>
      </c>
      <c r="K26" s="3">
        <v>12</v>
      </c>
      <c r="L26" s="7" t="s">
        <v>2246</v>
      </c>
      <c r="M26" s="7">
        <f t="shared" si="2"/>
        <v>1.2E-2</v>
      </c>
      <c r="N26" s="7">
        <f t="shared" si="0"/>
        <v>7.2</v>
      </c>
    </row>
    <row r="27" spans="1:14" ht="15.6" x14ac:dyDescent="0.3">
      <c r="A27" s="18" t="s">
        <v>1996</v>
      </c>
      <c r="B27" s="7">
        <v>1</v>
      </c>
      <c r="C27" s="7">
        <v>2</v>
      </c>
      <c r="D27" s="18" t="s">
        <v>2247</v>
      </c>
      <c r="E27" s="7">
        <v>2000000</v>
      </c>
      <c r="F27" s="7">
        <f t="shared" si="1"/>
        <v>2000000</v>
      </c>
      <c r="G27" s="7">
        <v>4000</v>
      </c>
      <c r="H27" s="7" t="s">
        <v>2245</v>
      </c>
      <c r="I27" s="18" t="s">
        <v>1801</v>
      </c>
      <c r="J27" s="18" t="s">
        <v>1802</v>
      </c>
      <c r="K27" s="3" t="s">
        <v>1716</v>
      </c>
      <c r="L27" s="7" t="s">
        <v>2246</v>
      </c>
      <c r="M27" s="7" t="str">
        <f t="shared" si="2"/>
        <v>ND</v>
      </c>
      <c r="N27" s="7" t="str">
        <f t="shared" si="0"/>
        <v>ND</v>
      </c>
    </row>
    <row r="28" spans="1:14" ht="15.6" x14ac:dyDescent="0.3">
      <c r="A28" s="18" t="s">
        <v>1996</v>
      </c>
      <c r="B28" s="7">
        <v>1</v>
      </c>
      <c r="C28" s="7">
        <v>1</v>
      </c>
      <c r="D28" s="18" t="s">
        <v>2244</v>
      </c>
      <c r="E28" s="7">
        <v>27000000</v>
      </c>
      <c r="F28" s="7">
        <f t="shared" si="1"/>
        <v>27000000</v>
      </c>
      <c r="G28" s="7">
        <v>45000</v>
      </c>
      <c r="H28" s="7" t="s">
        <v>2245</v>
      </c>
      <c r="I28" s="18" t="s">
        <v>1801</v>
      </c>
      <c r="J28" s="18" t="s">
        <v>1802</v>
      </c>
      <c r="K28" s="3" t="s">
        <v>1716</v>
      </c>
      <c r="L28" s="7" t="s">
        <v>2246</v>
      </c>
      <c r="M28" s="7" t="str">
        <f t="shared" si="2"/>
        <v>ND</v>
      </c>
      <c r="N28" s="7" t="str">
        <f t="shared" si="0"/>
        <v>ND</v>
      </c>
    </row>
    <row r="29" spans="1:14" ht="15.6" x14ac:dyDescent="0.3">
      <c r="A29" s="18" t="s">
        <v>1726</v>
      </c>
      <c r="B29" s="7">
        <v>1</v>
      </c>
      <c r="C29" s="7">
        <v>2</v>
      </c>
      <c r="D29" s="18" t="s">
        <v>2247</v>
      </c>
      <c r="E29" s="7">
        <v>2000000</v>
      </c>
      <c r="F29" s="7">
        <f t="shared" si="1"/>
        <v>2000000</v>
      </c>
      <c r="G29" s="7">
        <v>4000</v>
      </c>
      <c r="H29" s="7" t="s">
        <v>2245</v>
      </c>
      <c r="I29" s="18" t="s">
        <v>1801</v>
      </c>
      <c r="J29" s="18" t="s">
        <v>1802</v>
      </c>
      <c r="K29" s="3">
        <v>991</v>
      </c>
      <c r="L29" s="7" t="s">
        <v>2246</v>
      </c>
      <c r="M29" s="7">
        <f t="shared" si="2"/>
        <v>0.99099999999999999</v>
      </c>
      <c r="N29" s="7">
        <f t="shared" si="0"/>
        <v>495.5</v>
      </c>
    </row>
    <row r="30" spans="1:14" ht="15.6" x14ac:dyDescent="0.3">
      <c r="A30" s="18" t="s">
        <v>1726</v>
      </c>
      <c r="B30" s="7">
        <v>1</v>
      </c>
      <c r="C30" s="7">
        <v>1</v>
      </c>
      <c r="D30" s="18" t="s">
        <v>2244</v>
      </c>
      <c r="E30" s="7">
        <v>27000000</v>
      </c>
      <c r="F30" s="7">
        <f t="shared" si="1"/>
        <v>27000000</v>
      </c>
      <c r="G30" s="7">
        <v>45000</v>
      </c>
      <c r="H30" s="7" t="s">
        <v>2245</v>
      </c>
      <c r="I30" s="18" t="s">
        <v>1801</v>
      </c>
      <c r="J30" s="18" t="s">
        <v>1802</v>
      </c>
      <c r="K30" s="3">
        <v>530</v>
      </c>
      <c r="L30" s="7" t="s">
        <v>2246</v>
      </c>
      <c r="M30" s="7">
        <f t="shared" si="2"/>
        <v>0.53</v>
      </c>
      <c r="N30" s="7">
        <f t="shared" si="0"/>
        <v>318</v>
      </c>
    </row>
    <row r="31" spans="1:14" ht="15.6" x14ac:dyDescent="0.3">
      <c r="A31" s="18" t="s">
        <v>1727</v>
      </c>
      <c r="B31" s="7">
        <v>1</v>
      </c>
      <c r="C31" s="7">
        <v>2</v>
      </c>
      <c r="D31" s="18" t="s">
        <v>2247</v>
      </c>
      <c r="E31" s="7">
        <v>2000000</v>
      </c>
      <c r="F31" s="7">
        <f t="shared" si="1"/>
        <v>2000000</v>
      </c>
      <c r="G31" s="7">
        <v>4000</v>
      </c>
      <c r="H31" s="7" t="s">
        <v>2245</v>
      </c>
      <c r="I31" s="18" t="s">
        <v>1801</v>
      </c>
      <c r="J31" s="18" t="s">
        <v>1802</v>
      </c>
      <c r="K31" s="3" t="s">
        <v>1716</v>
      </c>
      <c r="L31" s="7" t="s">
        <v>2246</v>
      </c>
      <c r="M31" s="7" t="str">
        <f t="shared" si="2"/>
        <v>ND</v>
      </c>
      <c r="N31" s="7" t="str">
        <f t="shared" si="0"/>
        <v>ND</v>
      </c>
    </row>
    <row r="32" spans="1:14" ht="15.6" x14ac:dyDescent="0.3">
      <c r="A32" s="18" t="s">
        <v>1727</v>
      </c>
      <c r="B32" s="7">
        <v>1</v>
      </c>
      <c r="C32" s="7">
        <v>1</v>
      </c>
      <c r="D32" s="18" t="s">
        <v>2244</v>
      </c>
      <c r="E32" s="7">
        <v>27000000</v>
      </c>
      <c r="F32" s="7">
        <f t="shared" si="1"/>
        <v>27000000</v>
      </c>
      <c r="G32" s="7">
        <v>45000</v>
      </c>
      <c r="H32" s="7" t="s">
        <v>2245</v>
      </c>
      <c r="I32" s="18" t="s">
        <v>1801</v>
      </c>
      <c r="J32" s="18" t="s">
        <v>1802</v>
      </c>
      <c r="K32" s="3" t="s">
        <v>1716</v>
      </c>
      <c r="L32" s="7" t="s">
        <v>2246</v>
      </c>
      <c r="M32" s="7" t="str">
        <f t="shared" si="2"/>
        <v>ND</v>
      </c>
      <c r="N32" s="7" t="str">
        <f t="shared" si="0"/>
        <v>ND</v>
      </c>
    </row>
    <row r="33" spans="1:14" ht="15.6" x14ac:dyDescent="0.3">
      <c r="A33" s="18" t="s">
        <v>1728</v>
      </c>
      <c r="B33" s="7">
        <v>1</v>
      </c>
      <c r="C33" s="7">
        <v>2</v>
      </c>
      <c r="D33" s="18" t="s">
        <v>2247</v>
      </c>
      <c r="E33" s="7">
        <v>2000000</v>
      </c>
      <c r="F33" s="7">
        <f t="shared" si="1"/>
        <v>2000000</v>
      </c>
      <c r="G33" s="7">
        <v>4000</v>
      </c>
      <c r="H33" s="7" t="s">
        <v>2245</v>
      </c>
      <c r="I33" s="18" t="s">
        <v>1801</v>
      </c>
      <c r="J33" s="18" t="s">
        <v>1802</v>
      </c>
      <c r="K33" s="3">
        <v>159</v>
      </c>
      <c r="L33" s="7" t="s">
        <v>2246</v>
      </c>
      <c r="M33" s="7">
        <f t="shared" si="2"/>
        <v>0.159</v>
      </c>
      <c r="N33" s="7">
        <f t="shared" si="0"/>
        <v>79.5</v>
      </c>
    </row>
    <row r="34" spans="1:14" ht="15.6" x14ac:dyDescent="0.3">
      <c r="A34" s="18" t="s">
        <v>1728</v>
      </c>
      <c r="B34" s="7">
        <v>1</v>
      </c>
      <c r="C34" s="7">
        <v>1</v>
      </c>
      <c r="D34" s="18" t="s">
        <v>2244</v>
      </c>
      <c r="E34" s="7">
        <v>27000000</v>
      </c>
      <c r="F34" s="7">
        <f t="shared" si="1"/>
        <v>27000000</v>
      </c>
      <c r="G34" s="7">
        <v>45000</v>
      </c>
      <c r="H34" s="7" t="s">
        <v>2245</v>
      </c>
      <c r="I34" s="18" t="s">
        <v>1801</v>
      </c>
      <c r="J34" s="18" t="s">
        <v>1802</v>
      </c>
      <c r="K34" s="3">
        <v>114</v>
      </c>
      <c r="L34" s="7" t="s">
        <v>2246</v>
      </c>
      <c r="M34" s="7">
        <f t="shared" si="2"/>
        <v>0.114</v>
      </c>
      <c r="N34" s="7">
        <f t="shared" si="0"/>
        <v>68.400000000000006</v>
      </c>
    </row>
    <row r="35" spans="1:14" ht="15.6" x14ac:dyDescent="0.3">
      <c r="A35" s="18" t="s">
        <v>1726</v>
      </c>
      <c r="B35" s="7">
        <v>1</v>
      </c>
      <c r="C35" s="7">
        <v>1</v>
      </c>
      <c r="D35" s="18" t="s">
        <v>2244</v>
      </c>
      <c r="E35" s="7">
        <v>27000000</v>
      </c>
      <c r="F35" s="7">
        <f t="shared" si="1"/>
        <v>27000000</v>
      </c>
      <c r="G35" s="7">
        <v>45000</v>
      </c>
      <c r="H35" s="7" t="s">
        <v>2245</v>
      </c>
      <c r="I35" s="18" t="s">
        <v>1801</v>
      </c>
      <c r="J35" s="18" t="s">
        <v>1803</v>
      </c>
      <c r="K35" s="3">
        <v>103</v>
      </c>
      <c r="L35" s="7" t="s">
        <v>2246</v>
      </c>
      <c r="M35" s="7">
        <f t="shared" si="2"/>
        <v>0.10299999999999999</v>
      </c>
      <c r="N35" s="7">
        <f t="shared" si="0"/>
        <v>61.8</v>
      </c>
    </row>
    <row r="36" spans="1:14" ht="15.6" x14ac:dyDescent="0.3">
      <c r="A36" s="18" t="s">
        <v>1713</v>
      </c>
      <c r="B36" s="7">
        <v>1</v>
      </c>
      <c r="C36" s="7">
        <v>1</v>
      </c>
      <c r="D36" s="18" t="s">
        <v>2244</v>
      </c>
      <c r="E36" s="7">
        <v>27000000</v>
      </c>
      <c r="F36" s="7">
        <f t="shared" si="1"/>
        <v>27000000</v>
      </c>
      <c r="G36" s="7">
        <v>45000</v>
      </c>
      <c r="H36" s="7" t="s">
        <v>2245</v>
      </c>
      <c r="I36" s="18" t="s">
        <v>1801</v>
      </c>
      <c r="J36" s="18" t="s">
        <v>1803</v>
      </c>
      <c r="K36" s="3">
        <v>35.299999999999997</v>
      </c>
      <c r="L36" s="7" t="s">
        <v>2246</v>
      </c>
      <c r="M36" s="7">
        <f t="shared" si="2"/>
        <v>3.5299999999999998E-2</v>
      </c>
      <c r="N36" s="7">
        <f t="shared" si="0"/>
        <v>21.18</v>
      </c>
    </row>
    <row r="37" spans="1:14" ht="15.6" x14ac:dyDescent="0.3">
      <c r="A37" s="18" t="s">
        <v>1714</v>
      </c>
      <c r="B37" s="7">
        <v>1</v>
      </c>
      <c r="C37" s="7">
        <v>1</v>
      </c>
      <c r="D37" s="18" t="s">
        <v>2244</v>
      </c>
      <c r="E37" s="7">
        <v>27000000</v>
      </c>
      <c r="F37" s="7">
        <f t="shared" si="1"/>
        <v>27000000</v>
      </c>
      <c r="G37" s="7">
        <v>45000</v>
      </c>
      <c r="H37" s="7" t="s">
        <v>2245</v>
      </c>
      <c r="I37" s="18" t="s">
        <v>1801</v>
      </c>
      <c r="J37" s="18" t="s">
        <v>1803</v>
      </c>
      <c r="K37" s="3">
        <v>19</v>
      </c>
      <c r="L37" s="7" t="s">
        <v>2246</v>
      </c>
      <c r="M37" s="7">
        <f t="shared" si="2"/>
        <v>1.9E-2</v>
      </c>
      <c r="N37" s="7">
        <f t="shared" si="0"/>
        <v>11.4</v>
      </c>
    </row>
    <row r="38" spans="1:14" ht="15.6" x14ac:dyDescent="0.3">
      <c r="A38" s="18" t="s">
        <v>1718</v>
      </c>
      <c r="B38" s="7">
        <v>1</v>
      </c>
      <c r="C38" s="7">
        <v>1</v>
      </c>
      <c r="D38" s="18" t="s">
        <v>2244</v>
      </c>
      <c r="E38" s="7">
        <v>27000000</v>
      </c>
      <c r="F38" s="7">
        <f t="shared" si="1"/>
        <v>27000000</v>
      </c>
      <c r="G38" s="7">
        <v>45000</v>
      </c>
      <c r="H38" s="7" t="s">
        <v>2245</v>
      </c>
      <c r="I38" s="18" t="s">
        <v>1801</v>
      </c>
      <c r="J38" s="18" t="s">
        <v>1803</v>
      </c>
      <c r="K38" s="3">
        <v>9.9</v>
      </c>
      <c r="L38" s="7" t="s">
        <v>2246</v>
      </c>
      <c r="M38" s="7">
        <f t="shared" si="2"/>
        <v>9.9000000000000008E-3</v>
      </c>
      <c r="N38" s="7">
        <f t="shared" si="0"/>
        <v>5.94</v>
      </c>
    </row>
    <row r="39" spans="1:14" ht="15.6" x14ac:dyDescent="0.3">
      <c r="A39" s="18" t="s">
        <v>1723</v>
      </c>
      <c r="B39" s="7">
        <v>1</v>
      </c>
      <c r="C39" s="7">
        <v>1</v>
      </c>
      <c r="D39" s="18" t="s">
        <v>2244</v>
      </c>
      <c r="E39" s="7">
        <v>27000000</v>
      </c>
      <c r="F39" s="7">
        <f t="shared" si="1"/>
        <v>27000000</v>
      </c>
      <c r="G39" s="7">
        <v>45000</v>
      </c>
      <c r="H39" s="7" t="s">
        <v>2245</v>
      </c>
      <c r="I39" s="18" t="s">
        <v>1801</v>
      </c>
      <c r="J39" s="18" t="s">
        <v>1803</v>
      </c>
      <c r="K39" s="3" t="s">
        <v>1716</v>
      </c>
      <c r="L39" s="7" t="s">
        <v>2246</v>
      </c>
      <c r="M39" s="7" t="str">
        <f t="shared" si="2"/>
        <v>ND</v>
      </c>
      <c r="N39" s="7" t="str">
        <f t="shared" si="0"/>
        <v>ND</v>
      </c>
    </row>
    <row r="40" spans="1:14" ht="15.6" x14ac:dyDescent="0.3">
      <c r="A40" s="18" t="s">
        <v>1719</v>
      </c>
      <c r="B40" s="7">
        <v>1</v>
      </c>
      <c r="C40" s="7">
        <v>1</v>
      </c>
      <c r="D40" s="18" t="s">
        <v>2244</v>
      </c>
      <c r="E40" s="7">
        <v>27000000</v>
      </c>
      <c r="F40" s="7">
        <f t="shared" si="1"/>
        <v>27000000</v>
      </c>
      <c r="G40" s="7">
        <v>45000</v>
      </c>
      <c r="H40" s="7" t="s">
        <v>2245</v>
      </c>
      <c r="I40" s="18" t="s">
        <v>1801</v>
      </c>
      <c r="J40" s="18" t="s">
        <v>1803</v>
      </c>
      <c r="K40" s="3">
        <v>303</v>
      </c>
      <c r="L40" s="7" t="s">
        <v>2246</v>
      </c>
      <c r="M40" s="7">
        <f t="shared" si="2"/>
        <v>0.30299999999999999</v>
      </c>
      <c r="N40" s="7">
        <f t="shared" si="0"/>
        <v>181.8</v>
      </c>
    </row>
    <row r="41" spans="1:14" ht="15.6" x14ac:dyDescent="0.3">
      <c r="A41" s="7" t="s">
        <v>1729</v>
      </c>
      <c r="B41" s="7">
        <v>2</v>
      </c>
      <c r="C41" s="7">
        <v>3</v>
      </c>
      <c r="D41" s="7">
        <v>4</v>
      </c>
      <c r="E41" s="7">
        <v>3350000</v>
      </c>
      <c r="F41" s="7">
        <f>E41*3.78541</f>
        <v>12681123.5</v>
      </c>
      <c r="G41" s="7">
        <f>F41/310.404</f>
        <v>40853.608523086041</v>
      </c>
      <c r="H41" s="7" t="s">
        <v>1804</v>
      </c>
      <c r="I41" s="18" t="s">
        <v>1805</v>
      </c>
      <c r="J41" s="18" t="s">
        <v>1802</v>
      </c>
      <c r="K41" s="7">
        <v>25662</v>
      </c>
      <c r="L41" s="7" t="s">
        <v>2246</v>
      </c>
      <c r="M41" s="7">
        <f>IFERROR(K41/1000,"ND")</f>
        <v>25.661999999999999</v>
      </c>
      <c r="N41" s="7">
        <f t="shared" si="0"/>
        <v>7965.5874479999993</v>
      </c>
    </row>
    <row r="42" spans="1:14" ht="15.6" x14ac:dyDescent="0.3">
      <c r="A42" s="7" t="s">
        <v>1730</v>
      </c>
      <c r="B42" s="7">
        <v>2</v>
      </c>
      <c r="C42" s="7">
        <v>3</v>
      </c>
      <c r="D42" s="7">
        <v>4</v>
      </c>
      <c r="E42" s="7">
        <v>3350000</v>
      </c>
      <c r="F42" s="7">
        <f t="shared" ref="F42:F105" si="3">E42*3.78541</f>
        <v>12681123.5</v>
      </c>
      <c r="G42" s="7">
        <f t="shared" ref="G42:G105" si="4">F42/310.404</f>
        <v>40853.608523086041</v>
      </c>
      <c r="H42" s="7" t="s">
        <v>1804</v>
      </c>
      <c r="I42" s="18" t="s">
        <v>1805</v>
      </c>
      <c r="J42" s="18" t="s">
        <v>1802</v>
      </c>
      <c r="K42" s="7">
        <v>24</v>
      </c>
      <c r="L42" s="7" t="s">
        <v>2246</v>
      </c>
      <c r="M42" s="7">
        <f t="shared" ref="M42:M105" si="5">IFERROR(K42/1000,"ND")</f>
        <v>2.4E-2</v>
      </c>
      <c r="N42" s="7">
        <f t="shared" si="0"/>
        <v>7.4496959999999994</v>
      </c>
    </row>
    <row r="43" spans="1:14" ht="15.6" x14ac:dyDescent="0.3">
      <c r="A43" s="7" t="s">
        <v>1731</v>
      </c>
      <c r="B43" s="7">
        <v>2</v>
      </c>
      <c r="C43" s="7">
        <v>3</v>
      </c>
      <c r="D43" s="7">
        <v>4</v>
      </c>
      <c r="E43" s="7">
        <v>3350000</v>
      </c>
      <c r="F43" s="7">
        <f t="shared" si="3"/>
        <v>12681123.5</v>
      </c>
      <c r="G43" s="7">
        <f t="shared" si="4"/>
        <v>40853.608523086041</v>
      </c>
      <c r="H43" s="7" t="s">
        <v>1804</v>
      </c>
      <c r="I43" s="18" t="s">
        <v>1805</v>
      </c>
      <c r="J43" s="18" t="s">
        <v>1802</v>
      </c>
      <c r="K43" s="7" t="s">
        <v>1716</v>
      </c>
      <c r="L43" s="7" t="s">
        <v>2246</v>
      </c>
      <c r="M43" s="7" t="str">
        <f t="shared" si="5"/>
        <v>ND</v>
      </c>
      <c r="N43" s="7" t="str">
        <f t="shared" si="0"/>
        <v>ND</v>
      </c>
    </row>
    <row r="44" spans="1:14" ht="15.6" x14ac:dyDescent="0.3">
      <c r="A44" s="7" t="s">
        <v>1732</v>
      </c>
      <c r="B44" s="7">
        <v>2</v>
      </c>
      <c r="C44" s="7">
        <v>3</v>
      </c>
      <c r="D44" s="7">
        <v>4</v>
      </c>
      <c r="E44" s="7">
        <v>3350000</v>
      </c>
      <c r="F44" s="7">
        <f t="shared" si="3"/>
        <v>12681123.5</v>
      </c>
      <c r="G44" s="7">
        <f t="shared" si="4"/>
        <v>40853.608523086041</v>
      </c>
      <c r="H44" s="7" t="s">
        <v>1804</v>
      </c>
      <c r="I44" s="18" t="s">
        <v>1805</v>
      </c>
      <c r="J44" s="18" t="s">
        <v>1802</v>
      </c>
      <c r="K44" s="7">
        <v>93</v>
      </c>
      <c r="L44" s="7" t="s">
        <v>2246</v>
      </c>
      <c r="M44" s="7">
        <f t="shared" si="5"/>
        <v>9.2999999999999999E-2</v>
      </c>
      <c r="N44" s="7">
        <f t="shared" si="0"/>
        <v>28.867571999999999</v>
      </c>
    </row>
    <row r="45" spans="1:14" ht="15.6" x14ac:dyDescent="0.3">
      <c r="A45" s="7" t="s">
        <v>1733</v>
      </c>
      <c r="B45" s="7">
        <v>2</v>
      </c>
      <c r="C45" s="7">
        <v>3</v>
      </c>
      <c r="D45" s="7">
        <v>4</v>
      </c>
      <c r="E45" s="7">
        <v>3350000</v>
      </c>
      <c r="F45" s="7">
        <f t="shared" si="3"/>
        <v>12681123.5</v>
      </c>
      <c r="G45" s="7">
        <f t="shared" si="4"/>
        <v>40853.608523086041</v>
      </c>
      <c r="H45" s="7" t="s">
        <v>1804</v>
      </c>
      <c r="I45" s="18" t="s">
        <v>1805</v>
      </c>
      <c r="J45" s="18" t="s">
        <v>1802</v>
      </c>
      <c r="K45" s="7">
        <v>97</v>
      </c>
      <c r="L45" s="7" t="s">
        <v>2246</v>
      </c>
      <c r="M45" s="7">
        <f t="shared" si="5"/>
        <v>9.7000000000000003E-2</v>
      </c>
      <c r="N45" s="7">
        <f t="shared" si="0"/>
        <v>30.109188000000003</v>
      </c>
    </row>
    <row r="46" spans="1:14" ht="15.6" x14ac:dyDescent="0.3">
      <c r="A46" s="7" t="s">
        <v>1734</v>
      </c>
      <c r="B46" s="7">
        <v>2</v>
      </c>
      <c r="C46" s="7">
        <v>3</v>
      </c>
      <c r="D46" s="7">
        <v>4</v>
      </c>
      <c r="E46" s="7">
        <v>3350000</v>
      </c>
      <c r="F46" s="7">
        <f t="shared" si="3"/>
        <v>12681123.5</v>
      </c>
      <c r="G46" s="7">
        <f t="shared" si="4"/>
        <v>40853.608523086041</v>
      </c>
      <c r="H46" s="7" t="s">
        <v>1804</v>
      </c>
      <c r="I46" s="18" t="s">
        <v>1805</v>
      </c>
      <c r="J46" s="18" t="s">
        <v>1802</v>
      </c>
      <c r="K46" s="7">
        <v>1226</v>
      </c>
      <c r="L46" s="7" t="s">
        <v>2246</v>
      </c>
      <c r="M46" s="7">
        <f t="shared" si="5"/>
        <v>1.226</v>
      </c>
      <c r="N46" s="7">
        <f t="shared" si="0"/>
        <v>380.55530400000004</v>
      </c>
    </row>
    <row r="47" spans="1:14" ht="15.6" x14ac:dyDescent="0.3">
      <c r="A47" s="7" t="s">
        <v>1735</v>
      </c>
      <c r="B47" s="7">
        <v>2</v>
      </c>
      <c r="C47" s="7">
        <v>3</v>
      </c>
      <c r="D47" s="7">
        <v>4</v>
      </c>
      <c r="E47" s="7">
        <v>3350000</v>
      </c>
      <c r="F47" s="7">
        <f t="shared" si="3"/>
        <v>12681123.5</v>
      </c>
      <c r="G47" s="7">
        <f t="shared" si="4"/>
        <v>40853.608523086041</v>
      </c>
      <c r="H47" s="7" t="s">
        <v>1804</v>
      </c>
      <c r="I47" s="18" t="s">
        <v>1805</v>
      </c>
      <c r="J47" s="18" t="s">
        <v>1802</v>
      </c>
      <c r="K47" s="7">
        <v>146</v>
      </c>
      <c r="L47" s="7" t="s">
        <v>2246</v>
      </c>
      <c r="M47" s="7">
        <f t="shared" si="5"/>
        <v>0.14599999999999999</v>
      </c>
      <c r="N47" s="7">
        <f t="shared" si="0"/>
        <v>45.318984</v>
      </c>
    </row>
    <row r="48" spans="1:14" ht="15.6" x14ac:dyDescent="0.3">
      <c r="A48" s="7" t="s">
        <v>1736</v>
      </c>
      <c r="B48" s="7">
        <v>2</v>
      </c>
      <c r="C48" s="7">
        <v>3</v>
      </c>
      <c r="D48" s="7">
        <v>4</v>
      </c>
      <c r="E48" s="7">
        <v>3350000</v>
      </c>
      <c r="F48" s="7">
        <f t="shared" si="3"/>
        <v>12681123.5</v>
      </c>
      <c r="G48" s="7">
        <f t="shared" si="4"/>
        <v>40853.608523086041</v>
      </c>
      <c r="H48" s="7" t="s">
        <v>1804</v>
      </c>
      <c r="I48" s="18" t="s">
        <v>1805</v>
      </c>
      <c r="J48" s="18" t="s">
        <v>1802</v>
      </c>
      <c r="K48" s="7">
        <v>13</v>
      </c>
      <c r="L48" s="7" t="s">
        <v>2246</v>
      </c>
      <c r="M48" s="7">
        <f t="shared" si="5"/>
        <v>1.2999999999999999E-2</v>
      </c>
      <c r="N48" s="7">
        <f t="shared" si="0"/>
        <v>4.0352520000000007</v>
      </c>
    </row>
    <row r="49" spans="1:14" ht="15.6" x14ac:dyDescent="0.3">
      <c r="A49" s="7" t="s">
        <v>1737</v>
      </c>
      <c r="B49" s="7">
        <v>2</v>
      </c>
      <c r="C49" s="7">
        <v>3</v>
      </c>
      <c r="D49" s="7">
        <v>4</v>
      </c>
      <c r="E49" s="7">
        <v>3350000</v>
      </c>
      <c r="F49" s="7">
        <f t="shared" si="3"/>
        <v>12681123.5</v>
      </c>
      <c r="G49" s="7">
        <f t="shared" si="4"/>
        <v>40853.608523086041</v>
      </c>
      <c r="H49" s="7" t="s">
        <v>1804</v>
      </c>
      <c r="I49" s="18" t="s">
        <v>1805</v>
      </c>
      <c r="J49" s="18" t="s">
        <v>1802</v>
      </c>
      <c r="K49" s="7">
        <v>74</v>
      </c>
      <c r="L49" s="7" t="s">
        <v>2246</v>
      </c>
      <c r="M49" s="7">
        <f t="shared" si="5"/>
        <v>7.3999999999999996E-2</v>
      </c>
      <c r="N49" s="7">
        <f t="shared" si="0"/>
        <v>22.969895999999999</v>
      </c>
    </row>
    <row r="50" spans="1:14" ht="15.6" x14ac:dyDescent="0.3">
      <c r="A50" s="7" t="s">
        <v>1738</v>
      </c>
      <c r="B50" s="7">
        <v>2</v>
      </c>
      <c r="C50" s="7">
        <v>3</v>
      </c>
      <c r="D50" s="7">
        <v>4</v>
      </c>
      <c r="E50" s="7">
        <v>3350000</v>
      </c>
      <c r="F50" s="7">
        <f t="shared" si="3"/>
        <v>12681123.5</v>
      </c>
      <c r="G50" s="7">
        <f t="shared" si="4"/>
        <v>40853.608523086041</v>
      </c>
      <c r="H50" s="7" t="s">
        <v>1804</v>
      </c>
      <c r="I50" s="18" t="s">
        <v>1805</v>
      </c>
      <c r="J50" s="18" t="s">
        <v>1802</v>
      </c>
      <c r="K50" s="7" t="s">
        <v>1716</v>
      </c>
      <c r="L50" s="7" t="s">
        <v>2246</v>
      </c>
      <c r="M50" s="7" t="str">
        <f t="shared" si="5"/>
        <v>ND</v>
      </c>
      <c r="N50" s="7" t="str">
        <f t="shared" si="0"/>
        <v>ND</v>
      </c>
    </row>
    <row r="51" spans="1:14" ht="15.6" x14ac:dyDescent="0.3">
      <c r="A51" s="7" t="s">
        <v>1728</v>
      </c>
      <c r="B51" s="7">
        <v>2</v>
      </c>
      <c r="C51" s="7">
        <v>3</v>
      </c>
      <c r="D51" s="7">
        <v>4</v>
      </c>
      <c r="E51" s="7">
        <v>3350000</v>
      </c>
      <c r="F51" s="7">
        <f t="shared" si="3"/>
        <v>12681123.5</v>
      </c>
      <c r="G51" s="7">
        <f t="shared" si="4"/>
        <v>40853.608523086041</v>
      </c>
      <c r="H51" s="7" t="s">
        <v>1804</v>
      </c>
      <c r="I51" s="18" t="s">
        <v>1805</v>
      </c>
      <c r="J51" s="18" t="s">
        <v>1802</v>
      </c>
      <c r="K51" s="7" t="s">
        <v>1716</v>
      </c>
      <c r="L51" s="7" t="s">
        <v>2246</v>
      </c>
      <c r="M51" s="7" t="str">
        <f t="shared" si="5"/>
        <v>ND</v>
      </c>
      <c r="N51" s="7" t="str">
        <f t="shared" si="0"/>
        <v>ND</v>
      </c>
    </row>
    <row r="52" spans="1:14" ht="15.6" x14ac:dyDescent="0.3">
      <c r="A52" s="7" t="s">
        <v>1739</v>
      </c>
      <c r="B52" s="7">
        <v>2</v>
      </c>
      <c r="C52" s="7">
        <v>3</v>
      </c>
      <c r="D52" s="7">
        <v>4</v>
      </c>
      <c r="E52" s="7">
        <v>3350000</v>
      </c>
      <c r="F52" s="7">
        <f t="shared" si="3"/>
        <v>12681123.5</v>
      </c>
      <c r="G52" s="7">
        <f t="shared" si="4"/>
        <v>40853.608523086041</v>
      </c>
      <c r="H52" s="7" t="s">
        <v>1804</v>
      </c>
      <c r="I52" s="18" t="s">
        <v>1805</v>
      </c>
      <c r="J52" s="18" t="s">
        <v>1802</v>
      </c>
      <c r="K52" s="7" t="s">
        <v>1716</v>
      </c>
      <c r="L52" s="7" t="s">
        <v>2246</v>
      </c>
      <c r="M52" s="7" t="str">
        <f t="shared" si="5"/>
        <v>ND</v>
      </c>
      <c r="N52" s="7" t="str">
        <f t="shared" si="0"/>
        <v>ND</v>
      </c>
    </row>
    <row r="53" spans="1:14" ht="15.6" x14ac:dyDescent="0.3">
      <c r="A53" s="7" t="s">
        <v>1740</v>
      </c>
      <c r="B53" s="7">
        <v>2</v>
      </c>
      <c r="C53" s="7">
        <v>3</v>
      </c>
      <c r="D53" s="7">
        <v>4</v>
      </c>
      <c r="E53" s="7">
        <v>3350000</v>
      </c>
      <c r="F53" s="7">
        <f t="shared" si="3"/>
        <v>12681123.5</v>
      </c>
      <c r="G53" s="7">
        <f t="shared" si="4"/>
        <v>40853.608523086041</v>
      </c>
      <c r="H53" s="7" t="s">
        <v>1804</v>
      </c>
      <c r="I53" s="18" t="s">
        <v>1805</v>
      </c>
      <c r="J53" s="18" t="s">
        <v>1802</v>
      </c>
      <c r="K53" s="7" t="s">
        <v>1716</v>
      </c>
      <c r="L53" s="7" t="s">
        <v>2246</v>
      </c>
      <c r="M53" s="7" t="str">
        <f t="shared" si="5"/>
        <v>ND</v>
      </c>
      <c r="N53" s="7" t="str">
        <f t="shared" si="0"/>
        <v>ND</v>
      </c>
    </row>
    <row r="54" spans="1:14" ht="15.6" x14ac:dyDescent="0.3">
      <c r="A54" s="7" t="s">
        <v>1741</v>
      </c>
      <c r="B54" s="7">
        <v>2</v>
      </c>
      <c r="C54" s="7">
        <v>3</v>
      </c>
      <c r="D54" s="7">
        <v>4</v>
      </c>
      <c r="E54" s="7">
        <v>3350000</v>
      </c>
      <c r="F54" s="7">
        <f t="shared" si="3"/>
        <v>12681123.5</v>
      </c>
      <c r="G54" s="7">
        <f t="shared" si="4"/>
        <v>40853.608523086041</v>
      </c>
      <c r="H54" s="7" t="s">
        <v>1804</v>
      </c>
      <c r="I54" s="18" t="s">
        <v>1805</v>
      </c>
      <c r="J54" s="18" t="s">
        <v>1802</v>
      </c>
      <c r="K54" s="7" t="s">
        <v>1716</v>
      </c>
      <c r="L54" s="7" t="s">
        <v>2246</v>
      </c>
      <c r="M54" s="7" t="str">
        <f t="shared" si="5"/>
        <v>ND</v>
      </c>
      <c r="N54" s="7" t="str">
        <f t="shared" si="0"/>
        <v>ND</v>
      </c>
    </row>
    <row r="55" spans="1:14" ht="15.6" x14ac:dyDescent="0.3">
      <c r="A55" s="7" t="s">
        <v>1742</v>
      </c>
      <c r="B55" s="7">
        <v>2</v>
      </c>
      <c r="C55" s="7">
        <v>3</v>
      </c>
      <c r="D55" s="7">
        <v>4</v>
      </c>
      <c r="E55" s="7">
        <v>3350000</v>
      </c>
      <c r="F55" s="7">
        <f t="shared" si="3"/>
        <v>12681123.5</v>
      </c>
      <c r="G55" s="7">
        <f t="shared" si="4"/>
        <v>40853.608523086041</v>
      </c>
      <c r="H55" s="7" t="s">
        <v>1804</v>
      </c>
      <c r="I55" s="18" t="s">
        <v>1805</v>
      </c>
      <c r="J55" s="18" t="s">
        <v>1802</v>
      </c>
      <c r="K55" s="7" t="s">
        <v>1716</v>
      </c>
      <c r="L55" s="7" t="s">
        <v>2246</v>
      </c>
      <c r="M55" s="7" t="str">
        <f t="shared" si="5"/>
        <v>ND</v>
      </c>
      <c r="N55" s="7" t="str">
        <f t="shared" si="0"/>
        <v>ND</v>
      </c>
    </row>
    <row r="56" spans="1:14" ht="15.6" x14ac:dyDescent="0.3">
      <c r="A56" s="7" t="s">
        <v>1743</v>
      </c>
      <c r="B56" s="7">
        <v>2</v>
      </c>
      <c r="C56" s="7">
        <v>3</v>
      </c>
      <c r="D56" s="7">
        <v>4</v>
      </c>
      <c r="E56" s="7">
        <v>3350000</v>
      </c>
      <c r="F56" s="7">
        <f t="shared" si="3"/>
        <v>12681123.5</v>
      </c>
      <c r="G56" s="7">
        <f t="shared" si="4"/>
        <v>40853.608523086041</v>
      </c>
      <c r="H56" s="7" t="s">
        <v>1804</v>
      </c>
      <c r="I56" s="18" t="s">
        <v>1805</v>
      </c>
      <c r="J56" s="18" t="s">
        <v>1802</v>
      </c>
      <c r="K56" s="7" t="s">
        <v>1716</v>
      </c>
      <c r="L56" s="7" t="s">
        <v>2246</v>
      </c>
      <c r="M56" s="7" t="str">
        <f t="shared" si="5"/>
        <v>ND</v>
      </c>
      <c r="N56" s="7" t="str">
        <f t="shared" si="0"/>
        <v>ND</v>
      </c>
    </row>
    <row r="57" spans="1:14" ht="15.6" x14ac:dyDescent="0.3">
      <c r="A57" s="7" t="s">
        <v>2030</v>
      </c>
      <c r="B57" s="7">
        <v>2</v>
      </c>
      <c r="C57" s="7">
        <v>3</v>
      </c>
      <c r="D57" s="7">
        <v>4</v>
      </c>
      <c r="E57" s="7">
        <v>3350000</v>
      </c>
      <c r="F57" s="7">
        <f t="shared" si="3"/>
        <v>12681123.5</v>
      </c>
      <c r="G57" s="7">
        <f t="shared" si="4"/>
        <v>40853.608523086041</v>
      </c>
      <c r="H57" s="7" t="s">
        <v>1804</v>
      </c>
      <c r="I57" s="18" t="s">
        <v>1805</v>
      </c>
      <c r="J57" s="18" t="s">
        <v>1802</v>
      </c>
      <c r="K57" s="7" t="s">
        <v>1716</v>
      </c>
      <c r="L57" s="7" t="s">
        <v>2246</v>
      </c>
      <c r="M57" s="7" t="str">
        <f t="shared" si="5"/>
        <v>ND</v>
      </c>
      <c r="N57" s="7" t="str">
        <f t="shared" si="0"/>
        <v>ND</v>
      </c>
    </row>
    <row r="58" spans="1:14" ht="15.6" x14ac:dyDescent="0.3">
      <c r="A58" s="7" t="s">
        <v>1744</v>
      </c>
      <c r="B58" s="7">
        <v>2</v>
      </c>
      <c r="C58" s="7">
        <v>3</v>
      </c>
      <c r="D58" s="7">
        <v>4</v>
      </c>
      <c r="E58" s="7">
        <v>3350000</v>
      </c>
      <c r="F58" s="7">
        <f t="shared" si="3"/>
        <v>12681123.5</v>
      </c>
      <c r="G58" s="7">
        <f t="shared" si="4"/>
        <v>40853.608523086041</v>
      </c>
      <c r="H58" s="7" t="s">
        <v>1804</v>
      </c>
      <c r="I58" s="18" t="s">
        <v>1805</v>
      </c>
      <c r="J58" s="18" t="s">
        <v>1802</v>
      </c>
      <c r="K58" s="7" t="s">
        <v>1716</v>
      </c>
      <c r="L58" s="7" t="s">
        <v>2246</v>
      </c>
      <c r="M58" s="7" t="str">
        <f t="shared" si="5"/>
        <v>ND</v>
      </c>
      <c r="N58" s="7" t="str">
        <f t="shared" si="0"/>
        <v>ND</v>
      </c>
    </row>
    <row r="59" spans="1:14" ht="15.6" x14ac:dyDescent="0.3">
      <c r="A59" s="7" t="s">
        <v>1745</v>
      </c>
      <c r="B59" s="7">
        <v>2</v>
      </c>
      <c r="C59" s="7">
        <v>3</v>
      </c>
      <c r="D59" s="7">
        <v>4</v>
      </c>
      <c r="E59" s="7">
        <v>3350000</v>
      </c>
      <c r="F59" s="7">
        <f t="shared" si="3"/>
        <v>12681123.5</v>
      </c>
      <c r="G59" s="7">
        <f t="shared" si="4"/>
        <v>40853.608523086041</v>
      </c>
      <c r="H59" s="7" t="s">
        <v>1804</v>
      </c>
      <c r="I59" s="18" t="s">
        <v>1805</v>
      </c>
      <c r="J59" s="18" t="s">
        <v>1802</v>
      </c>
      <c r="K59" s="7">
        <v>75</v>
      </c>
      <c r="L59" s="7" t="s">
        <v>2246</v>
      </c>
      <c r="M59" s="7">
        <f t="shared" si="5"/>
        <v>7.4999999999999997E-2</v>
      </c>
      <c r="N59" s="7">
        <f t="shared" si="0"/>
        <v>23.2803</v>
      </c>
    </row>
    <row r="60" spans="1:14" ht="15.6" x14ac:dyDescent="0.3">
      <c r="A60" s="7" t="s">
        <v>1746</v>
      </c>
      <c r="B60" s="7">
        <v>2</v>
      </c>
      <c r="C60" s="7">
        <v>3</v>
      </c>
      <c r="D60" s="7">
        <v>4</v>
      </c>
      <c r="E60" s="7">
        <v>3350000</v>
      </c>
      <c r="F60" s="7">
        <f t="shared" si="3"/>
        <v>12681123.5</v>
      </c>
      <c r="G60" s="7">
        <f t="shared" si="4"/>
        <v>40853.608523086041</v>
      </c>
      <c r="H60" s="7" t="s">
        <v>1804</v>
      </c>
      <c r="I60" s="18" t="s">
        <v>1805</v>
      </c>
      <c r="J60" s="18" t="s">
        <v>1802</v>
      </c>
      <c r="K60" s="7">
        <v>146</v>
      </c>
      <c r="L60" s="7" t="s">
        <v>2246</v>
      </c>
      <c r="M60" s="7">
        <f t="shared" si="5"/>
        <v>0.14599999999999999</v>
      </c>
      <c r="N60" s="7">
        <f t="shared" si="0"/>
        <v>45.318984</v>
      </c>
    </row>
    <row r="61" spans="1:14" ht="15.6" x14ac:dyDescent="0.3">
      <c r="A61" s="7" t="s">
        <v>1747</v>
      </c>
      <c r="B61" s="7">
        <v>2</v>
      </c>
      <c r="C61" s="7">
        <v>3</v>
      </c>
      <c r="D61" s="7">
        <v>4</v>
      </c>
      <c r="E61" s="7">
        <v>3350000</v>
      </c>
      <c r="F61" s="7">
        <f t="shared" si="3"/>
        <v>12681123.5</v>
      </c>
      <c r="G61" s="7">
        <f t="shared" si="4"/>
        <v>40853.608523086041</v>
      </c>
      <c r="H61" s="7" t="s">
        <v>1804</v>
      </c>
      <c r="I61" s="18" t="s">
        <v>1805</v>
      </c>
      <c r="J61" s="18" t="s">
        <v>1802</v>
      </c>
      <c r="K61" s="7">
        <v>358</v>
      </c>
      <c r="L61" s="7" t="s">
        <v>2246</v>
      </c>
      <c r="M61" s="7">
        <f t="shared" si="5"/>
        <v>0.35799999999999998</v>
      </c>
      <c r="N61" s="7">
        <f t="shared" si="0"/>
        <v>111.12463199999999</v>
      </c>
    </row>
    <row r="62" spans="1:14" ht="15.6" x14ac:dyDescent="0.3">
      <c r="A62" s="7" t="s">
        <v>1729</v>
      </c>
      <c r="B62" s="7">
        <v>2</v>
      </c>
      <c r="C62" s="7">
        <v>4</v>
      </c>
      <c r="D62" s="7">
        <v>5</v>
      </c>
      <c r="E62" s="7">
        <v>3350000</v>
      </c>
      <c r="F62" s="7">
        <f t="shared" si="3"/>
        <v>12681123.5</v>
      </c>
      <c r="G62" s="7">
        <f t="shared" si="4"/>
        <v>40853.608523086041</v>
      </c>
      <c r="H62" s="7" t="s">
        <v>1804</v>
      </c>
      <c r="I62" s="18" t="s">
        <v>1805</v>
      </c>
      <c r="J62" s="18" t="s">
        <v>1802</v>
      </c>
      <c r="K62" s="7">
        <v>38144</v>
      </c>
      <c r="L62" s="7" t="s">
        <v>2246</v>
      </c>
      <c r="M62" s="7">
        <f t="shared" si="5"/>
        <v>38.143999999999998</v>
      </c>
      <c r="N62" s="7">
        <f t="shared" si="0"/>
        <v>11840.050176000001</v>
      </c>
    </row>
    <row r="63" spans="1:14" ht="15.6" x14ac:dyDescent="0.3">
      <c r="A63" s="7" t="s">
        <v>1730</v>
      </c>
      <c r="B63" s="7">
        <v>2</v>
      </c>
      <c r="C63" s="7">
        <v>4</v>
      </c>
      <c r="D63" s="7">
        <v>5</v>
      </c>
      <c r="E63" s="7">
        <v>3350000</v>
      </c>
      <c r="F63" s="7">
        <f t="shared" si="3"/>
        <v>12681123.5</v>
      </c>
      <c r="G63" s="7">
        <f t="shared" si="4"/>
        <v>40853.608523086041</v>
      </c>
      <c r="H63" s="7" t="s">
        <v>1804</v>
      </c>
      <c r="I63" s="18" t="s">
        <v>1805</v>
      </c>
      <c r="J63" s="18" t="s">
        <v>1802</v>
      </c>
      <c r="K63" s="7">
        <v>13</v>
      </c>
      <c r="L63" s="7" t="s">
        <v>2246</v>
      </c>
      <c r="M63" s="7">
        <f t="shared" si="5"/>
        <v>1.2999999999999999E-2</v>
      </c>
      <c r="N63" s="7">
        <f t="shared" si="0"/>
        <v>4.0352520000000007</v>
      </c>
    </row>
    <row r="64" spans="1:14" ht="15.6" x14ac:dyDescent="0.3">
      <c r="A64" s="7" t="s">
        <v>1731</v>
      </c>
      <c r="B64" s="7">
        <v>2</v>
      </c>
      <c r="C64" s="7">
        <v>4</v>
      </c>
      <c r="D64" s="7">
        <v>5</v>
      </c>
      <c r="E64" s="7">
        <v>3350000</v>
      </c>
      <c r="F64" s="7">
        <f t="shared" si="3"/>
        <v>12681123.5</v>
      </c>
      <c r="G64" s="7">
        <f t="shared" si="4"/>
        <v>40853.608523086041</v>
      </c>
      <c r="H64" s="7" t="s">
        <v>1804</v>
      </c>
      <c r="I64" s="18" t="s">
        <v>1805</v>
      </c>
      <c r="J64" s="18" t="s">
        <v>1802</v>
      </c>
      <c r="K64" s="7" t="s">
        <v>1716</v>
      </c>
      <c r="L64" s="7" t="s">
        <v>2246</v>
      </c>
      <c r="M64" s="7" t="str">
        <f t="shared" si="5"/>
        <v>ND</v>
      </c>
      <c r="N64" s="7" t="str">
        <f t="shared" si="0"/>
        <v>ND</v>
      </c>
    </row>
    <row r="65" spans="1:14" ht="15.6" x14ac:dyDescent="0.3">
      <c r="A65" s="7" t="s">
        <v>1732</v>
      </c>
      <c r="B65" s="7">
        <v>2</v>
      </c>
      <c r="C65" s="7">
        <v>4</v>
      </c>
      <c r="D65" s="7">
        <v>5</v>
      </c>
      <c r="E65" s="7">
        <v>3350000</v>
      </c>
      <c r="F65" s="7">
        <f t="shared" si="3"/>
        <v>12681123.5</v>
      </c>
      <c r="G65" s="7">
        <f t="shared" si="4"/>
        <v>40853.608523086041</v>
      </c>
      <c r="H65" s="7" t="s">
        <v>1804</v>
      </c>
      <c r="I65" s="18" t="s">
        <v>1805</v>
      </c>
      <c r="J65" s="18" t="s">
        <v>1802</v>
      </c>
      <c r="K65" s="7">
        <v>129</v>
      </c>
      <c r="L65" s="7" t="s">
        <v>2246</v>
      </c>
      <c r="M65" s="7">
        <f t="shared" si="5"/>
        <v>0.129</v>
      </c>
      <c r="N65" s="7">
        <f t="shared" si="0"/>
        <v>40.042116</v>
      </c>
    </row>
    <row r="66" spans="1:14" ht="15.6" x14ac:dyDescent="0.3">
      <c r="A66" s="7" t="s">
        <v>1733</v>
      </c>
      <c r="B66" s="7">
        <v>2</v>
      </c>
      <c r="C66" s="7">
        <v>4</v>
      </c>
      <c r="D66" s="7">
        <v>5</v>
      </c>
      <c r="E66" s="7">
        <v>3350000</v>
      </c>
      <c r="F66" s="7">
        <f t="shared" si="3"/>
        <v>12681123.5</v>
      </c>
      <c r="G66" s="7">
        <f t="shared" si="4"/>
        <v>40853.608523086041</v>
      </c>
      <c r="H66" s="7" t="s">
        <v>1804</v>
      </c>
      <c r="I66" s="18" t="s">
        <v>1805</v>
      </c>
      <c r="J66" s="18" t="s">
        <v>1802</v>
      </c>
      <c r="K66" s="7">
        <v>96</v>
      </c>
      <c r="L66" s="7" t="s">
        <v>2246</v>
      </c>
      <c r="M66" s="7">
        <f t="shared" si="5"/>
        <v>9.6000000000000002E-2</v>
      </c>
      <c r="N66" s="7">
        <f t="shared" si="0"/>
        <v>29.798783999999998</v>
      </c>
    </row>
    <row r="67" spans="1:14" ht="15.6" x14ac:dyDescent="0.3">
      <c r="A67" s="7" t="s">
        <v>1734</v>
      </c>
      <c r="B67" s="7">
        <v>2</v>
      </c>
      <c r="C67" s="7">
        <v>4</v>
      </c>
      <c r="D67" s="7">
        <v>5</v>
      </c>
      <c r="E67" s="7">
        <v>3350000</v>
      </c>
      <c r="F67" s="7">
        <f t="shared" si="3"/>
        <v>12681123.5</v>
      </c>
      <c r="G67" s="7">
        <f t="shared" si="4"/>
        <v>40853.608523086041</v>
      </c>
      <c r="H67" s="7" t="s">
        <v>1804</v>
      </c>
      <c r="I67" s="18" t="s">
        <v>1805</v>
      </c>
      <c r="J67" s="18" t="s">
        <v>1802</v>
      </c>
      <c r="K67" s="7">
        <v>593</v>
      </c>
      <c r="L67" s="7" t="s">
        <v>2246</v>
      </c>
      <c r="M67" s="7">
        <f t="shared" si="5"/>
        <v>0.59299999999999997</v>
      </c>
      <c r="N67" s="7">
        <f t="shared" ref="N67:N130" si="6">IFERROR((M67*F67)/G67,"ND")</f>
        <v>184.06957199999999</v>
      </c>
    </row>
    <row r="68" spans="1:14" ht="15.6" x14ac:dyDescent="0.3">
      <c r="A68" s="7" t="s">
        <v>1735</v>
      </c>
      <c r="B68" s="7">
        <v>2</v>
      </c>
      <c r="C68" s="7">
        <v>4</v>
      </c>
      <c r="D68" s="7">
        <v>5</v>
      </c>
      <c r="E68" s="7">
        <v>3350000</v>
      </c>
      <c r="F68" s="7">
        <f t="shared" si="3"/>
        <v>12681123.5</v>
      </c>
      <c r="G68" s="7">
        <f t="shared" si="4"/>
        <v>40853.608523086041</v>
      </c>
      <c r="H68" s="7" t="s">
        <v>1804</v>
      </c>
      <c r="I68" s="18" t="s">
        <v>1805</v>
      </c>
      <c r="J68" s="18" t="s">
        <v>1802</v>
      </c>
      <c r="K68" s="7">
        <v>99</v>
      </c>
      <c r="L68" s="7" t="s">
        <v>2246</v>
      </c>
      <c r="M68" s="7">
        <f t="shared" si="5"/>
        <v>9.9000000000000005E-2</v>
      </c>
      <c r="N68" s="7">
        <f t="shared" si="6"/>
        <v>30.729996000000003</v>
      </c>
    </row>
    <row r="69" spans="1:14" ht="15.6" x14ac:dyDescent="0.3">
      <c r="A69" s="7" t="s">
        <v>1736</v>
      </c>
      <c r="B69" s="7">
        <v>2</v>
      </c>
      <c r="C69" s="7">
        <v>4</v>
      </c>
      <c r="D69" s="7">
        <v>5</v>
      </c>
      <c r="E69" s="7">
        <v>3350000</v>
      </c>
      <c r="F69" s="7">
        <f t="shared" si="3"/>
        <v>12681123.5</v>
      </c>
      <c r="G69" s="7">
        <f t="shared" si="4"/>
        <v>40853.608523086041</v>
      </c>
      <c r="H69" s="7" t="s">
        <v>1804</v>
      </c>
      <c r="I69" s="18" t="s">
        <v>1805</v>
      </c>
      <c r="J69" s="18" t="s">
        <v>1802</v>
      </c>
      <c r="K69" s="7">
        <v>115</v>
      </c>
      <c r="L69" s="7" t="s">
        <v>2246</v>
      </c>
      <c r="M69" s="7">
        <f t="shared" si="5"/>
        <v>0.115</v>
      </c>
      <c r="N69" s="7">
        <f t="shared" si="6"/>
        <v>35.696460000000002</v>
      </c>
    </row>
    <row r="70" spans="1:14" ht="15.6" x14ac:dyDescent="0.3">
      <c r="A70" s="7" t="s">
        <v>1737</v>
      </c>
      <c r="B70" s="7">
        <v>2</v>
      </c>
      <c r="C70" s="7">
        <v>4</v>
      </c>
      <c r="D70" s="7">
        <v>5</v>
      </c>
      <c r="E70" s="7">
        <v>3350000</v>
      </c>
      <c r="F70" s="7">
        <f t="shared" si="3"/>
        <v>12681123.5</v>
      </c>
      <c r="G70" s="7">
        <f t="shared" si="4"/>
        <v>40853.608523086041</v>
      </c>
      <c r="H70" s="7" t="s">
        <v>1804</v>
      </c>
      <c r="I70" s="18" t="s">
        <v>1805</v>
      </c>
      <c r="J70" s="18" t="s">
        <v>1802</v>
      </c>
      <c r="K70" s="7">
        <v>50</v>
      </c>
      <c r="L70" s="7" t="s">
        <v>2246</v>
      </c>
      <c r="M70" s="7">
        <f t="shared" si="5"/>
        <v>0.05</v>
      </c>
      <c r="N70" s="7">
        <f t="shared" si="6"/>
        <v>15.520200000000003</v>
      </c>
    </row>
    <row r="71" spans="1:14" ht="15.6" x14ac:dyDescent="0.3">
      <c r="A71" s="7" t="s">
        <v>1738</v>
      </c>
      <c r="B71" s="7">
        <v>2</v>
      </c>
      <c r="C71" s="7">
        <v>4</v>
      </c>
      <c r="D71" s="7">
        <v>5</v>
      </c>
      <c r="E71" s="7">
        <v>3350000</v>
      </c>
      <c r="F71" s="7">
        <f t="shared" si="3"/>
        <v>12681123.5</v>
      </c>
      <c r="G71" s="7">
        <f t="shared" si="4"/>
        <v>40853.608523086041</v>
      </c>
      <c r="H71" s="7" t="s">
        <v>1804</v>
      </c>
      <c r="I71" s="18" t="s">
        <v>1805</v>
      </c>
      <c r="J71" s="18" t="s">
        <v>1802</v>
      </c>
      <c r="K71" s="7" t="s">
        <v>1716</v>
      </c>
      <c r="L71" s="7" t="s">
        <v>2246</v>
      </c>
      <c r="M71" s="7" t="str">
        <f t="shared" si="5"/>
        <v>ND</v>
      </c>
      <c r="N71" s="7" t="str">
        <f t="shared" si="6"/>
        <v>ND</v>
      </c>
    </row>
    <row r="72" spans="1:14" ht="15.6" x14ac:dyDescent="0.3">
      <c r="A72" s="7" t="s">
        <v>1728</v>
      </c>
      <c r="B72" s="7">
        <v>2</v>
      </c>
      <c r="C72" s="7">
        <v>4</v>
      </c>
      <c r="D72" s="7">
        <v>5</v>
      </c>
      <c r="E72" s="7">
        <v>3350000</v>
      </c>
      <c r="F72" s="7">
        <f t="shared" si="3"/>
        <v>12681123.5</v>
      </c>
      <c r="G72" s="7">
        <f t="shared" si="4"/>
        <v>40853.608523086041</v>
      </c>
      <c r="H72" s="7" t="s">
        <v>1804</v>
      </c>
      <c r="I72" s="18" t="s">
        <v>1805</v>
      </c>
      <c r="J72" s="18" t="s">
        <v>1802</v>
      </c>
      <c r="K72" s="7" t="s">
        <v>1716</v>
      </c>
      <c r="L72" s="7" t="s">
        <v>2246</v>
      </c>
      <c r="M72" s="7" t="str">
        <f t="shared" si="5"/>
        <v>ND</v>
      </c>
      <c r="N72" s="7" t="str">
        <f t="shared" si="6"/>
        <v>ND</v>
      </c>
    </row>
    <row r="73" spans="1:14" ht="15.6" x14ac:dyDescent="0.3">
      <c r="A73" s="7" t="s">
        <v>1739</v>
      </c>
      <c r="B73" s="7">
        <v>2</v>
      </c>
      <c r="C73" s="7">
        <v>4</v>
      </c>
      <c r="D73" s="7">
        <v>5</v>
      </c>
      <c r="E73" s="7">
        <v>3350000</v>
      </c>
      <c r="F73" s="7">
        <f t="shared" si="3"/>
        <v>12681123.5</v>
      </c>
      <c r="G73" s="7">
        <f t="shared" si="4"/>
        <v>40853.608523086041</v>
      </c>
      <c r="H73" s="7" t="s">
        <v>1804</v>
      </c>
      <c r="I73" s="18" t="s">
        <v>1805</v>
      </c>
      <c r="J73" s="18" t="s">
        <v>1802</v>
      </c>
      <c r="K73" s="7" t="s">
        <v>1716</v>
      </c>
      <c r="L73" s="7" t="s">
        <v>2246</v>
      </c>
      <c r="M73" s="7" t="str">
        <f t="shared" si="5"/>
        <v>ND</v>
      </c>
      <c r="N73" s="7" t="str">
        <f t="shared" si="6"/>
        <v>ND</v>
      </c>
    </row>
    <row r="74" spans="1:14" ht="15.6" x14ac:dyDescent="0.3">
      <c r="A74" s="7" t="s">
        <v>1740</v>
      </c>
      <c r="B74" s="7">
        <v>2</v>
      </c>
      <c r="C74" s="7">
        <v>4</v>
      </c>
      <c r="D74" s="7">
        <v>5</v>
      </c>
      <c r="E74" s="7">
        <v>3350000</v>
      </c>
      <c r="F74" s="7">
        <f t="shared" si="3"/>
        <v>12681123.5</v>
      </c>
      <c r="G74" s="7">
        <f t="shared" si="4"/>
        <v>40853.608523086041</v>
      </c>
      <c r="H74" s="7" t="s">
        <v>1804</v>
      </c>
      <c r="I74" s="18" t="s">
        <v>1805</v>
      </c>
      <c r="J74" s="18" t="s">
        <v>1802</v>
      </c>
      <c r="K74" s="7" t="s">
        <v>1716</v>
      </c>
      <c r="L74" s="7" t="s">
        <v>2246</v>
      </c>
      <c r="M74" s="7" t="str">
        <f t="shared" si="5"/>
        <v>ND</v>
      </c>
      <c r="N74" s="7" t="str">
        <f t="shared" si="6"/>
        <v>ND</v>
      </c>
    </row>
    <row r="75" spans="1:14" ht="15.6" x14ac:dyDescent="0.3">
      <c r="A75" s="7" t="s">
        <v>1741</v>
      </c>
      <c r="B75" s="7">
        <v>2</v>
      </c>
      <c r="C75" s="7">
        <v>4</v>
      </c>
      <c r="D75" s="7">
        <v>5</v>
      </c>
      <c r="E75" s="7">
        <v>3350000</v>
      </c>
      <c r="F75" s="7">
        <f t="shared" si="3"/>
        <v>12681123.5</v>
      </c>
      <c r="G75" s="7">
        <f t="shared" si="4"/>
        <v>40853.608523086041</v>
      </c>
      <c r="H75" s="7" t="s">
        <v>1804</v>
      </c>
      <c r="I75" s="18" t="s">
        <v>1805</v>
      </c>
      <c r="J75" s="18" t="s">
        <v>1802</v>
      </c>
      <c r="K75" s="7" t="s">
        <v>1716</v>
      </c>
      <c r="L75" s="7" t="s">
        <v>2246</v>
      </c>
      <c r="M75" s="7" t="str">
        <f t="shared" si="5"/>
        <v>ND</v>
      </c>
      <c r="N75" s="7" t="str">
        <f t="shared" si="6"/>
        <v>ND</v>
      </c>
    </row>
    <row r="76" spans="1:14" ht="15.6" x14ac:dyDescent="0.3">
      <c r="A76" s="7" t="s">
        <v>1742</v>
      </c>
      <c r="B76" s="7">
        <v>2</v>
      </c>
      <c r="C76" s="7">
        <v>4</v>
      </c>
      <c r="D76" s="7">
        <v>5</v>
      </c>
      <c r="E76" s="7">
        <v>3350000</v>
      </c>
      <c r="F76" s="7">
        <f t="shared" si="3"/>
        <v>12681123.5</v>
      </c>
      <c r="G76" s="7">
        <f t="shared" si="4"/>
        <v>40853.608523086041</v>
      </c>
      <c r="H76" s="7" t="s">
        <v>1804</v>
      </c>
      <c r="I76" s="18" t="s">
        <v>1805</v>
      </c>
      <c r="J76" s="18" t="s">
        <v>1802</v>
      </c>
      <c r="K76" s="7" t="s">
        <v>1716</v>
      </c>
      <c r="L76" s="7" t="s">
        <v>2246</v>
      </c>
      <c r="M76" s="7" t="str">
        <f t="shared" si="5"/>
        <v>ND</v>
      </c>
      <c r="N76" s="7" t="str">
        <f t="shared" si="6"/>
        <v>ND</v>
      </c>
    </row>
    <row r="77" spans="1:14" ht="15.6" x14ac:dyDescent="0.3">
      <c r="A77" s="7" t="s">
        <v>1743</v>
      </c>
      <c r="B77" s="7">
        <v>2</v>
      </c>
      <c r="C77" s="7">
        <v>4</v>
      </c>
      <c r="D77" s="7">
        <v>5</v>
      </c>
      <c r="E77" s="7">
        <v>3350000</v>
      </c>
      <c r="F77" s="7">
        <f t="shared" si="3"/>
        <v>12681123.5</v>
      </c>
      <c r="G77" s="7">
        <f t="shared" si="4"/>
        <v>40853.608523086041</v>
      </c>
      <c r="H77" s="7" t="s">
        <v>1804</v>
      </c>
      <c r="I77" s="18" t="s">
        <v>1805</v>
      </c>
      <c r="J77" s="18" t="s">
        <v>1802</v>
      </c>
      <c r="K77" s="7" t="s">
        <v>1716</v>
      </c>
      <c r="L77" s="7" t="s">
        <v>2246</v>
      </c>
      <c r="M77" s="7" t="str">
        <f t="shared" si="5"/>
        <v>ND</v>
      </c>
      <c r="N77" s="7" t="str">
        <f t="shared" si="6"/>
        <v>ND</v>
      </c>
    </row>
    <row r="78" spans="1:14" ht="15.6" x14ac:dyDescent="0.3">
      <c r="A78" s="7" t="s">
        <v>2030</v>
      </c>
      <c r="B78" s="7">
        <v>2</v>
      </c>
      <c r="C78" s="7">
        <v>4</v>
      </c>
      <c r="D78" s="7">
        <v>5</v>
      </c>
      <c r="E78" s="7">
        <v>3350000</v>
      </c>
      <c r="F78" s="7">
        <f t="shared" si="3"/>
        <v>12681123.5</v>
      </c>
      <c r="G78" s="7">
        <f t="shared" si="4"/>
        <v>40853.608523086041</v>
      </c>
      <c r="H78" s="7" t="s">
        <v>1804</v>
      </c>
      <c r="I78" s="18" t="s">
        <v>1805</v>
      </c>
      <c r="J78" s="18" t="s">
        <v>1802</v>
      </c>
      <c r="K78" s="7" t="s">
        <v>1716</v>
      </c>
      <c r="L78" s="7" t="s">
        <v>2246</v>
      </c>
      <c r="M78" s="7" t="str">
        <f t="shared" si="5"/>
        <v>ND</v>
      </c>
      <c r="N78" s="7" t="str">
        <f t="shared" si="6"/>
        <v>ND</v>
      </c>
    </row>
    <row r="79" spans="1:14" ht="15.6" x14ac:dyDescent="0.3">
      <c r="A79" s="7" t="s">
        <v>1744</v>
      </c>
      <c r="B79" s="7">
        <v>2</v>
      </c>
      <c r="C79" s="7">
        <v>4</v>
      </c>
      <c r="D79" s="7">
        <v>5</v>
      </c>
      <c r="E79" s="7">
        <v>3350000</v>
      </c>
      <c r="F79" s="7">
        <f t="shared" si="3"/>
        <v>12681123.5</v>
      </c>
      <c r="G79" s="7">
        <f t="shared" si="4"/>
        <v>40853.608523086041</v>
      </c>
      <c r="H79" s="7" t="s">
        <v>1804</v>
      </c>
      <c r="I79" s="18" t="s">
        <v>1805</v>
      </c>
      <c r="J79" s="18" t="s">
        <v>1802</v>
      </c>
      <c r="K79" s="7" t="s">
        <v>1716</v>
      </c>
      <c r="L79" s="7" t="s">
        <v>2246</v>
      </c>
      <c r="M79" s="7" t="str">
        <f t="shared" si="5"/>
        <v>ND</v>
      </c>
      <c r="N79" s="7" t="str">
        <f t="shared" si="6"/>
        <v>ND</v>
      </c>
    </row>
    <row r="80" spans="1:14" ht="15.6" x14ac:dyDescent="0.3">
      <c r="A80" s="7" t="s">
        <v>1745</v>
      </c>
      <c r="B80" s="7">
        <v>2</v>
      </c>
      <c r="C80" s="7">
        <v>4</v>
      </c>
      <c r="D80" s="7">
        <v>5</v>
      </c>
      <c r="E80" s="7">
        <v>3350000</v>
      </c>
      <c r="F80" s="7">
        <f t="shared" si="3"/>
        <v>12681123.5</v>
      </c>
      <c r="G80" s="7">
        <f t="shared" si="4"/>
        <v>40853.608523086041</v>
      </c>
      <c r="H80" s="7" t="s">
        <v>1804</v>
      </c>
      <c r="I80" s="18" t="s">
        <v>1805</v>
      </c>
      <c r="J80" s="18" t="s">
        <v>1802</v>
      </c>
      <c r="K80" s="7" t="s">
        <v>1716</v>
      </c>
      <c r="L80" s="7" t="s">
        <v>2246</v>
      </c>
      <c r="M80" s="7" t="str">
        <f t="shared" si="5"/>
        <v>ND</v>
      </c>
      <c r="N80" s="7" t="str">
        <f t="shared" si="6"/>
        <v>ND</v>
      </c>
    </row>
    <row r="81" spans="1:14" ht="15.6" x14ac:dyDescent="0.3">
      <c r="A81" s="7" t="s">
        <v>1746</v>
      </c>
      <c r="B81" s="7">
        <v>2</v>
      </c>
      <c r="C81" s="7">
        <v>4</v>
      </c>
      <c r="D81" s="7">
        <v>5</v>
      </c>
      <c r="E81" s="7">
        <v>3350000</v>
      </c>
      <c r="F81" s="7">
        <f t="shared" si="3"/>
        <v>12681123.5</v>
      </c>
      <c r="G81" s="7">
        <f t="shared" si="4"/>
        <v>40853.608523086041</v>
      </c>
      <c r="H81" s="7" t="s">
        <v>1804</v>
      </c>
      <c r="I81" s="18" t="s">
        <v>1805</v>
      </c>
      <c r="J81" s="18" t="s">
        <v>1802</v>
      </c>
      <c r="K81" s="7">
        <v>69</v>
      </c>
      <c r="L81" s="7" t="s">
        <v>2246</v>
      </c>
      <c r="M81" s="7">
        <f t="shared" si="5"/>
        <v>6.9000000000000006E-2</v>
      </c>
      <c r="N81" s="7">
        <f t="shared" si="6"/>
        <v>21.417876000000003</v>
      </c>
    </row>
    <row r="82" spans="1:14" ht="15.6" x14ac:dyDescent="0.3">
      <c r="A82" s="7" t="s">
        <v>1747</v>
      </c>
      <c r="B82" s="7">
        <v>2</v>
      </c>
      <c r="C82" s="7">
        <v>4</v>
      </c>
      <c r="D82" s="7">
        <v>5</v>
      </c>
      <c r="E82" s="7">
        <v>3350000</v>
      </c>
      <c r="F82" s="7">
        <f t="shared" si="3"/>
        <v>12681123.5</v>
      </c>
      <c r="G82" s="7">
        <f t="shared" si="4"/>
        <v>40853.608523086041</v>
      </c>
      <c r="H82" s="7" t="s">
        <v>1804</v>
      </c>
      <c r="I82" s="18" t="s">
        <v>1805</v>
      </c>
      <c r="J82" s="18" t="s">
        <v>1802</v>
      </c>
      <c r="K82" s="7">
        <v>388</v>
      </c>
      <c r="L82" s="7" t="s">
        <v>2246</v>
      </c>
      <c r="M82" s="7">
        <f t="shared" si="5"/>
        <v>0.38800000000000001</v>
      </c>
      <c r="N82" s="7">
        <f t="shared" si="6"/>
        <v>120.43675200000001</v>
      </c>
    </row>
    <row r="83" spans="1:14" ht="15.6" x14ac:dyDescent="0.3">
      <c r="A83" s="7" t="s">
        <v>1729</v>
      </c>
      <c r="B83" s="7">
        <v>2</v>
      </c>
      <c r="C83" s="7">
        <v>5</v>
      </c>
      <c r="D83" s="7">
        <v>6</v>
      </c>
      <c r="E83" s="7">
        <v>3350000</v>
      </c>
      <c r="F83" s="7">
        <f t="shared" si="3"/>
        <v>12681123.5</v>
      </c>
      <c r="G83" s="7">
        <f t="shared" si="4"/>
        <v>40853.608523086041</v>
      </c>
      <c r="H83" s="7" t="s">
        <v>1804</v>
      </c>
      <c r="I83" s="18" t="s">
        <v>1805</v>
      </c>
      <c r="J83" s="18" t="s">
        <v>1802</v>
      </c>
      <c r="K83" s="7">
        <v>23530</v>
      </c>
      <c r="L83" s="7" t="s">
        <v>2246</v>
      </c>
      <c r="M83" s="7">
        <f t="shared" si="5"/>
        <v>23.53</v>
      </c>
      <c r="N83" s="7">
        <f t="shared" si="6"/>
        <v>7303.8061200000011</v>
      </c>
    </row>
    <row r="84" spans="1:14" ht="15.6" x14ac:dyDescent="0.3">
      <c r="A84" s="7" t="s">
        <v>1730</v>
      </c>
      <c r="B84" s="7">
        <v>2</v>
      </c>
      <c r="C84" s="7">
        <v>5</v>
      </c>
      <c r="D84" s="7">
        <v>6</v>
      </c>
      <c r="E84" s="7">
        <v>3350000</v>
      </c>
      <c r="F84" s="7">
        <f t="shared" si="3"/>
        <v>12681123.5</v>
      </c>
      <c r="G84" s="7">
        <f t="shared" si="4"/>
        <v>40853.608523086041</v>
      </c>
      <c r="H84" s="7" t="s">
        <v>1804</v>
      </c>
      <c r="I84" s="18" t="s">
        <v>1805</v>
      </c>
      <c r="J84" s="18" t="s">
        <v>1802</v>
      </c>
      <c r="K84" s="7">
        <v>159</v>
      </c>
      <c r="L84" s="7" t="s">
        <v>2246</v>
      </c>
      <c r="M84" s="7">
        <f t="shared" si="5"/>
        <v>0.159</v>
      </c>
      <c r="N84" s="7">
        <f t="shared" si="6"/>
        <v>49.354236</v>
      </c>
    </row>
    <row r="85" spans="1:14" ht="15.6" x14ac:dyDescent="0.3">
      <c r="A85" s="7" t="s">
        <v>1731</v>
      </c>
      <c r="B85" s="7">
        <v>2</v>
      </c>
      <c r="C85" s="7">
        <v>5</v>
      </c>
      <c r="D85" s="7">
        <v>6</v>
      </c>
      <c r="E85" s="7">
        <v>3350000</v>
      </c>
      <c r="F85" s="7">
        <f t="shared" si="3"/>
        <v>12681123.5</v>
      </c>
      <c r="G85" s="7">
        <f t="shared" si="4"/>
        <v>40853.608523086041</v>
      </c>
      <c r="H85" s="7" t="s">
        <v>1804</v>
      </c>
      <c r="I85" s="18" t="s">
        <v>1805</v>
      </c>
      <c r="J85" s="18" t="s">
        <v>1802</v>
      </c>
      <c r="K85" s="7">
        <v>441</v>
      </c>
      <c r="L85" s="7" t="s">
        <v>2246</v>
      </c>
      <c r="M85" s="7">
        <f t="shared" si="5"/>
        <v>0.441</v>
      </c>
      <c r="N85" s="7">
        <f t="shared" si="6"/>
        <v>136.88816399999999</v>
      </c>
    </row>
    <row r="86" spans="1:14" ht="15.6" x14ac:dyDescent="0.3">
      <c r="A86" s="7" t="s">
        <v>1732</v>
      </c>
      <c r="B86" s="7">
        <v>2</v>
      </c>
      <c r="C86" s="7">
        <v>5</v>
      </c>
      <c r="D86" s="7">
        <v>6</v>
      </c>
      <c r="E86" s="7">
        <v>3350000</v>
      </c>
      <c r="F86" s="7">
        <f t="shared" si="3"/>
        <v>12681123.5</v>
      </c>
      <c r="G86" s="7">
        <f t="shared" si="4"/>
        <v>40853.608523086041</v>
      </c>
      <c r="H86" s="7" t="s">
        <v>1804</v>
      </c>
      <c r="I86" s="18" t="s">
        <v>1805</v>
      </c>
      <c r="J86" s="18" t="s">
        <v>1802</v>
      </c>
      <c r="K86" s="7">
        <v>363</v>
      </c>
      <c r="L86" s="7" t="s">
        <v>2246</v>
      </c>
      <c r="M86" s="7">
        <f t="shared" si="5"/>
        <v>0.36299999999999999</v>
      </c>
      <c r="N86" s="7">
        <f t="shared" si="6"/>
        <v>112.676652</v>
      </c>
    </row>
    <row r="87" spans="1:14" ht="15.6" x14ac:dyDescent="0.3">
      <c r="A87" s="7" t="s">
        <v>1733</v>
      </c>
      <c r="B87" s="7">
        <v>2</v>
      </c>
      <c r="C87" s="7">
        <v>5</v>
      </c>
      <c r="D87" s="7">
        <v>6</v>
      </c>
      <c r="E87" s="7">
        <v>3350000</v>
      </c>
      <c r="F87" s="7">
        <f t="shared" si="3"/>
        <v>12681123.5</v>
      </c>
      <c r="G87" s="7">
        <f t="shared" si="4"/>
        <v>40853.608523086041</v>
      </c>
      <c r="H87" s="7" t="s">
        <v>1804</v>
      </c>
      <c r="I87" s="18" t="s">
        <v>1805</v>
      </c>
      <c r="J87" s="18" t="s">
        <v>1802</v>
      </c>
      <c r="K87" s="7">
        <v>317</v>
      </c>
      <c r="L87" s="7" t="s">
        <v>2246</v>
      </c>
      <c r="M87" s="7">
        <f t="shared" si="5"/>
        <v>0.317</v>
      </c>
      <c r="N87" s="7">
        <f t="shared" si="6"/>
        <v>98.398067999999995</v>
      </c>
    </row>
    <row r="88" spans="1:14" ht="15.6" x14ac:dyDescent="0.3">
      <c r="A88" s="7" t="s">
        <v>1734</v>
      </c>
      <c r="B88" s="7">
        <v>2</v>
      </c>
      <c r="C88" s="7">
        <v>5</v>
      </c>
      <c r="D88" s="7">
        <v>6</v>
      </c>
      <c r="E88" s="7">
        <v>3350000</v>
      </c>
      <c r="F88" s="7">
        <f t="shared" si="3"/>
        <v>12681123.5</v>
      </c>
      <c r="G88" s="7">
        <f t="shared" si="4"/>
        <v>40853.608523086041</v>
      </c>
      <c r="H88" s="7" t="s">
        <v>1804</v>
      </c>
      <c r="I88" s="18" t="s">
        <v>1805</v>
      </c>
      <c r="J88" s="18" t="s">
        <v>1802</v>
      </c>
      <c r="K88" s="7">
        <v>2670</v>
      </c>
      <c r="L88" s="7" t="s">
        <v>2246</v>
      </c>
      <c r="M88" s="7">
        <f t="shared" si="5"/>
        <v>2.67</v>
      </c>
      <c r="N88" s="7">
        <f t="shared" si="6"/>
        <v>828.77868000000001</v>
      </c>
    </row>
    <row r="89" spans="1:14" ht="15.6" x14ac:dyDescent="0.3">
      <c r="A89" s="7" t="s">
        <v>1735</v>
      </c>
      <c r="B89" s="7">
        <v>2</v>
      </c>
      <c r="C89" s="7">
        <v>5</v>
      </c>
      <c r="D89" s="7">
        <v>6</v>
      </c>
      <c r="E89" s="7">
        <v>3350000</v>
      </c>
      <c r="F89" s="7">
        <f t="shared" si="3"/>
        <v>12681123.5</v>
      </c>
      <c r="G89" s="7">
        <f t="shared" si="4"/>
        <v>40853.608523086041</v>
      </c>
      <c r="H89" s="7" t="s">
        <v>1804</v>
      </c>
      <c r="I89" s="18" t="s">
        <v>1805</v>
      </c>
      <c r="J89" s="18" t="s">
        <v>1802</v>
      </c>
      <c r="K89" s="7">
        <v>241</v>
      </c>
      <c r="L89" s="7" t="s">
        <v>2246</v>
      </c>
      <c r="M89" s="7">
        <f t="shared" si="5"/>
        <v>0.24099999999999999</v>
      </c>
      <c r="N89" s="7">
        <f t="shared" si="6"/>
        <v>74.807364000000007</v>
      </c>
    </row>
    <row r="90" spans="1:14" ht="15.6" x14ac:dyDescent="0.3">
      <c r="A90" s="7" t="s">
        <v>1736</v>
      </c>
      <c r="B90" s="7">
        <v>2</v>
      </c>
      <c r="C90" s="7">
        <v>5</v>
      </c>
      <c r="D90" s="7">
        <v>6</v>
      </c>
      <c r="E90" s="7">
        <v>3350000</v>
      </c>
      <c r="F90" s="7">
        <f t="shared" si="3"/>
        <v>12681123.5</v>
      </c>
      <c r="G90" s="7">
        <f t="shared" si="4"/>
        <v>40853.608523086041</v>
      </c>
      <c r="H90" s="7" t="s">
        <v>1804</v>
      </c>
      <c r="I90" s="18" t="s">
        <v>1805</v>
      </c>
      <c r="J90" s="18" t="s">
        <v>1802</v>
      </c>
      <c r="K90" s="7">
        <v>57</v>
      </c>
      <c r="L90" s="7" t="s">
        <v>2246</v>
      </c>
      <c r="M90" s="7">
        <f t="shared" si="5"/>
        <v>5.7000000000000002E-2</v>
      </c>
      <c r="N90" s="7">
        <f t="shared" si="6"/>
        <v>17.693028000000002</v>
      </c>
    </row>
    <row r="91" spans="1:14" ht="15.6" x14ac:dyDescent="0.3">
      <c r="A91" s="7" t="s">
        <v>1737</v>
      </c>
      <c r="B91" s="7">
        <v>2</v>
      </c>
      <c r="C91" s="7">
        <v>5</v>
      </c>
      <c r="D91" s="7">
        <v>6</v>
      </c>
      <c r="E91" s="7">
        <v>3350000</v>
      </c>
      <c r="F91" s="7">
        <f t="shared" si="3"/>
        <v>12681123.5</v>
      </c>
      <c r="G91" s="7">
        <f t="shared" si="4"/>
        <v>40853.608523086041</v>
      </c>
      <c r="H91" s="7" t="s">
        <v>1804</v>
      </c>
      <c r="I91" s="18" t="s">
        <v>1805</v>
      </c>
      <c r="J91" s="18" t="s">
        <v>1802</v>
      </c>
      <c r="K91" s="7">
        <v>31</v>
      </c>
      <c r="L91" s="7" t="s">
        <v>2246</v>
      </c>
      <c r="M91" s="7">
        <f t="shared" si="5"/>
        <v>3.1E-2</v>
      </c>
      <c r="N91" s="7">
        <f t="shared" si="6"/>
        <v>9.6225240000000003</v>
      </c>
    </row>
    <row r="92" spans="1:14" ht="15.6" x14ac:dyDescent="0.3">
      <c r="A92" s="7" t="s">
        <v>1738</v>
      </c>
      <c r="B92" s="7">
        <v>2</v>
      </c>
      <c r="C92" s="7">
        <v>5</v>
      </c>
      <c r="D92" s="7">
        <v>6</v>
      </c>
      <c r="E92" s="7">
        <v>3350000</v>
      </c>
      <c r="F92" s="7">
        <f t="shared" si="3"/>
        <v>12681123.5</v>
      </c>
      <c r="G92" s="7">
        <f t="shared" si="4"/>
        <v>40853.608523086041</v>
      </c>
      <c r="H92" s="7" t="s">
        <v>1804</v>
      </c>
      <c r="I92" s="18" t="s">
        <v>1805</v>
      </c>
      <c r="J92" s="18" t="s">
        <v>1802</v>
      </c>
      <c r="K92" s="7" t="s">
        <v>1716</v>
      </c>
      <c r="L92" s="7" t="s">
        <v>2246</v>
      </c>
      <c r="M92" s="7" t="str">
        <f t="shared" si="5"/>
        <v>ND</v>
      </c>
      <c r="N92" s="7" t="str">
        <f t="shared" si="6"/>
        <v>ND</v>
      </c>
    </row>
    <row r="93" spans="1:14" ht="15.6" x14ac:dyDescent="0.3">
      <c r="A93" s="7" t="s">
        <v>1728</v>
      </c>
      <c r="B93" s="7">
        <v>2</v>
      </c>
      <c r="C93" s="7">
        <v>5</v>
      </c>
      <c r="D93" s="7">
        <v>6</v>
      </c>
      <c r="E93" s="7">
        <v>3350000</v>
      </c>
      <c r="F93" s="7">
        <f t="shared" si="3"/>
        <v>12681123.5</v>
      </c>
      <c r="G93" s="7">
        <f t="shared" si="4"/>
        <v>40853.608523086041</v>
      </c>
      <c r="H93" s="7" t="s">
        <v>1804</v>
      </c>
      <c r="I93" s="18" t="s">
        <v>1805</v>
      </c>
      <c r="J93" s="18" t="s">
        <v>1802</v>
      </c>
      <c r="K93" s="7" t="s">
        <v>1716</v>
      </c>
      <c r="L93" s="7" t="s">
        <v>2246</v>
      </c>
      <c r="M93" s="7" t="str">
        <f t="shared" si="5"/>
        <v>ND</v>
      </c>
      <c r="N93" s="7" t="str">
        <f t="shared" si="6"/>
        <v>ND</v>
      </c>
    </row>
    <row r="94" spans="1:14" ht="15.6" x14ac:dyDescent="0.3">
      <c r="A94" s="7" t="s">
        <v>1739</v>
      </c>
      <c r="B94" s="7">
        <v>2</v>
      </c>
      <c r="C94" s="7">
        <v>5</v>
      </c>
      <c r="D94" s="7">
        <v>6</v>
      </c>
      <c r="E94" s="7">
        <v>3350000</v>
      </c>
      <c r="F94" s="7">
        <f t="shared" si="3"/>
        <v>12681123.5</v>
      </c>
      <c r="G94" s="7">
        <f t="shared" si="4"/>
        <v>40853.608523086041</v>
      </c>
      <c r="H94" s="7" t="s">
        <v>1804</v>
      </c>
      <c r="I94" s="18" t="s">
        <v>1805</v>
      </c>
      <c r="J94" s="18" t="s">
        <v>1802</v>
      </c>
      <c r="K94" s="7">
        <v>7</v>
      </c>
      <c r="L94" s="7" t="s">
        <v>2246</v>
      </c>
      <c r="M94" s="7">
        <f t="shared" si="5"/>
        <v>7.0000000000000001E-3</v>
      </c>
      <c r="N94" s="7">
        <f t="shared" si="6"/>
        <v>2.172828</v>
      </c>
    </row>
    <row r="95" spans="1:14" ht="15.6" x14ac:dyDescent="0.3">
      <c r="A95" s="7" t="s">
        <v>1740</v>
      </c>
      <c r="B95" s="7">
        <v>2</v>
      </c>
      <c r="C95" s="7">
        <v>5</v>
      </c>
      <c r="D95" s="7">
        <v>6</v>
      </c>
      <c r="E95" s="7">
        <v>3350000</v>
      </c>
      <c r="F95" s="7">
        <f t="shared" si="3"/>
        <v>12681123.5</v>
      </c>
      <c r="G95" s="7">
        <f t="shared" si="4"/>
        <v>40853.608523086041</v>
      </c>
      <c r="H95" s="7" t="s">
        <v>1804</v>
      </c>
      <c r="I95" s="18" t="s">
        <v>1805</v>
      </c>
      <c r="J95" s="18" t="s">
        <v>1802</v>
      </c>
      <c r="K95" s="7">
        <v>2000</v>
      </c>
      <c r="L95" s="7" t="s">
        <v>2246</v>
      </c>
      <c r="M95" s="7">
        <f t="shared" si="5"/>
        <v>2</v>
      </c>
      <c r="N95" s="7">
        <f t="shared" si="6"/>
        <v>620.80799999999999</v>
      </c>
    </row>
    <row r="96" spans="1:14" ht="15.6" x14ac:dyDescent="0.3">
      <c r="A96" s="7" t="s">
        <v>1741</v>
      </c>
      <c r="B96" s="7">
        <v>2</v>
      </c>
      <c r="C96" s="7">
        <v>5</v>
      </c>
      <c r="D96" s="7">
        <v>6</v>
      </c>
      <c r="E96" s="7">
        <v>3350000</v>
      </c>
      <c r="F96" s="7">
        <f t="shared" si="3"/>
        <v>12681123.5</v>
      </c>
      <c r="G96" s="7">
        <f t="shared" si="4"/>
        <v>40853.608523086041</v>
      </c>
      <c r="H96" s="7" t="s">
        <v>1804</v>
      </c>
      <c r="I96" s="18" t="s">
        <v>1805</v>
      </c>
      <c r="J96" s="18" t="s">
        <v>1802</v>
      </c>
      <c r="K96" s="7" t="s">
        <v>1716</v>
      </c>
      <c r="L96" s="7" t="s">
        <v>2246</v>
      </c>
      <c r="M96" s="7" t="str">
        <f t="shared" si="5"/>
        <v>ND</v>
      </c>
      <c r="N96" s="7" t="str">
        <f t="shared" si="6"/>
        <v>ND</v>
      </c>
    </row>
    <row r="97" spans="1:14" ht="15.6" x14ac:dyDescent="0.3">
      <c r="A97" s="7" t="s">
        <v>1742</v>
      </c>
      <c r="B97" s="7">
        <v>2</v>
      </c>
      <c r="C97" s="7">
        <v>5</v>
      </c>
      <c r="D97" s="7">
        <v>6</v>
      </c>
      <c r="E97" s="7">
        <v>3350000</v>
      </c>
      <c r="F97" s="7">
        <f t="shared" si="3"/>
        <v>12681123.5</v>
      </c>
      <c r="G97" s="7">
        <f t="shared" si="4"/>
        <v>40853.608523086041</v>
      </c>
      <c r="H97" s="7" t="s">
        <v>1804</v>
      </c>
      <c r="I97" s="18" t="s">
        <v>1805</v>
      </c>
      <c r="J97" s="18" t="s">
        <v>1802</v>
      </c>
      <c r="K97" s="7">
        <v>24</v>
      </c>
      <c r="L97" s="7" t="s">
        <v>2246</v>
      </c>
      <c r="M97" s="7">
        <f t="shared" si="5"/>
        <v>2.4E-2</v>
      </c>
      <c r="N97" s="7">
        <f t="shared" si="6"/>
        <v>7.4496959999999994</v>
      </c>
    </row>
    <row r="98" spans="1:14" ht="15.6" x14ac:dyDescent="0.3">
      <c r="A98" s="7" t="s">
        <v>1743</v>
      </c>
      <c r="B98" s="7">
        <v>2</v>
      </c>
      <c r="C98" s="7">
        <v>5</v>
      </c>
      <c r="D98" s="7">
        <v>6</v>
      </c>
      <c r="E98" s="7">
        <v>3350000</v>
      </c>
      <c r="F98" s="7">
        <f t="shared" si="3"/>
        <v>12681123.5</v>
      </c>
      <c r="G98" s="7">
        <f t="shared" si="4"/>
        <v>40853.608523086041</v>
      </c>
      <c r="H98" s="7" t="s">
        <v>1804</v>
      </c>
      <c r="I98" s="18" t="s">
        <v>1805</v>
      </c>
      <c r="J98" s="18" t="s">
        <v>1802</v>
      </c>
      <c r="K98" s="7" t="s">
        <v>1716</v>
      </c>
      <c r="L98" s="7" t="s">
        <v>2246</v>
      </c>
      <c r="M98" s="7" t="str">
        <f t="shared" si="5"/>
        <v>ND</v>
      </c>
      <c r="N98" s="7" t="str">
        <f t="shared" si="6"/>
        <v>ND</v>
      </c>
    </row>
    <row r="99" spans="1:14" ht="15.6" x14ac:dyDescent="0.3">
      <c r="A99" s="7" t="s">
        <v>2030</v>
      </c>
      <c r="B99" s="7">
        <v>2</v>
      </c>
      <c r="C99" s="7">
        <v>5</v>
      </c>
      <c r="D99" s="7">
        <v>6</v>
      </c>
      <c r="E99" s="7">
        <v>3350000</v>
      </c>
      <c r="F99" s="7">
        <f t="shared" si="3"/>
        <v>12681123.5</v>
      </c>
      <c r="G99" s="7">
        <f t="shared" si="4"/>
        <v>40853.608523086041</v>
      </c>
      <c r="H99" s="7" t="s">
        <v>1804</v>
      </c>
      <c r="I99" s="18" t="s">
        <v>1805</v>
      </c>
      <c r="J99" s="18" t="s">
        <v>1802</v>
      </c>
      <c r="K99" s="7" t="s">
        <v>1716</v>
      </c>
      <c r="L99" s="7" t="s">
        <v>2246</v>
      </c>
      <c r="M99" s="7" t="str">
        <f t="shared" si="5"/>
        <v>ND</v>
      </c>
      <c r="N99" s="7" t="str">
        <f t="shared" si="6"/>
        <v>ND</v>
      </c>
    </row>
    <row r="100" spans="1:14" ht="15.6" x14ac:dyDescent="0.3">
      <c r="A100" s="7" t="s">
        <v>1744</v>
      </c>
      <c r="B100" s="7">
        <v>2</v>
      </c>
      <c r="C100" s="7">
        <v>5</v>
      </c>
      <c r="D100" s="7">
        <v>6</v>
      </c>
      <c r="E100" s="7">
        <v>3350000</v>
      </c>
      <c r="F100" s="7">
        <f t="shared" si="3"/>
        <v>12681123.5</v>
      </c>
      <c r="G100" s="7">
        <f t="shared" si="4"/>
        <v>40853.608523086041</v>
      </c>
      <c r="H100" s="7" t="s">
        <v>1804</v>
      </c>
      <c r="I100" s="18" t="s">
        <v>1805</v>
      </c>
      <c r="J100" s="18" t="s">
        <v>1802</v>
      </c>
      <c r="K100" s="7" t="s">
        <v>1716</v>
      </c>
      <c r="L100" s="7" t="s">
        <v>2246</v>
      </c>
      <c r="M100" s="7" t="str">
        <f t="shared" si="5"/>
        <v>ND</v>
      </c>
      <c r="N100" s="7" t="str">
        <f t="shared" si="6"/>
        <v>ND</v>
      </c>
    </row>
    <row r="101" spans="1:14" ht="15.6" x14ac:dyDescent="0.3">
      <c r="A101" s="7" t="s">
        <v>1745</v>
      </c>
      <c r="B101" s="7">
        <v>2</v>
      </c>
      <c r="C101" s="7">
        <v>5</v>
      </c>
      <c r="D101" s="7">
        <v>6</v>
      </c>
      <c r="E101" s="7">
        <v>3350000</v>
      </c>
      <c r="F101" s="7">
        <f t="shared" si="3"/>
        <v>12681123.5</v>
      </c>
      <c r="G101" s="7">
        <f t="shared" si="4"/>
        <v>40853.608523086041</v>
      </c>
      <c r="H101" s="7" t="s">
        <v>1804</v>
      </c>
      <c r="I101" s="18" t="s">
        <v>1805</v>
      </c>
      <c r="J101" s="18" t="s">
        <v>1802</v>
      </c>
      <c r="K101" s="7" t="s">
        <v>1716</v>
      </c>
      <c r="L101" s="7" t="s">
        <v>2246</v>
      </c>
      <c r="M101" s="7" t="str">
        <f t="shared" si="5"/>
        <v>ND</v>
      </c>
      <c r="N101" s="7" t="str">
        <f t="shared" si="6"/>
        <v>ND</v>
      </c>
    </row>
    <row r="102" spans="1:14" ht="15.6" x14ac:dyDescent="0.3">
      <c r="A102" s="7" t="s">
        <v>1746</v>
      </c>
      <c r="B102" s="7">
        <v>2</v>
      </c>
      <c r="C102" s="7">
        <v>5</v>
      </c>
      <c r="D102" s="7">
        <v>6</v>
      </c>
      <c r="E102" s="7">
        <v>3350000</v>
      </c>
      <c r="F102" s="7">
        <f t="shared" si="3"/>
        <v>12681123.5</v>
      </c>
      <c r="G102" s="7">
        <f t="shared" si="4"/>
        <v>40853.608523086041</v>
      </c>
      <c r="H102" s="7" t="s">
        <v>1804</v>
      </c>
      <c r="I102" s="18" t="s">
        <v>1805</v>
      </c>
      <c r="J102" s="18" t="s">
        <v>1802</v>
      </c>
      <c r="K102" s="7">
        <v>548</v>
      </c>
      <c r="L102" s="7" t="s">
        <v>2246</v>
      </c>
      <c r="M102" s="7">
        <f t="shared" si="5"/>
        <v>0.54800000000000004</v>
      </c>
      <c r="N102" s="7">
        <f t="shared" si="6"/>
        <v>170.101392</v>
      </c>
    </row>
    <row r="103" spans="1:14" ht="15.6" x14ac:dyDescent="0.3">
      <c r="A103" s="7" t="s">
        <v>1747</v>
      </c>
      <c r="B103" s="7">
        <v>2</v>
      </c>
      <c r="C103" s="7">
        <v>5</v>
      </c>
      <c r="D103" s="7">
        <v>6</v>
      </c>
      <c r="E103" s="7">
        <v>3350000</v>
      </c>
      <c r="F103" s="7">
        <f t="shared" si="3"/>
        <v>12681123.5</v>
      </c>
      <c r="G103" s="7">
        <f t="shared" si="4"/>
        <v>40853.608523086041</v>
      </c>
      <c r="H103" s="7" t="s">
        <v>1804</v>
      </c>
      <c r="I103" s="18" t="s">
        <v>1805</v>
      </c>
      <c r="J103" s="18" t="s">
        <v>1802</v>
      </c>
      <c r="K103" s="7">
        <v>672</v>
      </c>
      <c r="L103" s="7" t="s">
        <v>2246</v>
      </c>
      <c r="M103" s="7">
        <f t="shared" si="5"/>
        <v>0.67200000000000004</v>
      </c>
      <c r="N103" s="7">
        <f t="shared" si="6"/>
        <v>208.59148800000003</v>
      </c>
    </row>
    <row r="104" spans="1:14" ht="15.6" x14ac:dyDescent="0.3">
      <c r="A104" s="7" t="s">
        <v>1729</v>
      </c>
      <c r="B104" s="7">
        <v>2</v>
      </c>
      <c r="C104" s="7">
        <v>6</v>
      </c>
      <c r="D104" s="7">
        <v>7</v>
      </c>
      <c r="E104" s="7">
        <v>50000000</v>
      </c>
      <c r="F104" s="7">
        <f t="shared" si="3"/>
        <v>189270500</v>
      </c>
      <c r="G104" s="7">
        <f t="shared" si="4"/>
        <v>609755.35109083646</v>
      </c>
      <c r="H104" s="7" t="s">
        <v>1804</v>
      </c>
      <c r="I104" s="18" t="s">
        <v>1805</v>
      </c>
      <c r="J104" s="18" t="s">
        <v>1802</v>
      </c>
      <c r="K104" s="7">
        <v>547</v>
      </c>
      <c r="L104" s="7" t="s">
        <v>2246</v>
      </c>
      <c r="M104" s="7">
        <f t="shared" si="5"/>
        <v>0.54700000000000004</v>
      </c>
      <c r="N104" s="7">
        <f t="shared" si="6"/>
        <v>169.79098800000003</v>
      </c>
    </row>
    <row r="105" spans="1:14" ht="15.6" x14ac:dyDescent="0.3">
      <c r="A105" s="7" t="s">
        <v>1730</v>
      </c>
      <c r="B105" s="7">
        <v>2</v>
      </c>
      <c r="C105" s="7">
        <v>6</v>
      </c>
      <c r="D105" s="7">
        <v>7</v>
      </c>
      <c r="E105" s="7">
        <v>50000000</v>
      </c>
      <c r="F105" s="7">
        <f t="shared" si="3"/>
        <v>189270500</v>
      </c>
      <c r="G105" s="7">
        <f t="shared" si="4"/>
        <v>609755.35109083646</v>
      </c>
      <c r="H105" s="7" t="s">
        <v>1804</v>
      </c>
      <c r="I105" s="18" t="s">
        <v>1805</v>
      </c>
      <c r="J105" s="18" t="s">
        <v>1802</v>
      </c>
      <c r="K105" s="7">
        <v>7</v>
      </c>
      <c r="L105" s="7" t="s">
        <v>2246</v>
      </c>
      <c r="M105" s="7">
        <f t="shared" si="5"/>
        <v>7.0000000000000001E-3</v>
      </c>
      <c r="N105" s="7">
        <f t="shared" si="6"/>
        <v>2.172828</v>
      </c>
    </row>
    <row r="106" spans="1:14" ht="15.6" x14ac:dyDescent="0.3">
      <c r="A106" s="7" t="s">
        <v>1731</v>
      </c>
      <c r="B106" s="7">
        <v>2</v>
      </c>
      <c r="C106" s="7">
        <v>6</v>
      </c>
      <c r="D106" s="7">
        <v>7</v>
      </c>
      <c r="E106" s="7">
        <v>50000000</v>
      </c>
      <c r="F106" s="7">
        <f t="shared" ref="F106:F167" si="7">E106*3.78541</f>
        <v>189270500</v>
      </c>
      <c r="G106" s="7">
        <f t="shared" ref="G106:G124" si="8">F106/310.404</f>
        <v>609755.35109083646</v>
      </c>
      <c r="H106" s="7" t="s">
        <v>1804</v>
      </c>
      <c r="I106" s="18" t="s">
        <v>1805</v>
      </c>
      <c r="J106" s="18" t="s">
        <v>1802</v>
      </c>
      <c r="K106" s="7">
        <v>14</v>
      </c>
      <c r="L106" s="7" t="s">
        <v>2246</v>
      </c>
      <c r="M106" s="7">
        <f t="shared" ref="M106:M169" si="9">IFERROR(K106/1000,"ND")</f>
        <v>1.4E-2</v>
      </c>
      <c r="N106" s="7">
        <f t="shared" si="6"/>
        <v>4.345656</v>
      </c>
    </row>
    <row r="107" spans="1:14" ht="15.6" x14ac:dyDescent="0.3">
      <c r="A107" s="7" t="s">
        <v>1732</v>
      </c>
      <c r="B107" s="7">
        <v>2</v>
      </c>
      <c r="C107" s="7">
        <v>6</v>
      </c>
      <c r="D107" s="7">
        <v>7</v>
      </c>
      <c r="E107" s="7">
        <v>50000000</v>
      </c>
      <c r="F107" s="7">
        <f t="shared" si="7"/>
        <v>189270500</v>
      </c>
      <c r="G107" s="7">
        <f t="shared" si="8"/>
        <v>609755.35109083646</v>
      </c>
      <c r="H107" s="7" t="s">
        <v>1804</v>
      </c>
      <c r="I107" s="18" t="s">
        <v>1805</v>
      </c>
      <c r="J107" s="18" t="s">
        <v>1802</v>
      </c>
      <c r="K107" s="7">
        <v>45</v>
      </c>
      <c r="L107" s="7" t="s">
        <v>2246</v>
      </c>
      <c r="M107" s="7">
        <f t="shared" si="9"/>
        <v>4.4999999999999998E-2</v>
      </c>
      <c r="N107" s="7">
        <f t="shared" si="6"/>
        <v>13.96818</v>
      </c>
    </row>
    <row r="108" spans="1:14" ht="15.6" x14ac:dyDescent="0.3">
      <c r="A108" s="7" t="s">
        <v>1733</v>
      </c>
      <c r="B108" s="7">
        <v>2</v>
      </c>
      <c r="C108" s="7">
        <v>6</v>
      </c>
      <c r="D108" s="7">
        <v>7</v>
      </c>
      <c r="E108" s="7">
        <v>50000000</v>
      </c>
      <c r="F108" s="7">
        <f t="shared" si="7"/>
        <v>189270500</v>
      </c>
      <c r="G108" s="7">
        <f t="shared" si="8"/>
        <v>609755.35109083646</v>
      </c>
      <c r="H108" s="7" t="s">
        <v>1804</v>
      </c>
      <c r="I108" s="18" t="s">
        <v>1805</v>
      </c>
      <c r="J108" s="18" t="s">
        <v>1802</v>
      </c>
      <c r="K108" s="7">
        <v>75</v>
      </c>
      <c r="L108" s="7" t="s">
        <v>2246</v>
      </c>
      <c r="M108" s="7">
        <f t="shared" si="9"/>
        <v>7.4999999999999997E-2</v>
      </c>
      <c r="N108" s="7">
        <f t="shared" si="6"/>
        <v>23.2803</v>
      </c>
    </row>
    <row r="109" spans="1:14" ht="15.6" x14ac:dyDescent="0.3">
      <c r="A109" s="7" t="s">
        <v>1734</v>
      </c>
      <c r="B109" s="7">
        <v>2</v>
      </c>
      <c r="C109" s="7">
        <v>6</v>
      </c>
      <c r="D109" s="7">
        <v>7</v>
      </c>
      <c r="E109" s="7">
        <v>50000000</v>
      </c>
      <c r="F109" s="7">
        <f t="shared" si="7"/>
        <v>189270500</v>
      </c>
      <c r="G109" s="7">
        <f t="shared" si="8"/>
        <v>609755.35109083646</v>
      </c>
      <c r="H109" s="7" t="s">
        <v>1804</v>
      </c>
      <c r="I109" s="18" t="s">
        <v>1805</v>
      </c>
      <c r="J109" s="18" t="s">
        <v>1802</v>
      </c>
      <c r="K109" s="7">
        <v>420</v>
      </c>
      <c r="L109" s="7" t="s">
        <v>2246</v>
      </c>
      <c r="M109" s="7">
        <f t="shared" si="9"/>
        <v>0.42</v>
      </c>
      <c r="N109" s="7">
        <f t="shared" si="6"/>
        <v>130.36967999999999</v>
      </c>
    </row>
    <row r="110" spans="1:14" ht="15.6" x14ac:dyDescent="0.3">
      <c r="A110" s="7" t="s">
        <v>1735</v>
      </c>
      <c r="B110" s="7">
        <v>2</v>
      </c>
      <c r="C110" s="7">
        <v>6</v>
      </c>
      <c r="D110" s="7">
        <v>7</v>
      </c>
      <c r="E110" s="7">
        <v>50000000</v>
      </c>
      <c r="F110" s="7">
        <f t="shared" si="7"/>
        <v>189270500</v>
      </c>
      <c r="G110" s="7">
        <f t="shared" si="8"/>
        <v>609755.35109083646</v>
      </c>
      <c r="H110" s="7" t="s">
        <v>1804</v>
      </c>
      <c r="I110" s="18" t="s">
        <v>1805</v>
      </c>
      <c r="J110" s="18" t="s">
        <v>1802</v>
      </c>
      <c r="K110" s="7">
        <v>53</v>
      </c>
      <c r="L110" s="7" t="s">
        <v>2246</v>
      </c>
      <c r="M110" s="7">
        <f t="shared" si="9"/>
        <v>5.2999999999999999E-2</v>
      </c>
      <c r="N110" s="7">
        <f t="shared" si="6"/>
        <v>16.451412000000001</v>
      </c>
    </row>
    <row r="111" spans="1:14" ht="15.6" x14ac:dyDescent="0.3">
      <c r="A111" s="7" t="s">
        <v>1736</v>
      </c>
      <c r="B111" s="7">
        <v>2</v>
      </c>
      <c r="C111" s="7">
        <v>6</v>
      </c>
      <c r="D111" s="7">
        <v>7</v>
      </c>
      <c r="E111" s="7">
        <v>50000000</v>
      </c>
      <c r="F111" s="7">
        <f t="shared" si="7"/>
        <v>189270500</v>
      </c>
      <c r="G111" s="7">
        <f t="shared" si="8"/>
        <v>609755.35109083646</v>
      </c>
      <c r="H111" s="7" t="s">
        <v>1804</v>
      </c>
      <c r="I111" s="18" t="s">
        <v>1805</v>
      </c>
      <c r="J111" s="18" t="s">
        <v>1802</v>
      </c>
      <c r="K111" s="7">
        <v>17</v>
      </c>
      <c r="L111" s="7" t="s">
        <v>2246</v>
      </c>
      <c r="M111" s="7">
        <f t="shared" si="9"/>
        <v>1.7000000000000001E-2</v>
      </c>
      <c r="N111" s="7">
        <f t="shared" si="6"/>
        <v>5.2768680000000003</v>
      </c>
    </row>
    <row r="112" spans="1:14" ht="15.6" x14ac:dyDescent="0.3">
      <c r="A112" s="7" t="s">
        <v>1737</v>
      </c>
      <c r="B112" s="7">
        <v>2</v>
      </c>
      <c r="C112" s="7">
        <v>6</v>
      </c>
      <c r="D112" s="7">
        <v>7</v>
      </c>
      <c r="E112" s="7">
        <v>50000000</v>
      </c>
      <c r="F112" s="7">
        <f t="shared" si="7"/>
        <v>189270500</v>
      </c>
      <c r="G112" s="7">
        <f t="shared" si="8"/>
        <v>609755.35109083646</v>
      </c>
      <c r="H112" s="7" t="s">
        <v>1804</v>
      </c>
      <c r="I112" s="18" t="s">
        <v>1805</v>
      </c>
      <c r="J112" s="18" t="s">
        <v>1802</v>
      </c>
      <c r="K112" s="7">
        <v>18</v>
      </c>
      <c r="L112" s="7" t="s">
        <v>2246</v>
      </c>
      <c r="M112" s="7">
        <f t="shared" si="9"/>
        <v>1.7999999999999999E-2</v>
      </c>
      <c r="N112" s="7">
        <f t="shared" si="6"/>
        <v>5.5872719999999996</v>
      </c>
    </row>
    <row r="113" spans="1:14" ht="15.6" x14ac:dyDescent="0.3">
      <c r="A113" s="7" t="s">
        <v>1738</v>
      </c>
      <c r="B113" s="7">
        <v>2</v>
      </c>
      <c r="C113" s="7">
        <v>6</v>
      </c>
      <c r="D113" s="7">
        <v>7</v>
      </c>
      <c r="E113" s="7">
        <v>50000000</v>
      </c>
      <c r="F113" s="7">
        <f t="shared" si="7"/>
        <v>189270500</v>
      </c>
      <c r="G113" s="7">
        <f t="shared" si="8"/>
        <v>609755.35109083646</v>
      </c>
      <c r="H113" s="7" t="s">
        <v>1804</v>
      </c>
      <c r="I113" s="18" t="s">
        <v>1805</v>
      </c>
      <c r="J113" s="18" t="s">
        <v>1802</v>
      </c>
      <c r="K113" s="7" t="s">
        <v>1716</v>
      </c>
      <c r="L113" s="7" t="s">
        <v>2246</v>
      </c>
      <c r="M113" s="7" t="str">
        <f t="shared" si="9"/>
        <v>ND</v>
      </c>
      <c r="N113" s="7" t="str">
        <f t="shared" si="6"/>
        <v>ND</v>
      </c>
    </row>
    <row r="114" spans="1:14" ht="15.6" x14ac:dyDescent="0.3">
      <c r="A114" s="7" t="s">
        <v>1728</v>
      </c>
      <c r="B114" s="7">
        <v>2</v>
      </c>
      <c r="C114" s="7">
        <v>6</v>
      </c>
      <c r="D114" s="7">
        <v>7</v>
      </c>
      <c r="E114" s="7">
        <v>50000000</v>
      </c>
      <c r="F114" s="7">
        <f t="shared" si="7"/>
        <v>189270500</v>
      </c>
      <c r="G114" s="7">
        <f t="shared" si="8"/>
        <v>609755.35109083646</v>
      </c>
      <c r="H114" s="7" t="s">
        <v>1804</v>
      </c>
      <c r="I114" s="18" t="s">
        <v>1805</v>
      </c>
      <c r="J114" s="18" t="s">
        <v>1802</v>
      </c>
      <c r="K114" s="7" t="s">
        <v>1716</v>
      </c>
      <c r="L114" s="7" t="s">
        <v>2246</v>
      </c>
      <c r="M114" s="7" t="str">
        <f t="shared" si="9"/>
        <v>ND</v>
      </c>
      <c r="N114" s="7" t="str">
        <f t="shared" si="6"/>
        <v>ND</v>
      </c>
    </row>
    <row r="115" spans="1:14" ht="15.6" x14ac:dyDescent="0.3">
      <c r="A115" s="7" t="s">
        <v>1739</v>
      </c>
      <c r="B115" s="7">
        <v>2</v>
      </c>
      <c r="C115" s="7">
        <v>6</v>
      </c>
      <c r="D115" s="7">
        <v>7</v>
      </c>
      <c r="E115" s="7">
        <v>50000000</v>
      </c>
      <c r="F115" s="7">
        <f t="shared" si="7"/>
        <v>189270500</v>
      </c>
      <c r="G115" s="7">
        <f t="shared" si="8"/>
        <v>609755.35109083646</v>
      </c>
      <c r="H115" s="7" t="s">
        <v>1804</v>
      </c>
      <c r="I115" s="18" t="s">
        <v>1805</v>
      </c>
      <c r="J115" s="18" t="s">
        <v>1802</v>
      </c>
      <c r="K115" s="7" t="s">
        <v>1716</v>
      </c>
      <c r="L115" s="7" t="s">
        <v>2246</v>
      </c>
      <c r="M115" s="7" t="str">
        <f t="shared" si="9"/>
        <v>ND</v>
      </c>
      <c r="N115" s="7" t="str">
        <f t="shared" si="6"/>
        <v>ND</v>
      </c>
    </row>
    <row r="116" spans="1:14" ht="15.6" x14ac:dyDescent="0.3">
      <c r="A116" s="7" t="s">
        <v>1740</v>
      </c>
      <c r="B116" s="7">
        <v>2</v>
      </c>
      <c r="C116" s="7">
        <v>6</v>
      </c>
      <c r="D116" s="7">
        <v>7</v>
      </c>
      <c r="E116" s="7">
        <v>50000000</v>
      </c>
      <c r="F116" s="7">
        <f t="shared" si="7"/>
        <v>189270500</v>
      </c>
      <c r="G116" s="7">
        <f t="shared" si="8"/>
        <v>609755.35109083646</v>
      </c>
      <c r="H116" s="7" t="s">
        <v>1804</v>
      </c>
      <c r="I116" s="18" t="s">
        <v>1805</v>
      </c>
      <c r="J116" s="18" t="s">
        <v>1802</v>
      </c>
      <c r="K116" s="7">
        <v>433</v>
      </c>
      <c r="L116" s="7" t="s">
        <v>2246</v>
      </c>
      <c r="M116" s="7">
        <f t="shared" si="9"/>
        <v>0.433</v>
      </c>
      <c r="N116" s="7">
        <f t="shared" si="6"/>
        <v>134.404932</v>
      </c>
    </row>
    <row r="117" spans="1:14" ht="15.6" x14ac:dyDescent="0.3">
      <c r="A117" s="7" t="s">
        <v>1741</v>
      </c>
      <c r="B117" s="7">
        <v>2</v>
      </c>
      <c r="C117" s="7">
        <v>6</v>
      </c>
      <c r="D117" s="7">
        <v>7</v>
      </c>
      <c r="E117" s="7">
        <v>50000000</v>
      </c>
      <c r="F117" s="7">
        <f t="shared" si="7"/>
        <v>189270500</v>
      </c>
      <c r="G117" s="7">
        <f t="shared" si="8"/>
        <v>609755.35109083646</v>
      </c>
      <c r="H117" s="7" t="s">
        <v>1804</v>
      </c>
      <c r="I117" s="18" t="s">
        <v>1805</v>
      </c>
      <c r="J117" s="18" t="s">
        <v>1802</v>
      </c>
      <c r="K117" s="7" t="s">
        <v>1716</v>
      </c>
      <c r="L117" s="7" t="s">
        <v>2246</v>
      </c>
      <c r="M117" s="7" t="str">
        <f t="shared" si="9"/>
        <v>ND</v>
      </c>
      <c r="N117" s="7" t="str">
        <f t="shared" si="6"/>
        <v>ND</v>
      </c>
    </row>
    <row r="118" spans="1:14" ht="15.6" x14ac:dyDescent="0.3">
      <c r="A118" s="7" t="s">
        <v>1742</v>
      </c>
      <c r="B118" s="7">
        <v>2</v>
      </c>
      <c r="C118" s="7">
        <v>6</v>
      </c>
      <c r="D118" s="7">
        <v>7</v>
      </c>
      <c r="E118" s="7">
        <v>50000000</v>
      </c>
      <c r="F118" s="7">
        <f t="shared" si="7"/>
        <v>189270500</v>
      </c>
      <c r="G118" s="7">
        <f t="shared" si="8"/>
        <v>609755.35109083646</v>
      </c>
      <c r="H118" s="7" t="s">
        <v>1804</v>
      </c>
      <c r="I118" s="18" t="s">
        <v>1805</v>
      </c>
      <c r="J118" s="18" t="s">
        <v>1802</v>
      </c>
      <c r="K118" s="7" t="s">
        <v>1716</v>
      </c>
      <c r="L118" s="7" t="s">
        <v>2246</v>
      </c>
      <c r="M118" s="7" t="str">
        <f t="shared" si="9"/>
        <v>ND</v>
      </c>
      <c r="N118" s="7" t="str">
        <f t="shared" si="6"/>
        <v>ND</v>
      </c>
    </row>
    <row r="119" spans="1:14" ht="15.6" x14ac:dyDescent="0.3">
      <c r="A119" s="7" t="s">
        <v>1743</v>
      </c>
      <c r="B119" s="7">
        <v>2</v>
      </c>
      <c r="C119" s="7">
        <v>6</v>
      </c>
      <c r="D119" s="7">
        <v>7</v>
      </c>
      <c r="E119" s="7">
        <v>50000000</v>
      </c>
      <c r="F119" s="7">
        <f t="shared" si="7"/>
        <v>189270500</v>
      </c>
      <c r="G119" s="7">
        <f t="shared" si="8"/>
        <v>609755.35109083646</v>
      </c>
      <c r="H119" s="7" t="s">
        <v>1804</v>
      </c>
      <c r="I119" s="18" t="s">
        <v>1805</v>
      </c>
      <c r="J119" s="18" t="s">
        <v>1802</v>
      </c>
      <c r="K119" s="7" t="s">
        <v>1716</v>
      </c>
      <c r="L119" s="7" t="s">
        <v>2246</v>
      </c>
      <c r="M119" s="7" t="str">
        <f t="shared" si="9"/>
        <v>ND</v>
      </c>
      <c r="N119" s="7" t="str">
        <f t="shared" si="6"/>
        <v>ND</v>
      </c>
    </row>
    <row r="120" spans="1:14" ht="15.6" x14ac:dyDescent="0.3">
      <c r="A120" s="7" t="s">
        <v>2030</v>
      </c>
      <c r="B120" s="7">
        <v>2</v>
      </c>
      <c r="C120" s="7">
        <v>6</v>
      </c>
      <c r="D120" s="7">
        <v>7</v>
      </c>
      <c r="E120" s="7">
        <v>50000000</v>
      </c>
      <c r="F120" s="7">
        <f t="shared" si="7"/>
        <v>189270500</v>
      </c>
      <c r="G120" s="7">
        <f t="shared" si="8"/>
        <v>609755.35109083646</v>
      </c>
      <c r="H120" s="7" t="s">
        <v>1804</v>
      </c>
      <c r="I120" s="18" t="s">
        <v>1805</v>
      </c>
      <c r="J120" s="18" t="s">
        <v>1802</v>
      </c>
      <c r="K120" s="7" t="s">
        <v>1716</v>
      </c>
      <c r="L120" s="7" t="s">
        <v>2246</v>
      </c>
      <c r="M120" s="7" t="str">
        <f t="shared" si="9"/>
        <v>ND</v>
      </c>
      <c r="N120" s="7" t="str">
        <f t="shared" si="6"/>
        <v>ND</v>
      </c>
    </row>
    <row r="121" spans="1:14" ht="15.6" x14ac:dyDescent="0.3">
      <c r="A121" s="7" t="s">
        <v>1744</v>
      </c>
      <c r="B121" s="7">
        <v>2</v>
      </c>
      <c r="C121" s="7">
        <v>6</v>
      </c>
      <c r="D121" s="7">
        <v>7</v>
      </c>
      <c r="E121" s="7">
        <v>50000000</v>
      </c>
      <c r="F121" s="7">
        <f t="shared" si="7"/>
        <v>189270500</v>
      </c>
      <c r="G121" s="7">
        <f t="shared" si="8"/>
        <v>609755.35109083646</v>
      </c>
      <c r="H121" s="7" t="s">
        <v>1804</v>
      </c>
      <c r="I121" s="18" t="s">
        <v>1805</v>
      </c>
      <c r="J121" s="18" t="s">
        <v>1802</v>
      </c>
      <c r="K121" s="7">
        <v>24</v>
      </c>
      <c r="L121" s="7" t="s">
        <v>2246</v>
      </c>
      <c r="M121" s="7">
        <f t="shared" si="9"/>
        <v>2.4E-2</v>
      </c>
      <c r="N121" s="7">
        <f t="shared" si="6"/>
        <v>7.4496960000000003</v>
      </c>
    </row>
    <row r="122" spans="1:14" ht="15.6" x14ac:dyDescent="0.3">
      <c r="A122" s="7" t="s">
        <v>1745</v>
      </c>
      <c r="B122" s="7">
        <v>2</v>
      </c>
      <c r="C122" s="7">
        <v>6</v>
      </c>
      <c r="D122" s="7">
        <v>7</v>
      </c>
      <c r="E122" s="7">
        <v>50000000</v>
      </c>
      <c r="F122" s="7">
        <f t="shared" si="7"/>
        <v>189270500</v>
      </c>
      <c r="G122" s="7">
        <f t="shared" si="8"/>
        <v>609755.35109083646</v>
      </c>
      <c r="H122" s="7" t="s">
        <v>1804</v>
      </c>
      <c r="I122" s="18" t="s">
        <v>1805</v>
      </c>
      <c r="J122" s="18" t="s">
        <v>1802</v>
      </c>
      <c r="K122" s="7">
        <v>16</v>
      </c>
      <c r="L122" s="7" t="s">
        <v>2246</v>
      </c>
      <c r="M122" s="7">
        <f t="shared" si="9"/>
        <v>1.6E-2</v>
      </c>
      <c r="N122" s="7">
        <f t="shared" si="6"/>
        <v>4.9664640000000002</v>
      </c>
    </row>
    <row r="123" spans="1:14" ht="15.6" x14ac:dyDescent="0.3">
      <c r="A123" s="7" t="s">
        <v>1746</v>
      </c>
      <c r="B123" s="7">
        <v>2</v>
      </c>
      <c r="C123" s="7">
        <v>6</v>
      </c>
      <c r="D123" s="7">
        <v>7</v>
      </c>
      <c r="E123" s="7">
        <v>50000000</v>
      </c>
      <c r="F123" s="7">
        <f t="shared" si="7"/>
        <v>189270500</v>
      </c>
      <c r="G123" s="7">
        <f t="shared" si="8"/>
        <v>609755.35109083646</v>
      </c>
      <c r="H123" s="7" t="s">
        <v>1804</v>
      </c>
      <c r="I123" s="18" t="s">
        <v>1805</v>
      </c>
      <c r="J123" s="18" t="s">
        <v>1802</v>
      </c>
      <c r="K123" s="7">
        <v>108</v>
      </c>
      <c r="L123" s="7" t="s">
        <v>2246</v>
      </c>
      <c r="M123" s="7">
        <f t="shared" si="9"/>
        <v>0.108</v>
      </c>
      <c r="N123" s="7">
        <f t="shared" si="6"/>
        <v>33.523631999999999</v>
      </c>
    </row>
    <row r="124" spans="1:14" ht="15.6" x14ac:dyDescent="0.3">
      <c r="A124" s="7" t="s">
        <v>1747</v>
      </c>
      <c r="B124" s="7">
        <v>2</v>
      </c>
      <c r="C124" s="7">
        <v>6</v>
      </c>
      <c r="D124" s="7">
        <v>7</v>
      </c>
      <c r="E124" s="7">
        <v>50000000</v>
      </c>
      <c r="F124" s="7">
        <f t="shared" si="7"/>
        <v>189270500</v>
      </c>
      <c r="G124" s="7">
        <f t="shared" si="8"/>
        <v>609755.35109083646</v>
      </c>
      <c r="H124" s="7" t="s">
        <v>1804</v>
      </c>
      <c r="I124" s="18" t="s">
        <v>1805</v>
      </c>
      <c r="J124" s="18" t="s">
        <v>1802</v>
      </c>
      <c r="K124" s="7">
        <v>111</v>
      </c>
      <c r="L124" s="7" t="s">
        <v>2246</v>
      </c>
      <c r="M124" s="7">
        <f t="shared" si="9"/>
        <v>0.111</v>
      </c>
      <c r="N124" s="7">
        <f t="shared" si="6"/>
        <v>34.454844000000001</v>
      </c>
    </row>
    <row r="125" spans="1:14" ht="15.6" x14ac:dyDescent="0.3">
      <c r="A125" s="18" t="s">
        <v>1721</v>
      </c>
      <c r="B125" s="7">
        <v>3</v>
      </c>
      <c r="C125" s="7">
        <v>7</v>
      </c>
      <c r="D125" s="7" t="s">
        <v>2244</v>
      </c>
      <c r="E125" s="7">
        <v>3951000</v>
      </c>
      <c r="F125" s="7">
        <f t="shared" si="7"/>
        <v>14956154.91</v>
      </c>
      <c r="G125" s="7">
        <v>30000</v>
      </c>
      <c r="H125" s="7" t="s">
        <v>2248</v>
      </c>
      <c r="I125" s="18" t="s">
        <v>1806</v>
      </c>
      <c r="J125" s="18" t="s">
        <v>1802</v>
      </c>
      <c r="K125" s="3">
        <f>0.438525*1000</f>
        <v>438.52499999999998</v>
      </c>
      <c r="L125" s="7" t="s">
        <v>2246</v>
      </c>
      <c r="M125" s="7">
        <f t="shared" si="9"/>
        <v>0.438525</v>
      </c>
      <c r="N125" s="7">
        <f t="shared" si="6"/>
        <v>218.62159439692499</v>
      </c>
    </row>
    <row r="126" spans="1:14" ht="15.6" x14ac:dyDescent="0.3">
      <c r="A126" s="18" t="s">
        <v>1748</v>
      </c>
      <c r="B126" s="7">
        <v>3</v>
      </c>
      <c r="C126" s="7">
        <v>7</v>
      </c>
      <c r="D126" s="7" t="s">
        <v>2244</v>
      </c>
      <c r="E126" s="7">
        <v>3951000</v>
      </c>
      <c r="F126" s="7">
        <f t="shared" si="7"/>
        <v>14956154.91</v>
      </c>
      <c r="G126" s="7">
        <v>30000</v>
      </c>
      <c r="H126" s="7" t="s">
        <v>2248</v>
      </c>
      <c r="I126" s="18" t="s">
        <v>1806</v>
      </c>
      <c r="J126" s="18" t="s">
        <v>1802</v>
      </c>
      <c r="K126" s="3">
        <f>1000*6.1318375</f>
        <v>6131.8374999999996</v>
      </c>
      <c r="L126" s="7" t="s">
        <v>2246</v>
      </c>
      <c r="M126" s="7">
        <f t="shared" si="9"/>
        <v>6.1318374999999996</v>
      </c>
      <c r="N126" s="7">
        <f t="shared" si="6"/>
        <v>3056.9570510982376</v>
      </c>
    </row>
    <row r="127" spans="1:14" ht="15.6" x14ac:dyDescent="0.3">
      <c r="A127" s="18" t="s">
        <v>1718</v>
      </c>
      <c r="B127" s="7">
        <v>3</v>
      </c>
      <c r="C127" s="7">
        <v>7</v>
      </c>
      <c r="D127" s="7" t="s">
        <v>2244</v>
      </c>
      <c r="E127" s="7">
        <v>3951000</v>
      </c>
      <c r="F127" s="7">
        <f t="shared" si="7"/>
        <v>14956154.91</v>
      </c>
      <c r="G127" s="7">
        <v>30000</v>
      </c>
      <c r="H127" s="7" t="s">
        <v>2248</v>
      </c>
      <c r="I127" s="18" t="s">
        <v>1806</v>
      </c>
      <c r="J127" s="18" t="s">
        <v>1802</v>
      </c>
      <c r="K127" s="3">
        <f>1000*0.3751375</f>
        <v>375.13749999999999</v>
      </c>
      <c r="L127" s="7" t="s">
        <v>2246</v>
      </c>
      <c r="M127" s="7">
        <f t="shared" si="9"/>
        <v>0.37513750000000001</v>
      </c>
      <c r="N127" s="7">
        <f t="shared" si="6"/>
        <v>187.02048541833753</v>
      </c>
    </row>
    <row r="128" spans="1:14" ht="15.6" x14ac:dyDescent="0.3">
      <c r="A128" s="18" t="s">
        <v>1744</v>
      </c>
      <c r="B128" s="7">
        <v>3</v>
      </c>
      <c r="C128" s="7">
        <v>7</v>
      </c>
      <c r="D128" s="7" t="s">
        <v>2244</v>
      </c>
      <c r="E128" s="7">
        <v>3951000</v>
      </c>
      <c r="F128" s="7">
        <f t="shared" si="7"/>
        <v>14956154.91</v>
      </c>
      <c r="G128" s="7">
        <v>30000</v>
      </c>
      <c r="H128" s="7" t="s">
        <v>2248</v>
      </c>
      <c r="I128" s="18" t="s">
        <v>1806</v>
      </c>
      <c r="J128" s="18" t="s">
        <v>1802</v>
      </c>
      <c r="K128" s="3">
        <f>1000*1.4140875</f>
        <v>1414.0874999999999</v>
      </c>
      <c r="L128" s="7" t="s">
        <v>2246</v>
      </c>
      <c r="M128" s="7">
        <f t="shared" si="9"/>
        <v>1.4140874999999999</v>
      </c>
      <c r="N128" s="7">
        <f t="shared" si="6"/>
        <v>704.9770568764875</v>
      </c>
    </row>
    <row r="129" spans="1:14" ht="15.6" x14ac:dyDescent="0.3">
      <c r="A129" s="18" t="s">
        <v>1721</v>
      </c>
      <c r="B129" s="7">
        <v>3</v>
      </c>
      <c r="C129" s="7">
        <v>7</v>
      </c>
      <c r="D129" s="7" t="s">
        <v>2244</v>
      </c>
      <c r="E129" s="7">
        <v>3951000</v>
      </c>
      <c r="F129" s="7">
        <f t="shared" si="7"/>
        <v>14956154.91</v>
      </c>
      <c r="G129" s="7">
        <v>30000</v>
      </c>
      <c r="H129" s="7" t="s">
        <v>2248</v>
      </c>
      <c r="I129" s="18" t="s">
        <v>1806</v>
      </c>
      <c r="J129" s="18" t="s">
        <v>1807</v>
      </c>
      <c r="K129" s="3">
        <f>1000*0.1021</f>
        <v>102.1</v>
      </c>
      <c r="L129" s="7" t="s">
        <v>2246</v>
      </c>
      <c r="M129" s="7">
        <f t="shared" si="9"/>
        <v>0.1021</v>
      </c>
      <c r="N129" s="7">
        <f t="shared" si="6"/>
        <v>50.900780543700002</v>
      </c>
    </row>
    <row r="130" spans="1:14" ht="15.6" x14ac:dyDescent="0.3">
      <c r="A130" s="18" t="s">
        <v>1748</v>
      </c>
      <c r="B130" s="7">
        <v>3</v>
      </c>
      <c r="C130" s="7">
        <v>7</v>
      </c>
      <c r="D130" s="7" t="s">
        <v>2244</v>
      </c>
      <c r="E130" s="7">
        <v>3951000</v>
      </c>
      <c r="F130" s="7">
        <f t="shared" si="7"/>
        <v>14956154.91</v>
      </c>
      <c r="G130" s="7">
        <v>30000</v>
      </c>
      <c r="H130" s="7" t="s">
        <v>2248</v>
      </c>
      <c r="I130" s="18" t="s">
        <v>1806</v>
      </c>
      <c r="J130" s="18" t="s">
        <v>1807</v>
      </c>
      <c r="K130" s="3">
        <f>1000*7.3471</f>
        <v>7347.1</v>
      </c>
      <c r="L130" s="7" t="s">
        <v>2246</v>
      </c>
      <c r="M130" s="7">
        <f t="shared" si="9"/>
        <v>7.3471000000000002</v>
      </c>
      <c r="N130" s="7">
        <f t="shared" si="6"/>
        <v>3662.8121913087002</v>
      </c>
    </row>
    <row r="131" spans="1:14" ht="15.6" x14ac:dyDescent="0.3">
      <c r="A131" s="18" t="s">
        <v>1718</v>
      </c>
      <c r="B131" s="7">
        <v>3</v>
      </c>
      <c r="C131" s="7">
        <v>7</v>
      </c>
      <c r="D131" s="7" t="s">
        <v>2244</v>
      </c>
      <c r="E131" s="7">
        <v>3951000</v>
      </c>
      <c r="F131" s="7">
        <f t="shared" si="7"/>
        <v>14956154.91</v>
      </c>
      <c r="G131" s="7">
        <v>30000</v>
      </c>
      <c r="H131" s="7" t="s">
        <v>2248</v>
      </c>
      <c r="I131" s="18" t="s">
        <v>1806</v>
      </c>
      <c r="J131" s="18" t="s">
        <v>1807</v>
      </c>
      <c r="K131" s="3">
        <f>1000*0.2065</f>
        <v>206.5</v>
      </c>
      <c r="L131" s="7" t="s">
        <v>2246</v>
      </c>
      <c r="M131" s="7">
        <f t="shared" si="9"/>
        <v>0.20649999999999999</v>
      </c>
      <c r="N131" s="7">
        <f t="shared" ref="N131:N194" si="10">IFERROR((M131*F131)/G131,"ND")</f>
        <v>102.94819963049999</v>
      </c>
    </row>
    <row r="132" spans="1:14" ht="15.6" x14ac:dyDescent="0.3">
      <c r="A132" s="18" t="s">
        <v>1744</v>
      </c>
      <c r="B132" s="7">
        <v>3</v>
      </c>
      <c r="C132" s="7">
        <v>7</v>
      </c>
      <c r="D132" s="7" t="s">
        <v>2244</v>
      </c>
      <c r="E132" s="7">
        <v>3951000</v>
      </c>
      <c r="F132" s="7">
        <f t="shared" si="7"/>
        <v>14956154.91</v>
      </c>
      <c r="G132" s="7">
        <v>30000</v>
      </c>
      <c r="H132" s="7" t="s">
        <v>2248</v>
      </c>
      <c r="I132" s="18" t="s">
        <v>1806</v>
      </c>
      <c r="J132" s="18" t="s">
        <v>1807</v>
      </c>
      <c r="K132" s="3">
        <f>1000*4.0969</f>
        <v>4096.8999999999996</v>
      </c>
      <c r="L132" s="7" t="s">
        <v>2246</v>
      </c>
      <c r="M132" s="7">
        <f t="shared" si="9"/>
        <v>4.0968999999999998</v>
      </c>
      <c r="N132" s="7">
        <f t="shared" si="10"/>
        <v>2042.4623683592999</v>
      </c>
    </row>
    <row r="133" spans="1:14" ht="15.6" x14ac:dyDescent="0.3">
      <c r="A133" s="18" t="s">
        <v>1721</v>
      </c>
      <c r="B133" s="7">
        <v>3</v>
      </c>
      <c r="C133" s="7">
        <v>7</v>
      </c>
      <c r="D133" s="7" t="s">
        <v>2244</v>
      </c>
      <c r="E133" s="7">
        <v>3951000</v>
      </c>
      <c r="F133" s="7">
        <f t="shared" si="7"/>
        <v>14956154.91</v>
      </c>
      <c r="G133" s="7">
        <v>30000</v>
      </c>
      <c r="H133" s="7" t="s">
        <v>2248</v>
      </c>
      <c r="I133" s="18" t="s">
        <v>1806</v>
      </c>
      <c r="J133" s="18" t="s">
        <v>1807</v>
      </c>
      <c r="K133" s="3">
        <f>1000*0.1915</f>
        <v>191.5</v>
      </c>
      <c r="L133" s="7" t="s">
        <v>2246</v>
      </c>
      <c r="M133" s="7">
        <f t="shared" si="9"/>
        <v>0.1915</v>
      </c>
      <c r="N133" s="7">
        <f t="shared" si="10"/>
        <v>95.470122175499995</v>
      </c>
    </row>
    <row r="134" spans="1:14" ht="15.6" x14ac:dyDescent="0.3">
      <c r="A134" s="18" t="s">
        <v>1748</v>
      </c>
      <c r="B134" s="7">
        <v>3</v>
      </c>
      <c r="C134" s="7">
        <v>7</v>
      </c>
      <c r="D134" s="7" t="s">
        <v>2244</v>
      </c>
      <c r="E134" s="7">
        <v>3951000</v>
      </c>
      <c r="F134" s="7">
        <f t="shared" si="7"/>
        <v>14956154.91</v>
      </c>
      <c r="G134" s="7">
        <v>30000</v>
      </c>
      <c r="H134" s="7" t="s">
        <v>2248</v>
      </c>
      <c r="I134" s="18" t="s">
        <v>1806</v>
      </c>
      <c r="J134" s="18" t="s">
        <v>1807</v>
      </c>
      <c r="K134" s="3">
        <f>1000*7.2349</f>
        <v>7234.9</v>
      </c>
      <c r="L134" s="7" t="s">
        <v>2246</v>
      </c>
      <c r="M134" s="7">
        <f t="shared" si="9"/>
        <v>7.2348999999999997</v>
      </c>
      <c r="N134" s="7">
        <f t="shared" si="10"/>
        <v>3606.8761719452996</v>
      </c>
    </row>
    <row r="135" spans="1:14" ht="15.6" x14ac:dyDescent="0.3">
      <c r="A135" s="18" t="s">
        <v>1718</v>
      </c>
      <c r="B135" s="7">
        <v>3</v>
      </c>
      <c r="C135" s="7">
        <v>7</v>
      </c>
      <c r="D135" s="7" t="s">
        <v>2244</v>
      </c>
      <c r="E135" s="7">
        <v>3951000</v>
      </c>
      <c r="F135" s="7">
        <f t="shared" si="7"/>
        <v>14956154.91</v>
      </c>
      <c r="G135" s="7">
        <v>30000</v>
      </c>
      <c r="H135" s="7" t="s">
        <v>2248</v>
      </c>
      <c r="I135" s="18" t="s">
        <v>1806</v>
      </c>
      <c r="J135" s="18" t="s">
        <v>1807</v>
      </c>
      <c r="K135" s="3">
        <f>1000*0.4779</f>
        <v>477.9</v>
      </c>
      <c r="L135" s="7" t="s">
        <v>2246</v>
      </c>
      <c r="M135" s="7">
        <f t="shared" si="9"/>
        <v>0.47789999999999999</v>
      </c>
      <c r="N135" s="7">
        <f t="shared" si="10"/>
        <v>238.2515477163</v>
      </c>
    </row>
    <row r="136" spans="1:14" ht="15.6" x14ac:dyDescent="0.3">
      <c r="A136" s="18" t="s">
        <v>1744</v>
      </c>
      <c r="B136" s="7">
        <v>3</v>
      </c>
      <c r="C136" s="7">
        <v>7</v>
      </c>
      <c r="D136" s="7" t="s">
        <v>2244</v>
      </c>
      <c r="E136" s="7">
        <v>3951000</v>
      </c>
      <c r="F136" s="7">
        <f t="shared" si="7"/>
        <v>14956154.91</v>
      </c>
      <c r="G136" s="7">
        <v>30000</v>
      </c>
      <c r="H136" s="7" t="s">
        <v>2248</v>
      </c>
      <c r="I136" s="18" t="s">
        <v>1806</v>
      </c>
      <c r="J136" s="18" t="s">
        <v>1807</v>
      </c>
      <c r="K136" s="3">
        <f>1000*2.1648</f>
        <v>2164.8000000000002</v>
      </c>
      <c r="L136" s="7" t="s">
        <v>2246</v>
      </c>
      <c r="M136" s="7">
        <f t="shared" si="9"/>
        <v>2.1648000000000001</v>
      </c>
      <c r="N136" s="7">
        <f t="shared" si="10"/>
        <v>1079.2361383056</v>
      </c>
    </row>
    <row r="137" spans="1:14" ht="15.6" x14ac:dyDescent="0.3">
      <c r="A137" s="18" t="s">
        <v>1721</v>
      </c>
      <c r="B137" s="7">
        <v>3</v>
      </c>
      <c r="C137" s="7">
        <v>7</v>
      </c>
      <c r="D137" s="7" t="s">
        <v>2244</v>
      </c>
      <c r="E137" s="7">
        <v>3951000</v>
      </c>
      <c r="F137" s="7">
        <f t="shared" si="7"/>
        <v>14956154.91</v>
      </c>
      <c r="G137" s="7">
        <v>30000</v>
      </c>
      <c r="H137" s="7" t="s">
        <v>2248</v>
      </c>
      <c r="I137" s="18" t="s">
        <v>1806</v>
      </c>
      <c r="J137" s="18" t="s">
        <v>1807</v>
      </c>
      <c r="K137" s="3">
        <f>1000*0.1097</f>
        <v>109.7</v>
      </c>
      <c r="L137" s="7" t="s">
        <v>2246</v>
      </c>
      <c r="M137" s="7">
        <f t="shared" si="9"/>
        <v>0.10970000000000001</v>
      </c>
      <c r="N137" s="7">
        <f t="shared" si="10"/>
        <v>54.689673120900004</v>
      </c>
    </row>
    <row r="138" spans="1:14" ht="15.6" x14ac:dyDescent="0.3">
      <c r="A138" s="18" t="s">
        <v>1748</v>
      </c>
      <c r="B138" s="7">
        <v>3</v>
      </c>
      <c r="C138" s="7">
        <v>7</v>
      </c>
      <c r="D138" s="7" t="s">
        <v>2244</v>
      </c>
      <c r="E138" s="7">
        <v>3951000</v>
      </c>
      <c r="F138" s="7">
        <f t="shared" si="7"/>
        <v>14956154.91</v>
      </c>
      <c r="G138" s="7">
        <v>30000</v>
      </c>
      <c r="H138" s="7" t="s">
        <v>2248</v>
      </c>
      <c r="I138" s="18" t="s">
        <v>1806</v>
      </c>
      <c r="J138" s="18" t="s">
        <v>1807</v>
      </c>
      <c r="K138" s="3">
        <f>1000*8.3862</f>
        <v>8386.2000000000007</v>
      </c>
      <c r="L138" s="7" t="s">
        <v>2246</v>
      </c>
      <c r="M138" s="7">
        <f t="shared" si="9"/>
        <v>8.3862000000000005</v>
      </c>
      <c r="N138" s="7">
        <f t="shared" si="10"/>
        <v>4180.8435435414003</v>
      </c>
    </row>
    <row r="139" spans="1:14" ht="15.6" x14ac:dyDescent="0.3">
      <c r="A139" s="18" t="s">
        <v>1744</v>
      </c>
      <c r="B139" s="7">
        <v>3</v>
      </c>
      <c r="C139" s="7">
        <v>7</v>
      </c>
      <c r="D139" s="7" t="s">
        <v>2244</v>
      </c>
      <c r="E139" s="7">
        <v>3951000</v>
      </c>
      <c r="F139" s="7">
        <f t="shared" si="7"/>
        <v>14956154.91</v>
      </c>
      <c r="G139" s="7">
        <v>30000</v>
      </c>
      <c r="H139" s="7" t="s">
        <v>2248</v>
      </c>
      <c r="I139" s="18" t="s">
        <v>1806</v>
      </c>
      <c r="J139" s="18" t="s">
        <v>1807</v>
      </c>
      <c r="K139" s="3">
        <f>1000*2.2283</f>
        <v>2228.2999999999997</v>
      </c>
      <c r="L139" s="7" t="s">
        <v>2246</v>
      </c>
      <c r="M139" s="7">
        <f t="shared" si="9"/>
        <v>2.2282999999999999</v>
      </c>
      <c r="N139" s="7">
        <f t="shared" si="10"/>
        <v>1110.8933328651001</v>
      </c>
    </row>
    <row r="140" spans="1:14" ht="15.6" x14ac:dyDescent="0.3">
      <c r="A140" s="18" t="s">
        <v>1721</v>
      </c>
      <c r="B140" s="7">
        <v>3</v>
      </c>
      <c r="C140" s="7">
        <v>7</v>
      </c>
      <c r="D140" s="7" t="s">
        <v>2244</v>
      </c>
      <c r="E140" s="7">
        <v>3951000</v>
      </c>
      <c r="F140" s="7">
        <f t="shared" si="7"/>
        <v>14956154.91</v>
      </c>
      <c r="G140" s="7">
        <v>30000</v>
      </c>
      <c r="H140" s="7" t="s">
        <v>2248</v>
      </c>
      <c r="I140" s="18" t="s">
        <v>1806</v>
      </c>
      <c r="J140" s="18" t="s">
        <v>1807</v>
      </c>
      <c r="K140" s="3">
        <f>1000*0.2064</f>
        <v>206.4</v>
      </c>
      <c r="L140" s="7" t="s">
        <v>2246</v>
      </c>
      <c r="M140" s="7">
        <f t="shared" si="9"/>
        <v>0.2064</v>
      </c>
      <c r="N140" s="7">
        <f t="shared" si="10"/>
        <v>102.8983457808</v>
      </c>
    </row>
    <row r="141" spans="1:14" ht="15.6" x14ac:dyDescent="0.3">
      <c r="A141" s="18" t="s">
        <v>1748</v>
      </c>
      <c r="B141" s="7">
        <v>3</v>
      </c>
      <c r="C141" s="7">
        <v>7</v>
      </c>
      <c r="D141" s="7" t="s">
        <v>2244</v>
      </c>
      <c r="E141" s="7">
        <v>3951000</v>
      </c>
      <c r="F141" s="7">
        <f t="shared" si="7"/>
        <v>14956154.91</v>
      </c>
      <c r="G141" s="7">
        <v>30000</v>
      </c>
      <c r="H141" s="7" t="s">
        <v>2248</v>
      </c>
      <c r="I141" s="18" t="s">
        <v>1806</v>
      </c>
      <c r="J141" s="18" t="s">
        <v>1807</v>
      </c>
      <c r="K141" s="3">
        <f>1000*7.203</f>
        <v>7203</v>
      </c>
      <c r="L141" s="7" t="s">
        <v>2246</v>
      </c>
      <c r="M141" s="7">
        <f t="shared" si="9"/>
        <v>7.2030000000000003</v>
      </c>
      <c r="N141" s="7">
        <f t="shared" si="10"/>
        <v>3590.972793891</v>
      </c>
    </row>
    <row r="142" spans="1:14" ht="15.6" x14ac:dyDescent="0.3">
      <c r="A142" s="18" t="s">
        <v>1744</v>
      </c>
      <c r="B142" s="7">
        <v>3</v>
      </c>
      <c r="C142" s="7">
        <v>7</v>
      </c>
      <c r="D142" s="7" t="s">
        <v>2244</v>
      </c>
      <c r="E142" s="7">
        <v>3951000</v>
      </c>
      <c r="F142" s="7">
        <f t="shared" si="7"/>
        <v>14956154.91</v>
      </c>
      <c r="G142" s="7">
        <v>30000</v>
      </c>
      <c r="H142" s="7" t="s">
        <v>2248</v>
      </c>
      <c r="I142" s="18" t="s">
        <v>1806</v>
      </c>
      <c r="J142" s="18" t="s">
        <v>1807</v>
      </c>
      <c r="K142" s="3">
        <v>1518</v>
      </c>
      <c r="L142" s="7" t="s">
        <v>2246</v>
      </c>
      <c r="M142" s="7">
        <f t="shared" si="9"/>
        <v>1.518</v>
      </c>
      <c r="N142" s="7">
        <f t="shared" si="10"/>
        <v>756.78143844599992</v>
      </c>
    </row>
    <row r="143" spans="1:14" ht="15.6" x14ac:dyDescent="0.3">
      <c r="A143" s="18" t="s">
        <v>1721</v>
      </c>
      <c r="B143" s="7">
        <v>3</v>
      </c>
      <c r="C143" s="7">
        <v>8</v>
      </c>
      <c r="D143" s="7" t="s">
        <v>2244</v>
      </c>
      <c r="E143" s="7">
        <v>3598000</v>
      </c>
      <c r="F143" s="7">
        <f t="shared" si="7"/>
        <v>13619905.18</v>
      </c>
      <c r="G143" s="7">
        <v>30000</v>
      </c>
      <c r="H143" s="7" t="s">
        <v>2249</v>
      </c>
      <c r="I143" s="18" t="s">
        <v>1806</v>
      </c>
      <c r="J143" s="18" t="s">
        <v>1802</v>
      </c>
      <c r="K143" s="3">
        <f>1000*0.1777</f>
        <v>177.7</v>
      </c>
      <c r="L143" s="7" t="s">
        <v>2246</v>
      </c>
      <c r="M143" s="7">
        <f t="shared" si="9"/>
        <v>0.1777</v>
      </c>
      <c r="N143" s="7">
        <f t="shared" si="10"/>
        <v>80.675238349533331</v>
      </c>
    </row>
    <row r="144" spans="1:14" ht="15.6" x14ac:dyDescent="0.3">
      <c r="A144" s="18" t="s">
        <v>1748</v>
      </c>
      <c r="B144" s="7">
        <v>3</v>
      </c>
      <c r="C144" s="7">
        <v>8</v>
      </c>
      <c r="D144" s="7" t="s">
        <v>2244</v>
      </c>
      <c r="E144" s="7">
        <v>3598000</v>
      </c>
      <c r="F144" s="7">
        <f t="shared" si="7"/>
        <v>13619905.18</v>
      </c>
      <c r="G144" s="7">
        <v>30000</v>
      </c>
      <c r="H144" s="7" t="s">
        <v>2249</v>
      </c>
      <c r="I144" s="18" t="s">
        <v>1806</v>
      </c>
      <c r="J144" s="18" t="s">
        <v>1802</v>
      </c>
      <c r="K144" s="3">
        <f>1000*6.6949</f>
        <v>6694.9</v>
      </c>
      <c r="L144" s="7" t="s">
        <v>2246</v>
      </c>
      <c r="M144" s="7">
        <f t="shared" si="9"/>
        <v>6.6948999999999996</v>
      </c>
      <c r="N144" s="7">
        <f t="shared" si="10"/>
        <v>3039.4634396527331</v>
      </c>
    </row>
    <row r="145" spans="1:14" ht="15.6" x14ac:dyDescent="0.3">
      <c r="A145" s="18" t="s">
        <v>1744</v>
      </c>
      <c r="B145" s="7">
        <v>3</v>
      </c>
      <c r="C145" s="7">
        <v>8</v>
      </c>
      <c r="D145" s="7" t="s">
        <v>2244</v>
      </c>
      <c r="E145" s="7">
        <v>3598000</v>
      </c>
      <c r="F145" s="7">
        <f t="shared" si="7"/>
        <v>13619905.18</v>
      </c>
      <c r="G145" s="7">
        <v>30000</v>
      </c>
      <c r="H145" s="7" t="s">
        <v>2249</v>
      </c>
      <c r="I145" s="18" t="s">
        <v>1806</v>
      </c>
      <c r="J145" s="18" t="s">
        <v>1802</v>
      </c>
      <c r="K145" s="3">
        <f>1000*1.8256</f>
        <v>1825.6</v>
      </c>
      <c r="L145" s="7" t="s">
        <v>2246</v>
      </c>
      <c r="M145" s="7">
        <f t="shared" si="9"/>
        <v>1.8255999999999999</v>
      </c>
      <c r="N145" s="7">
        <f t="shared" si="10"/>
        <v>828.81662988693324</v>
      </c>
    </row>
    <row r="146" spans="1:14" ht="15.6" x14ac:dyDescent="0.3">
      <c r="A146" s="18" t="s">
        <v>1729</v>
      </c>
      <c r="B146" s="7">
        <v>4</v>
      </c>
      <c r="C146" s="7">
        <v>9</v>
      </c>
      <c r="D146" s="18" t="s">
        <v>2250</v>
      </c>
      <c r="E146" s="7">
        <v>20000000</v>
      </c>
      <c r="F146" s="7">
        <f t="shared" si="7"/>
        <v>75708200</v>
      </c>
      <c r="G146" s="7">
        <f>F146/310.404</f>
        <v>243902.14043633459</v>
      </c>
      <c r="H146" s="7" t="s">
        <v>1808</v>
      </c>
      <c r="I146" s="18" t="s">
        <v>1809</v>
      </c>
      <c r="J146" s="18" t="s">
        <v>1810</v>
      </c>
      <c r="K146" s="3">
        <v>34145.488738335771</v>
      </c>
      <c r="L146" s="7" t="s">
        <v>2246</v>
      </c>
      <c r="M146" s="7">
        <f t="shared" si="9"/>
        <v>34.145488738335771</v>
      </c>
      <c r="N146" s="7">
        <f t="shared" si="10"/>
        <v>10598.896286334377</v>
      </c>
    </row>
    <row r="147" spans="1:14" ht="15.6" x14ac:dyDescent="0.3">
      <c r="A147" s="18" t="s">
        <v>1733</v>
      </c>
      <c r="B147" s="7">
        <v>4</v>
      </c>
      <c r="C147" s="7">
        <v>9</v>
      </c>
      <c r="D147" s="18" t="s">
        <v>2250</v>
      </c>
      <c r="E147" s="7">
        <v>20000000</v>
      </c>
      <c r="F147" s="7">
        <f t="shared" si="7"/>
        <v>75708200</v>
      </c>
      <c r="G147" s="7">
        <f t="shared" ref="G147:G167" si="11">F147/310.404</f>
        <v>243902.14043633459</v>
      </c>
      <c r="H147" s="7" t="s">
        <v>1808</v>
      </c>
      <c r="I147" s="18" t="s">
        <v>1809</v>
      </c>
      <c r="J147" s="18" t="s">
        <v>1810</v>
      </c>
      <c r="K147" s="3">
        <v>171.1328304161768</v>
      </c>
      <c r="L147" s="7" t="s">
        <v>2246</v>
      </c>
      <c r="M147" s="7">
        <f t="shared" si="9"/>
        <v>0.1711328304161768</v>
      </c>
      <c r="N147" s="7">
        <f t="shared" si="10"/>
        <v>53.120315092502935</v>
      </c>
    </row>
    <row r="148" spans="1:14" ht="15.6" x14ac:dyDescent="0.3">
      <c r="A148" s="18" t="s">
        <v>1749</v>
      </c>
      <c r="B148" s="7">
        <v>4</v>
      </c>
      <c r="C148" s="7">
        <v>9</v>
      </c>
      <c r="D148" s="18" t="s">
        <v>2250</v>
      </c>
      <c r="E148" s="7">
        <v>20000000</v>
      </c>
      <c r="F148" s="7">
        <f t="shared" si="7"/>
        <v>75708200</v>
      </c>
      <c r="G148" s="7">
        <f t="shared" si="11"/>
        <v>243902.14043633459</v>
      </c>
      <c r="H148" s="7" t="s">
        <v>1808</v>
      </c>
      <c r="I148" s="18" t="s">
        <v>1809</v>
      </c>
      <c r="J148" s="18" t="s">
        <v>1810</v>
      </c>
      <c r="K148" s="3">
        <v>501.18723362726115</v>
      </c>
      <c r="L148" s="7" t="s">
        <v>2246</v>
      </c>
      <c r="M148" s="7">
        <f t="shared" si="9"/>
        <v>0.50118723362726114</v>
      </c>
      <c r="N148" s="7">
        <f t="shared" si="10"/>
        <v>155.57052206683636</v>
      </c>
    </row>
    <row r="149" spans="1:14" ht="15.6" x14ac:dyDescent="0.3">
      <c r="A149" s="18" t="s">
        <v>1748</v>
      </c>
      <c r="B149" s="7">
        <v>4</v>
      </c>
      <c r="C149" s="7">
        <v>9</v>
      </c>
      <c r="D149" s="18" t="s">
        <v>2250</v>
      </c>
      <c r="E149" s="7">
        <v>20000000</v>
      </c>
      <c r="F149" s="7">
        <f t="shared" si="7"/>
        <v>75708200</v>
      </c>
      <c r="G149" s="7">
        <f t="shared" si="11"/>
        <v>243902.14043633459</v>
      </c>
      <c r="H149" s="7" t="s">
        <v>1808</v>
      </c>
      <c r="I149" s="18" t="s">
        <v>1809</v>
      </c>
      <c r="J149" s="18" t="s">
        <v>1810</v>
      </c>
      <c r="K149" s="3">
        <v>316.22776601683069</v>
      </c>
      <c r="L149" s="7" t="s">
        <v>2246</v>
      </c>
      <c r="M149" s="7">
        <f t="shared" si="9"/>
        <v>0.31622776601683067</v>
      </c>
      <c r="N149" s="7">
        <f t="shared" si="10"/>
        <v>98.158363482688316</v>
      </c>
    </row>
    <row r="150" spans="1:14" ht="15.6" x14ac:dyDescent="0.3">
      <c r="A150" s="18" t="s">
        <v>1750</v>
      </c>
      <c r="B150" s="7">
        <v>4</v>
      </c>
      <c r="C150" s="7">
        <v>9</v>
      </c>
      <c r="D150" s="18" t="s">
        <v>2250</v>
      </c>
      <c r="E150" s="7">
        <v>20000000</v>
      </c>
      <c r="F150" s="7">
        <f t="shared" si="7"/>
        <v>75708200</v>
      </c>
      <c r="G150" s="7">
        <f t="shared" si="11"/>
        <v>243902.14043633459</v>
      </c>
      <c r="H150" s="7" t="s">
        <v>1808</v>
      </c>
      <c r="I150" s="18" t="s">
        <v>1809</v>
      </c>
      <c r="J150" s="18" t="s">
        <v>1810</v>
      </c>
      <c r="K150" s="3">
        <v>1308.1774742601754</v>
      </c>
      <c r="L150" s="7" t="s">
        <v>2246</v>
      </c>
      <c r="M150" s="7">
        <f t="shared" si="9"/>
        <v>1.3081774742601753</v>
      </c>
      <c r="N150" s="7">
        <f t="shared" si="10"/>
        <v>406.06352072025538</v>
      </c>
    </row>
    <row r="151" spans="1:14" ht="15.6" x14ac:dyDescent="0.3">
      <c r="A151" s="18" t="s">
        <v>1751</v>
      </c>
      <c r="B151" s="7">
        <v>4</v>
      </c>
      <c r="C151" s="7">
        <v>9</v>
      </c>
      <c r="D151" s="18" t="s">
        <v>2250</v>
      </c>
      <c r="E151" s="7">
        <v>20000000</v>
      </c>
      <c r="F151" s="7">
        <f t="shared" si="7"/>
        <v>75708200</v>
      </c>
      <c r="G151" s="7">
        <f t="shared" si="11"/>
        <v>243902.14043633459</v>
      </c>
      <c r="H151" s="7" t="s">
        <v>1808</v>
      </c>
      <c r="I151" s="18" t="s">
        <v>1809</v>
      </c>
      <c r="J151" s="18" t="s">
        <v>1810</v>
      </c>
      <c r="K151" s="3">
        <v>8.5769589859089379</v>
      </c>
      <c r="L151" s="7" t="s">
        <v>2246</v>
      </c>
      <c r="M151" s="7">
        <f t="shared" si="9"/>
        <v>8.5769589859089387E-3</v>
      </c>
      <c r="N151" s="7">
        <f t="shared" si="10"/>
        <v>2.6623223770620781</v>
      </c>
    </row>
    <row r="152" spans="1:14" ht="15.6" x14ac:dyDescent="0.3">
      <c r="A152" s="18" t="s">
        <v>1729</v>
      </c>
      <c r="B152" s="7">
        <v>4</v>
      </c>
      <c r="C152" s="7">
        <v>10</v>
      </c>
      <c r="D152" s="18" t="s">
        <v>2251</v>
      </c>
      <c r="E152" s="7">
        <v>9000000</v>
      </c>
      <c r="F152" s="7">
        <f t="shared" si="7"/>
        <v>34068690</v>
      </c>
      <c r="G152" s="7">
        <f t="shared" si="11"/>
        <v>109755.96319635057</v>
      </c>
      <c r="H152" s="7" t="s">
        <v>1808</v>
      </c>
      <c r="I152" s="18" t="s">
        <v>1809</v>
      </c>
      <c r="J152" s="18" t="s">
        <v>1810</v>
      </c>
      <c r="K152" s="3">
        <v>18478.497974222671</v>
      </c>
      <c r="L152" s="7" t="s">
        <v>2246</v>
      </c>
      <c r="M152" s="7">
        <f t="shared" si="9"/>
        <v>18.478497974222673</v>
      </c>
      <c r="N152" s="7">
        <f t="shared" si="10"/>
        <v>5735.7996851906146</v>
      </c>
    </row>
    <row r="153" spans="1:14" ht="15.6" x14ac:dyDescent="0.3">
      <c r="A153" s="18" t="s">
        <v>1733</v>
      </c>
      <c r="B153" s="7">
        <v>4</v>
      </c>
      <c r="C153" s="7">
        <v>10</v>
      </c>
      <c r="D153" s="18" t="s">
        <v>2251</v>
      </c>
      <c r="E153" s="7">
        <v>9000000</v>
      </c>
      <c r="F153" s="7">
        <f t="shared" si="7"/>
        <v>34068690</v>
      </c>
      <c r="G153" s="7">
        <f t="shared" si="11"/>
        <v>109755.96319635057</v>
      </c>
      <c r="H153" s="7" t="s">
        <v>1808</v>
      </c>
      <c r="I153" s="18" t="s">
        <v>1809</v>
      </c>
      <c r="J153" s="18" t="s">
        <v>1810</v>
      </c>
      <c r="K153" s="3">
        <v>184.78497974222628</v>
      </c>
      <c r="L153" s="7" t="s">
        <v>2246</v>
      </c>
      <c r="M153" s="7">
        <f t="shared" si="9"/>
        <v>0.1847849797422263</v>
      </c>
      <c r="N153" s="7">
        <f t="shared" si="10"/>
        <v>57.357996851906009</v>
      </c>
    </row>
    <row r="154" spans="1:14" ht="15.6" x14ac:dyDescent="0.3">
      <c r="A154" s="18" t="s">
        <v>1749</v>
      </c>
      <c r="B154" s="7">
        <v>4</v>
      </c>
      <c r="C154" s="7">
        <v>10</v>
      </c>
      <c r="D154" s="18" t="s">
        <v>2251</v>
      </c>
      <c r="E154" s="7">
        <v>9000000</v>
      </c>
      <c r="F154" s="7">
        <f t="shared" si="7"/>
        <v>34068690</v>
      </c>
      <c r="G154" s="7">
        <f t="shared" si="11"/>
        <v>109755.96319635057</v>
      </c>
      <c r="H154" s="7" t="s">
        <v>1808</v>
      </c>
      <c r="I154" s="18" t="s">
        <v>1809</v>
      </c>
      <c r="J154" s="18" t="s">
        <v>1810</v>
      </c>
      <c r="K154" s="3">
        <v>413.68204023884454</v>
      </c>
      <c r="L154" s="7" t="s">
        <v>2246</v>
      </c>
      <c r="M154" s="7">
        <f t="shared" si="9"/>
        <v>0.41368204023884453</v>
      </c>
      <c r="N154" s="7">
        <f t="shared" si="10"/>
        <v>128.40856001829829</v>
      </c>
    </row>
    <row r="155" spans="1:14" ht="15.6" x14ac:dyDescent="0.3">
      <c r="A155" s="18" t="s">
        <v>1748</v>
      </c>
      <c r="B155" s="7">
        <v>4</v>
      </c>
      <c r="C155" s="7">
        <v>10</v>
      </c>
      <c r="D155" s="18" t="s">
        <v>2251</v>
      </c>
      <c r="E155" s="7">
        <v>9000000</v>
      </c>
      <c r="F155" s="7">
        <f t="shared" si="7"/>
        <v>34068690</v>
      </c>
      <c r="G155" s="7">
        <f t="shared" si="11"/>
        <v>109755.96319635057</v>
      </c>
      <c r="H155" s="7" t="s">
        <v>1808</v>
      </c>
      <c r="I155" s="18" t="s">
        <v>1809</v>
      </c>
      <c r="J155" s="18" t="s">
        <v>1810</v>
      </c>
      <c r="K155" s="3">
        <v>281.83829312643905</v>
      </c>
      <c r="L155" s="7" t="s">
        <v>2246</v>
      </c>
      <c r="M155" s="7">
        <f t="shared" si="9"/>
        <v>0.28183829312643904</v>
      </c>
      <c r="N155" s="7">
        <f t="shared" si="10"/>
        <v>87.48373353961918</v>
      </c>
    </row>
    <row r="156" spans="1:14" ht="15.6" x14ac:dyDescent="0.3">
      <c r="A156" s="18" t="s">
        <v>1750</v>
      </c>
      <c r="B156" s="7">
        <v>4</v>
      </c>
      <c r="C156" s="7">
        <v>10</v>
      </c>
      <c r="D156" s="18" t="s">
        <v>2251</v>
      </c>
      <c r="E156" s="7">
        <v>9000000</v>
      </c>
      <c r="F156" s="7">
        <f t="shared" si="7"/>
        <v>34068690</v>
      </c>
      <c r="G156" s="7">
        <f t="shared" si="11"/>
        <v>109755.96319635057</v>
      </c>
      <c r="H156" s="7" t="s">
        <v>1808</v>
      </c>
      <c r="I156" s="18" t="s">
        <v>1809</v>
      </c>
      <c r="J156" s="18" t="s">
        <v>1810</v>
      </c>
      <c r="K156" s="3">
        <v>1584.8931924610777</v>
      </c>
      <c r="L156" s="7" t="s">
        <v>2246</v>
      </c>
      <c r="M156" s="7">
        <f t="shared" si="9"/>
        <v>1.5848931924610776</v>
      </c>
      <c r="N156" s="7">
        <f t="shared" si="10"/>
        <v>491.95718651268828</v>
      </c>
    </row>
    <row r="157" spans="1:14" ht="15.6" x14ac:dyDescent="0.3">
      <c r="A157" s="18" t="s">
        <v>1751</v>
      </c>
      <c r="B157" s="7">
        <v>4</v>
      </c>
      <c r="C157" s="7">
        <v>10</v>
      </c>
      <c r="D157" s="18" t="s">
        <v>2251</v>
      </c>
      <c r="E157" s="7">
        <v>9000000</v>
      </c>
      <c r="F157" s="7">
        <f t="shared" si="7"/>
        <v>34068690</v>
      </c>
      <c r="G157" s="7">
        <f t="shared" si="11"/>
        <v>109755.96319635057</v>
      </c>
      <c r="H157" s="7" t="s">
        <v>1808</v>
      </c>
      <c r="I157" s="18" t="s">
        <v>1809</v>
      </c>
      <c r="J157" s="18" t="s">
        <v>1810</v>
      </c>
      <c r="K157" s="3" t="s">
        <v>1716</v>
      </c>
      <c r="L157" s="7" t="s">
        <v>2246</v>
      </c>
      <c r="M157" s="7" t="str">
        <f t="shared" si="9"/>
        <v>ND</v>
      </c>
      <c r="N157" s="7" t="str">
        <f t="shared" si="10"/>
        <v>ND</v>
      </c>
    </row>
    <row r="158" spans="1:14" ht="15.6" x14ac:dyDescent="0.3">
      <c r="A158" s="18" t="s">
        <v>1719</v>
      </c>
      <c r="B158" s="7">
        <v>4</v>
      </c>
      <c r="C158" s="7">
        <v>9</v>
      </c>
      <c r="D158" s="18" t="s">
        <v>2250</v>
      </c>
      <c r="E158" s="7">
        <v>20000000</v>
      </c>
      <c r="F158" s="7">
        <f t="shared" si="7"/>
        <v>75708200</v>
      </c>
      <c r="G158" s="7">
        <f t="shared" si="11"/>
        <v>243902.14043633459</v>
      </c>
      <c r="H158" s="7" t="s">
        <v>1808</v>
      </c>
      <c r="I158" s="18" t="s">
        <v>1809</v>
      </c>
      <c r="J158" s="18" t="s">
        <v>1810</v>
      </c>
      <c r="K158" s="3">
        <v>16.169465057924782</v>
      </c>
      <c r="L158" s="7" t="s">
        <v>2246</v>
      </c>
      <c r="M158" s="7">
        <f t="shared" si="9"/>
        <v>1.616946505792478E-2</v>
      </c>
      <c r="N158" s="7">
        <f t="shared" si="10"/>
        <v>5.0190666318400829</v>
      </c>
    </row>
    <row r="159" spans="1:14" ht="15.6" x14ac:dyDescent="0.3">
      <c r="A159" s="18" t="s">
        <v>1719</v>
      </c>
      <c r="B159" s="7">
        <v>4</v>
      </c>
      <c r="C159" s="7">
        <v>10</v>
      </c>
      <c r="D159" s="18" t="s">
        <v>2251</v>
      </c>
      <c r="E159" s="7">
        <v>9000000</v>
      </c>
      <c r="F159" s="7">
        <f t="shared" si="7"/>
        <v>34068690</v>
      </c>
      <c r="G159" s="7">
        <f t="shared" si="11"/>
        <v>109755.96319635057</v>
      </c>
      <c r="H159" s="7" t="s">
        <v>1808</v>
      </c>
      <c r="I159" s="18" t="s">
        <v>1809</v>
      </c>
      <c r="J159" s="18" t="s">
        <v>1810</v>
      </c>
      <c r="K159" s="3">
        <v>30.078825180430496</v>
      </c>
      <c r="L159" s="7" t="s">
        <v>2246</v>
      </c>
      <c r="M159" s="7">
        <f t="shared" si="9"/>
        <v>3.0078825180430497E-2</v>
      </c>
      <c r="N159" s="7">
        <f t="shared" si="10"/>
        <v>9.3365876513063473</v>
      </c>
    </row>
    <row r="160" spans="1:14" ht="15.6" x14ac:dyDescent="0.3">
      <c r="A160" s="18" t="s">
        <v>1734</v>
      </c>
      <c r="B160" s="7">
        <v>4</v>
      </c>
      <c r="C160" s="7">
        <v>9</v>
      </c>
      <c r="D160" s="18" t="s">
        <v>2250</v>
      </c>
      <c r="E160" s="7">
        <v>20000000</v>
      </c>
      <c r="F160" s="7">
        <f t="shared" si="7"/>
        <v>75708200</v>
      </c>
      <c r="G160" s="7">
        <f t="shared" si="11"/>
        <v>243902.14043633459</v>
      </c>
      <c r="H160" s="7" t="s">
        <v>1808</v>
      </c>
      <c r="I160" s="18" t="s">
        <v>1809</v>
      </c>
      <c r="J160" s="18" t="s">
        <v>1810</v>
      </c>
      <c r="K160" s="3">
        <v>5484.4165761209124</v>
      </c>
      <c r="L160" s="7" t="s">
        <v>2246</v>
      </c>
      <c r="M160" s="7">
        <f t="shared" si="9"/>
        <v>5.4844165761209123</v>
      </c>
      <c r="N160" s="7">
        <f t="shared" si="10"/>
        <v>1702.3848428942356</v>
      </c>
    </row>
    <row r="161" spans="1:14" ht="15.6" x14ac:dyDescent="0.3">
      <c r="A161" s="18" t="s">
        <v>1745</v>
      </c>
      <c r="B161" s="7">
        <v>4</v>
      </c>
      <c r="C161" s="7">
        <v>9</v>
      </c>
      <c r="D161" s="18" t="s">
        <v>2250</v>
      </c>
      <c r="E161" s="7">
        <v>20000000</v>
      </c>
      <c r="F161" s="7">
        <f t="shared" si="7"/>
        <v>75708200</v>
      </c>
      <c r="G161" s="7">
        <f t="shared" si="11"/>
        <v>243902.14043633459</v>
      </c>
      <c r="H161" s="7" t="s">
        <v>1808</v>
      </c>
      <c r="I161" s="18" t="s">
        <v>1809</v>
      </c>
      <c r="J161" s="18" t="s">
        <v>1810</v>
      </c>
      <c r="K161" s="3">
        <v>238.12861947655423</v>
      </c>
      <c r="L161" s="7" t="s">
        <v>2246</v>
      </c>
      <c r="M161" s="7">
        <f t="shared" si="9"/>
        <v>0.23812861947655423</v>
      </c>
      <c r="N161" s="7">
        <f t="shared" si="10"/>
        <v>73.916076000000331</v>
      </c>
    </row>
    <row r="162" spans="1:14" ht="15.6" x14ac:dyDescent="0.3">
      <c r="A162" s="18" t="s">
        <v>1746</v>
      </c>
      <c r="B162" s="7">
        <v>4</v>
      </c>
      <c r="C162" s="7">
        <v>9</v>
      </c>
      <c r="D162" s="18" t="s">
        <v>2250</v>
      </c>
      <c r="E162" s="7">
        <v>20000000</v>
      </c>
      <c r="F162" s="7">
        <f t="shared" si="7"/>
        <v>75708200</v>
      </c>
      <c r="G162" s="7">
        <f t="shared" si="11"/>
        <v>243902.14043633459</v>
      </c>
      <c r="H162" s="7" t="s">
        <v>1808</v>
      </c>
      <c r="I162" s="18" t="s">
        <v>1809</v>
      </c>
      <c r="J162" s="18" t="s">
        <v>1810</v>
      </c>
      <c r="K162" s="3">
        <v>159.55064004448022</v>
      </c>
      <c r="L162" s="7" t="s">
        <v>2246</v>
      </c>
      <c r="M162" s="7">
        <f t="shared" si="9"/>
        <v>0.15955064004448022</v>
      </c>
      <c r="N162" s="7">
        <f t="shared" si="10"/>
        <v>49.525156872366836</v>
      </c>
    </row>
    <row r="163" spans="1:14" ht="15.6" x14ac:dyDescent="0.3">
      <c r="A163" s="18" t="s">
        <v>1734</v>
      </c>
      <c r="B163" s="7">
        <v>4</v>
      </c>
      <c r="C163" s="7">
        <v>10</v>
      </c>
      <c r="D163" s="18" t="s">
        <v>2251</v>
      </c>
      <c r="E163" s="7">
        <v>9000000</v>
      </c>
      <c r="F163" s="7">
        <f t="shared" si="7"/>
        <v>34068690</v>
      </c>
      <c r="G163" s="7">
        <f t="shared" si="11"/>
        <v>109755.96319635057</v>
      </c>
      <c r="H163" s="7" t="s">
        <v>1808</v>
      </c>
      <c r="I163" s="18" t="s">
        <v>1809</v>
      </c>
      <c r="J163" s="18" t="s">
        <v>1810</v>
      </c>
      <c r="K163" s="3">
        <v>5862.9466459163323</v>
      </c>
      <c r="L163" s="7" t="s">
        <v>2246</v>
      </c>
      <c r="M163" s="7">
        <f t="shared" si="9"/>
        <v>5.862946645916332</v>
      </c>
      <c r="N163" s="7">
        <f t="shared" si="10"/>
        <v>1819.8820906790129</v>
      </c>
    </row>
    <row r="164" spans="1:14" ht="15.6" x14ac:dyDescent="0.3">
      <c r="A164" s="18" t="s">
        <v>1745</v>
      </c>
      <c r="B164" s="7">
        <v>4</v>
      </c>
      <c r="C164" s="7">
        <v>10</v>
      </c>
      <c r="D164" s="18" t="s">
        <v>2251</v>
      </c>
      <c r="E164" s="7">
        <v>9000000</v>
      </c>
      <c r="F164" s="7">
        <f t="shared" si="7"/>
        <v>34068690</v>
      </c>
      <c r="G164" s="7">
        <f t="shared" si="11"/>
        <v>109755.96319635057</v>
      </c>
      <c r="H164" s="7" t="s">
        <v>1808</v>
      </c>
      <c r="I164" s="18" t="s">
        <v>1809</v>
      </c>
      <c r="J164" s="18" t="s">
        <v>1810</v>
      </c>
      <c r="K164" s="3">
        <v>496.1947603002867</v>
      </c>
      <c r="L164" s="7" t="s">
        <v>2246</v>
      </c>
      <c r="M164" s="7">
        <f t="shared" si="9"/>
        <v>0.4961947603002867</v>
      </c>
      <c r="N164" s="7">
        <f t="shared" si="10"/>
        <v>154.02083837625017</v>
      </c>
    </row>
    <row r="165" spans="1:14" ht="15.6" x14ac:dyDescent="0.3">
      <c r="A165" s="18" t="s">
        <v>1746</v>
      </c>
      <c r="B165" s="7">
        <v>4</v>
      </c>
      <c r="C165" s="7">
        <v>10</v>
      </c>
      <c r="D165" s="18" t="s">
        <v>2251</v>
      </c>
      <c r="E165" s="7">
        <v>9000000</v>
      </c>
      <c r="F165" s="7">
        <f>E165*3.78541</f>
        <v>34068690</v>
      </c>
      <c r="G165" s="7">
        <f t="shared" si="11"/>
        <v>109755.96319635057</v>
      </c>
      <c r="H165" s="7" t="s">
        <v>1808</v>
      </c>
      <c r="I165" s="18" t="s">
        <v>1809</v>
      </c>
      <c r="J165" s="18" t="s">
        <v>1810</v>
      </c>
      <c r="K165" s="3">
        <v>215.44346900318675</v>
      </c>
      <c r="L165" s="7" t="s">
        <v>2246</v>
      </c>
      <c r="M165" s="7">
        <f t="shared" si="9"/>
        <v>0.21544346900318675</v>
      </c>
      <c r="N165" s="7">
        <f t="shared" si="10"/>
        <v>66.874514552465186</v>
      </c>
    </row>
    <row r="166" spans="1:14" ht="15.6" x14ac:dyDescent="0.3">
      <c r="A166" s="18" t="s">
        <v>1752</v>
      </c>
      <c r="B166" s="7">
        <v>4</v>
      </c>
      <c r="C166" s="7">
        <v>9</v>
      </c>
      <c r="D166" s="18" t="s">
        <v>2250</v>
      </c>
      <c r="E166" s="7">
        <v>20000000</v>
      </c>
      <c r="F166" s="7">
        <f t="shared" si="7"/>
        <v>75708200</v>
      </c>
      <c r="G166" s="7">
        <f t="shared" si="11"/>
        <v>243902.14043633459</v>
      </c>
      <c r="H166" s="7" t="s">
        <v>1808</v>
      </c>
      <c r="I166" s="18" t="s">
        <v>1809</v>
      </c>
      <c r="J166" s="18" t="s">
        <v>1810</v>
      </c>
      <c r="K166" s="3">
        <v>5862.9466459163323</v>
      </c>
      <c r="L166" s="7" t="s">
        <v>2246</v>
      </c>
      <c r="M166" s="7">
        <f t="shared" si="9"/>
        <v>5.862946645916332</v>
      </c>
      <c r="N166" s="7">
        <f t="shared" si="10"/>
        <v>1819.8820906790129</v>
      </c>
    </row>
    <row r="167" spans="1:14" ht="15.6" x14ac:dyDescent="0.3">
      <c r="A167" s="18" t="s">
        <v>1752</v>
      </c>
      <c r="B167" s="7">
        <v>4</v>
      </c>
      <c r="C167" s="7">
        <v>10</v>
      </c>
      <c r="D167" s="18" t="s">
        <v>2251</v>
      </c>
      <c r="E167" s="7">
        <v>9000000</v>
      </c>
      <c r="F167" s="7">
        <f t="shared" si="7"/>
        <v>34068690</v>
      </c>
      <c r="G167" s="7">
        <f t="shared" si="11"/>
        <v>109755.96319635057</v>
      </c>
      <c r="H167" s="7" t="s">
        <v>1808</v>
      </c>
      <c r="I167" s="18" t="s">
        <v>1809</v>
      </c>
      <c r="J167" s="18" t="s">
        <v>1810</v>
      </c>
      <c r="K167" s="3">
        <v>6927.5506561292823</v>
      </c>
      <c r="L167" s="7" t="s">
        <v>2246</v>
      </c>
      <c r="M167" s="7">
        <f t="shared" si="9"/>
        <v>6.9275506561292826</v>
      </c>
      <c r="N167" s="7">
        <f t="shared" si="10"/>
        <v>2150.3394338651538</v>
      </c>
    </row>
    <row r="168" spans="1:14" ht="15.6" x14ac:dyDescent="0.3">
      <c r="A168" s="7" t="s">
        <v>1729</v>
      </c>
      <c r="B168" s="7">
        <v>5</v>
      </c>
      <c r="C168" s="7">
        <v>11</v>
      </c>
      <c r="D168" s="7" t="s">
        <v>2252</v>
      </c>
      <c r="E168" s="7">
        <v>302.83199999999999</v>
      </c>
      <c r="F168" s="7">
        <f>E168*1000</f>
        <v>302832</v>
      </c>
      <c r="G168" s="7">
        <f>F168/310.404</f>
        <v>975.60598445896312</v>
      </c>
      <c r="H168" s="19">
        <v>42979</v>
      </c>
      <c r="I168" s="18" t="s">
        <v>1811</v>
      </c>
      <c r="J168" s="18" t="s">
        <v>1807</v>
      </c>
      <c r="K168" s="7">
        <v>94372</v>
      </c>
      <c r="L168" s="7" t="s">
        <v>2246</v>
      </c>
      <c r="M168" s="7">
        <f t="shared" si="9"/>
        <v>94.372</v>
      </c>
      <c r="N168" s="7">
        <f t="shared" si="10"/>
        <v>29293.446288000003</v>
      </c>
    </row>
    <row r="169" spans="1:14" ht="15.6" x14ac:dyDescent="0.3">
      <c r="A169" s="7" t="s">
        <v>1753</v>
      </c>
      <c r="B169" s="7">
        <v>5</v>
      </c>
      <c r="C169" s="7">
        <v>11</v>
      </c>
      <c r="D169" s="7" t="s">
        <v>2252</v>
      </c>
      <c r="E169" s="7">
        <v>302.83199999999999</v>
      </c>
      <c r="F169" s="7">
        <f t="shared" ref="F169:F232" si="12">E169*1000</f>
        <v>302832</v>
      </c>
      <c r="G169" s="7">
        <f t="shared" ref="G169:G232" si="13">F169/310.404</f>
        <v>975.60598445896312</v>
      </c>
      <c r="H169" s="19">
        <v>42979</v>
      </c>
      <c r="I169" s="18" t="s">
        <v>1811</v>
      </c>
      <c r="J169" s="18" t="s">
        <v>1807</v>
      </c>
      <c r="K169" s="7">
        <v>588</v>
      </c>
      <c r="L169" s="7" t="s">
        <v>2246</v>
      </c>
      <c r="M169" s="7">
        <f t="shared" si="9"/>
        <v>0.58799999999999997</v>
      </c>
      <c r="N169" s="7">
        <f t="shared" si="10"/>
        <v>182.51755199999999</v>
      </c>
    </row>
    <row r="170" spans="1:14" ht="15.6" x14ac:dyDescent="0.3">
      <c r="A170" s="7" t="s">
        <v>1733</v>
      </c>
      <c r="B170" s="7">
        <v>5</v>
      </c>
      <c r="C170" s="7">
        <v>11</v>
      </c>
      <c r="D170" s="7" t="s">
        <v>2252</v>
      </c>
      <c r="E170" s="7">
        <v>302.83199999999999</v>
      </c>
      <c r="F170" s="7">
        <f t="shared" si="12"/>
        <v>302832</v>
      </c>
      <c r="G170" s="7">
        <f t="shared" si="13"/>
        <v>975.60598445896312</v>
      </c>
      <c r="H170" s="19">
        <v>42979</v>
      </c>
      <c r="I170" s="18" t="s">
        <v>1811</v>
      </c>
      <c r="J170" s="18" t="s">
        <v>1807</v>
      </c>
      <c r="K170" s="7">
        <v>145</v>
      </c>
      <c r="L170" s="7" t="s">
        <v>2246</v>
      </c>
      <c r="M170" s="7">
        <f t="shared" ref="M170:M233" si="14">IFERROR(K170/1000,"ND")</f>
        <v>0.14499999999999999</v>
      </c>
      <c r="N170" s="7">
        <f t="shared" si="10"/>
        <v>45.008580000000002</v>
      </c>
    </row>
    <row r="171" spans="1:14" ht="15.6" x14ac:dyDescent="0.3">
      <c r="A171" s="7" t="s">
        <v>1734</v>
      </c>
      <c r="B171" s="7">
        <v>5</v>
      </c>
      <c r="C171" s="7">
        <v>11</v>
      </c>
      <c r="D171" s="7" t="s">
        <v>2252</v>
      </c>
      <c r="E171" s="7">
        <v>302.83199999999999</v>
      </c>
      <c r="F171" s="7">
        <f t="shared" si="12"/>
        <v>302832</v>
      </c>
      <c r="G171" s="7">
        <f t="shared" si="13"/>
        <v>975.60598445896312</v>
      </c>
      <c r="H171" s="19">
        <v>42979</v>
      </c>
      <c r="I171" s="18" t="s">
        <v>1811</v>
      </c>
      <c r="J171" s="18" t="s">
        <v>1807</v>
      </c>
      <c r="K171" s="7" t="s">
        <v>1716</v>
      </c>
      <c r="L171" s="7" t="s">
        <v>2246</v>
      </c>
      <c r="M171" s="7" t="str">
        <f t="shared" si="14"/>
        <v>ND</v>
      </c>
      <c r="N171" s="7" t="str">
        <f t="shared" si="10"/>
        <v>ND</v>
      </c>
    </row>
    <row r="172" spans="1:14" ht="15.6" x14ac:dyDescent="0.3">
      <c r="A172" s="7" t="s">
        <v>1737</v>
      </c>
      <c r="B172" s="7">
        <v>5</v>
      </c>
      <c r="C172" s="7">
        <v>11</v>
      </c>
      <c r="D172" s="7" t="s">
        <v>2252</v>
      </c>
      <c r="E172" s="7">
        <v>302.83199999999999</v>
      </c>
      <c r="F172" s="7">
        <f t="shared" si="12"/>
        <v>302832</v>
      </c>
      <c r="G172" s="7">
        <f t="shared" si="13"/>
        <v>975.60598445896312</v>
      </c>
      <c r="H172" s="19">
        <v>42979</v>
      </c>
      <c r="I172" s="18" t="s">
        <v>1811</v>
      </c>
      <c r="J172" s="18" t="s">
        <v>1807</v>
      </c>
      <c r="K172" s="7" t="s">
        <v>1716</v>
      </c>
      <c r="L172" s="7" t="s">
        <v>2246</v>
      </c>
      <c r="M172" s="7" t="str">
        <f t="shared" si="14"/>
        <v>ND</v>
      </c>
      <c r="N172" s="7" t="str">
        <f t="shared" si="10"/>
        <v>ND</v>
      </c>
    </row>
    <row r="173" spans="1:14" ht="15.6" x14ac:dyDescent="0.3">
      <c r="A173" s="7" t="s">
        <v>1749</v>
      </c>
      <c r="B173" s="7">
        <v>5</v>
      </c>
      <c r="C173" s="7">
        <v>11</v>
      </c>
      <c r="D173" s="7" t="s">
        <v>2252</v>
      </c>
      <c r="E173" s="7">
        <v>302.83199999999999</v>
      </c>
      <c r="F173" s="7">
        <f t="shared" si="12"/>
        <v>302832</v>
      </c>
      <c r="G173" s="7">
        <f t="shared" si="13"/>
        <v>975.60598445896312</v>
      </c>
      <c r="H173" s="19">
        <v>42979</v>
      </c>
      <c r="I173" s="18" t="s">
        <v>1811</v>
      </c>
      <c r="J173" s="18" t="s">
        <v>1807</v>
      </c>
      <c r="K173" s="7">
        <v>66</v>
      </c>
      <c r="L173" s="7" t="s">
        <v>2246</v>
      </c>
      <c r="M173" s="7">
        <f t="shared" si="14"/>
        <v>6.6000000000000003E-2</v>
      </c>
      <c r="N173" s="7">
        <f t="shared" si="10"/>
        <v>20.486664000000001</v>
      </c>
    </row>
    <row r="174" spans="1:14" ht="15.6" x14ac:dyDescent="0.3">
      <c r="A174" s="7" t="s">
        <v>1748</v>
      </c>
      <c r="B174" s="7">
        <v>5</v>
      </c>
      <c r="C174" s="7">
        <v>11</v>
      </c>
      <c r="D174" s="7" t="s">
        <v>2252</v>
      </c>
      <c r="E174" s="7">
        <v>302.83199999999999</v>
      </c>
      <c r="F174" s="7">
        <f t="shared" si="12"/>
        <v>302832</v>
      </c>
      <c r="G174" s="7">
        <f t="shared" si="13"/>
        <v>975.60598445896312</v>
      </c>
      <c r="H174" s="19">
        <v>42979</v>
      </c>
      <c r="I174" s="18" t="s">
        <v>1811</v>
      </c>
      <c r="J174" s="18" t="s">
        <v>1807</v>
      </c>
      <c r="K174" s="7">
        <v>1969</v>
      </c>
      <c r="L174" s="7" t="s">
        <v>2246</v>
      </c>
      <c r="M174" s="7">
        <f t="shared" si="14"/>
        <v>1.9690000000000001</v>
      </c>
      <c r="N174" s="7">
        <f t="shared" si="10"/>
        <v>611.18547599999999</v>
      </c>
    </row>
    <row r="175" spans="1:14" ht="15.6" x14ac:dyDescent="0.3">
      <c r="A175" s="7" t="s">
        <v>1754</v>
      </c>
      <c r="B175" s="7">
        <v>5</v>
      </c>
      <c r="C175" s="7">
        <v>11</v>
      </c>
      <c r="D175" s="7" t="s">
        <v>2252</v>
      </c>
      <c r="E175" s="7">
        <v>302.83199999999999</v>
      </c>
      <c r="F175" s="7">
        <f t="shared" si="12"/>
        <v>302832</v>
      </c>
      <c r="G175" s="7">
        <f t="shared" si="13"/>
        <v>975.60598445896312</v>
      </c>
      <c r="H175" s="19">
        <v>42979</v>
      </c>
      <c r="I175" s="18" t="s">
        <v>1811</v>
      </c>
      <c r="J175" s="18" t="s">
        <v>1807</v>
      </c>
      <c r="K175" s="7" t="s">
        <v>1716</v>
      </c>
      <c r="L175" s="7" t="s">
        <v>2246</v>
      </c>
      <c r="M175" s="7" t="str">
        <f t="shared" si="14"/>
        <v>ND</v>
      </c>
      <c r="N175" s="7" t="str">
        <f t="shared" si="10"/>
        <v>ND</v>
      </c>
    </row>
    <row r="176" spans="1:14" ht="15.6" x14ac:dyDescent="0.3">
      <c r="A176" s="7" t="s">
        <v>1728</v>
      </c>
      <c r="B176" s="7">
        <v>5</v>
      </c>
      <c r="C176" s="7">
        <v>11</v>
      </c>
      <c r="D176" s="7" t="s">
        <v>2252</v>
      </c>
      <c r="E176" s="7">
        <v>302.83199999999999</v>
      </c>
      <c r="F176" s="7">
        <f t="shared" si="12"/>
        <v>302832</v>
      </c>
      <c r="G176" s="7">
        <f t="shared" si="13"/>
        <v>975.60598445896312</v>
      </c>
      <c r="H176" s="19">
        <v>42979</v>
      </c>
      <c r="I176" s="18" t="s">
        <v>1811</v>
      </c>
      <c r="J176" s="18" t="s">
        <v>1807</v>
      </c>
      <c r="K176" s="7" t="s">
        <v>1716</v>
      </c>
      <c r="L176" s="7" t="s">
        <v>2246</v>
      </c>
      <c r="M176" s="7" t="str">
        <f t="shared" si="14"/>
        <v>ND</v>
      </c>
      <c r="N176" s="7" t="str">
        <f t="shared" si="10"/>
        <v>ND</v>
      </c>
    </row>
    <row r="177" spans="1:14" ht="15.6" x14ac:dyDescent="0.3">
      <c r="A177" s="7" t="s">
        <v>1755</v>
      </c>
      <c r="B177" s="7">
        <v>5</v>
      </c>
      <c r="C177" s="7">
        <v>11</v>
      </c>
      <c r="D177" s="7" t="s">
        <v>2252</v>
      </c>
      <c r="E177" s="7">
        <v>302.83199999999999</v>
      </c>
      <c r="F177" s="7">
        <f t="shared" si="12"/>
        <v>302832</v>
      </c>
      <c r="G177" s="7">
        <f t="shared" si="13"/>
        <v>975.60598445896312</v>
      </c>
      <c r="H177" s="19">
        <v>42979</v>
      </c>
      <c r="I177" s="18" t="s">
        <v>1811</v>
      </c>
      <c r="J177" s="18" t="s">
        <v>1807</v>
      </c>
      <c r="K177" s="7" t="s">
        <v>1716</v>
      </c>
      <c r="L177" s="7" t="s">
        <v>2246</v>
      </c>
      <c r="M177" s="7" t="str">
        <f t="shared" si="14"/>
        <v>ND</v>
      </c>
      <c r="N177" s="7" t="str">
        <f t="shared" si="10"/>
        <v>ND</v>
      </c>
    </row>
    <row r="178" spans="1:14" ht="15.6" x14ac:dyDescent="0.3">
      <c r="A178" s="7" t="s">
        <v>1740</v>
      </c>
      <c r="B178" s="7">
        <v>5</v>
      </c>
      <c r="C178" s="7">
        <v>11</v>
      </c>
      <c r="D178" s="7" t="s">
        <v>2252</v>
      </c>
      <c r="E178" s="7">
        <v>302.83199999999999</v>
      </c>
      <c r="F178" s="7">
        <f t="shared" si="12"/>
        <v>302832</v>
      </c>
      <c r="G178" s="7">
        <f t="shared" si="13"/>
        <v>975.60598445896312</v>
      </c>
      <c r="H178" s="19">
        <v>42979</v>
      </c>
      <c r="I178" s="18" t="s">
        <v>1811</v>
      </c>
      <c r="J178" s="18" t="s">
        <v>1807</v>
      </c>
      <c r="K178" s="7" t="s">
        <v>1716</v>
      </c>
      <c r="L178" s="7" t="s">
        <v>2246</v>
      </c>
      <c r="M178" s="7" t="str">
        <f t="shared" si="14"/>
        <v>ND</v>
      </c>
      <c r="N178" s="7" t="str">
        <f t="shared" si="10"/>
        <v>ND</v>
      </c>
    </row>
    <row r="179" spans="1:14" ht="15.6" x14ac:dyDescent="0.3">
      <c r="A179" s="7" t="s">
        <v>1756</v>
      </c>
      <c r="B179" s="7">
        <v>5</v>
      </c>
      <c r="C179" s="7">
        <v>11</v>
      </c>
      <c r="D179" s="7" t="s">
        <v>2252</v>
      </c>
      <c r="E179" s="7">
        <v>302.83199999999999</v>
      </c>
      <c r="F179" s="7">
        <f t="shared" si="12"/>
        <v>302832</v>
      </c>
      <c r="G179" s="7">
        <f t="shared" si="13"/>
        <v>975.60598445896312</v>
      </c>
      <c r="H179" s="19">
        <v>42979</v>
      </c>
      <c r="I179" s="18" t="s">
        <v>1811</v>
      </c>
      <c r="J179" s="18" t="s">
        <v>1807</v>
      </c>
      <c r="K179" s="7">
        <v>730</v>
      </c>
      <c r="L179" s="7" t="s">
        <v>2246</v>
      </c>
      <c r="M179" s="7">
        <f t="shared" si="14"/>
        <v>0.73</v>
      </c>
      <c r="N179" s="7">
        <f t="shared" si="10"/>
        <v>226.59492</v>
      </c>
    </row>
    <row r="180" spans="1:14" ht="15.6" x14ac:dyDescent="0.3">
      <c r="A180" s="7" t="s">
        <v>1743</v>
      </c>
      <c r="B180" s="7">
        <v>5</v>
      </c>
      <c r="C180" s="7">
        <v>11</v>
      </c>
      <c r="D180" s="7" t="s">
        <v>2252</v>
      </c>
      <c r="E180" s="7">
        <v>302.83199999999999</v>
      </c>
      <c r="F180" s="7">
        <f t="shared" si="12"/>
        <v>302832</v>
      </c>
      <c r="G180" s="7">
        <f t="shared" si="13"/>
        <v>975.60598445896312</v>
      </c>
      <c r="H180" s="19">
        <v>42979</v>
      </c>
      <c r="I180" s="18" t="s">
        <v>1811</v>
      </c>
      <c r="J180" s="18" t="s">
        <v>1807</v>
      </c>
      <c r="K180" s="7" t="s">
        <v>1716</v>
      </c>
      <c r="L180" s="7" t="s">
        <v>2246</v>
      </c>
      <c r="M180" s="7" t="str">
        <f t="shared" si="14"/>
        <v>ND</v>
      </c>
      <c r="N180" s="7" t="str">
        <f t="shared" si="10"/>
        <v>ND</v>
      </c>
    </row>
    <row r="181" spans="1:14" ht="15.6" x14ac:dyDescent="0.3">
      <c r="A181" s="7" t="s">
        <v>1757</v>
      </c>
      <c r="B181" s="7">
        <v>5</v>
      </c>
      <c r="C181" s="7">
        <v>11</v>
      </c>
      <c r="D181" s="7" t="s">
        <v>2252</v>
      </c>
      <c r="E181" s="7">
        <v>302.83199999999999</v>
      </c>
      <c r="F181" s="7">
        <f t="shared" si="12"/>
        <v>302832</v>
      </c>
      <c r="G181" s="7">
        <f t="shared" si="13"/>
        <v>975.60598445896312</v>
      </c>
      <c r="H181" s="19">
        <v>42979</v>
      </c>
      <c r="I181" s="18" t="s">
        <v>1811</v>
      </c>
      <c r="J181" s="18" t="s">
        <v>1807</v>
      </c>
      <c r="K181" s="7" t="s">
        <v>1716</v>
      </c>
      <c r="L181" s="7" t="s">
        <v>2246</v>
      </c>
      <c r="M181" s="7" t="str">
        <f t="shared" si="14"/>
        <v>ND</v>
      </c>
      <c r="N181" s="7" t="str">
        <f t="shared" si="10"/>
        <v>ND</v>
      </c>
    </row>
    <row r="182" spans="1:14" ht="15.6" x14ac:dyDescent="0.3">
      <c r="A182" s="7" t="s">
        <v>1758</v>
      </c>
      <c r="B182" s="7">
        <v>5</v>
      </c>
      <c r="C182" s="7">
        <v>11</v>
      </c>
      <c r="D182" s="7" t="s">
        <v>2252</v>
      </c>
      <c r="E182" s="7">
        <v>302.83199999999999</v>
      </c>
      <c r="F182" s="7">
        <f t="shared" si="12"/>
        <v>302832</v>
      </c>
      <c r="G182" s="7">
        <f t="shared" si="13"/>
        <v>975.60598445896312</v>
      </c>
      <c r="H182" s="19">
        <v>42979</v>
      </c>
      <c r="I182" s="18" t="s">
        <v>1811</v>
      </c>
      <c r="J182" s="18" t="s">
        <v>1807</v>
      </c>
      <c r="K182" s="7" t="s">
        <v>1716</v>
      </c>
      <c r="L182" s="7" t="s">
        <v>2246</v>
      </c>
      <c r="M182" s="7" t="str">
        <f t="shared" si="14"/>
        <v>ND</v>
      </c>
      <c r="N182" s="7" t="str">
        <f t="shared" si="10"/>
        <v>ND</v>
      </c>
    </row>
    <row r="183" spans="1:14" ht="15.6" x14ac:dyDescent="0.3">
      <c r="A183" s="7" t="s">
        <v>1759</v>
      </c>
      <c r="B183" s="7">
        <v>5</v>
      </c>
      <c r="C183" s="7">
        <v>11</v>
      </c>
      <c r="D183" s="7" t="s">
        <v>2252</v>
      </c>
      <c r="E183" s="7">
        <v>302.83199999999999</v>
      </c>
      <c r="F183" s="7">
        <f t="shared" si="12"/>
        <v>302832</v>
      </c>
      <c r="G183" s="7">
        <f t="shared" si="13"/>
        <v>975.60598445896312</v>
      </c>
      <c r="H183" s="19">
        <v>42979</v>
      </c>
      <c r="I183" s="18" t="s">
        <v>1811</v>
      </c>
      <c r="J183" s="18" t="s">
        <v>1807</v>
      </c>
      <c r="K183" s="7" t="s">
        <v>1716</v>
      </c>
      <c r="L183" s="7" t="s">
        <v>2246</v>
      </c>
      <c r="M183" s="7" t="str">
        <f t="shared" si="14"/>
        <v>ND</v>
      </c>
      <c r="N183" s="7" t="str">
        <f t="shared" si="10"/>
        <v>ND</v>
      </c>
    </row>
    <row r="184" spans="1:14" ht="15.6" x14ac:dyDescent="0.3">
      <c r="A184" s="7" t="s">
        <v>1745</v>
      </c>
      <c r="B184" s="7">
        <v>5</v>
      </c>
      <c r="C184" s="7">
        <v>11</v>
      </c>
      <c r="D184" s="7" t="s">
        <v>2252</v>
      </c>
      <c r="E184" s="7">
        <v>302.83199999999999</v>
      </c>
      <c r="F184" s="7">
        <f t="shared" si="12"/>
        <v>302832</v>
      </c>
      <c r="G184" s="7">
        <f t="shared" si="13"/>
        <v>975.60598445896312</v>
      </c>
      <c r="H184" s="19">
        <v>42979</v>
      </c>
      <c r="I184" s="18" t="s">
        <v>1811</v>
      </c>
      <c r="J184" s="18" t="s">
        <v>1807</v>
      </c>
      <c r="K184" s="7">
        <v>165</v>
      </c>
      <c r="L184" s="7" t="s">
        <v>2246</v>
      </c>
      <c r="M184" s="7">
        <f t="shared" si="14"/>
        <v>0.16500000000000001</v>
      </c>
      <c r="N184" s="7">
        <f t="shared" si="10"/>
        <v>51.216659999999997</v>
      </c>
    </row>
    <row r="185" spans="1:14" ht="15.6" x14ac:dyDescent="0.3">
      <c r="A185" s="7" t="s">
        <v>1746</v>
      </c>
      <c r="B185" s="7">
        <v>5</v>
      </c>
      <c r="C185" s="7">
        <v>11</v>
      </c>
      <c r="D185" s="7" t="s">
        <v>2252</v>
      </c>
      <c r="E185" s="7">
        <v>302.83199999999999</v>
      </c>
      <c r="F185" s="7">
        <f t="shared" si="12"/>
        <v>302832</v>
      </c>
      <c r="G185" s="7">
        <f t="shared" si="13"/>
        <v>975.60598445896312</v>
      </c>
      <c r="H185" s="19">
        <v>42979</v>
      </c>
      <c r="I185" s="18" t="s">
        <v>1811</v>
      </c>
      <c r="J185" s="18" t="s">
        <v>1807</v>
      </c>
      <c r="K185" s="7">
        <v>1299</v>
      </c>
      <c r="L185" s="7" t="s">
        <v>2246</v>
      </c>
      <c r="M185" s="7">
        <f t="shared" si="14"/>
        <v>1.2989999999999999</v>
      </c>
      <c r="N185" s="7">
        <f t="shared" si="10"/>
        <v>403.21479599999998</v>
      </c>
    </row>
    <row r="186" spans="1:14" ht="15.6" x14ac:dyDescent="0.3">
      <c r="A186" s="7" t="s">
        <v>1747</v>
      </c>
      <c r="B186" s="7">
        <v>5</v>
      </c>
      <c r="C186" s="7">
        <v>11</v>
      </c>
      <c r="D186" s="7" t="s">
        <v>2252</v>
      </c>
      <c r="E186" s="7">
        <v>302.83199999999999</v>
      </c>
      <c r="F186" s="7">
        <f t="shared" si="12"/>
        <v>302832</v>
      </c>
      <c r="G186" s="7">
        <f t="shared" si="13"/>
        <v>975.60598445896312</v>
      </c>
      <c r="H186" s="19">
        <v>42979</v>
      </c>
      <c r="I186" s="18" t="s">
        <v>1811</v>
      </c>
      <c r="J186" s="18" t="s">
        <v>1807</v>
      </c>
      <c r="K186" s="7" t="s">
        <v>1716</v>
      </c>
      <c r="L186" s="7" t="s">
        <v>2246</v>
      </c>
      <c r="M186" s="7" t="str">
        <f t="shared" si="14"/>
        <v>ND</v>
      </c>
      <c r="N186" s="7" t="str">
        <f t="shared" si="10"/>
        <v>ND</v>
      </c>
    </row>
    <row r="187" spans="1:14" ht="15.6" x14ac:dyDescent="0.3">
      <c r="A187" s="7" t="s">
        <v>2064</v>
      </c>
      <c r="B187" s="7">
        <v>5</v>
      </c>
      <c r="C187" s="7">
        <v>11</v>
      </c>
      <c r="D187" s="7" t="s">
        <v>2252</v>
      </c>
      <c r="E187" s="7">
        <v>302.83199999999999</v>
      </c>
      <c r="F187" s="7">
        <f t="shared" si="12"/>
        <v>302832</v>
      </c>
      <c r="G187" s="7">
        <f t="shared" si="13"/>
        <v>975.60598445896312</v>
      </c>
      <c r="H187" s="19">
        <v>42979</v>
      </c>
      <c r="I187" s="18" t="s">
        <v>1811</v>
      </c>
      <c r="J187" s="18" t="s">
        <v>1807</v>
      </c>
      <c r="K187" s="7" t="s">
        <v>1716</v>
      </c>
      <c r="L187" s="7" t="s">
        <v>2246</v>
      </c>
      <c r="M187" s="7" t="str">
        <f t="shared" si="14"/>
        <v>ND</v>
      </c>
      <c r="N187" s="7" t="str">
        <f t="shared" si="10"/>
        <v>ND</v>
      </c>
    </row>
    <row r="188" spans="1:14" ht="15.6" x14ac:dyDescent="0.3">
      <c r="A188" s="7" t="s">
        <v>1729</v>
      </c>
      <c r="B188" s="7">
        <v>5</v>
      </c>
      <c r="C188" s="7">
        <v>11</v>
      </c>
      <c r="D188" s="7" t="s">
        <v>2252</v>
      </c>
      <c r="E188" s="7">
        <v>302.83199999999999</v>
      </c>
      <c r="F188" s="7">
        <f t="shared" si="12"/>
        <v>302832</v>
      </c>
      <c r="G188" s="7">
        <f t="shared" si="13"/>
        <v>975.60598445896312</v>
      </c>
      <c r="H188" s="19">
        <v>43070</v>
      </c>
      <c r="I188" s="18" t="s">
        <v>1811</v>
      </c>
      <c r="J188" s="18" t="s">
        <v>1807</v>
      </c>
      <c r="K188" s="7">
        <v>16413</v>
      </c>
      <c r="L188" s="7" t="s">
        <v>2246</v>
      </c>
      <c r="M188" s="7">
        <f t="shared" si="14"/>
        <v>16.413</v>
      </c>
      <c r="N188" s="7">
        <f t="shared" si="10"/>
        <v>5094.6608520000009</v>
      </c>
    </row>
    <row r="189" spans="1:14" ht="15.6" x14ac:dyDescent="0.3">
      <c r="A189" s="7" t="s">
        <v>1753</v>
      </c>
      <c r="B189" s="7">
        <v>5</v>
      </c>
      <c r="C189" s="7">
        <v>11</v>
      </c>
      <c r="D189" s="7" t="s">
        <v>2252</v>
      </c>
      <c r="E189" s="7">
        <v>302.83199999999999</v>
      </c>
      <c r="F189" s="7">
        <f t="shared" si="12"/>
        <v>302832</v>
      </c>
      <c r="G189" s="7">
        <f t="shared" si="13"/>
        <v>975.60598445896312</v>
      </c>
      <c r="H189" s="19">
        <v>43070</v>
      </c>
      <c r="I189" s="18" t="s">
        <v>1811</v>
      </c>
      <c r="J189" s="18" t="s">
        <v>1807</v>
      </c>
      <c r="K189" s="7">
        <v>224</v>
      </c>
      <c r="L189" s="7" t="s">
        <v>2246</v>
      </c>
      <c r="M189" s="7">
        <f t="shared" si="14"/>
        <v>0.224</v>
      </c>
      <c r="N189" s="7">
        <f t="shared" si="10"/>
        <v>69.530495999999999</v>
      </c>
    </row>
    <row r="190" spans="1:14" ht="15.6" x14ac:dyDescent="0.3">
      <c r="A190" s="7" t="s">
        <v>1733</v>
      </c>
      <c r="B190" s="7">
        <v>5</v>
      </c>
      <c r="C190" s="7">
        <v>11</v>
      </c>
      <c r="D190" s="7" t="s">
        <v>2252</v>
      </c>
      <c r="E190" s="7">
        <v>302.83199999999999</v>
      </c>
      <c r="F190" s="7">
        <f t="shared" si="12"/>
        <v>302832</v>
      </c>
      <c r="G190" s="7">
        <f t="shared" si="13"/>
        <v>975.60598445896312</v>
      </c>
      <c r="H190" s="19">
        <v>43070</v>
      </c>
      <c r="I190" s="18" t="s">
        <v>1811</v>
      </c>
      <c r="J190" s="18" t="s">
        <v>1807</v>
      </c>
      <c r="K190" s="7">
        <v>95</v>
      </c>
      <c r="L190" s="7" t="s">
        <v>2246</v>
      </c>
      <c r="M190" s="7">
        <f t="shared" si="14"/>
        <v>9.5000000000000001E-2</v>
      </c>
      <c r="N190" s="7">
        <f t="shared" si="10"/>
        <v>29.488380000000003</v>
      </c>
    </row>
    <row r="191" spans="1:14" ht="15.6" x14ac:dyDescent="0.3">
      <c r="A191" s="7" t="s">
        <v>1734</v>
      </c>
      <c r="B191" s="7">
        <v>5</v>
      </c>
      <c r="C191" s="7">
        <v>11</v>
      </c>
      <c r="D191" s="7" t="s">
        <v>2252</v>
      </c>
      <c r="E191" s="7">
        <v>302.83199999999999</v>
      </c>
      <c r="F191" s="7">
        <f t="shared" si="12"/>
        <v>302832</v>
      </c>
      <c r="G191" s="7">
        <f t="shared" si="13"/>
        <v>975.60598445896312</v>
      </c>
      <c r="H191" s="19">
        <v>43070</v>
      </c>
      <c r="I191" s="18" t="s">
        <v>1811</v>
      </c>
      <c r="J191" s="18" t="s">
        <v>1807</v>
      </c>
      <c r="K191" s="7">
        <v>426</v>
      </c>
      <c r="L191" s="7" t="s">
        <v>2246</v>
      </c>
      <c r="M191" s="7">
        <f t="shared" si="14"/>
        <v>0.42599999999999999</v>
      </c>
      <c r="N191" s="7">
        <f t="shared" si="10"/>
        <v>132.23210399999999</v>
      </c>
    </row>
    <row r="192" spans="1:14" ht="15.6" x14ac:dyDescent="0.3">
      <c r="A192" s="7" t="s">
        <v>1737</v>
      </c>
      <c r="B192" s="7">
        <v>5</v>
      </c>
      <c r="C192" s="7">
        <v>11</v>
      </c>
      <c r="D192" s="7" t="s">
        <v>2252</v>
      </c>
      <c r="E192" s="7">
        <v>302.83199999999999</v>
      </c>
      <c r="F192" s="7">
        <f t="shared" si="12"/>
        <v>302832</v>
      </c>
      <c r="G192" s="7">
        <f t="shared" si="13"/>
        <v>975.60598445896312</v>
      </c>
      <c r="H192" s="19">
        <v>43070</v>
      </c>
      <c r="I192" s="18" t="s">
        <v>1811</v>
      </c>
      <c r="J192" s="18" t="s">
        <v>1807</v>
      </c>
      <c r="K192" s="7" t="s">
        <v>1716</v>
      </c>
      <c r="L192" s="7" t="s">
        <v>2246</v>
      </c>
      <c r="M192" s="7" t="str">
        <f t="shared" si="14"/>
        <v>ND</v>
      </c>
      <c r="N192" s="7" t="str">
        <f t="shared" si="10"/>
        <v>ND</v>
      </c>
    </row>
    <row r="193" spans="1:14" ht="15.6" x14ac:dyDescent="0.3">
      <c r="A193" s="7" t="s">
        <v>1749</v>
      </c>
      <c r="B193" s="7">
        <v>5</v>
      </c>
      <c r="C193" s="7">
        <v>11</v>
      </c>
      <c r="D193" s="7" t="s">
        <v>2252</v>
      </c>
      <c r="E193" s="7">
        <v>302.83199999999999</v>
      </c>
      <c r="F193" s="7">
        <f t="shared" si="12"/>
        <v>302832</v>
      </c>
      <c r="G193" s="7">
        <f t="shared" si="13"/>
        <v>975.60598445896312</v>
      </c>
      <c r="H193" s="19">
        <v>43070</v>
      </c>
      <c r="I193" s="18" t="s">
        <v>1811</v>
      </c>
      <c r="J193" s="18" t="s">
        <v>1807</v>
      </c>
      <c r="K193" s="7" t="s">
        <v>1716</v>
      </c>
      <c r="L193" s="7" t="s">
        <v>2246</v>
      </c>
      <c r="M193" s="7" t="str">
        <f t="shared" si="14"/>
        <v>ND</v>
      </c>
      <c r="N193" s="7" t="str">
        <f t="shared" si="10"/>
        <v>ND</v>
      </c>
    </row>
    <row r="194" spans="1:14" ht="15.6" x14ac:dyDescent="0.3">
      <c r="A194" s="7" t="s">
        <v>1748</v>
      </c>
      <c r="B194" s="7">
        <v>5</v>
      </c>
      <c r="C194" s="7">
        <v>11</v>
      </c>
      <c r="D194" s="7" t="s">
        <v>2252</v>
      </c>
      <c r="E194" s="7">
        <v>302.83199999999999</v>
      </c>
      <c r="F194" s="7">
        <f t="shared" si="12"/>
        <v>302832</v>
      </c>
      <c r="G194" s="7">
        <f t="shared" si="13"/>
        <v>975.60598445896312</v>
      </c>
      <c r="H194" s="19">
        <v>43070</v>
      </c>
      <c r="I194" s="18" t="s">
        <v>1811</v>
      </c>
      <c r="J194" s="18" t="s">
        <v>1807</v>
      </c>
      <c r="K194" s="7">
        <v>198</v>
      </c>
      <c r="L194" s="7" t="s">
        <v>2246</v>
      </c>
      <c r="M194" s="7">
        <f t="shared" si="14"/>
        <v>0.19800000000000001</v>
      </c>
      <c r="N194" s="7">
        <f t="shared" si="10"/>
        <v>61.459992000000007</v>
      </c>
    </row>
    <row r="195" spans="1:14" ht="15.6" x14ac:dyDescent="0.3">
      <c r="A195" s="7" t="s">
        <v>1754</v>
      </c>
      <c r="B195" s="7">
        <v>5</v>
      </c>
      <c r="C195" s="7">
        <v>11</v>
      </c>
      <c r="D195" s="7" t="s">
        <v>2252</v>
      </c>
      <c r="E195" s="7">
        <v>302.83199999999999</v>
      </c>
      <c r="F195" s="7">
        <f t="shared" si="12"/>
        <v>302832</v>
      </c>
      <c r="G195" s="7">
        <f t="shared" si="13"/>
        <v>975.60598445896312</v>
      </c>
      <c r="H195" s="19">
        <v>43070</v>
      </c>
      <c r="I195" s="18" t="s">
        <v>1811</v>
      </c>
      <c r="J195" s="18" t="s">
        <v>1807</v>
      </c>
      <c r="K195" s="7" t="s">
        <v>1716</v>
      </c>
      <c r="L195" s="7" t="s">
        <v>2246</v>
      </c>
      <c r="M195" s="7" t="str">
        <f t="shared" si="14"/>
        <v>ND</v>
      </c>
      <c r="N195" s="7" t="str">
        <f t="shared" ref="N195:N258" si="15">IFERROR((M195*F195)/G195,"ND")</f>
        <v>ND</v>
      </c>
    </row>
    <row r="196" spans="1:14" ht="15.6" x14ac:dyDescent="0.3">
      <c r="A196" s="7" t="s">
        <v>1728</v>
      </c>
      <c r="B196" s="7">
        <v>5</v>
      </c>
      <c r="C196" s="7">
        <v>11</v>
      </c>
      <c r="D196" s="7" t="s">
        <v>2252</v>
      </c>
      <c r="E196" s="7">
        <v>302.83199999999999</v>
      </c>
      <c r="F196" s="7">
        <f t="shared" si="12"/>
        <v>302832</v>
      </c>
      <c r="G196" s="7">
        <f t="shared" si="13"/>
        <v>975.60598445896312</v>
      </c>
      <c r="H196" s="19">
        <v>43070</v>
      </c>
      <c r="I196" s="18" t="s">
        <v>1811</v>
      </c>
      <c r="J196" s="18" t="s">
        <v>1807</v>
      </c>
      <c r="K196" s="7" t="s">
        <v>1716</v>
      </c>
      <c r="L196" s="7" t="s">
        <v>2246</v>
      </c>
      <c r="M196" s="7" t="str">
        <f t="shared" si="14"/>
        <v>ND</v>
      </c>
      <c r="N196" s="7" t="str">
        <f t="shared" si="15"/>
        <v>ND</v>
      </c>
    </row>
    <row r="197" spans="1:14" ht="15.6" x14ac:dyDescent="0.3">
      <c r="A197" s="7" t="s">
        <v>1755</v>
      </c>
      <c r="B197" s="7">
        <v>5</v>
      </c>
      <c r="C197" s="7">
        <v>11</v>
      </c>
      <c r="D197" s="7" t="s">
        <v>2252</v>
      </c>
      <c r="E197" s="7">
        <v>302.83199999999999</v>
      </c>
      <c r="F197" s="7">
        <f t="shared" si="12"/>
        <v>302832</v>
      </c>
      <c r="G197" s="7">
        <f t="shared" si="13"/>
        <v>975.60598445896312</v>
      </c>
      <c r="H197" s="19">
        <v>43070</v>
      </c>
      <c r="I197" s="18" t="s">
        <v>1811</v>
      </c>
      <c r="J197" s="18" t="s">
        <v>1807</v>
      </c>
      <c r="K197" s="7" t="s">
        <v>1716</v>
      </c>
      <c r="L197" s="7" t="s">
        <v>2246</v>
      </c>
      <c r="M197" s="7" t="str">
        <f t="shared" si="14"/>
        <v>ND</v>
      </c>
      <c r="N197" s="7" t="str">
        <f t="shared" si="15"/>
        <v>ND</v>
      </c>
    </row>
    <row r="198" spans="1:14" ht="15.6" x14ac:dyDescent="0.3">
      <c r="A198" s="7" t="s">
        <v>1740</v>
      </c>
      <c r="B198" s="7">
        <v>5</v>
      </c>
      <c r="C198" s="7">
        <v>11</v>
      </c>
      <c r="D198" s="7" t="s">
        <v>2252</v>
      </c>
      <c r="E198" s="7">
        <v>302.83199999999999</v>
      </c>
      <c r="F198" s="7">
        <f t="shared" si="12"/>
        <v>302832</v>
      </c>
      <c r="G198" s="7">
        <f t="shared" si="13"/>
        <v>975.60598445896312</v>
      </c>
      <c r="H198" s="19">
        <v>43070</v>
      </c>
      <c r="I198" s="18" t="s">
        <v>1811</v>
      </c>
      <c r="J198" s="18" t="s">
        <v>1807</v>
      </c>
      <c r="K198" s="7" t="s">
        <v>1716</v>
      </c>
      <c r="L198" s="7" t="s">
        <v>2246</v>
      </c>
      <c r="M198" s="7" t="str">
        <f t="shared" si="14"/>
        <v>ND</v>
      </c>
      <c r="N198" s="7" t="str">
        <f t="shared" si="15"/>
        <v>ND</v>
      </c>
    </row>
    <row r="199" spans="1:14" ht="15.6" x14ac:dyDescent="0.3">
      <c r="A199" s="7" t="s">
        <v>1756</v>
      </c>
      <c r="B199" s="7">
        <v>5</v>
      </c>
      <c r="C199" s="7">
        <v>11</v>
      </c>
      <c r="D199" s="7" t="s">
        <v>2252</v>
      </c>
      <c r="E199" s="7">
        <v>302.83199999999999</v>
      </c>
      <c r="F199" s="7">
        <f t="shared" si="12"/>
        <v>302832</v>
      </c>
      <c r="G199" s="7">
        <f t="shared" si="13"/>
        <v>975.60598445896312</v>
      </c>
      <c r="H199" s="19">
        <v>43070</v>
      </c>
      <c r="I199" s="18" t="s">
        <v>1811</v>
      </c>
      <c r="J199" s="18" t="s">
        <v>1807</v>
      </c>
      <c r="K199" s="7">
        <v>253</v>
      </c>
      <c r="L199" s="7" t="s">
        <v>2246</v>
      </c>
      <c r="M199" s="7">
        <f t="shared" si="14"/>
        <v>0.253</v>
      </c>
      <c r="N199" s="7">
        <f t="shared" si="15"/>
        <v>78.532212000000001</v>
      </c>
    </row>
    <row r="200" spans="1:14" ht="15.6" x14ac:dyDescent="0.3">
      <c r="A200" s="7" t="s">
        <v>1743</v>
      </c>
      <c r="B200" s="7">
        <v>5</v>
      </c>
      <c r="C200" s="7">
        <v>11</v>
      </c>
      <c r="D200" s="7" t="s">
        <v>2252</v>
      </c>
      <c r="E200" s="7">
        <v>302.83199999999999</v>
      </c>
      <c r="F200" s="7">
        <f t="shared" si="12"/>
        <v>302832</v>
      </c>
      <c r="G200" s="7">
        <f t="shared" si="13"/>
        <v>975.60598445896312</v>
      </c>
      <c r="H200" s="19">
        <v>43070</v>
      </c>
      <c r="I200" s="18" t="s">
        <v>1811</v>
      </c>
      <c r="J200" s="18" t="s">
        <v>1807</v>
      </c>
      <c r="K200" s="7" t="s">
        <v>1716</v>
      </c>
      <c r="L200" s="7" t="s">
        <v>2246</v>
      </c>
      <c r="M200" s="7" t="str">
        <f t="shared" si="14"/>
        <v>ND</v>
      </c>
      <c r="N200" s="7" t="str">
        <f t="shared" si="15"/>
        <v>ND</v>
      </c>
    </row>
    <row r="201" spans="1:14" ht="15.6" x14ac:dyDescent="0.3">
      <c r="A201" s="7" t="s">
        <v>1757</v>
      </c>
      <c r="B201" s="7">
        <v>5</v>
      </c>
      <c r="C201" s="7">
        <v>11</v>
      </c>
      <c r="D201" s="7" t="s">
        <v>2252</v>
      </c>
      <c r="E201" s="7">
        <v>302.83199999999999</v>
      </c>
      <c r="F201" s="7">
        <f t="shared" si="12"/>
        <v>302832</v>
      </c>
      <c r="G201" s="7">
        <f t="shared" si="13"/>
        <v>975.60598445896312</v>
      </c>
      <c r="H201" s="19">
        <v>43070</v>
      </c>
      <c r="I201" s="18" t="s">
        <v>1811</v>
      </c>
      <c r="J201" s="18" t="s">
        <v>1807</v>
      </c>
      <c r="K201" s="7" t="s">
        <v>1716</v>
      </c>
      <c r="L201" s="7" t="s">
        <v>2246</v>
      </c>
      <c r="M201" s="7" t="str">
        <f t="shared" si="14"/>
        <v>ND</v>
      </c>
      <c r="N201" s="7" t="str">
        <f t="shared" si="15"/>
        <v>ND</v>
      </c>
    </row>
    <row r="202" spans="1:14" ht="15.6" x14ac:dyDescent="0.3">
      <c r="A202" s="7" t="s">
        <v>1758</v>
      </c>
      <c r="B202" s="7">
        <v>5</v>
      </c>
      <c r="C202" s="7">
        <v>11</v>
      </c>
      <c r="D202" s="7" t="s">
        <v>2252</v>
      </c>
      <c r="E202" s="7">
        <v>302.83199999999999</v>
      </c>
      <c r="F202" s="7">
        <f t="shared" si="12"/>
        <v>302832</v>
      </c>
      <c r="G202" s="7">
        <f t="shared" si="13"/>
        <v>975.60598445896312</v>
      </c>
      <c r="H202" s="19">
        <v>43070</v>
      </c>
      <c r="I202" s="18" t="s">
        <v>1811</v>
      </c>
      <c r="J202" s="18" t="s">
        <v>1807</v>
      </c>
      <c r="K202" s="7" t="s">
        <v>1716</v>
      </c>
      <c r="L202" s="7" t="s">
        <v>2246</v>
      </c>
      <c r="M202" s="7" t="str">
        <f t="shared" si="14"/>
        <v>ND</v>
      </c>
      <c r="N202" s="7" t="str">
        <f t="shared" si="15"/>
        <v>ND</v>
      </c>
    </row>
    <row r="203" spans="1:14" ht="15.6" x14ac:dyDescent="0.3">
      <c r="A203" s="7" t="s">
        <v>1759</v>
      </c>
      <c r="B203" s="7">
        <v>5</v>
      </c>
      <c r="C203" s="7">
        <v>11</v>
      </c>
      <c r="D203" s="7" t="s">
        <v>2252</v>
      </c>
      <c r="E203" s="7">
        <v>302.83199999999999</v>
      </c>
      <c r="F203" s="7">
        <f t="shared" si="12"/>
        <v>302832</v>
      </c>
      <c r="G203" s="7">
        <f t="shared" si="13"/>
        <v>975.60598445896312</v>
      </c>
      <c r="H203" s="19">
        <v>43070</v>
      </c>
      <c r="I203" s="18" t="s">
        <v>1811</v>
      </c>
      <c r="J203" s="18" t="s">
        <v>1807</v>
      </c>
      <c r="K203" s="7" t="s">
        <v>1716</v>
      </c>
      <c r="L203" s="7" t="s">
        <v>2246</v>
      </c>
      <c r="M203" s="7" t="str">
        <f t="shared" si="14"/>
        <v>ND</v>
      </c>
      <c r="N203" s="7" t="str">
        <f t="shared" si="15"/>
        <v>ND</v>
      </c>
    </row>
    <row r="204" spans="1:14" ht="15.6" x14ac:dyDescent="0.3">
      <c r="A204" s="7" t="s">
        <v>1745</v>
      </c>
      <c r="B204" s="7">
        <v>5</v>
      </c>
      <c r="C204" s="7">
        <v>11</v>
      </c>
      <c r="D204" s="7" t="s">
        <v>2252</v>
      </c>
      <c r="E204" s="7">
        <v>302.83199999999999</v>
      </c>
      <c r="F204" s="7">
        <f t="shared" si="12"/>
        <v>302832</v>
      </c>
      <c r="G204" s="7">
        <f t="shared" si="13"/>
        <v>975.60598445896312</v>
      </c>
      <c r="H204" s="19">
        <v>43070</v>
      </c>
      <c r="I204" s="18" t="s">
        <v>1811</v>
      </c>
      <c r="J204" s="18" t="s">
        <v>1807</v>
      </c>
      <c r="K204" s="7">
        <v>2968</v>
      </c>
      <c r="L204" s="7" t="s">
        <v>2246</v>
      </c>
      <c r="M204" s="7">
        <f t="shared" si="14"/>
        <v>2.968</v>
      </c>
      <c r="N204" s="7">
        <f t="shared" si="15"/>
        <v>921.27907200000004</v>
      </c>
    </row>
    <row r="205" spans="1:14" ht="15.6" x14ac:dyDescent="0.3">
      <c r="A205" s="7" t="s">
        <v>1746</v>
      </c>
      <c r="B205" s="7">
        <v>5</v>
      </c>
      <c r="C205" s="7">
        <v>11</v>
      </c>
      <c r="D205" s="7" t="s">
        <v>2252</v>
      </c>
      <c r="E205" s="7">
        <v>302.83199999999999</v>
      </c>
      <c r="F205" s="7">
        <f t="shared" si="12"/>
        <v>302832</v>
      </c>
      <c r="G205" s="7">
        <f t="shared" si="13"/>
        <v>975.60598445896312</v>
      </c>
      <c r="H205" s="19">
        <v>43070</v>
      </c>
      <c r="I205" s="18" t="s">
        <v>1811</v>
      </c>
      <c r="J205" s="18" t="s">
        <v>1807</v>
      </c>
      <c r="K205" s="7">
        <v>524</v>
      </c>
      <c r="L205" s="7" t="s">
        <v>2246</v>
      </c>
      <c r="M205" s="7">
        <f t="shared" si="14"/>
        <v>0.52400000000000002</v>
      </c>
      <c r="N205" s="7">
        <f t="shared" si="15"/>
        <v>162.65169599999999</v>
      </c>
    </row>
    <row r="206" spans="1:14" ht="15.6" x14ac:dyDescent="0.3">
      <c r="A206" s="7" t="s">
        <v>1747</v>
      </c>
      <c r="B206" s="7">
        <v>5</v>
      </c>
      <c r="C206" s="7">
        <v>11</v>
      </c>
      <c r="D206" s="7" t="s">
        <v>2252</v>
      </c>
      <c r="E206" s="7">
        <v>302.83199999999999</v>
      </c>
      <c r="F206" s="7">
        <f t="shared" si="12"/>
        <v>302832</v>
      </c>
      <c r="G206" s="7">
        <f t="shared" si="13"/>
        <v>975.60598445896312</v>
      </c>
      <c r="H206" s="19">
        <v>43070</v>
      </c>
      <c r="I206" s="18" t="s">
        <v>1811</v>
      </c>
      <c r="J206" s="18" t="s">
        <v>1807</v>
      </c>
      <c r="K206" s="7" t="s">
        <v>1716</v>
      </c>
      <c r="L206" s="7" t="s">
        <v>2246</v>
      </c>
      <c r="M206" s="7" t="str">
        <f t="shared" si="14"/>
        <v>ND</v>
      </c>
      <c r="N206" s="7" t="str">
        <f t="shared" si="15"/>
        <v>ND</v>
      </c>
    </row>
    <row r="207" spans="1:14" ht="15.6" x14ac:dyDescent="0.3">
      <c r="A207" s="7" t="s">
        <v>2064</v>
      </c>
      <c r="B207" s="7">
        <v>5</v>
      </c>
      <c r="C207" s="7">
        <v>11</v>
      </c>
      <c r="D207" s="7" t="s">
        <v>2252</v>
      </c>
      <c r="E207" s="7">
        <v>302.83199999999999</v>
      </c>
      <c r="F207" s="7">
        <f t="shared" si="12"/>
        <v>302832</v>
      </c>
      <c r="G207" s="7">
        <f t="shared" si="13"/>
        <v>975.60598445896312</v>
      </c>
      <c r="H207" s="19">
        <v>43070</v>
      </c>
      <c r="I207" s="18" t="s">
        <v>1811</v>
      </c>
      <c r="J207" s="18" t="s">
        <v>1807</v>
      </c>
      <c r="K207" s="7" t="s">
        <v>1716</v>
      </c>
      <c r="L207" s="7" t="s">
        <v>2246</v>
      </c>
      <c r="M207" s="7" t="str">
        <f t="shared" si="14"/>
        <v>ND</v>
      </c>
      <c r="N207" s="7" t="str">
        <f t="shared" si="15"/>
        <v>ND</v>
      </c>
    </row>
    <row r="208" spans="1:14" ht="15.6" x14ac:dyDescent="0.3">
      <c r="A208" s="7" t="s">
        <v>1729</v>
      </c>
      <c r="B208" s="7">
        <v>5</v>
      </c>
      <c r="C208" s="7">
        <v>11</v>
      </c>
      <c r="D208" s="7" t="s">
        <v>2252</v>
      </c>
      <c r="E208" s="7">
        <v>302.83199999999999</v>
      </c>
      <c r="F208" s="7">
        <f t="shared" si="12"/>
        <v>302832</v>
      </c>
      <c r="G208" s="7">
        <f t="shared" si="13"/>
        <v>975.60598445896312</v>
      </c>
      <c r="H208" s="19">
        <v>43282</v>
      </c>
      <c r="I208" s="18" t="s">
        <v>1811</v>
      </c>
      <c r="J208" s="18" t="s">
        <v>1807</v>
      </c>
      <c r="K208" s="7">
        <v>24903</v>
      </c>
      <c r="L208" s="7" t="s">
        <v>2246</v>
      </c>
      <c r="M208" s="7">
        <f t="shared" si="14"/>
        <v>24.902999999999999</v>
      </c>
      <c r="N208" s="7">
        <f t="shared" si="15"/>
        <v>7729.9908119999991</v>
      </c>
    </row>
    <row r="209" spans="1:14" ht="15.6" x14ac:dyDescent="0.3">
      <c r="A209" s="7" t="s">
        <v>1753</v>
      </c>
      <c r="B209" s="7">
        <v>5</v>
      </c>
      <c r="C209" s="7">
        <v>11</v>
      </c>
      <c r="D209" s="7" t="s">
        <v>2252</v>
      </c>
      <c r="E209" s="7">
        <v>302.83199999999999</v>
      </c>
      <c r="F209" s="7">
        <f t="shared" si="12"/>
        <v>302832</v>
      </c>
      <c r="G209" s="7">
        <f t="shared" si="13"/>
        <v>975.60598445896312</v>
      </c>
      <c r="H209" s="19">
        <v>43282</v>
      </c>
      <c r="I209" s="18" t="s">
        <v>1811</v>
      </c>
      <c r="J209" s="18" t="s">
        <v>1807</v>
      </c>
      <c r="K209" s="7">
        <v>452</v>
      </c>
      <c r="L209" s="7" t="s">
        <v>2246</v>
      </c>
      <c r="M209" s="7">
        <f t="shared" si="14"/>
        <v>0.45200000000000001</v>
      </c>
      <c r="N209" s="7">
        <f t="shared" si="15"/>
        <v>140.30260800000002</v>
      </c>
    </row>
    <row r="210" spans="1:14" ht="15.6" x14ac:dyDescent="0.3">
      <c r="A210" s="7" t="s">
        <v>1733</v>
      </c>
      <c r="B210" s="7">
        <v>5</v>
      </c>
      <c r="C210" s="7">
        <v>11</v>
      </c>
      <c r="D210" s="7" t="s">
        <v>2252</v>
      </c>
      <c r="E210" s="7">
        <v>302.83199999999999</v>
      </c>
      <c r="F210" s="7">
        <f t="shared" si="12"/>
        <v>302832</v>
      </c>
      <c r="G210" s="7">
        <f t="shared" si="13"/>
        <v>975.60598445896312</v>
      </c>
      <c r="H210" s="19">
        <v>43282</v>
      </c>
      <c r="I210" s="18" t="s">
        <v>1811</v>
      </c>
      <c r="J210" s="18" t="s">
        <v>1807</v>
      </c>
      <c r="K210" s="7" t="s">
        <v>1716</v>
      </c>
      <c r="L210" s="7" t="s">
        <v>2246</v>
      </c>
      <c r="M210" s="7" t="str">
        <f t="shared" si="14"/>
        <v>ND</v>
      </c>
      <c r="N210" s="7" t="str">
        <f t="shared" si="15"/>
        <v>ND</v>
      </c>
    </row>
    <row r="211" spans="1:14" ht="15.6" x14ac:dyDescent="0.3">
      <c r="A211" s="7" t="s">
        <v>1734</v>
      </c>
      <c r="B211" s="7">
        <v>5</v>
      </c>
      <c r="C211" s="7">
        <v>11</v>
      </c>
      <c r="D211" s="7" t="s">
        <v>2252</v>
      </c>
      <c r="E211" s="7">
        <v>302.83199999999999</v>
      </c>
      <c r="F211" s="7">
        <f t="shared" si="12"/>
        <v>302832</v>
      </c>
      <c r="G211" s="7">
        <f t="shared" si="13"/>
        <v>975.60598445896312</v>
      </c>
      <c r="H211" s="19">
        <v>43282</v>
      </c>
      <c r="I211" s="18" t="s">
        <v>1811</v>
      </c>
      <c r="J211" s="18" t="s">
        <v>1807</v>
      </c>
      <c r="K211" s="7">
        <v>431</v>
      </c>
      <c r="L211" s="7" t="s">
        <v>2246</v>
      </c>
      <c r="M211" s="7">
        <f t="shared" si="14"/>
        <v>0.43099999999999999</v>
      </c>
      <c r="N211" s="7">
        <f t="shared" si="15"/>
        <v>133.78412400000002</v>
      </c>
    </row>
    <row r="212" spans="1:14" ht="15.6" x14ac:dyDescent="0.3">
      <c r="A212" s="7" t="s">
        <v>1737</v>
      </c>
      <c r="B212" s="7">
        <v>5</v>
      </c>
      <c r="C212" s="7">
        <v>11</v>
      </c>
      <c r="D212" s="7" t="s">
        <v>2252</v>
      </c>
      <c r="E212" s="7">
        <v>302.83199999999999</v>
      </c>
      <c r="F212" s="7">
        <f t="shared" si="12"/>
        <v>302832</v>
      </c>
      <c r="G212" s="7">
        <f t="shared" si="13"/>
        <v>975.60598445896312</v>
      </c>
      <c r="H212" s="19">
        <v>43282</v>
      </c>
      <c r="I212" s="18" t="s">
        <v>1811</v>
      </c>
      <c r="J212" s="18" t="s">
        <v>1807</v>
      </c>
      <c r="K212" s="7" t="s">
        <v>1716</v>
      </c>
      <c r="L212" s="7" t="s">
        <v>2246</v>
      </c>
      <c r="M212" s="7" t="str">
        <f t="shared" si="14"/>
        <v>ND</v>
      </c>
      <c r="N212" s="7" t="str">
        <f t="shared" si="15"/>
        <v>ND</v>
      </c>
    </row>
    <row r="213" spans="1:14" ht="15.6" x14ac:dyDescent="0.3">
      <c r="A213" s="7" t="s">
        <v>1749</v>
      </c>
      <c r="B213" s="7">
        <v>5</v>
      </c>
      <c r="C213" s="7">
        <v>11</v>
      </c>
      <c r="D213" s="7" t="s">
        <v>2252</v>
      </c>
      <c r="E213" s="7">
        <v>302.83199999999999</v>
      </c>
      <c r="F213" s="7">
        <f t="shared" si="12"/>
        <v>302832</v>
      </c>
      <c r="G213" s="7">
        <f t="shared" si="13"/>
        <v>975.60598445896312</v>
      </c>
      <c r="H213" s="19">
        <v>43282</v>
      </c>
      <c r="I213" s="18" t="s">
        <v>1811</v>
      </c>
      <c r="J213" s="18" t="s">
        <v>1807</v>
      </c>
      <c r="K213" s="7">
        <v>43</v>
      </c>
      <c r="L213" s="7" t="s">
        <v>2246</v>
      </c>
      <c r="M213" s="7">
        <f t="shared" si="14"/>
        <v>4.2999999999999997E-2</v>
      </c>
      <c r="N213" s="7">
        <f t="shared" si="15"/>
        <v>13.347372</v>
      </c>
    </row>
    <row r="214" spans="1:14" ht="15.6" x14ac:dyDescent="0.3">
      <c r="A214" s="7" t="s">
        <v>1748</v>
      </c>
      <c r="B214" s="7">
        <v>5</v>
      </c>
      <c r="C214" s="7">
        <v>11</v>
      </c>
      <c r="D214" s="7" t="s">
        <v>2252</v>
      </c>
      <c r="E214" s="7">
        <v>302.83199999999999</v>
      </c>
      <c r="F214" s="7">
        <f t="shared" si="12"/>
        <v>302832</v>
      </c>
      <c r="G214" s="7">
        <f t="shared" si="13"/>
        <v>975.60598445896312</v>
      </c>
      <c r="H214" s="19">
        <v>43282</v>
      </c>
      <c r="I214" s="18" t="s">
        <v>1811</v>
      </c>
      <c r="J214" s="18" t="s">
        <v>1807</v>
      </c>
      <c r="K214" s="7">
        <v>303</v>
      </c>
      <c r="L214" s="7" t="s">
        <v>2246</v>
      </c>
      <c r="M214" s="7">
        <f t="shared" si="14"/>
        <v>0.30299999999999999</v>
      </c>
      <c r="N214" s="7">
        <f t="shared" si="15"/>
        <v>94.05241199999999</v>
      </c>
    </row>
    <row r="215" spans="1:14" ht="15.6" x14ac:dyDescent="0.3">
      <c r="A215" s="7" t="s">
        <v>1754</v>
      </c>
      <c r="B215" s="7">
        <v>5</v>
      </c>
      <c r="C215" s="7">
        <v>11</v>
      </c>
      <c r="D215" s="7" t="s">
        <v>2252</v>
      </c>
      <c r="E215" s="7">
        <v>302.83199999999999</v>
      </c>
      <c r="F215" s="7">
        <f t="shared" si="12"/>
        <v>302832</v>
      </c>
      <c r="G215" s="7">
        <f t="shared" si="13"/>
        <v>975.60598445896312</v>
      </c>
      <c r="H215" s="19">
        <v>43282</v>
      </c>
      <c r="I215" s="18" t="s">
        <v>1811</v>
      </c>
      <c r="J215" s="18" t="s">
        <v>1807</v>
      </c>
      <c r="K215" s="7" t="s">
        <v>1716</v>
      </c>
      <c r="L215" s="7" t="s">
        <v>2246</v>
      </c>
      <c r="M215" s="7" t="str">
        <f t="shared" si="14"/>
        <v>ND</v>
      </c>
      <c r="N215" s="7" t="str">
        <f t="shared" si="15"/>
        <v>ND</v>
      </c>
    </row>
    <row r="216" spans="1:14" ht="15.6" x14ac:dyDescent="0.3">
      <c r="A216" s="7" t="s">
        <v>1728</v>
      </c>
      <c r="B216" s="7">
        <v>5</v>
      </c>
      <c r="C216" s="7">
        <v>11</v>
      </c>
      <c r="D216" s="7" t="s">
        <v>2252</v>
      </c>
      <c r="E216" s="7">
        <v>302.83199999999999</v>
      </c>
      <c r="F216" s="7">
        <f t="shared" si="12"/>
        <v>302832</v>
      </c>
      <c r="G216" s="7">
        <f t="shared" si="13"/>
        <v>975.60598445896312</v>
      </c>
      <c r="H216" s="19">
        <v>43282</v>
      </c>
      <c r="I216" s="18" t="s">
        <v>1811</v>
      </c>
      <c r="J216" s="18" t="s">
        <v>1807</v>
      </c>
      <c r="K216" s="7" t="s">
        <v>1716</v>
      </c>
      <c r="L216" s="7" t="s">
        <v>2246</v>
      </c>
      <c r="M216" s="7" t="str">
        <f t="shared" si="14"/>
        <v>ND</v>
      </c>
      <c r="N216" s="7" t="str">
        <f t="shared" si="15"/>
        <v>ND</v>
      </c>
    </row>
    <row r="217" spans="1:14" ht="15.6" x14ac:dyDescent="0.3">
      <c r="A217" s="7" t="s">
        <v>1755</v>
      </c>
      <c r="B217" s="7">
        <v>5</v>
      </c>
      <c r="C217" s="7">
        <v>11</v>
      </c>
      <c r="D217" s="7" t="s">
        <v>2252</v>
      </c>
      <c r="E217" s="7">
        <v>302.83199999999999</v>
      </c>
      <c r="F217" s="7">
        <f t="shared" si="12"/>
        <v>302832</v>
      </c>
      <c r="G217" s="7">
        <f t="shared" si="13"/>
        <v>975.60598445896312</v>
      </c>
      <c r="H217" s="19">
        <v>43282</v>
      </c>
      <c r="I217" s="18" t="s">
        <v>1811</v>
      </c>
      <c r="J217" s="18" t="s">
        <v>1807</v>
      </c>
      <c r="K217" s="7" t="s">
        <v>1716</v>
      </c>
      <c r="L217" s="7" t="s">
        <v>2246</v>
      </c>
      <c r="M217" s="7" t="str">
        <f t="shared" si="14"/>
        <v>ND</v>
      </c>
      <c r="N217" s="7" t="str">
        <f t="shared" si="15"/>
        <v>ND</v>
      </c>
    </row>
    <row r="218" spans="1:14" ht="15.6" x14ac:dyDescent="0.3">
      <c r="A218" s="7" t="s">
        <v>1740</v>
      </c>
      <c r="B218" s="7">
        <v>5</v>
      </c>
      <c r="C218" s="7">
        <v>11</v>
      </c>
      <c r="D218" s="7" t="s">
        <v>2252</v>
      </c>
      <c r="E218" s="7">
        <v>302.83199999999999</v>
      </c>
      <c r="F218" s="7">
        <f t="shared" si="12"/>
        <v>302832</v>
      </c>
      <c r="G218" s="7">
        <f t="shared" si="13"/>
        <v>975.60598445896312</v>
      </c>
      <c r="H218" s="19">
        <v>43282</v>
      </c>
      <c r="I218" s="18" t="s">
        <v>1811</v>
      </c>
      <c r="J218" s="18" t="s">
        <v>1807</v>
      </c>
      <c r="K218" s="7" t="s">
        <v>1716</v>
      </c>
      <c r="L218" s="7" t="s">
        <v>2246</v>
      </c>
      <c r="M218" s="7" t="str">
        <f t="shared" si="14"/>
        <v>ND</v>
      </c>
      <c r="N218" s="7" t="str">
        <f t="shared" si="15"/>
        <v>ND</v>
      </c>
    </row>
    <row r="219" spans="1:14" ht="15.6" x14ac:dyDescent="0.3">
      <c r="A219" s="7" t="s">
        <v>1756</v>
      </c>
      <c r="B219" s="7">
        <v>5</v>
      </c>
      <c r="C219" s="7">
        <v>11</v>
      </c>
      <c r="D219" s="7" t="s">
        <v>2252</v>
      </c>
      <c r="E219" s="7">
        <v>302.83199999999999</v>
      </c>
      <c r="F219" s="7">
        <f t="shared" si="12"/>
        <v>302832</v>
      </c>
      <c r="G219" s="7">
        <f t="shared" si="13"/>
        <v>975.60598445896312</v>
      </c>
      <c r="H219" s="19">
        <v>43282</v>
      </c>
      <c r="I219" s="18" t="s">
        <v>1811</v>
      </c>
      <c r="J219" s="18" t="s">
        <v>1807</v>
      </c>
      <c r="K219" s="7">
        <v>411</v>
      </c>
      <c r="L219" s="7" t="s">
        <v>2246</v>
      </c>
      <c r="M219" s="7">
        <f t="shared" si="14"/>
        <v>0.41099999999999998</v>
      </c>
      <c r="N219" s="7">
        <f t="shared" si="15"/>
        <v>127.576044</v>
      </c>
    </row>
    <row r="220" spans="1:14" ht="15.6" x14ac:dyDescent="0.3">
      <c r="A220" s="7" t="s">
        <v>1743</v>
      </c>
      <c r="B220" s="7">
        <v>5</v>
      </c>
      <c r="C220" s="7">
        <v>11</v>
      </c>
      <c r="D220" s="7" t="s">
        <v>2252</v>
      </c>
      <c r="E220" s="7">
        <v>302.83199999999999</v>
      </c>
      <c r="F220" s="7">
        <f t="shared" si="12"/>
        <v>302832</v>
      </c>
      <c r="G220" s="7">
        <f t="shared" si="13"/>
        <v>975.60598445896312</v>
      </c>
      <c r="H220" s="19">
        <v>43282</v>
      </c>
      <c r="I220" s="18" t="s">
        <v>1811</v>
      </c>
      <c r="J220" s="18" t="s">
        <v>1807</v>
      </c>
      <c r="K220" s="7" t="s">
        <v>1716</v>
      </c>
      <c r="L220" s="7" t="s">
        <v>2246</v>
      </c>
      <c r="M220" s="7" t="str">
        <f t="shared" si="14"/>
        <v>ND</v>
      </c>
      <c r="N220" s="7" t="str">
        <f t="shared" si="15"/>
        <v>ND</v>
      </c>
    </row>
    <row r="221" spans="1:14" ht="15.6" x14ac:dyDescent="0.3">
      <c r="A221" s="7" t="s">
        <v>1757</v>
      </c>
      <c r="B221" s="7">
        <v>5</v>
      </c>
      <c r="C221" s="7">
        <v>11</v>
      </c>
      <c r="D221" s="7" t="s">
        <v>2252</v>
      </c>
      <c r="E221" s="7">
        <v>302.83199999999999</v>
      </c>
      <c r="F221" s="7">
        <f t="shared" si="12"/>
        <v>302832</v>
      </c>
      <c r="G221" s="7">
        <f t="shared" si="13"/>
        <v>975.60598445896312</v>
      </c>
      <c r="H221" s="19">
        <v>43282</v>
      </c>
      <c r="I221" s="18" t="s">
        <v>1811</v>
      </c>
      <c r="J221" s="18" t="s">
        <v>1807</v>
      </c>
      <c r="K221" s="7" t="s">
        <v>1716</v>
      </c>
      <c r="L221" s="7" t="s">
        <v>2246</v>
      </c>
      <c r="M221" s="7" t="str">
        <f t="shared" si="14"/>
        <v>ND</v>
      </c>
      <c r="N221" s="7" t="str">
        <f t="shared" si="15"/>
        <v>ND</v>
      </c>
    </row>
    <row r="222" spans="1:14" ht="15.6" x14ac:dyDescent="0.3">
      <c r="A222" s="7" t="s">
        <v>1758</v>
      </c>
      <c r="B222" s="7">
        <v>5</v>
      </c>
      <c r="C222" s="7">
        <v>11</v>
      </c>
      <c r="D222" s="7" t="s">
        <v>2252</v>
      </c>
      <c r="E222" s="7">
        <v>302.83199999999999</v>
      </c>
      <c r="F222" s="7">
        <f t="shared" si="12"/>
        <v>302832</v>
      </c>
      <c r="G222" s="7">
        <f t="shared" si="13"/>
        <v>975.60598445896312</v>
      </c>
      <c r="H222" s="19">
        <v>43282</v>
      </c>
      <c r="I222" s="18" t="s">
        <v>1811</v>
      </c>
      <c r="J222" s="18" t="s">
        <v>1807</v>
      </c>
      <c r="K222" s="7" t="s">
        <v>1716</v>
      </c>
      <c r="L222" s="7" t="s">
        <v>2246</v>
      </c>
      <c r="M222" s="7" t="str">
        <f t="shared" si="14"/>
        <v>ND</v>
      </c>
      <c r="N222" s="7" t="str">
        <f t="shared" si="15"/>
        <v>ND</v>
      </c>
    </row>
    <row r="223" spans="1:14" ht="15.6" x14ac:dyDescent="0.3">
      <c r="A223" s="7" t="s">
        <v>1759</v>
      </c>
      <c r="B223" s="7">
        <v>5</v>
      </c>
      <c r="C223" s="7">
        <v>11</v>
      </c>
      <c r="D223" s="7" t="s">
        <v>2252</v>
      </c>
      <c r="E223" s="7">
        <v>302.83199999999999</v>
      </c>
      <c r="F223" s="7">
        <f t="shared" si="12"/>
        <v>302832</v>
      </c>
      <c r="G223" s="7">
        <f t="shared" si="13"/>
        <v>975.60598445896312</v>
      </c>
      <c r="H223" s="19">
        <v>43282</v>
      </c>
      <c r="I223" s="18" t="s">
        <v>1811</v>
      </c>
      <c r="J223" s="18" t="s">
        <v>1807</v>
      </c>
      <c r="K223" s="7" t="s">
        <v>1716</v>
      </c>
      <c r="L223" s="7" t="s">
        <v>2246</v>
      </c>
      <c r="M223" s="7" t="str">
        <f t="shared" si="14"/>
        <v>ND</v>
      </c>
      <c r="N223" s="7" t="str">
        <f t="shared" si="15"/>
        <v>ND</v>
      </c>
    </row>
    <row r="224" spans="1:14" ht="15.6" x14ac:dyDescent="0.3">
      <c r="A224" s="7" t="s">
        <v>1745</v>
      </c>
      <c r="B224" s="7">
        <v>5</v>
      </c>
      <c r="C224" s="7">
        <v>11</v>
      </c>
      <c r="D224" s="7" t="s">
        <v>2252</v>
      </c>
      <c r="E224" s="7">
        <v>302.83199999999999</v>
      </c>
      <c r="F224" s="7">
        <f t="shared" si="12"/>
        <v>302832</v>
      </c>
      <c r="G224" s="7">
        <f t="shared" si="13"/>
        <v>975.60598445896312</v>
      </c>
      <c r="H224" s="19">
        <v>43282</v>
      </c>
      <c r="I224" s="18" t="s">
        <v>1811</v>
      </c>
      <c r="J224" s="18" t="s">
        <v>1807</v>
      </c>
      <c r="K224" s="7">
        <v>1682</v>
      </c>
      <c r="L224" s="7" t="s">
        <v>2246</v>
      </c>
      <c r="M224" s="7">
        <f t="shared" si="14"/>
        <v>1.6819999999999999</v>
      </c>
      <c r="N224" s="7">
        <f t="shared" si="15"/>
        <v>522.09952799999996</v>
      </c>
    </row>
    <row r="225" spans="1:14" ht="15.6" x14ac:dyDescent="0.3">
      <c r="A225" s="7" t="s">
        <v>1746</v>
      </c>
      <c r="B225" s="7">
        <v>5</v>
      </c>
      <c r="C225" s="7">
        <v>11</v>
      </c>
      <c r="D225" s="7" t="s">
        <v>2252</v>
      </c>
      <c r="E225" s="7">
        <v>302.83199999999999</v>
      </c>
      <c r="F225" s="7">
        <f t="shared" si="12"/>
        <v>302832</v>
      </c>
      <c r="G225" s="7">
        <f t="shared" si="13"/>
        <v>975.60598445896312</v>
      </c>
      <c r="H225" s="19">
        <v>43282</v>
      </c>
      <c r="I225" s="18" t="s">
        <v>1811</v>
      </c>
      <c r="J225" s="18" t="s">
        <v>1807</v>
      </c>
      <c r="K225" s="7">
        <v>302</v>
      </c>
      <c r="L225" s="7" t="s">
        <v>2246</v>
      </c>
      <c r="M225" s="7">
        <f t="shared" si="14"/>
        <v>0.30199999999999999</v>
      </c>
      <c r="N225" s="7">
        <f t="shared" si="15"/>
        <v>93.742007999999998</v>
      </c>
    </row>
    <row r="226" spans="1:14" ht="15.6" x14ac:dyDescent="0.3">
      <c r="A226" s="7" t="s">
        <v>1747</v>
      </c>
      <c r="B226" s="7">
        <v>5</v>
      </c>
      <c r="C226" s="7">
        <v>11</v>
      </c>
      <c r="D226" s="7" t="s">
        <v>2252</v>
      </c>
      <c r="E226" s="7">
        <v>302.83199999999999</v>
      </c>
      <c r="F226" s="7">
        <f t="shared" si="12"/>
        <v>302832</v>
      </c>
      <c r="G226" s="7">
        <f t="shared" si="13"/>
        <v>975.60598445896312</v>
      </c>
      <c r="H226" s="19">
        <v>43282</v>
      </c>
      <c r="I226" s="18" t="s">
        <v>1811</v>
      </c>
      <c r="J226" s="18" t="s">
        <v>1807</v>
      </c>
      <c r="K226" s="7" t="s">
        <v>1716</v>
      </c>
      <c r="L226" s="7" t="s">
        <v>2246</v>
      </c>
      <c r="M226" s="7" t="str">
        <f t="shared" si="14"/>
        <v>ND</v>
      </c>
      <c r="N226" s="7" t="str">
        <f t="shared" si="15"/>
        <v>ND</v>
      </c>
    </row>
    <row r="227" spans="1:14" ht="15.6" x14ac:dyDescent="0.3">
      <c r="A227" s="7" t="s">
        <v>2064</v>
      </c>
      <c r="B227" s="7">
        <v>5</v>
      </c>
      <c r="C227" s="7">
        <v>11</v>
      </c>
      <c r="D227" s="7" t="s">
        <v>2252</v>
      </c>
      <c r="E227" s="7">
        <v>302.83199999999999</v>
      </c>
      <c r="F227" s="7">
        <f t="shared" si="12"/>
        <v>302832</v>
      </c>
      <c r="G227" s="7">
        <f t="shared" si="13"/>
        <v>975.60598445896312</v>
      </c>
      <c r="H227" s="19">
        <v>43282</v>
      </c>
      <c r="I227" s="18" t="s">
        <v>1811</v>
      </c>
      <c r="J227" s="18" t="s">
        <v>1807</v>
      </c>
      <c r="K227" s="7" t="s">
        <v>1716</v>
      </c>
      <c r="L227" s="7" t="s">
        <v>2246</v>
      </c>
      <c r="M227" s="7" t="str">
        <f t="shared" si="14"/>
        <v>ND</v>
      </c>
      <c r="N227" s="7" t="str">
        <f t="shared" si="15"/>
        <v>ND</v>
      </c>
    </row>
    <row r="228" spans="1:14" ht="15.6" x14ac:dyDescent="0.3">
      <c r="A228" s="7" t="s">
        <v>1729</v>
      </c>
      <c r="B228" s="7">
        <v>5</v>
      </c>
      <c r="C228" s="7">
        <v>11</v>
      </c>
      <c r="D228" s="7" t="s">
        <v>2253</v>
      </c>
      <c r="E228" s="7">
        <v>302.83199999999999</v>
      </c>
      <c r="F228" s="7">
        <f t="shared" si="12"/>
        <v>302832</v>
      </c>
      <c r="G228" s="7">
        <f t="shared" si="13"/>
        <v>975.60598445896312</v>
      </c>
      <c r="H228" s="19">
        <v>42675</v>
      </c>
      <c r="I228" s="18" t="s">
        <v>1811</v>
      </c>
      <c r="J228" s="18" t="s">
        <v>1807</v>
      </c>
      <c r="K228" s="7">
        <v>21137</v>
      </c>
      <c r="L228" s="7" t="s">
        <v>2246</v>
      </c>
      <c r="M228" s="7">
        <f t="shared" si="14"/>
        <v>21.137</v>
      </c>
      <c r="N228" s="7">
        <f t="shared" si="15"/>
        <v>6561.0093480000005</v>
      </c>
    </row>
    <row r="229" spans="1:14" ht="15.6" x14ac:dyDescent="0.3">
      <c r="A229" s="7" t="s">
        <v>1753</v>
      </c>
      <c r="B229" s="7">
        <v>5</v>
      </c>
      <c r="C229" s="7">
        <v>11</v>
      </c>
      <c r="D229" s="7" t="s">
        <v>2253</v>
      </c>
      <c r="E229" s="7">
        <v>302.83199999999999</v>
      </c>
      <c r="F229" s="7">
        <f t="shared" si="12"/>
        <v>302832</v>
      </c>
      <c r="G229" s="7">
        <f t="shared" si="13"/>
        <v>975.60598445896312</v>
      </c>
      <c r="H229" s="19">
        <v>42675</v>
      </c>
      <c r="I229" s="18" t="s">
        <v>1811</v>
      </c>
      <c r="J229" s="18" t="s">
        <v>1807</v>
      </c>
      <c r="K229" s="7">
        <v>352</v>
      </c>
      <c r="L229" s="7" t="s">
        <v>2246</v>
      </c>
      <c r="M229" s="7">
        <f t="shared" si="14"/>
        <v>0.35199999999999998</v>
      </c>
      <c r="N229" s="7">
        <f t="shared" si="15"/>
        <v>109.26220799999999</v>
      </c>
    </row>
    <row r="230" spans="1:14" ht="15.6" x14ac:dyDescent="0.3">
      <c r="A230" s="7" t="s">
        <v>1733</v>
      </c>
      <c r="B230" s="7">
        <v>5</v>
      </c>
      <c r="C230" s="7">
        <v>11</v>
      </c>
      <c r="D230" s="7" t="s">
        <v>2253</v>
      </c>
      <c r="E230" s="7">
        <v>302.83199999999999</v>
      </c>
      <c r="F230" s="7">
        <f t="shared" si="12"/>
        <v>302832</v>
      </c>
      <c r="G230" s="7">
        <f t="shared" si="13"/>
        <v>975.60598445896312</v>
      </c>
      <c r="H230" s="19">
        <v>42675</v>
      </c>
      <c r="I230" s="18" t="s">
        <v>1811</v>
      </c>
      <c r="J230" s="18" t="s">
        <v>1807</v>
      </c>
      <c r="K230" s="7">
        <v>207</v>
      </c>
      <c r="L230" s="7" t="s">
        <v>2246</v>
      </c>
      <c r="M230" s="7">
        <f t="shared" si="14"/>
        <v>0.20699999999999999</v>
      </c>
      <c r="N230" s="7">
        <f t="shared" si="15"/>
        <v>64.253627999999992</v>
      </c>
    </row>
    <row r="231" spans="1:14" ht="15.6" x14ac:dyDescent="0.3">
      <c r="A231" s="7" t="s">
        <v>1734</v>
      </c>
      <c r="B231" s="7">
        <v>5</v>
      </c>
      <c r="C231" s="7">
        <v>11</v>
      </c>
      <c r="D231" s="7" t="s">
        <v>2253</v>
      </c>
      <c r="E231" s="7">
        <v>302.83199999999999</v>
      </c>
      <c r="F231" s="7">
        <f t="shared" si="12"/>
        <v>302832</v>
      </c>
      <c r="G231" s="7">
        <f t="shared" si="13"/>
        <v>975.60598445896312</v>
      </c>
      <c r="H231" s="19">
        <v>42675</v>
      </c>
      <c r="I231" s="18" t="s">
        <v>1811</v>
      </c>
      <c r="J231" s="18" t="s">
        <v>1807</v>
      </c>
      <c r="K231" s="7" t="s">
        <v>1716</v>
      </c>
      <c r="L231" s="7" t="s">
        <v>2246</v>
      </c>
      <c r="M231" s="7" t="str">
        <f t="shared" si="14"/>
        <v>ND</v>
      </c>
      <c r="N231" s="7" t="str">
        <f t="shared" si="15"/>
        <v>ND</v>
      </c>
    </row>
    <row r="232" spans="1:14" ht="15.6" x14ac:dyDescent="0.3">
      <c r="A232" s="7" t="s">
        <v>1737</v>
      </c>
      <c r="B232" s="7">
        <v>5</v>
      </c>
      <c r="C232" s="7">
        <v>11</v>
      </c>
      <c r="D232" s="7" t="s">
        <v>2253</v>
      </c>
      <c r="E232" s="7">
        <v>302.83199999999999</v>
      </c>
      <c r="F232" s="7">
        <f t="shared" si="12"/>
        <v>302832</v>
      </c>
      <c r="G232" s="7">
        <f t="shared" si="13"/>
        <v>975.60598445896312</v>
      </c>
      <c r="H232" s="19">
        <v>42675</v>
      </c>
      <c r="I232" s="18" t="s">
        <v>1811</v>
      </c>
      <c r="J232" s="18" t="s">
        <v>1807</v>
      </c>
      <c r="K232" s="7" t="s">
        <v>1716</v>
      </c>
      <c r="L232" s="7" t="s">
        <v>2246</v>
      </c>
      <c r="M232" s="7" t="str">
        <f t="shared" si="14"/>
        <v>ND</v>
      </c>
      <c r="N232" s="7" t="str">
        <f t="shared" si="15"/>
        <v>ND</v>
      </c>
    </row>
    <row r="233" spans="1:14" ht="15.6" x14ac:dyDescent="0.3">
      <c r="A233" s="7" t="s">
        <v>1749</v>
      </c>
      <c r="B233" s="7">
        <v>5</v>
      </c>
      <c r="C233" s="7">
        <v>11</v>
      </c>
      <c r="D233" s="7" t="s">
        <v>2253</v>
      </c>
      <c r="E233" s="7">
        <v>302.83199999999999</v>
      </c>
      <c r="F233" s="7">
        <f t="shared" ref="F233:F296" si="16">E233*1000</f>
        <v>302832</v>
      </c>
      <c r="G233" s="7">
        <f t="shared" ref="G233:G296" si="17">F233/310.404</f>
        <v>975.60598445896312</v>
      </c>
      <c r="H233" s="19">
        <v>42675</v>
      </c>
      <c r="I233" s="18" t="s">
        <v>1811</v>
      </c>
      <c r="J233" s="18" t="s">
        <v>1807</v>
      </c>
      <c r="K233" s="7">
        <v>188</v>
      </c>
      <c r="L233" s="7" t="s">
        <v>2246</v>
      </c>
      <c r="M233" s="7">
        <f t="shared" si="14"/>
        <v>0.188</v>
      </c>
      <c r="N233" s="7">
        <f t="shared" si="15"/>
        <v>58.355952000000002</v>
      </c>
    </row>
    <row r="234" spans="1:14" ht="15.6" x14ac:dyDescent="0.3">
      <c r="A234" s="7" t="s">
        <v>1748</v>
      </c>
      <c r="B234" s="7">
        <v>5</v>
      </c>
      <c r="C234" s="7">
        <v>11</v>
      </c>
      <c r="D234" s="7" t="s">
        <v>2253</v>
      </c>
      <c r="E234" s="7">
        <v>302.83199999999999</v>
      </c>
      <c r="F234" s="7">
        <f t="shared" si="16"/>
        <v>302832</v>
      </c>
      <c r="G234" s="7">
        <f t="shared" si="17"/>
        <v>975.60598445896312</v>
      </c>
      <c r="H234" s="19">
        <v>42675</v>
      </c>
      <c r="I234" s="18" t="s">
        <v>1811</v>
      </c>
      <c r="J234" s="18" t="s">
        <v>1807</v>
      </c>
      <c r="K234" s="7">
        <v>542</v>
      </c>
      <c r="L234" s="7" t="s">
        <v>2246</v>
      </c>
      <c r="M234" s="7">
        <f t="shared" ref="M234:M297" si="18">IFERROR(K234/1000,"ND")</f>
        <v>0.54200000000000004</v>
      </c>
      <c r="N234" s="7">
        <f t="shared" si="15"/>
        <v>168.23896800000003</v>
      </c>
    </row>
    <row r="235" spans="1:14" ht="15.6" x14ac:dyDescent="0.3">
      <c r="A235" s="7" t="s">
        <v>1754</v>
      </c>
      <c r="B235" s="7">
        <v>5</v>
      </c>
      <c r="C235" s="7">
        <v>11</v>
      </c>
      <c r="D235" s="7" t="s">
        <v>2253</v>
      </c>
      <c r="E235" s="7">
        <v>302.83199999999999</v>
      </c>
      <c r="F235" s="7">
        <f t="shared" si="16"/>
        <v>302832</v>
      </c>
      <c r="G235" s="7">
        <f t="shared" si="17"/>
        <v>975.60598445896312</v>
      </c>
      <c r="H235" s="19">
        <v>42675</v>
      </c>
      <c r="I235" s="18" t="s">
        <v>1811</v>
      </c>
      <c r="J235" s="18" t="s">
        <v>1807</v>
      </c>
      <c r="K235" s="7" t="s">
        <v>1716</v>
      </c>
      <c r="L235" s="7" t="s">
        <v>2246</v>
      </c>
      <c r="M235" s="7" t="str">
        <f t="shared" si="18"/>
        <v>ND</v>
      </c>
      <c r="N235" s="7" t="str">
        <f t="shared" si="15"/>
        <v>ND</v>
      </c>
    </row>
    <row r="236" spans="1:14" ht="15.6" x14ac:dyDescent="0.3">
      <c r="A236" s="7" t="s">
        <v>1728</v>
      </c>
      <c r="B236" s="7">
        <v>5</v>
      </c>
      <c r="C236" s="7">
        <v>11</v>
      </c>
      <c r="D236" s="7" t="s">
        <v>2253</v>
      </c>
      <c r="E236" s="7">
        <v>302.83199999999999</v>
      </c>
      <c r="F236" s="7">
        <f t="shared" si="16"/>
        <v>302832</v>
      </c>
      <c r="G236" s="7">
        <f t="shared" si="17"/>
        <v>975.60598445896312</v>
      </c>
      <c r="H236" s="19">
        <v>42675</v>
      </c>
      <c r="I236" s="18" t="s">
        <v>1811</v>
      </c>
      <c r="J236" s="18" t="s">
        <v>1807</v>
      </c>
      <c r="K236" s="7">
        <v>295</v>
      </c>
      <c r="L236" s="7" t="s">
        <v>2246</v>
      </c>
      <c r="M236" s="7">
        <f t="shared" si="18"/>
        <v>0.29499999999999998</v>
      </c>
      <c r="N236" s="7">
        <f t="shared" si="15"/>
        <v>91.569180000000003</v>
      </c>
    </row>
    <row r="237" spans="1:14" ht="15.6" x14ac:dyDescent="0.3">
      <c r="A237" s="7" t="s">
        <v>1755</v>
      </c>
      <c r="B237" s="7">
        <v>5</v>
      </c>
      <c r="C237" s="7">
        <v>11</v>
      </c>
      <c r="D237" s="7" t="s">
        <v>2253</v>
      </c>
      <c r="E237" s="7">
        <v>302.83199999999999</v>
      </c>
      <c r="F237" s="7">
        <f t="shared" si="16"/>
        <v>302832</v>
      </c>
      <c r="G237" s="7">
        <f t="shared" si="17"/>
        <v>975.60598445896312</v>
      </c>
      <c r="H237" s="19">
        <v>42675</v>
      </c>
      <c r="I237" s="18" t="s">
        <v>1811</v>
      </c>
      <c r="J237" s="18" t="s">
        <v>1807</v>
      </c>
      <c r="K237" s="7">
        <v>136</v>
      </c>
      <c r="L237" s="7" t="s">
        <v>2246</v>
      </c>
      <c r="M237" s="7">
        <f t="shared" si="18"/>
        <v>0.13600000000000001</v>
      </c>
      <c r="N237" s="7">
        <f t="shared" si="15"/>
        <v>42.214944000000003</v>
      </c>
    </row>
    <row r="238" spans="1:14" ht="15.6" x14ac:dyDescent="0.3">
      <c r="A238" s="7" t="s">
        <v>1740</v>
      </c>
      <c r="B238" s="7">
        <v>5</v>
      </c>
      <c r="C238" s="7">
        <v>11</v>
      </c>
      <c r="D238" s="7" t="s">
        <v>2253</v>
      </c>
      <c r="E238" s="7">
        <v>302.83199999999999</v>
      </c>
      <c r="F238" s="7">
        <f t="shared" si="16"/>
        <v>302832</v>
      </c>
      <c r="G238" s="7">
        <f t="shared" si="17"/>
        <v>975.60598445896312</v>
      </c>
      <c r="H238" s="19">
        <v>42675</v>
      </c>
      <c r="I238" s="18" t="s">
        <v>1811</v>
      </c>
      <c r="J238" s="18" t="s">
        <v>1807</v>
      </c>
      <c r="K238" s="7" t="s">
        <v>1716</v>
      </c>
      <c r="L238" s="7" t="s">
        <v>2246</v>
      </c>
      <c r="M238" s="7" t="str">
        <f t="shared" si="18"/>
        <v>ND</v>
      </c>
      <c r="N238" s="7" t="str">
        <f t="shared" si="15"/>
        <v>ND</v>
      </c>
    </row>
    <row r="239" spans="1:14" ht="15.6" x14ac:dyDescent="0.3">
      <c r="A239" s="7" t="s">
        <v>1756</v>
      </c>
      <c r="B239" s="7">
        <v>5</v>
      </c>
      <c r="C239" s="7">
        <v>11</v>
      </c>
      <c r="D239" s="7" t="s">
        <v>2253</v>
      </c>
      <c r="E239" s="7">
        <v>302.83199999999999</v>
      </c>
      <c r="F239" s="7">
        <f t="shared" si="16"/>
        <v>302832</v>
      </c>
      <c r="G239" s="7">
        <f t="shared" si="17"/>
        <v>975.60598445896312</v>
      </c>
      <c r="H239" s="19">
        <v>42675</v>
      </c>
      <c r="I239" s="18" t="s">
        <v>1811</v>
      </c>
      <c r="J239" s="18" t="s">
        <v>1807</v>
      </c>
      <c r="K239" s="7">
        <v>473</v>
      </c>
      <c r="L239" s="7" t="s">
        <v>2246</v>
      </c>
      <c r="M239" s="7">
        <f t="shared" si="18"/>
        <v>0.47299999999999998</v>
      </c>
      <c r="N239" s="7">
        <f t="shared" si="15"/>
        <v>146.82109199999999</v>
      </c>
    </row>
    <row r="240" spans="1:14" ht="15.6" x14ac:dyDescent="0.3">
      <c r="A240" s="7" t="s">
        <v>1743</v>
      </c>
      <c r="B240" s="7">
        <v>5</v>
      </c>
      <c r="C240" s="7">
        <v>11</v>
      </c>
      <c r="D240" s="7" t="s">
        <v>2253</v>
      </c>
      <c r="E240" s="7">
        <v>302.83199999999999</v>
      </c>
      <c r="F240" s="7">
        <f t="shared" si="16"/>
        <v>302832</v>
      </c>
      <c r="G240" s="7">
        <f t="shared" si="17"/>
        <v>975.60598445896312</v>
      </c>
      <c r="H240" s="19">
        <v>42675</v>
      </c>
      <c r="I240" s="18" t="s">
        <v>1811</v>
      </c>
      <c r="J240" s="18" t="s">
        <v>1807</v>
      </c>
      <c r="K240" s="7" t="s">
        <v>1716</v>
      </c>
      <c r="L240" s="7" t="s">
        <v>2246</v>
      </c>
      <c r="M240" s="7" t="str">
        <f t="shared" si="18"/>
        <v>ND</v>
      </c>
      <c r="N240" s="7" t="str">
        <f t="shared" si="15"/>
        <v>ND</v>
      </c>
    </row>
    <row r="241" spans="1:14" ht="15.6" x14ac:dyDescent="0.3">
      <c r="A241" s="7" t="s">
        <v>1757</v>
      </c>
      <c r="B241" s="7">
        <v>5</v>
      </c>
      <c r="C241" s="7">
        <v>11</v>
      </c>
      <c r="D241" s="7" t="s">
        <v>2253</v>
      </c>
      <c r="E241" s="7">
        <v>302.83199999999999</v>
      </c>
      <c r="F241" s="7">
        <f t="shared" si="16"/>
        <v>302832</v>
      </c>
      <c r="G241" s="7">
        <f t="shared" si="17"/>
        <v>975.60598445896312</v>
      </c>
      <c r="H241" s="19">
        <v>42675</v>
      </c>
      <c r="I241" s="18" t="s">
        <v>1811</v>
      </c>
      <c r="J241" s="18" t="s">
        <v>1807</v>
      </c>
      <c r="K241" s="7">
        <v>1469</v>
      </c>
      <c r="L241" s="7" t="s">
        <v>2246</v>
      </c>
      <c r="M241" s="7">
        <f t="shared" si="18"/>
        <v>1.4690000000000001</v>
      </c>
      <c r="N241" s="7">
        <f t="shared" si="15"/>
        <v>455.98347600000005</v>
      </c>
    </row>
    <row r="242" spans="1:14" ht="15.6" x14ac:dyDescent="0.3">
      <c r="A242" s="7" t="s">
        <v>1758</v>
      </c>
      <c r="B242" s="7">
        <v>5</v>
      </c>
      <c r="C242" s="7">
        <v>11</v>
      </c>
      <c r="D242" s="7" t="s">
        <v>2253</v>
      </c>
      <c r="E242" s="7">
        <v>302.83199999999999</v>
      </c>
      <c r="F242" s="7">
        <f t="shared" si="16"/>
        <v>302832</v>
      </c>
      <c r="G242" s="7">
        <f t="shared" si="17"/>
        <v>975.60598445896312</v>
      </c>
      <c r="H242" s="19">
        <v>42675</v>
      </c>
      <c r="I242" s="18" t="s">
        <v>1811</v>
      </c>
      <c r="J242" s="18" t="s">
        <v>1807</v>
      </c>
      <c r="K242" s="7" t="s">
        <v>1716</v>
      </c>
      <c r="L242" s="7" t="s">
        <v>2246</v>
      </c>
      <c r="M242" s="7" t="str">
        <f t="shared" si="18"/>
        <v>ND</v>
      </c>
      <c r="N242" s="7" t="str">
        <f t="shared" si="15"/>
        <v>ND</v>
      </c>
    </row>
    <row r="243" spans="1:14" ht="15.6" x14ac:dyDescent="0.3">
      <c r="A243" s="7" t="s">
        <v>1759</v>
      </c>
      <c r="B243" s="7">
        <v>5</v>
      </c>
      <c r="C243" s="7">
        <v>11</v>
      </c>
      <c r="D243" s="7" t="s">
        <v>2253</v>
      </c>
      <c r="E243" s="7">
        <v>302.83199999999999</v>
      </c>
      <c r="F243" s="7">
        <f t="shared" si="16"/>
        <v>302832</v>
      </c>
      <c r="G243" s="7">
        <f t="shared" si="17"/>
        <v>975.60598445896312</v>
      </c>
      <c r="H243" s="19">
        <v>42675</v>
      </c>
      <c r="I243" s="18" t="s">
        <v>1811</v>
      </c>
      <c r="J243" s="18" t="s">
        <v>1807</v>
      </c>
      <c r="K243" s="7">
        <v>400</v>
      </c>
      <c r="L243" s="7" t="s">
        <v>2246</v>
      </c>
      <c r="M243" s="7">
        <f t="shared" si="18"/>
        <v>0.4</v>
      </c>
      <c r="N243" s="7">
        <f t="shared" si="15"/>
        <v>124.16160000000001</v>
      </c>
    </row>
    <row r="244" spans="1:14" ht="15.6" x14ac:dyDescent="0.3">
      <c r="A244" s="7" t="s">
        <v>1745</v>
      </c>
      <c r="B244" s="7">
        <v>5</v>
      </c>
      <c r="C244" s="7">
        <v>11</v>
      </c>
      <c r="D244" s="7" t="s">
        <v>2253</v>
      </c>
      <c r="E244" s="7">
        <v>302.83199999999999</v>
      </c>
      <c r="F244" s="7">
        <f t="shared" si="16"/>
        <v>302832</v>
      </c>
      <c r="G244" s="7">
        <f t="shared" si="17"/>
        <v>975.60598445896312</v>
      </c>
      <c r="H244" s="19">
        <v>42675</v>
      </c>
      <c r="I244" s="18" t="s">
        <v>1811</v>
      </c>
      <c r="J244" s="18" t="s">
        <v>1807</v>
      </c>
      <c r="K244" s="7">
        <v>2744</v>
      </c>
      <c r="L244" s="7" t="s">
        <v>2246</v>
      </c>
      <c r="M244" s="7">
        <f t="shared" si="18"/>
        <v>2.7440000000000002</v>
      </c>
      <c r="N244" s="7">
        <f t="shared" si="15"/>
        <v>851.74857600000007</v>
      </c>
    </row>
    <row r="245" spans="1:14" ht="15.6" x14ac:dyDescent="0.3">
      <c r="A245" s="7" t="s">
        <v>1746</v>
      </c>
      <c r="B245" s="7">
        <v>5</v>
      </c>
      <c r="C245" s="7">
        <v>11</v>
      </c>
      <c r="D245" s="7" t="s">
        <v>2253</v>
      </c>
      <c r="E245" s="7">
        <v>302.83199999999999</v>
      </c>
      <c r="F245" s="7">
        <f t="shared" si="16"/>
        <v>302832</v>
      </c>
      <c r="G245" s="7">
        <f t="shared" si="17"/>
        <v>975.60598445896312</v>
      </c>
      <c r="H245" s="19">
        <v>42675</v>
      </c>
      <c r="I245" s="18" t="s">
        <v>1811</v>
      </c>
      <c r="J245" s="18" t="s">
        <v>1807</v>
      </c>
      <c r="K245" s="7">
        <v>1885</v>
      </c>
      <c r="L245" s="7" t="s">
        <v>2246</v>
      </c>
      <c r="M245" s="7">
        <f t="shared" si="18"/>
        <v>1.885</v>
      </c>
      <c r="N245" s="7">
        <f t="shared" si="15"/>
        <v>585.11153999999999</v>
      </c>
    </row>
    <row r="246" spans="1:14" ht="15.6" x14ac:dyDescent="0.3">
      <c r="A246" s="7" t="s">
        <v>1747</v>
      </c>
      <c r="B246" s="7">
        <v>5</v>
      </c>
      <c r="C246" s="7">
        <v>11</v>
      </c>
      <c r="D246" s="7" t="s">
        <v>2253</v>
      </c>
      <c r="E246" s="7">
        <v>302.83199999999999</v>
      </c>
      <c r="F246" s="7">
        <f t="shared" si="16"/>
        <v>302832</v>
      </c>
      <c r="G246" s="7">
        <f t="shared" si="17"/>
        <v>975.60598445896312</v>
      </c>
      <c r="H246" s="19">
        <v>42675</v>
      </c>
      <c r="I246" s="18" t="s">
        <v>1811</v>
      </c>
      <c r="J246" s="18" t="s">
        <v>1807</v>
      </c>
      <c r="K246" s="7" t="s">
        <v>1716</v>
      </c>
      <c r="L246" s="7" t="s">
        <v>2246</v>
      </c>
      <c r="M246" s="7" t="str">
        <f t="shared" si="18"/>
        <v>ND</v>
      </c>
      <c r="N246" s="7" t="str">
        <f t="shared" si="15"/>
        <v>ND</v>
      </c>
    </row>
    <row r="247" spans="1:14" ht="15.6" x14ac:dyDescent="0.3">
      <c r="A247" s="7" t="s">
        <v>2064</v>
      </c>
      <c r="B247" s="7">
        <v>5</v>
      </c>
      <c r="C247" s="7">
        <v>11</v>
      </c>
      <c r="D247" s="7" t="s">
        <v>2253</v>
      </c>
      <c r="E247" s="7">
        <v>302.83199999999999</v>
      </c>
      <c r="F247" s="7">
        <f t="shared" si="16"/>
        <v>302832</v>
      </c>
      <c r="G247" s="7">
        <f t="shared" si="17"/>
        <v>975.60598445896312</v>
      </c>
      <c r="H247" s="19">
        <v>42675</v>
      </c>
      <c r="I247" s="18" t="s">
        <v>1811</v>
      </c>
      <c r="J247" s="18" t="s">
        <v>1807</v>
      </c>
      <c r="K247" s="7" t="s">
        <v>1716</v>
      </c>
      <c r="L247" s="7" t="s">
        <v>2246</v>
      </c>
      <c r="M247" s="7" t="str">
        <f t="shared" si="18"/>
        <v>ND</v>
      </c>
      <c r="N247" s="7" t="str">
        <f t="shared" si="15"/>
        <v>ND</v>
      </c>
    </row>
    <row r="248" spans="1:14" ht="15.6" x14ac:dyDescent="0.3">
      <c r="A248" s="7" t="s">
        <v>1729</v>
      </c>
      <c r="B248" s="7">
        <v>5</v>
      </c>
      <c r="C248" s="7">
        <v>11</v>
      </c>
      <c r="D248" s="7" t="s">
        <v>2254</v>
      </c>
      <c r="E248" s="7">
        <v>302.83199999999999</v>
      </c>
      <c r="F248" s="7">
        <f t="shared" si="16"/>
        <v>302832</v>
      </c>
      <c r="G248" s="7">
        <f t="shared" si="17"/>
        <v>975.60598445896312</v>
      </c>
      <c r="H248" s="19">
        <v>42675</v>
      </c>
      <c r="I248" s="18" t="s">
        <v>1811</v>
      </c>
      <c r="J248" s="18" t="s">
        <v>1807</v>
      </c>
      <c r="K248" s="7">
        <v>23413</v>
      </c>
      <c r="L248" s="7" t="s">
        <v>2246</v>
      </c>
      <c r="M248" s="7">
        <f t="shared" si="18"/>
        <v>23.413</v>
      </c>
      <c r="N248" s="7">
        <f t="shared" si="15"/>
        <v>7267.4888520000004</v>
      </c>
    </row>
    <row r="249" spans="1:14" ht="15.6" x14ac:dyDescent="0.3">
      <c r="A249" s="7" t="s">
        <v>1753</v>
      </c>
      <c r="B249" s="7">
        <v>5</v>
      </c>
      <c r="C249" s="7">
        <v>11</v>
      </c>
      <c r="D249" s="7" t="s">
        <v>2254</v>
      </c>
      <c r="E249" s="7">
        <v>302.83199999999999</v>
      </c>
      <c r="F249" s="7">
        <f t="shared" si="16"/>
        <v>302832</v>
      </c>
      <c r="G249" s="7">
        <f t="shared" si="17"/>
        <v>975.60598445896312</v>
      </c>
      <c r="H249" s="19">
        <v>42675</v>
      </c>
      <c r="I249" s="18" t="s">
        <v>1811</v>
      </c>
      <c r="J249" s="18" t="s">
        <v>1807</v>
      </c>
      <c r="K249" s="7" t="s">
        <v>1716</v>
      </c>
      <c r="L249" s="7" t="s">
        <v>2246</v>
      </c>
      <c r="M249" s="7" t="str">
        <f t="shared" si="18"/>
        <v>ND</v>
      </c>
      <c r="N249" s="7" t="str">
        <f t="shared" si="15"/>
        <v>ND</v>
      </c>
    </row>
    <row r="250" spans="1:14" ht="15.6" x14ac:dyDescent="0.3">
      <c r="A250" s="7" t="s">
        <v>1733</v>
      </c>
      <c r="B250" s="7">
        <v>5</v>
      </c>
      <c r="C250" s="7">
        <v>11</v>
      </c>
      <c r="D250" s="7" t="s">
        <v>2254</v>
      </c>
      <c r="E250" s="7">
        <v>302.83199999999999</v>
      </c>
      <c r="F250" s="7">
        <f t="shared" si="16"/>
        <v>302832</v>
      </c>
      <c r="G250" s="7">
        <f t="shared" si="17"/>
        <v>975.60598445896312</v>
      </c>
      <c r="H250" s="19">
        <v>42675</v>
      </c>
      <c r="I250" s="18" t="s">
        <v>1811</v>
      </c>
      <c r="J250" s="18" t="s">
        <v>1807</v>
      </c>
      <c r="K250" s="7">
        <v>248</v>
      </c>
      <c r="L250" s="7" t="s">
        <v>2246</v>
      </c>
      <c r="M250" s="7">
        <f t="shared" si="18"/>
        <v>0.248</v>
      </c>
      <c r="N250" s="7">
        <f t="shared" si="15"/>
        <v>76.980192000000002</v>
      </c>
    </row>
    <row r="251" spans="1:14" ht="15.6" x14ac:dyDescent="0.3">
      <c r="A251" s="7" t="s">
        <v>1734</v>
      </c>
      <c r="B251" s="7">
        <v>5</v>
      </c>
      <c r="C251" s="7">
        <v>11</v>
      </c>
      <c r="D251" s="7" t="s">
        <v>2254</v>
      </c>
      <c r="E251" s="7">
        <v>302.83199999999999</v>
      </c>
      <c r="F251" s="7">
        <f t="shared" si="16"/>
        <v>302832</v>
      </c>
      <c r="G251" s="7">
        <f t="shared" si="17"/>
        <v>975.60598445896312</v>
      </c>
      <c r="H251" s="19">
        <v>42675</v>
      </c>
      <c r="I251" s="18" t="s">
        <v>1811</v>
      </c>
      <c r="J251" s="18" t="s">
        <v>1807</v>
      </c>
      <c r="K251" s="7" t="s">
        <v>1716</v>
      </c>
      <c r="L251" s="7" t="s">
        <v>2246</v>
      </c>
      <c r="M251" s="7" t="str">
        <f t="shared" si="18"/>
        <v>ND</v>
      </c>
      <c r="N251" s="7" t="str">
        <f t="shared" si="15"/>
        <v>ND</v>
      </c>
    </row>
    <row r="252" spans="1:14" ht="15.6" x14ac:dyDescent="0.3">
      <c r="A252" s="7" t="s">
        <v>1737</v>
      </c>
      <c r="B252" s="7">
        <v>5</v>
      </c>
      <c r="C252" s="7">
        <v>11</v>
      </c>
      <c r="D252" s="7" t="s">
        <v>2254</v>
      </c>
      <c r="E252" s="7">
        <v>302.83199999999999</v>
      </c>
      <c r="F252" s="7">
        <f t="shared" si="16"/>
        <v>302832</v>
      </c>
      <c r="G252" s="7">
        <f t="shared" si="17"/>
        <v>975.60598445896312</v>
      </c>
      <c r="H252" s="19">
        <v>42675</v>
      </c>
      <c r="I252" s="18" t="s">
        <v>1811</v>
      </c>
      <c r="J252" s="18" t="s">
        <v>1807</v>
      </c>
      <c r="K252" s="7" t="s">
        <v>1716</v>
      </c>
      <c r="L252" s="7" t="s">
        <v>2246</v>
      </c>
      <c r="M252" s="7" t="str">
        <f t="shared" si="18"/>
        <v>ND</v>
      </c>
      <c r="N252" s="7" t="str">
        <f t="shared" si="15"/>
        <v>ND</v>
      </c>
    </row>
    <row r="253" spans="1:14" ht="15.6" x14ac:dyDescent="0.3">
      <c r="A253" s="7" t="s">
        <v>1749</v>
      </c>
      <c r="B253" s="7">
        <v>5</v>
      </c>
      <c r="C253" s="7">
        <v>11</v>
      </c>
      <c r="D253" s="7" t="s">
        <v>2254</v>
      </c>
      <c r="E253" s="7">
        <v>302.83199999999999</v>
      </c>
      <c r="F253" s="7">
        <f t="shared" si="16"/>
        <v>302832</v>
      </c>
      <c r="G253" s="7">
        <f t="shared" si="17"/>
        <v>975.60598445896312</v>
      </c>
      <c r="H253" s="19">
        <v>42675</v>
      </c>
      <c r="I253" s="18" t="s">
        <v>1811</v>
      </c>
      <c r="J253" s="18" t="s">
        <v>1807</v>
      </c>
      <c r="K253" s="7">
        <v>180</v>
      </c>
      <c r="L253" s="7" t="s">
        <v>2246</v>
      </c>
      <c r="M253" s="7">
        <f t="shared" si="18"/>
        <v>0.18</v>
      </c>
      <c r="N253" s="7">
        <f t="shared" si="15"/>
        <v>55.872719999999994</v>
      </c>
    </row>
    <row r="254" spans="1:14" ht="15.6" x14ac:dyDescent="0.3">
      <c r="A254" s="7" t="s">
        <v>1748</v>
      </c>
      <c r="B254" s="7">
        <v>5</v>
      </c>
      <c r="C254" s="7">
        <v>11</v>
      </c>
      <c r="D254" s="7" t="s">
        <v>2254</v>
      </c>
      <c r="E254" s="7">
        <v>302.83199999999999</v>
      </c>
      <c r="F254" s="7">
        <f t="shared" si="16"/>
        <v>302832</v>
      </c>
      <c r="G254" s="7">
        <f t="shared" si="17"/>
        <v>975.60598445896312</v>
      </c>
      <c r="H254" s="19">
        <v>42675</v>
      </c>
      <c r="I254" s="18" t="s">
        <v>1811</v>
      </c>
      <c r="J254" s="18" t="s">
        <v>1807</v>
      </c>
      <c r="K254" s="7">
        <v>513</v>
      </c>
      <c r="L254" s="7" t="s">
        <v>2246</v>
      </c>
      <c r="M254" s="7">
        <f t="shared" si="18"/>
        <v>0.51300000000000001</v>
      </c>
      <c r="N254" s="7">
        <f t="shared" si="15"/>
        <v>159.23725199999998</v>
      </c>
    </row>
    <row r="255" spans="1:14" ht="15.6" x14ac:dyDescent="0.3">
      <c r="A255" s="7" t="s">
        <v>1754</v>
      </c>
      <c r="B255" s="7">
        <v>5</v>
      </c>
      <c r="C255" s="7">
        <v>11</v>
      </c>
      <c r="D255" s="7" t="s">
        <v>2254</v>
      </c>
      <c r="E255" s="7">
        <v>302.83199999999999</v>
      </c>
      <c r="F255" s="7">
        <f t="shared" si="16"/>
        <v>302832</v>
      </c>
      <c r="G255" s="7">
        <f t="shared" si="17"/>
        <v>975.60598445896312</v>
      </c>
      <c r="H255" s="19">
        <v>42675</v>
      </c>
      <c r="I255" s="18" t="s">
        <v>1811</v>
      </c>
      <c r="J255" s="18" t="s">
        <v>1807</v>
      </c>
      <c r="K255" s="7" t="s">
        <v>1716</v>
      </c>
      <c r="L255" s="7" t="s">
        <v>2246</v>
      </c>
      <c r="M255" s="7" t="str">
        <f t="shared" si="18"/>
        <v>ND</v>
      </c>
      <c r="N255" s="7" t="str">
        <f t="shared" si="15"/>
        <v>ND</v>
      </c>
    </row>
    <row r="256" spans="1:14" ht="15.6" x14ac:dyDescent="0.3">
      <c r="A256" s="7" t="s">
        <v>1728</v>
      </c>
      <c r="B256" s="7">
        <v>5</v>
      </c>
      <c r="C256" s="7">
        <v>11</v>
      </c>
      <c r="D256" s="7" t="s">
        <v>2254</v>
      </c>
      <c r="E256" s="7">
        <v>302.83199999999999</v>
      </c>
      <c r="F256" s="7">
        <f t="shared" si="16"/>
        <v>302832</v>
      </c>
      <c r="G256" s="7">
        <f t="shared" si="17"/>
        <v>975.60598445896312</v>
      </c>
      <c r="H256" s="19">
        <v>42675</v>
      </c>
      <c r="I256" s="18" t="s">
        <v>1811</v>
      </c>
      <c r="J256" s="18" t="s">
        <v>1807</v>
      </c>
      <c r="K256" s="7">
        <v>149</v>
      </c>
      <c r="L256" s="7" t="s">
        <v>2246</v>
      </c>
      <c r="M256" s="7">
        <f t="shared" si="18"/>
        <v>0.14899999999999999</v>
      </c>
      <c r="N256" s="7">
        <f t="shared" si="15"/>
        <v>46.250196000000003</v>
      </c>
    </row>
    <row r="257" spans="1:14" ht="15.6" x14ac:dyDescent="0.3">
      <c r="A257" s="7" t="s">
        <v>1755</v>
      </c>
      <c r="B257" s="7">
        <v>5</v>
      </c>
      <c r="C257" s="7">
        <v>11</v>
      </c>
      <c r="D257" s="7" t="s">
        <v>2254</v>
      </c>
      <c r="E257" s="7">
        <v>302.83199999999999</v>
      </c>
      <c r="F257" s="7">
        <f t="shared" si="16"/>
        <v>302832</v>
      </c>
      <c r="G257" s="7">
        <f t="shared" si="17"/>
        <v>975.60598445896312</v>
      </c>
      <c r="H257" s="19">
        <v>42675</v>
      </c>
      <c r="I257" s="18" t="s">
        <v>1811</v>
      </c>
      <c r="J257" s="18" t="s">
        <v>1807</v>
      </c>
      <c r="K257" s="7">
        <v>91</v>
      </c>
      <c r="L257" s="7" t="s">
        <v>2246</v>
      </c>
      <c r="M257" s="7">
        <f t="shared" si="18"/>
        <v>9.0999999999999998E-2</v>
      </c>
      <c r="N257" s="7">
        <f t="shared" si="15"/>
        <v>28.246763999999999</v>
      </c>
    </row>
    <row r="258" spans="1:14" ht="15.6" x14ac:dyDescent="0.3">
      <c r="A258" s="7" t="s">
        <v>1740</v>
      </c>
      <c r="B258" s="7">
        <v>5</v>
      </c>
      <c r="C258" s="7">
        <v>11</v>
      </c>
      <c r="D258" s="7" t="s">
        <v>2254</v>
      </c>
      <c r="E258" s="7">
        <v>302.83199999999999</v>
      </c>
      <c r="F258" s="7">
        <f t="shared" si="16"/>
        <v>302832</v>
      </c>
      <c r="G258" s="7">
        <f t="shared" si="17"/>
        <v>975.60598445896312</v>
      </c>
      <c r="H258" s="19">
        <v>42675</v>
      </c>
      <c r="I258" s="18" t="s">
        <v>1811</v>
      </c>
      <c r="J258" s="18" t="s">
        <v>1807</v>
      </c>
      <c r="K258" s="7" t="s">
        <v>1716</v>
      </c>
      <c r="L258" s="7" t="s">
        <v>2246</v>
      </c>
      <c r="M258" s="7" t="str">
        <f t="shared" si="18"/>
        <v>ND</v>
      </c>
      <c r="N258" s="7" t="str">
        <f t="shared" si="15"/>
        <v>ND</v>
      </c>
    </row>
    <row r="259" spans="1:14" ht="15.6" x14ac:dyDescent="0.3">
      <c r="A259" s="7" t="s">
        <v>1756</v>
      </c>
      <c r="B259" s="7">
        <v>5</v>
      </c>
      <c r="C259" s="7">
        <v>11</v>
      </c>
      <c r="D259" s="7" t="s">
        <v>2254</v>
      </c>
      <c r="E259" s="7">
        <v>302.83199999999999</v>
      </c>
      <c r="F259" s="7">
        <f t="shared" si="16"/>
        <v>302832</v>
      </c>
      <c r="G259" s="7">
        <f t="shared" si="17"/>
        <v>975.60598445896312</v>
      </c>
      <c r="H259" s="19">
        <v>42675</v>
      </c>
      <c r="I259" s="18" t="s">
        <v>1811</v>
      </c>
      <c r="J259" s="18" t="s">
        <v>1807</v>
      </c>
      <c r="K259" s="7">
        <v>583</v>
      </c>
      <c r="L259" s="7" t="s">
        <v>2246</v>
      </c>
      <c r="M259" s="7">
        <f t="shared" si="18"/>
        <v>0.58299999999999996</v>
      </c>
      <c r="N259" s="7">
        <f t="shared" ref="N259:N322" si="19">IFERROR((M259*F259)/G259,"ND")</f>
        <v>180.965532</v>
      </c>
    </row>
    <row r="260" spans="1:14" ht="15.6" x14ac:dyDescent="0.3">
      <c r="A260" s="7" t="s">
        <v>1743</v>
      </c>
      <c r="B260" s="7">
        <v>5</v>
      </c>
      <c r="C260" s="7">
        <v>11</v>
      </c>
      <c r="D260" s="7" t="s">
        <v>2254</v>
      </c>
      <c r="E260" s="7">
        <v>302.83199999999999</v>
      </c>
      <c r="F260" s="7">
        <f t="shared" si="16"/>
        <v>302832</v>
      </c>
      <c r="G260" s="7">
        <f t="shared" si="17"/>
        <v>975.60598445896312</v>
      </c>
      <c r="H260" s="19">
        <v>42675</v>
      </c>
      <c r="I260" s="18" t="s">
        <v>1811</v>
      </c>
      <c r="J260" s="18" t="s">
        <v>1807</v>
      </c>
      <c r="K260" s="7" t="s">
        <v>1716</v>
      </c>
      <c r="L260" s="7" t="s">
        <v>2246</v>
      </c>
      <c r="M260" s="7" t="str">
        <f t="shared" si="18"/>
        <v>ND</v>
      </c>
      <c r="N260" s="7" t="str">
        <f t="shared" si="19"/>
        <v>ND</v>
      </c>
    </row>
    <row r="261" spans="1:14" ht="15.6" x14ac:dyDescent="0.3">
      <c r="A261" s="7" t="s">
        <v>1757</v>
      </c>
      <c r="B261" s="7">
        <v>5</v>
      </c>
      <c r="C261" s="7">
        <v>11</v>
      </c>
      <c r="D261" s="7" t="s">
        <v>2254</v>
      </c>
      <c r="E261" s="7">
        <v>302.83199999999999</v>
      </c>
      <c r="F261" s="7">
        <f t="shared" si="16"/>
        <v>302832</v>
      </c>
      <c r="G261" s="7">
        <f t="shared" si="17"/>
        <v>975.60598445896312</v>
      </c>
      <c r="H261" s="19">
        <v>42675</v>
      </c>
      <c r="I261" s="18" t="s">
        <v>1811</v>
      </c>
      <c r="J261" s="18" t="s">
        <v>1807</v>
      </c>
      <c r="K261" s="7">
        <v>1164</v>
      </c>
      <c r="L261" s="7" t="s">
        <v>2246</v>
      </c>
      <c r="M261" s="7">
        <f t="shared" si="18"/>
        <v>1.1639999999999999</v>
      </c>
      <c r="N261" s="7">
        <f t="shared" si="19"/>
        <v>361.31025599999998</v>
      </c>
    </row>
    <row r="262" spans="1:14" ht="15.6" x14ac:dyDescent="0.3">
      <c r="A262" s="7" t="s">
        <v>1758</v>
      </c>
      <c r="B262" s="7">
        <v>5</v>
      </c>
      <c r="C262" s="7">
        <v>11</v>
      </c>
      <c r="D262" s="7" t="s">
        <v>2254</v>
      </c>
      <c r="E262" s="7">
        <v>302.83199999999999</v>
      </c>
      <c r="F262" s="7">
        <f t="shared" si="16"/>
        <v>302832</v>
      </c>
      <c r="G262" s="7">
        <f t="shared" si="17"/>
        <v>975.60598445896312</v>
      </c>
      <c r="H262" s="19">
        <v>42675</v>
      </c>
      <c r="I262" s="18" t="s">
        <v>1811</v>
      </c>
      <c r="J262" s="18" t="s">
        <v>1807</v>
      </c>
      <c r="K262" s="7" t="s">
        <v>1716</v>
      </c>
      <c r="L262" s="7" t="s">
        <v>2246</v>
      </c>
      <c r="M262" s="7" t="str">
        <f t="shared" si="18"/>
        <v>ND</v>
      </c>
      <c r="N262" s="7" t="str">
        <f t="shared" si="19"/>
        <v>ND</v>
      </c>
    </row>
    <row r="263" spans="1:14" ht="15.6" x14ac:dyDescent="0.3">
      <c r="A263" s="7" t="s">
        <v>1759</v>
      </c>
      <c r="B263" s="7">
        <v>5</v>
      </c>
      <c r="C263" s="7">
        <v>11</v>
      </c>
      <c r="D263" s="7" t="s">
        <v>2254</v>
      </c>
      <c r="E263" s="7">
        <v>302.83199999999999</v>
      </c>
      <c r="F263" s="7">
        <f t="shared" si="16"/>
        <v>302832</v>
      </c>
      <c r="G263" s="7">
        <f t="shared" si="17"/>
        <v>975.60598445896312</v>
      </c>
      <c r="H263" s="19">
        <v>42675</v>
      </c>
      <c r="I263" s="18" t="s">
        <v>1811</v>
      </c>
      <c r="J263" s="18" t="s">
        <v>1807</v>
      </c>
      <c r="K263" s="7">
        <v>665</v>
      </c>
      <c r="L263" s="7" t="s">
        <v>2246</v>
      </c>
      <c r="M263" s="7">
        <f t="shared" si="18"/>
        <v>0.66500000000000004</v>
      </c>
      <c r="N263" s="7">
        <f t="shared" si="19"/>
        <v>206.41866000000002</v>
      </c>
    </row>
    <row r="264" spans="1:14" ht="15.6" x14ac:dyDescent="0.3">
      <c r="A264" s="7" t="s">
        <v>1745</v>
      </c>
      <c r="B264" s="7">
        <v>5</v>
      </c>
      <c r="C264" s="7">
        <v>11</v>
      </c>
      <c r="D264" s="7" t="s">
        <v>2254</v>
      </c>
      <c r="E264" s="7">
        <v>302.83199999999999</v>
      </c>
      <c r="F264" s="7">
        <f t="shared" si="16"/>
        <v>302832</v>
      </c>
      <c r="G264" s="7">
        <f t="shared" si="17"/>
        <v>975.60598445896312</v>
      </c>
      <c r="H264" s="19">
        <v>42675</v>
      </c>
      <c r="I264" s="18" t="s">
        <v>1811</v>
      </c>
      <c r="J264" s="18" t="s">
        <v>1807</v>
      </c>
      <c r="K264" s="7">
        <v>2941</v>
      </c>
      <c r="L264" s="7" t="s">
        <v>2246</v>
      </c>
      <c r="M264" s="7">
        <f t="shared" si="18"/>
        <v>2.9409999999999998</v>
      </c>
      <c r="N264" s="7">
        <f t="shared" si="19"/>
        <v>912.89816399999995</v>
      </c>
    </row>
    <row r="265" spans="1:14" ht="15.6" x14ac:dyDescent="0.3">
      <c r="A265" s="7" t="s">
        <v>1746</v>
      </c>
      <c r="B265" s="7">
        <v>5</v>
      </c>
      <c r="C265" s="7">
        <v>11</v>
      </c>
      <c r="D265" s="7" t="s">
        <v>2254</v>
      </c>
      <c r="E265" s="7">
        <v>302.83199999999999</v>
      </c>
      <c r="F265" s="7">
        <f t="shared" si="16"/>
        <v>302832</v>
      </c>
      <c r="G265" s="7">
        <f t="shared" si="17"/>
        <v>975.60598445896312</v>
      </c>
      <c r="H265" s="19">
        <v>42675</v>
      </c>
      <c r="I265" s="18" t="s">
        <v>1811</v>
      </c>
      <c r="J265" s="18" t="s">
        <v>1807</v>
      </c>
      <c r="K265" s="7">
        <v>2127</v>
      </c>
      <c r="L265" s="7" t="s">
        <v>2246</v>
      </c>
      <c r="M265" s="7">
        <f t="shared" si="18"/>
        <v>2.1269999999999998</v>
      </c>
      <c r="N265" s="7">
        <f t="shared" si="19"/>
        <v>660.22930800000006</v>
      </c>
    </row>
    <row r="266" spans="1:14" ht="15.6" x14ac:dyDescent="0.3">
      <c r="A266" s="7" t="s">
        <v>1747</v>
      </c>
      <c r="B266" s="7">
        <v>5</v>
      </c>
      <c r="C266" s="7">
        <v>11</v>
      </c>
      <c r="D266" s="7" t="s">
        <v>2254</v>
      </c>
      <c r="E266" s="7">
        <v>302.83199999999999</v>
      </c>
      <c r="F266" s="7">
        <f t="shared" si="16"/>
        <v>302832</v>
      </c>
      <c r="G266" s="7">
        <f t="shared" si="17"/>
        <v>975.60598445896312</v>
      </c>
      <c r="H266" s="19">
        <v>42675</v>
      </c>
      <c r="I266" s="18" t="s">
        <v>1811</v>
      </c>
      <c r="J266" s="18" t="s">
        <v>1807</v>
      </c>
      <c r="K266" s="7" t="s">
        <v>1716</v>
      </c>
      <c r="L266" s="7" t="s">
        <v>2246</v>
      </c>
      <c r="M266" s="7" t="str">
        <f t="shared" si="18"/>
        <v>ND</v>
      </c>
      <c r="N266" s="7" t="str">
        <f t="shared" si="19"/>
        <v>ND</v>
      </c>
    </row>
    <row r="267" spans="1:14" ht="15.6" x14ac:dyDescent="0.3">
      <c r="A267" s="7" t="s">
        <v>2064</v>
      </c>
      <c r="B267" s="7">
        <v>5</v>
      </c>
      <c r="C267" s="7">
        <v>11</v>
      </c>
      <c r="D267" s="7" t="s">
        <v>2254</v>
      </c>
      <c r="E267" s="7">
        <v>302.83199999999999</v>
      </c>
      <c r="F267" s="7">
        <f t="shared" si="16"/>
        <v>302832</v>
      </c>
      <c r="G267" s="7">
        <f t="shared" si="17"/>
        <v>975.60598445896312</v>
      </c>
      <c r="H267" s="19">
        <v>42675</v>
      </c>
      <c r="I267" s="18" t="s">
        <v>1811</v>
      </c>
      <c r="J267" s="18" t="s">
        <v>1807</v>
      </c>
      <c r="K267" s="7" t="s">
        <v>1716</v>
      </c>
      <c r="L267" s="7" t="s">
        <v>2246</v>
      </c>
      <c r="M267" s="7" t="str">
        <f t="shared" si="18"/>
        <v>ND</v>
      </c>
      <c r="N267" s="7" t="str">
        <f t="shared" si="19"/>
        <v>ND</v>
      </c>
    </row>
    <row r="268" spans="1:14" ht="15.6" x14ac:dyDescent="0.3">
      <c r="A268" s="7" t="s">
        <v>1729</v>
      </c>
      <c r="B268" s="7">
        <v>5</v>
      </c>
      <c r="C268" s="7">
        <v>11</v>
      </c>
      <c r="D268" s="7" t="s">
        <v>2255</v>
      </c>
      <c r="E268" s="7">
        <v>302.83199999999999</v>
      </c>
      <c r="F268" s="7">
        <f t="shared" si="16"/>
        <v>302832</v>
      </c>
      <c r="G268" s="7">
        <f t="shared" si="17"/>
        <v>975.60598445896312</v>
      </c>
      <c r="H268" s="19">
        <v>42979</v>
      </c>
      <c r="I268" s="18" t="s">
        <v>1811</v>
      </c>
      <c r="J268" s="18" t="s">
        <v>1807</v>
      </c>
      <c r="K268" s="7">
        <v>53143</v>
      </c>
      <c r="L268" s="7" t="s">
        <v>2246</v>
      </c>
      <c r="M268" s="7">
        <f t="shared" si="18"/>
        <v>53.143000000000001</v>
      </c>
      <c r="N268" s="7">
        <f t="shared" si="19"/>
        <v>16495.799772000002</v>
      </c>
    </row>
    <row r="269" spans="1:14" ht="15.6" x14ac:dyDescent="0.3">
      <c r="A269" s="7" t="s">
        <v>1753</v>
      </c>
      <c r="B269" s="7">
        <v>5</v>
      </c>
      <c r="C269" s="7">
        <v>11</v>
      </c>
      <c r="D269" s="7" t="s">
        <v>2255</v>
      </c>
      <c r="E269" s="7">
        <v>302.83199999999999</v>
      </c>
      <c r="F269" s="7">
        <f t="shared" si="16"/>
        <v>302832</v>
      </c>
      <c r="G269" s="7">
        <f t="shared" si="17"/>
        <v>975.60598445896312</v>
      </c>
      <c r="H269" s="19">
        <v>42979</v>
      </c>
      <c r="I269" s="18" t="s">
        <v>1811</v>
      </c>
      <c r="J269" s="18" t="s">
        <v>1807</v>
      </c>
      <c r="K269" s="7">
        <v>564</v>
      </c>
      <c r="L269" s="7" t="s">
        <v>2246</v>
      </c>
      <c r="M269" s="7">
        <f t="shared" si="18"/>
        <v>0.56399999999999995</v>
      </c>
      <c r="N269" s="7">
        <f t="shared" si="19"/>
        <v>175.06785600000001</v>
      </c>
    </row>
    <row r="270" spans="1:14" ht="15.6" x14ac:dyDescent="0.3">
      <c r="A270" s="7" t="s">
        <v>1733</v>
      </c>
      <c r="B270" s="7">
        <v>5</v>
      </c>
      <c r="C270" s="7">
        <v>11</v>
      </c>
      <c r="D270" s="7" t="s">
        <v>2255</v>
      </c>
      <c r="E270" s="7">
        <v>302.83199999999999</v>
      </c>
      <c r="F270" s="7">
        <f t="shared" si="16"/>
        <v>302832</v>
      </c>
      <c r="G270" s="7">
        <f t="shared" si="17"/>
        <v>975.60598445896312</v>
      </c>
      <c r="H270" s="19">
        <v>42979</v>
      </c>
      <c r="I270" s="18" t="s">
        <v>1811</v>
      </c>
      <c r="J270" s="18" t="s">
        <v>1807</v>
      </c>
      <c r="K270" s="7">
        <v>115</v>
      </c>
      <c r="L270" s="7" t="s">
        <v>2246</v>
      </c>
      <c r="M270" s="7">
        <f t="shared" si="18"/>
        <v>0.115</v>
      </c>
      <c r="N270" s="7">
        <f t="shared" si="19"/>
        <v>35.696460000000002</v>
      </c>
    </row>
    <row r="271" spans="1:14" ht="15.6" x14ac:dyDescent="0.3">
      <c r="A271" s="7" t="s">
        <v>1734</v>
      </c>
      <c r="B271" s="7">
        <v>5</v>
      </c>
      <c r="C271" s="7">
        <v>11</v>
      </c>
      <c r="D271" s="7" t="s">
        <v>2255</v>
      </c>
      <c r="E271" s="7">
        <v>302.83199999999999</v>
      </c>
      <c r="F271" s="7">
        <f t="shared" si="16"/>
        <v>302832</v>
      </c>
      <c r="G271" s="7">
        <f t="shared" si="17"/>
        <v>975.60598445896312</v>
      </c>
      <c r="H271" s="19">
        <v>42979</v>
      </c>
      <c r="I271" s="18" t="s">
        <v>1811</v>
      </c>
      <c r="J271" s="18" t="s">
        <v>1807</v>
      </c>
      <c r="K271" s="7">
        <v>486</v>
      </c>
      <c r="L271" s="7" t="s">
        <v>2246</v>
      </c>
      <c r="M271" s="7">
        <f t="shared" si="18"/>
        <v>0.48599999999999999</v>
      </c>
      <c r="N271" s="7">
        <f t="shared" si="19"/>
        <v>150.85634399999998</v>
      </c>
    </row>
    <row r="272" spans="1:14" ht="15.6" x14ac:dyDescent="0.3">
      <c r="A272" s="7" t="s">
        <v>1737</v>
      </c>
      <c r="B272" s="7">
        <v>5</v>
      </c>
      <c r="C272" s="7">
        <v>11</v>
      </c>
      <c r="D272" s="7" t="s">
        <v>2255</v>
      </c>
      <c r="E272" s="7">
        <v>302.83199999999999</v>
      </c>
      <c r="F272" s="7">
        <f t="shared" si="16"/>
        <v>302832</v>
      </c>
      <c r="G272" s="7">
        <f t="shared" si="17"/>
        <v>975.60598445896312</v>
      </c>
      <c r="H272" s="19">
        <v>42979</v>
      </c>
      <c r="I272" s="18" t="s">
        <v>1811</v>
      </c>
      <c r="J272" s="18" t="s">
        <v>1807</v>
      </c>
      <c r="K272" s="7" t="s">
        <v>1716</v>
      </c>
      <c r="L272" s="7" t="s">
        <v>2246</v>
      </c>
      <c r="M272" s="7" t="str">
        <f t="shared" si="18"/>
        <v>ND</v>
      </c>
      <c r="N272" s="7" t="str">
        <f t="shared" si="19"/>
        <v>ND</v>
      </c>
    </row>
    <row r="273" spans="1:14" ht="15.6" x14ac:dyDescent="0.3">
      <c r="A273" s="7" t="s">
        <v>1749</v>
      </c>
      <c r="B273" s="7">
        <v>5</v>
      </c>
      <c r="C273" s="7">
        <v>11</v>
      </c>
      <c r="D273" s="7" t="s">
        <v>2255</v>
      </c>
      <c r="E273" s="7">
        <v>302.83199999999999</v>
      </c>
      <c r="F273" s="7">
        <f t="shared" si="16"/>
        <v>302832</v>
      </c>
      <c r="G273" s="7">
        <f t="shared" si="17"/>
        <v>975.60598445896312</v>
      </c>
      <c r="H273" s="19">
        <v>42979</v>
      </c>
      <c r="I273" s="18" t="s">
        <v>1811</v>
      </c>
      <c r="J273" s="18" t="s">
        <v>1807</v>
      </c>
      <c r="K273" s="7" t="s">
        <v>1716</v>
      </c>
      <c r="L273" s="7" t="s">
        <v>2246</v>
      </c>
      <c r="M273" s="7" t="str">
        <f t="shared" si="18"/>
        <v>ND</v>
      </c>
      <c r="N273" s="7" t="str">
        <f t="shared" si="19"/>
        <v>ND</v>
      </c>
    </row>
    <row r="274" spans="1:14" ht="15.6" x14ac:dyDescent="0.3">
      <c r="A274" s="7" t="s">
        <v>1748</v>
      </c>
      <c r="B274" s="7">
        <v>5</v>
      </c>
      <c r="C274" s="7">
        <v>11</v>
      </c>
      <c r="D274" s="7" t="s">
        <v>2255</v>
      </c>
      <c r="E274" s="7">
        <v>302.83199999999999</v>
      </c>
      <c r="F274" s="7">
        <f t="shared" si="16"/>
        <v>302832</v>
      </c>
      <c r="G274" s="7">
        <f t="shared" si="17"/>
        <v>975.60598445896312</v>
      </c>
      <c r="H274" s="19">
        <v>42979</v>
      </c>
      <c r="I274" s="18" t="s">
        <v>1811</v>
      </c>
      <c r="J274" s="18" t="s">
        <v>1807</v>
      </c>
      <c r="K274" s="7">
        <v>2226</v>
      </c>
      <c r="L274" s="7" t="s">
        <v>2246</v>
      </c>
      <c r="M274" s="7">
        <f t="shared" si="18"/>
        <v>2.226</v>
      </c>
      <c r="N274" s="7">
        <f t="shared" si="19"/>
        <v>690.95930400000009</v>
      </c>
    </row>
    <row r="275" spans="1:14" ht="15.6" x14ac:dyDescent="0.3">
      <c r="A275" s="7" t="s">
        <v>1754</v>
      </c>
      <c r="B275" s="7">
        <v>5</v>
      </c>
      <c r="C275" s="7">
        <v>11</v>
      </c>
      <c r="D275" s="7" t="s">
        <v>2255</v>
      </c>
      <c r="E275" s="7">
        <v>302.83199999999999</v>
      </c>
      <c r="F275" s="7">
        <f t="shared" si="16"/>
        <v>302832</v>
      </c>
      <c r="G275" s="7">
        <f t="shared" si="17"/>
        <v>975.60598445896312</v>
      </c>
      <c r="H275" s="19">
        <v>42979</v>
      </c>
      <c r="I275" s="18" t="s">
        <v>1811</v>
      </c>
      <c r="J275" s="18" t="s">
        <v>1807</v>
      </c>
      <c r="K275" s="7" t="s">
        <v>1716</v>
      </c>
      <c r="L275" s="7" t="s">
        <v>2246</v>
      </c>
      <c r="M275" s="7" t="str">
        <f t="shared" si="18"/>
        <v>ND</v>
      </c>
      <c r="N275" s="7" t="str">
        <f t="shared" si="19"/>
        <v>ND</v>
      </c>
    </row>
    <row r="276" spans="1:14" ht="15.6" x14ac:dyDescent="0.3">
      <c r="A276" s="7" t="s">
        <v>1728</v>
      </c>
      <c r="B276" s="7">
        <v>5</v>
      </c>
      <c r="C276" s="7">
        <v>11</v>
      </c>
      <c r="D276" s="7" t="s">
        <v>2255</v>
      </c>
      <c r="E276" s="7">
        <v>302.83199999999999</v>
      </c>
      <c r="F276" s="7">
        <f t="shared" si="16"/>
        <v>302832</v>
      </c>
      <c r="G276" s="7">
        <f t="shared" si="17"/>
        <v>975.60598445896312</v>
      </c>
      <c r="H276" s="19">
        <v>42979</v>
      </c>
      <c r="I276" s="18" t="s">
        <v>1811</v>
      </c>
      <c r="J276" s="18" t="s">
        <v>1807</v>
      </c>
      <c r="K276" s="7" t="s">
        <v>1716</v>
      </c>
      <c r="L276" s="7" t="s">
        <v>2246</v>
      </c>
      <c r="M276" s="7" t="str">
        <f t="shared" si="18"/>
        <v>ND</v>
      </c>
      <c r="N276" s="7" t="str">
        <f t="shared" si="19"/>
        <v>ND</v>
      </c>
    </row>
    <row r="277" spans="1:14" ht="15.6" x14ac:dyDescent="0.3">
      <c r="A277" s="7" t="s">
        <v>1755</v>
      </c>
      <c r="B277" s="7">
        <v>5</v>
      </c>
      <c r="C277" s="7">
        <v>11</v>
      </c>
      <c r="D277" s="7" t="s">
        <v>2255</v>
      </c>
      <c r="E277" s="7">
        <v>302.83199999999999</v>
      </c>
      <c r="F277" s="7">
        <f t="shared" si="16"/>
        <v>302832</v>
      </c>
      <c r="G277" s="7">
        <f t="shared" si="17"/>
        <v>975.60598445896312</v>
      </c>
      <c r="H277" s="19">
        <v>42979</v>
      </c>
      <c r="I277" s="18" t="s">
        <v>1811</v>
      </c>
      <c r="J277" s="18" t="s">
        <v>1807</v>
      </c>
      <c r="K277" s="7" t="s">
        <v>1716</v>
      </c>
      <c r="L277" s="7" t="s">
        <v>2246</v>
      </c>
      <c r="M277" s="7" t="str">
        <f t="shared" si="18"/>
        <v>ND</v>
      </c>
      <c r="N277" s="7" t="str">
        <f t="shared" si="19"/>
        <v>ND</v>
      </c>
    </row>
    <row r="278" spans="1:14" ht="15.6" x14ac:dyDescent="0.3">
      <c r="A278" s="7" t="s">
        <v>1740</v>
      </c>
      <c r="B278" s="7">
        <v>5</v>
      </c>
      <c r="C278" s="7">
        <v>11</v>
      </c>
      <c r="D278" s="7" t="s">
        <v>2255</v>
      </c>
      <c r="E278" s="7">
        <v>302.83199999999999</v>
      </c>
      <c r="F278" s="7">
        <f t="shared" si="16"/>
        <v>302832</v>
      </c>
      <c r="G278" s="7">
        <f t="shared" si="17"/>
        <v>975.60598445896312</v>
      </c>
      <c r="H278" s="19">
        <v>42979</v>
      </c>
      <c r="I278" s="18" t="s">
        <v>1811</v>
      </c>
      <c r="J278" s="18" t="s">
        <v>1807</v>
      </c>
      <c r="K278" s="7" t="s">
        <v>1716</v>
      </c>
      <c r="L278" s="7" t="s">
        <v>2246</v>
      </c>
      <c r="M278" s="7" t="str">
        <f t="shared" si="18"/>
        <v>ND</v>
      </c>
      <c r="N278" s="7" t="str">
        <f t="shared" si="19"/>
        <v>ND</v>
      </c>
    </row>
    <row r="279" spans="1:14" ht="15.6" x14ac:dyDescent="0.3">
      <c r="A279" s="7" t="s">
        <v>1756</v>
      </c>
      <c r="B279" s="7">
        <v>5</v>
      </c>
      <c r="C279" s="7">
        <v>11</v>
      </c>
      <c r="D279" s="7" t="s">
        <v>2255</v>
      </c>
      <c r="E279" s="7">
        <v>302.83199999999999</v>
      </c>
      <c r="F279" s="7">
        <f t="shared" si="16"/>
        <v>302832</v>
      </c>
      <c r="G279" s="7">
        <f t="shared" si="17"/>
        <v>975.60598445896312</v>
      </c>
      <c r="H279" s="19">
        <v>42979</v>
      </c>
      <c r="I279" s="18" t="s">
        <v>1811</v>
      </c>
      <c r="J279" s="18" t="s">
        <v>1807</v>
      </c>
      <c r="K279" s="7">
        <v>665</v>
      </c>
      <c r="L279" s="7" t="s">
        <v>2246</v>
      </c>
      <c r="M279" s="7">
        <f t="shared" si="18"/>
        <v>0.66500000000000004</v>
      </c>
      <c r="N279" s="7">
        <f t="shared" si="19"/>
        <v>206.41866000000002</v>
      </c>
    </row>
    <row r="280" spans="1:14" ht="15.6" x14ac:dyDescent="0.3">
      <c r="A280" s="7" t="s">
        <v>1743</v>
      </c>
      <c r="B280" s="7">
        <v>5</v>
      </c>
      <c r="C280" s="7">
        <v>11</v>
      </c>
      <c r="D280" s="7" t="s">
        <v>2255</v>
      </c>
      <c r="E280" s="7">
        <v>302.83199999999999</v>
      </c>
      <c r="F280" s="7">
        <f t="shared" si="16"/>
        <v>302832</v>
      </c>
      <c r="G280" s="7">
        <f t="shared" si="17"/>
        <v>975.60598445896312</v>
      </c>
      <c r="H280" s="19">
        <v>42979</v>
      </c>
      <c r="I280" s="18" t="s">
        <v>1811</v>
      </c>
      <c r="J280" s="18" t="s">
        <v>1807</v>
      </c>
      <c r="K280" s="7" t="s">
        <v>1716</v>
      </c>
      <c r="L280" s="7" t="s">
        <v>2246</v>
      </c>
      <c r="M280" s="7" t="str">
        <f t="shared" si="18"/>
        <v>ND</v>
      </c>
      <c r="N280" s="7" t="str">
        <f t="shared" si="19"/>
        <v>ND</v>
      </c>
    </row>
    <row r="281" spans="1:14" ht="15.6" x14ac:dyDescent="0.3">
      <c r="A281" s="7" t="s">
        <v>1757</v>
      </c>
      <c r="B281" s="7">
        <v>5</v>
      </c>
      <c r="C281" s="7">
        <v>11</v>
      </c>
      <c r="D281" s="7" t="s">
        <v>2255</v>
      </c>
      <c r="E281" s="7">
        <v>302.83199999999999</v>
      </c>
      <c r="F281" s="7">
        <f t="shared" si="16"/>
        <v>302832</v>
      </c>
      <c r="G281" s="7">
        <f t="shared" si="17"/>
        <v>975.60598445896312</v>
      </c>
      <c r="H281" s="19">
        <v>42979</v>
      </c>
      <c r="I281" s="18" t="s">
        <v>1811</v>
      </c>
      <c r="J281" s="18" t="s">
        <v>1807</v>
      </c>
      <c r="K281" s="7" t="s">
        <v>1716</v>
      </c>
      <c r="L281" s="7" t="s">
        <v>2246</v>
      </c>
      <c r="M281" s="7" t="str">
        <f t="shared" si="18"/>
        <v>ND</v>
      </c>
      <c r="N281" s="7" t="str">
        <f t="shared" si="19"/>
        <v>ND</v>
      </c>
    </row>
    <row r="282" spans="1:14" ht="15.6" x14ac:dyDescent="0.3">
      <c r="A282" s="7" t="s">
        <v>1758</v>
      </c>
      <c r="B282" s="7">
        <v>5</v>
      </c>
      <c r="C282" s="7">
        <v>11</v>
      </c>
      <c r="D282" s="7" t="s">
        <v>2255</v>
      </c>
      <c r="E282" s="7">
        <v>302.83199999999999</v>
      </c>
      <c r="F282" s="7">
        <f t="shared" si="16"/>
        <v>302832</v>
      </c>
      <c r="G282" s="7">
        <f t="shared" si="17"/>
        <v>975.60598445896312</v>
      </c>
      <c r="H282" s="19">
        <v>42979</v>
      </c>
      <c r="I282" s="18" t="s">
        <v>1811</v>
      </c>
      <c r="J282" s="18" t="s">
        <v>1807</v>
      </c>
      <c r="K282" s="7" t="s">
        <v>1716</v>
      </c>
      <c r="L282" s="7" t="s">
        <v>2246</v>
      </c>
      <c r="M282" s="7" t="str">
        <f t="shared" si="18"/>
        <v>ND</v>
      </c>
      <c r="N282" s="7" t="str">
        <f t="shared" si="19"/>
        <v>ND</v>
      </c>
    </row>
    <row r="283" spans="1:14" ht="15.6" x14ac:dyDescent="0.3">
      <c r="A283" s="7" t="s">
        <v>1759</v>
      </c>
      <c r="B283" s="7">
        <v>5</v>
      </c>
      <c r="C283" s="7">
        <v>11</v>
      </c>
      <c r="D283" s="7" t="s">
        <v>2255</v>
      </c>
      <c r="E283" s="7">
        <v>302.83199999999999</v>
      </c>
      <c r="F283" s="7">
        <f t="shared" si="16"/>
        <v>302832</v>
      </c>
      <c r="G283" s="7">
        <f t="shared" si="17"/>
        <v>975.60598445896312</v>
      </c>
      <c r="H283" s="19">
        <v>42979</v>
      </c>
      <c r="I283" s="18" t="s">
        <v>1811</v>
      </c>
      <c r="J283" s="18" t="s">
        <v>1807</v>
      </c>
      <c r="K283" s="7" t="s">
        <v>1716</v>
      </c>
      <c r="L283" s="7" t="s">
        <v>2246</v>
      </c>
      <c r="M283" s="7" t="str">
        <f t="shared" si="18"/>
        <v>ND</v>
      </c>
      <c r="N283" s="7" t="str">
        <f t="shared" si="19"/>
        <v>ND</v>
      </c>
    </row>
    <row r="284" spans="1:14" ht="15.6" x14ac:dyDescent="0.3">
      <c r="A284" s="7" t="s">
        <v>1745</v>
      </c>
      <c r="B284" s="7">
        <v>5</v>
      </c>
      <c r="C284" s="7">
        <v>11</v>
      </c>
      <c r="D284" s="7" t="s">
        <v>2255</v>
      </c>
      <c r="E284" s="7">
        <v>302.83199999999999</v>
      </c>
      <c r="F284" s="7">
        <f t="shared" si="16"/>
        <v>302832</v>
      </c>
      <c r="G284" s="7">
        <f t="shared" si="17"/>
        <v>975.60598445896312</v>
      </c>
      <c r="H284" s="19">
        <v>42979</v>
      </c>
      <c r="I284" s="18" t="s">
        <v>1811</v>
      </c>
      <c r="J284" s="18" t="s">
        <v>1807</v>
      </c>
      <c r="K284" s="7">
        <v>238</v>
      </c>
      <c r="L284" s="7" t="s">
        <v>2246</v>
      </c>
      <c r="M284" s="7">
        <f t="shared" si="18"/>
        <v>0.23799999999999999</v>
      </c>
      <c r="N284" s="7">
        <f t="shared" si="19"/>
        <v>73.876152000000005</v>
      </c>
    </row>
    <row r="285" spans="1:14" ht="15.6" x14ac:dyDescent="0.3">
      <c r="A285" s="7" t="s">
        <v>1746</v>
      </c>
      <c r="B285" s="7">
        <v>5</v>
      </c>
      <c r="C285" s="7">
        <v>11</v>
      </c>
      <c r="D285" s="7" t="s">
        <v>2255</v>
      </c>
      <c r="E285" s="7">
        <v>302.83199999999999</v>
      </c>
      <c r="F285" s="7">
        <f t="shared" si="16"/>
        <v>302832</v>
      </c>
      <c r="G285" s="7">
        <f t="shared" si="17"/>
        <v>975.60598445896312</v>
      </c>
      <c r="H285" s="19">
        <v>42979</v>
      </c>
      <c r="I285" s="18" t="s">
        <v>1811</v>
      </c>
      <c r="J285" s="18" t="s">
        <v>1807</v>
      </c>
      <c r="K285" s="7">
        <v>958</v>
      </c>
      <c r="L285" s="7" t="s">
        <v>2246</v>
      </c>
      <c r="M285" s="7">
        <f t="shared" si="18"/>
        <v>0.95799999999999996</v>
      </c>
      <c r="N285" s="7">
        <f t="shared" si="19"/>
        <v>297.36703199999999</v>
      </c>
    </row>
    <row r="286" spans="1:14" ht="15.6" x14ac:dyDescent="0.3">
      <c r="A286" s="7" t="s">
        <v>1747</v>
      </c>
      <c r="B286" s="7">
        <v>5</v>
      </c>
      <c r="C286" s="7">
        <v>11</v>
      </c>
      <c r="D286" s="7" t="s">
        <v>2255</v>
      </c>
      <c r="E286" s="7">
        <v>302.83199999999999</v>
      </c>
      <c r="F286" s="7">
        <f t="shared" si="16"/>
        <v>302832</v>
      </c>
      <c r="G286" s="7">
        <f t="shared" si="17"/>
        <v>975.60598445896312</v>
      </c>
      <c r="H286" s="19">
        <v>42979</v>
      </c>
      <c r="I286" s="18" t="s">
        <v>1811</v>
      </c>
      <c r="J286" s="18" t="s">
        <v>1807</v>
      </c>
      <c r="K286" s="7" t="s">
        <v>1716</v>
      </c>
      <c r="L286" s="7" t="s">
        <v>2246</v>
      </c>
      <c r="M286" s="7" t="str">
        <f t="shared" si="18"/>
        <v>ND</v>
      </c>
      <c r="N286" s="7" t="str">
        <f t="shared" si="19"/>
        <v>ND</v>
      </c>
    </row>
    <row r="287" spans="1:14" ht="15.6" x14ac:dyDescent="0.3">
      <c r="A287" s="7" t="s">
        <v>2064</v>
      </c>
      <c r="B287" s="7">
        <v>5</v>
      </c>
      <c r="C287" s="7">
        <v>11</v>
      </c>
      <c r="D287" s="7" t="s">
        <v>2255</v>
      </c>
      <c r="E287" s="7">
        <v>302.83199999999999</v>
      </c>
      <c r="F287" s="7">
        <f t="shared" si="16"/>
        <v>302832</v>
      </c>
      <c r="G287" s="7">
        <f t="shared" si="17"/>
        <v>975.60598445896312</v>
      </c>
      <c r="H287" s="19">
        <v>42979</v>
      </c>
      <c r="I287" s="18" t="s">
        <v>1811</v>
      </c>
      <c r="J287" s="18" t="s">
        <v>1807</v>
      </c>
      <c r="K287" s="7" t="s">
        <v>1716</v>
      </c>
      <c r="L287" s="7" t="s">
        <v>2246</v>
      </c>
      <c r="M287" s="7" t="str">
        <f t="shared" si="18"/>
        <v>ND</v>
      </c>
      <c r="N287" s="7" t="str">
        <f t="shared" si="19"/>
        <v>ND</v>
      </c>
    </row>
    <row r="288" spans="1:14" ht="15.6" x14ac:dyDescent="0.3">
      <c r="A288" s="7" t="s">
        <v>1729</v>
      </c>
      <c r="B288" s="7">
        <v>5</v>
      </c>
      <c r="C288" s="7">
        <v>11</v>
      </c>
      <c r="D288" s="7" t="s">
        <v>2255</v>
      </c>
      <c r="E288" s="7">
        <v>302.83199999999999</v>
      </c>
      <c r="F288" s="7">
        <f t="shared" si="16"/>
        <v>302832</v>
      </c>
      <c r="G288" s="7">
        <f t="shared" si="17"/>
        <v>975.60598445896312</v>
      </c>
      <c r="H288" s="19">
        <v>43070</v>
      </c>
      <c r="I288" s="18" t="s">
        <v>1811</v>
      </c>
      <c r="J288" s="18" t="s">
        <v>1807</v>
      </c>
      <c r="K288" s="7">
        <v>19984</v>
      </c>
      <c r="L288" s="7" t="s">
        <v>2246</v>
      </c>
      <c r="M288" s="7">
        <f t="shared" si="18"/>
        <v>19.984000000000002</v>
      </c>
      <c r="N288" s="7">
        <f t="shared" si="19"/>
        <v>6203.1135360000007</v>
      </c>
    </row>
    <row r="289" spans="1:14" ht="15.6" x14ac:dyDescent="0.3">
      <c r="A289" s="7" t="s">
        <v>1753</v>
      </c>
      <c r="B289" s="7">
        <v>5</v>
      </c>
      <c r="C289" s="7">
        <v>11</v>
      </c>
      <c r="D289" s="7" t="s">
        <v>2255</v>
      </c>
      <c r="E289" s="7">
        <v>302.83199999999999</v>
      </c>
      <c r="F289" s="7">
        <f t="shared" si="16"/>
        <v>302832</v>
      </c>
      <c r="G289" s="7">
        <f t="shared" si="17"/>
        <v>975.60598445896312</v>
      </c>
      <c r="H289" s="19">
        <v>43070</v>
      </c>
      <c r="I289" s="18" t="s">
        <v>1811</v>
      </c>
      <c r="J289" s="18" t="s">
        <v>1807</v>
      </c>
      <c r="K289" s="7">
        <v>254</v>
      </c>
      <c r="L289" s="7" t="s">
        <v>2246</v>
      </c>
      <c r="M289" s="7">
        <f t="shared" si="18"/>
        <v>0.254</v>
      </c>
      <c r="N289" s="7">
        <f t="shared" si="19"/>
        <v>78.842615999999992</v>
      </c>
    </row>
    <row r="290" spans="1:14" ht="15.6" x14ac:dyDescent="0.3">
      <c r="A290" s="7" t="s">
        <v>1733</v>
      </c>
      <c r="B290" s="7">
        <v>5</v>
      </c>
      <c r="C290" s="7">
        <v>11</v>
      </c>
      <c r="D290" s="7" t="s">
        <v>2255</v>
      </c>
      <c r="E290" s="7">
        <v>302.83199999999999</v>
      </c>
      <c r="F290" s="7">
        <f t="shared" si="16"/>
        <v>302832</v>
      </c>
      <c r="G290" s="7">
        <f t="shared" si="17"/>
        <v>975.60598445896312</v>
      </c>
      <c r="H290" s="19">
        <v>43070</v>
      </c>
      <c r="I290" s="18" t="s">
        <v>1811</v>
      </c>
      <c r="J290" s="18" t="s">
        <v>1807</v>
      </c>
      <c r="K290" s="7">
        <v>79</v>
      </c>
      <c r="L290" s="7" t="s">
        <v>2246</v>
      </c>
      <c r="M290" s="7">
        <f t="shared" si="18"/>
        <v>7.9000000000000001E-2</v>
      </c>
      <c r="N290" s="7">
        <f t="shared" si="19"/>
        <v>24.521916000000001</v>
      </c>
    </row>
    <row r="291" spans="1:14" ht="15.6" x14ac:dyDescent="0.3">
      <c r="A291" s="7" t="s">
        <v>1734</v>
      </c>
      <c r="B291" s="7">
        <v>5</v>
      </c>
      <c r="C291" s="7">
        <v>11</v>
      </c>
      <c r="D291" s="7" t="s">
        <v>2255</v>
      </c>
      <c r="E291" s="7">
        <v>302.83199999999999</v>
      </c>
      <c r="F291" s="7">
        <f t="shared" si="16"/>
        <v>302832</v>
      </c>
      <c r="G291" s="7">
        <f t="shared" si="17"/>
        <v>975.60598445896312</v>
      </c>
      <c r="H291" s="19">
        <v>43070</v>
      </c>
      <c r="I291" s="18" t="s">
        <v>1811</v>
      </c>
      <c r="J291" s="18" t="s">
        <v>1807</v>
      </c>
      <c r="K291" s="7">
        <v>544</v>
      </c>
      <c r="L291" s="7" t="s">
        <v>2246</v>
      </c>
      <c r="M291" s="7">
        <f t="shared" si="18"/>
        <v>0.54400000000000004</v>
      </c>
      <c r="N291" s="7">
        <f t="shared" si="19"/>
        <v>168.85977600000001</v>
      </c>
    </row>
    <row r="292" spans="1:14" ht="15.6" x14ac:dyDescent="0.3">
      <c r="A292" s="7" t="s">
        <v>1737</v>
      </c>
      <c r="B292" s="7">
        <v>5</v>
      </c>
      <c r="C292" s="7">
        <v>11</v>
      </c>
      <c r="D292" s="7" t="s">
        <v>2255</v>
      </c>
      <c r="E292" s="7">
        <v>302.83199999999999</v>
      </c>
      <c r="F292" s="7">
        <f t="shared" si="16"/>
        <v>302832</v>
      </c>
      <c r="G292" s="7">
        <f t="shared" si="17"/>
        <v>975.60598445896312</v>
      </c>
      <c r="H292" s="19">
        <v>43070</v>
      </c>
      <c r="I292" s="18" t="s">
        <v>1811</v>
      </c>
      <c r="J292" s="18" t="s">
        <v>1807</v>
      </c>
      <c r="K292" s="7" t="s">
        <v>1716</v>
      </c>
      <c r="L292" s="7" t="s">
        <v>2246</v>
      </c>
      <c r="M292" s="7" t="str">
        <f t="shared" si="18"/>
        <v>ND</v>
      </c>
      <c r="N292" s="7" t="str">
        <f t="shared" si="19"/>
        <v>ND</v>
      </c>
    </row>
    <row r="293" spans="1:14" ht="15.6" x14ac:dyDescent="0.3">
      <c r="A293" s="7" t="s">
        <v>1749</v>
      </c>
      <c r="B293" s="7">
        <v>5</v>
      </c>
      <c r="C293" s="7">
        <v>11</v>
      </c>
      <c r="D293" s="7" t="s">
        <v>2255</v>
      </c>
      <c r="E293" s="7">
        <v>302.83199999999999</v>
      </c>
      <c r="F293" s="7">
        <f t="shared" si="16"/>
        <v>302832</v>
      </c>
      <c r="G293" s="7">
        <f t="shared" si="17"/>
        <v>975.60598445896312</v>
      </c>
      <c r="H293" s="19">
        <v>43070</v>
      </c>
      <c r="I293" s="18" t="s">
        <v>1811</v>
      </c>
      <c r="J293" s="18" t="s">
        <v>1807</v>
      </c>
      <c r="K293" s="7">
        <v>45</v>
      </c>
      <c r="L293" s="7" t="s">
        <v>2246</v>
      </c>
      <c r="M293" s="7">
        <f t="shared" si="18"/>
        <v>4.4999999999999998E-2</v>
      </c>
      <c r="N293" s="7">
        <f t="shared" si="19"/>
        <v>13.968179999999998</v>
      </c>
    </row>
    <row r="294" spans="1:14" ht="15.6" x14ac:dyDescent="0.3">
      <c r="A294" s="7" t="s">
        <v>1748</v>
      </c>
      <c r="B294" s="7">
        <v>5</v>
      </c>
      <c r="C294" s="7">
        <v>11</v>
      </c>
      <c r="D294" s="7" t="s">
        <v>2255</v>
      </c>
      <c r="E294" s="7">
        <v>302.83199999999999</v>
      </c>
      <c r="F294" s="7">
        <f t="shared" si="16"/>
        <v>302832</v>
      </c>
      <c r="G294" s="7">
        <f t="shared" si="17"/>
        <v>975.60598445896312</v>
      </c>
      <c r="H294" s="19">
        <v>43070</v>
      </c>
      <c r="I294" s="18" t="s">
        <v>1811</v>
      </c>
      <c r="J294" s="18" t="s">
        <v>1807</v>
      </c>
      <c r="K294" s="7">
        <v>265</v>
      </c>
      <c r="L294" s="7" t="s">
        <v>2246</v>
      </c>
      <c r="M294" s="7">
        <f t="shared" si="18"/>
        <v>0.26500000000000001</v>
      </c>
      <c r="N294" s="7">
        <f t="shared" si="19"/>
        <v>82.25706000000001</v>
      </c>
    </row>
    <row r="295" spans="1:14" ht="15.6" x14ac:dyDescent="0.3">
      <c r="A295" s="7" t="s">
        <v>1754</v>
      </c>
      <c r="B295" s="7">
        <v>5</v>
      </c>
      <c r="C295" s="7">
        <v>11</v>
      </c>
      <c r="D295" s="7" t="s">
        <v>2255</v>
      </c>
      <c r="E295" s="7">
        <v>302.83199999999999</v>
      </c>
      <c r="F295" s="7">
        <f t="shared" si="16"/>
        <v>302832</v>
      </c>
      <c r="G295" s="7">
        <f t="shared" si="17"/>
        <v>975.60598445896312</v>
      </c>
      <c r="H295" s="19">
        <v>43070</v>
      </c>
      <c r="I295" s="18" t="s">
        <v>1811</v>
      </c>
      <c r="J295" s="18" t="s">
        <v>1807</v>
      </c>
      <c r="K295" s="7" t="s">
        <v>1716</v>
      </c>
      <c r="L295" s="7" t="s">
        <v>2246</v>
      </c>
      <c r="M295" s="7" t="str">
        <f t="shared" si="18"/>
        <v>ND</v>
      </c>
      <c r="N295" s="7" t="str">
        <f t="shared" si="19"/>
        <v>ND</v>
      </c>
    </row>
    <row r="296" spans="1:14" ht="15.6" x14ac:dyDescent="0.3">
      <c r="A296" s="7" t="s">
        <v>1728</v>
      </c>
      <c r="B296" s="7">
        <v>5</v>
      </c>
      <c r="C296" s="7">
        <v>11</v>
      </c>
      <c r="D296" s="7" t="s">
        <v>2255</v>
      </c>
      <c r="E296" s="7">
        <v>302.83199999999999</v>
      </c>
      <c r="F296" s="7">
        <f t="shared" si="16"/>
        <v>302832</v>
      </c>
      <c r="G296" s="7">
        <f t="shared" si="17"/>
        <v>975.60598445896312</v>
      </c>
      <c r="H296" s="19">
        <v>43070</v>
      </c>
      <c r="I296" s="18" t="s">
        <v>1811</v>
      </c>
      <c r="J296" s="18" t="s">
        <v>1807</v>
      </c>
      <c r="K296" s="7" t="s">
        <v>1716</v>
      </c>
      <c r="L296" s="7" t="s">
        <v>2246</v>
      </c>
      <c r="M296" s="7" t="str">
        <f t="shared" si="18"/>
        <v>ND</v>
      </c>
      <c r="N296" s="7" t="str">
        <f t="shared" si="19"/>
        <v>ND</v>
      </c>
    </row>
    <row r="297" spans="1:14" ht="15.6" x14ac:dyDescent="0.3">
      <c r="A297" s="7" t="s">
        <v>1755</v>
      </c>
      <c r="B297" s="7">
        <v>5</v>
      </c>
      <c r="C297" s="7">
        <v>11</v>
      </c>
      <c r="D297" s="7" t="s">
        <v>2255</v>
      </c>
      <c r="E297" s="7">
        <v>302.83199999999999</v>
      </c>
      <c r="F297" s="7">
        <f t="shared" ref="F297:F360" si="20">E297*1000</f>
        <v>302832</v>
      </c>
      <c r="G297" s="7">
        <f t="shared" ref="G297:G360" si="21">F297/310.404</f>
        <v>975.60598445896312</v>
      </c>
      <c r="H297" s="19">
        <v>43070</v>
      </c>
      <c r="I297" s="18" t="s">
        <v>1811</v>
      </c>
      <c r="J297" s="18" t="s">
        <v>1807</v>
      </c>
      <c r="K297" s="7" t="s">
        <v>1716</v>
      </c>
      <c r="L297" s="7" t="s">
        <v>2246</v>
      </c>
      <c r="M297" s="7" t="str">
        <f t="shared" si="18"/>
        <v>ND</v>
      </c>
      <c r="N297" s="7" t="str">
        <f t="shared" si="19"/>
        <v>ND</v>
      </c>
    </row>
    <row r="298" spans="1:14" ht="15.6" x14ac:dyDescent="0.3">
      <c r="A298" s="7" t="s">
        <v>1740</v>
      </c>
      <c r="B298" s="7">
        <v>5</v>
      </c>
      <c r="C298" s="7">
        <v>11</v>
      </c>
      <c r="D298" s="7" t="s">
        <v>2255</v>
      </c>
      <c r="E298" s="7">
        <v>302.83199999999999</v>
      </c>
      <c r="F298" s="7">
        <f t="shared" si="20"/>
        <v>302832</v>
      </c>
      <c r="G298" s="7">
        <f t="shared" si="21"/>
        <v>975.60598445896312</v>
      </c>
      <c r="H298" s="19">
        <v>43070</v>
      </c>
      <c r="I298" s="18" t="s">
        <v>1811</v>
      </c>
      <c r="J298" s="18" t="s">
        <v>1807</v>
      </c>
      <c r="K298" s="7" t="s">
        <v>1716</v>
      </c>
      <c r="L298" s="7" t="s">
        <v>2246</v>
      </c>
      <c r="M298" s="7" t="str">
        <f t="shared" ref="M298:M361" si="22">IFERROR(K298/1000,"ND")</f>
        <v>ND</v>
      </c>
      <c r="N298" s="7" t="str">
        <f t="shared" si="19"/>
        <v>ND</v>
      </c>
    </row>
    <row r="299" spans="1:14" ht="15.6" x14ac:dyDescent="0.3">
      <c r="A299" s="7" t="s">
        <v>1756</v>
      </c>
      <c r="B299" s="7">
        <v>5</v>
      </c>
      <c r="C299" s="7">
        <v>11</v>
      </c>
      <c r="D299" s="7" t="s">
        <v>2255</v>
      </c>
      <c r="E299" s="7">
        <v>302.83199999999999</v>
      </c>
      <c r="F299" s="7">
        <f t="shared" si="20"/>
        <v>302832</v>
      </c>
      <c r="G299" s="7">
        <f t="shared" si="21"/>
        <v>975.60598445896312</v>
      </c>
      <c r="H299" s="19">
        <v>43070</v>
      </c>
      <c r="I299" s="18" t="s">
        <v>1811</v>
      </c>
      <c r="J299" s="18" t="s">
        <v>1807</v>
      </c>
      <c r="K299" s="7">
        <v>259</v>
      </c>
      <c r="L299" s="7" t="s">
        <v>2246</v>
      </c>
      <c r="M299" s="7">
        <f t="shared" si="22"/>
        <v>0.25900000000000001</v>
      </c>
      <c r="N299" s="7">
        <f t="shared" si="19"/>
        <v>80.394636000000006</v>
      </c>
    </row>
    <row r="300" spans="1:14" ht="15.6" x14ac:dyDescent="0.3">
      <c r="A300" s="7" t="s">
        <v>1743</v>
      </c>
      <c r="B300" s="7">
        <v>5</v>
      </c>
      <c r="C300" s="7">
        <v>11</v>
      </c>
      <c r="D300" s="7" t="s">
        <v>2255</v>
      </c>
      <c r="E300" s="7">
        <v>302.83199999999999</v>
      </c>
      <c r="F300" s="7">
        <f t="shared" si="20"/>
        <v>302832</v>
      </c>
      <c r="G300" s="7">
        <f t="shared" si="21"/>
        <v>975.60598445896312</v>
      </c>
      <c r="H300" s="19">
        <v>43070</v>
      </c>
      <c r="I300" s="18" t="s">
        <v>1811</v>
      </c>
      <c r="J300" s="18" t="s">
        <v>1807</v>
      </c>
      <c r="K300" s="7" t="s">
        <v>1716</v>
      </c>
      <c r="L300" s="7" t="s">
        <v>2246</v>
      </c>
      <c r="M300" s="7" t="str">
        <f t="shared" si="22"/>
        <v>ND</v>
      </c>
      <c r="N300" s="7" t="str">
        <f t="shared" si="19"/>
        <v>ND</v>
      </c>
    </row>
    <row r="301" spans="1:14" ht="15.6" x14ac:dyDescent="0.3">
      <c r="A301" s="7" t="s">
        <v>1757</v>
      </c>
      <c r="B301" s="7">
        <v>5</v>
      </c>
      <c r="C301" s="7">
        <v>11</v>
      </c>
      <c r="D301" s="7" t="s">
        <v>2255</v>
      </c>
      <c r="E301" s="7">
        <v>302.83199999999999</v>
      </c>
      <c r="F301" s="7">
        <f t="shared" si="20"/>
        <v>302832</v>
      </c>
      <c r="G301" s="7">
        <f t="shared" si="21"/>
        <v>975.60598445896312</v>
      </c>
      <c r="H301" s="19">
        <v>43070</v>
      </c>
      <c r="I301" s="18" t="s">
        <v>1811</v>
      </c>
      <c r="J301" s="18" t="s">
        <v>1807</v>
      </c>
      <c r="K301" s="7" t="s">
        <v>1716</v>
      </c>
      <c r="L301" s="7" t="s">
        <v>2246</v>
      </c>
      <c r="M301" s="7" t="str">
        <f t="shared" si="22"/>
        <v>ND</v>
      </c>
      <c r="N301" s="7" t="str">
        <f t="shared" si="19"/>
        <v>ND</v>
      </c>
    </row>
    <row r="302" spans="1:14" ht="15.6" x14ac:dyDescent="0.3">
      <c r="A302" s="7" t="s">
        <v>1758</v>
      </c>
      <c r="B302" s="7">
        <v>5</v>
      </c>
      <c r="C302" s="7">
        <v>11</v>
      </c>
      <c r="D302" s="7" t="s">
        <v>2255</v>
      </c>
      <c r="E302" s="7">
        <v>302.83199999999999</v>
      </c>
      <c r="F302" s="7">
        <f t="shared" si="20"/>
        <v>302832</v>
      </c>
      <c r="G302" s="7">
        <f t="shared" si="21"/>
        <v>975.60598445896312</v>
      </c>
      <c r="H302" s="19">
        <v>43070</v>
      </c>
      <c r="I302" s="18" t="s">
        <v>1811</v>
      </c>
      <c r="J302" s="18" t="s">
        <v>1807</v>
      </c>
      <c r="K302" s="7" t="s">
        <v>1716</v>
      </c>
      <c r="L302" s="7" t="s">
        <v>2246</v>
      </c>
      <c r="M302" s="7" t="str">
        <f t="shared" si="22"/>
        <v>ND</v>
      </c>
      <c r="N302" s="7" t="str">
        <f t="shared" si="19"/>
        <v>ND</v>
      </c>
    </row>
    <row r="303" spans="1:14" ht="15.6" x14ac:dyDescent="0.3">
      <c r="A303" s="7" t="s">
        <v>1759</v>
      </c>
      <c r="B303" s="7">
        <v>5</v>
      </c>
      <c r="C303" s="7">
        <v>11</v>
      </c>
      <c r="D303" s="7" t="s">
        <v>2255</v>
      </c>
      <c r="E303" s="7">
        <v>302.83199999999999</v>
      </c>
      <c r="F303" s="7">
        <f t="shared" si="20"/>
        <v>302832</v>
      </c>
      <c r="G303" s="7">
        <f t="shared" si="21"/>
        <v>975.60598445896312</v>
      </c>
      <c r="H303" s="19">
        <v>43070</v>
      </c>
      <c r="I303" s="18" t="s">
        <v>1811</v>
      </c>
      <c r="J303" s="18" t="s">
        <v>1807</v>
      </c>
      <c r="K303" s="7" t="s">
        <v>1716</v>
      </c>
      <c r="L303" s="7" t="s">
        <v>2246</v>
      </c>
      <c r="M303" s="7" t="str">
        <f t="shared" si="22"/>
        <v>ND</v>
      </c>
      <c r="N303" s="7" t="str">
        <f t="shared" si="19"/>
        <v>ND</v>
      </c>
    </row>
    <row r="304" spans="1:14" ht="15.6" x14ac:dyDescent="0.3">
      <c r="A304" s="7" t="s">
        <v>1745</v>
      </c>
      <c r="B304" s="7">
        <v>5</v>
      </c>
      <c r="C304" s="7">
        <v>11</v>
      </c>
      <c r="D304" s="7" t="s">
        <v>2255</v>
      </c>
      <c r="E304" s="7">
        <v>302.83199999999999</v>
      </c>
      <c r="F304" s="7">
        <f t="shared" si="20"/>
        <v>302832</v>
      </c>
      <c r="G304" s="7">
        <f t="shared" si="21"/>
        <v>975.60598445896312</v>
      </c>
      <c r="H304" s="19">
        <v>43070</v>
      </c>
      <c r="I304" s="18" t="s">
        <v>1811</v>
      </c>
      <c r="J304" s="18" t="s">
        <v>1807</v>
      </c>
      <c r="K304" s="7">
        <v>2925</v>
      </c>
      <c r="L304" s="7" t="s">
        <v>2246</v>
      </c>
      <c r="M304" s="7">
        <f t="shared" si="22"/>
        <v>2.9249999999999998</v>
      </c>
      <c r="N304" s="7">
        <f t="shared" si="19"/>
        <v>907.93169999999998</v>
      </c>
    </row>
    <row r="305" spans="1:14" ht="15.6" x14ac:dyDescent="0.3">
      <c r="A305" s="7" t="s">
        <v>1746</v>
      </c>
      <c r="B305" s="7">
        <v>5</v>
      </c>
      <c r="C305" s="7">
        <v>11</v>
      </c>
      <c r="D305" s="7" t="s">
        <v>2255</v>
      </c>
      <c r="E305" s="7">
        <v>302.83199999999999</v>
      </c>
      <c r="F305" s="7">
        <f t="shared" si="20"/>
        <v>302832</v>
      </c>
      <c r="G305" s="7">
        <f t="shared" si="21"/>
        <v>975.60598445896312</v>
      </c>
      <c r="H305" s="19">
        <v>43070</v>
      </c>
      <c r="I305" s="18" t="s">
        <v>1811</v>
      </c>
      <c r="J305" s="18" t="s">
        <v>1807</v>
      </c>
      <c r="K305" s="7">
        <v>526</v>
      </c>
      <c r="L305" s="7" t="s">
        <v>2246</v>
      </c>
      <c r="M305" s="7">
        <f t="shared" si="22"/>
        <v>0.52600000000000002</v>
      </c>
      <c r="N305" s="7">
        <f t="shared" si="19"/>
        <v>163.27250400000003</v>
      </c>
    </row>
    <row r="306" spans="1:14" ht="15.6" x14ac:dyDescent="0.3">
      <c r="A306" s="7" t="s">
        <v>1747</v>
      </c>
      <c r="B306" s="7">
        <v>5</v>
      </c>
      <c r="C306" s="7">
        <v>11</v>
      </c>
      <c r="D306" s="7" t="s">
        <v>2255</v>
      </c>
      <c r="E306" s="7">
        <v>302.83199999999999</v>
      </c>
      <c r="F306" s="7">
        <f t="shared" si="20"/>
        <v>302832</v>
      </c>
      <c r="G306" s="7">
        <f t="shared" si="21"/>
        <v>975.60598445896312</v>
      </c>
      <c r="H306" s="19">
        <v>43070</v>
      </c>
      <c r="I306" s="18" t="s">
        <v>1811</v>
      </c>
      <c r="J306" s="18" t="s">
        <v>1807</v>
      </c>
      <c r="K306" s="7" t="s">
        <v>1716</v>
      </c>
      <c r="L306" s="7" t="s">
        <v>2246</v>
      </c>
      <c r="M306" s="7" t="str">
        <f t="shared" si="22"/>
        <v>ND</v>
      </c>
      <c r="N306" s="7" t="str">
        <f t="shared" si="19"/>
        <v>ND</v>
      </c>
    </row>
    <row r="307" spans="1:14" ht="15.6" x14ac:dyDescent="0.3">
      <c r="A307" s="7" t="s">
        <v>2064</v>
      </c>
      <c r="B307" s="7">
        <v>5</v>
      </c>
      <c r="C307" s="7">
        <v>11</v>
      </c>
      <c r="D307" s="7" t="s">
        <v>2255</v>
      </c>
      <c r="E307" s="7">
        <v>302.83199999999999</v>
      </c>
      <c r="F307" s="7">
        <f t="shared" si="20"/>
        <v>302832</v>
      </c>
      <c r="G307" s="7">
        <f t="shared" si="21"/>
        <v>975.60598445896312</v>
      </c>
      <c r="H307" s="19">
        <v>43070</v>
      </c>
      <c r="I307" s="18" t="s">
        <v>1811</v>
      </c>
      <c r="J307" s="18" t="s">
        <v>1807</v>
      </c>
      <c r="K307" s="7" t="s">
        <v>1716</v>
      </c>
      <c r="L307" s="7" t="s">
        <v>2246</v>
      </c>
      <c r="M307" s="7" t="str">
        <f t="shared" si="22"/>
        <v>ND</v>
      </c>
      <c r="N307" s="7" t="str">
        <f t="shared" si="19"/>
        <v>ND</v>
      </c>
    </row>
    <row r="308" spans="1:14" ht="15.6" x14ac:dyDescent="0.3">
      <c r="A308" s="7" t="s">
        <v>1729</v>
      </c>
      <c r="B308" s="7">
        <v>5</v>
      </c>
      <c r="C308" s="7">
        <v>11</v>
      </c>
      <c r="D308" s="7" t="s">
        <v>2255</v>
      </c>
      <c r="E308" s="7">
        <v>302.83199999999999</v>
      </c>
      <c r="F308" s="7">
        <f t="shared" si="20"/>
        <v>302832</v>
      </c>
      <c r="G308" s="7">
        <f t="shared" si="21"/>
        <v>975.60598445896312</v>
      </c>
      <c r="H308" s="19">
        <v>43282</v>
      </c>
      <c r="I308" s="18" t="s">
        <v>1811</v>
      </c>
      <c r="J308" s="18" t="s">
        <v>1807</v>
      </c>
      <c r="K308" s="7">
        <v>30328</v>
      </c>
      <c r="L308" s="7" t="s">
        <v>2246</v>
      </c>
      <c r="M308" s="7">
        <f t="shared" si="22"/>
        <v>30.327999999999999</v>
      </c>
      <c r="N308" s="7">
        <f t="shared" si="19"/>
        <v>9413.9325119999994</v>
      </c>
    </row>
    <row r="309" spans="1:14" ht="15.6" x14ac:dyDescent="0.3">
      <c r="A309" s="7" t="s">
        <v>1753</v>
      </c>
      <c r="B309" s="7">
        <v>5</v>
      </c>
      <c r="C309" s="7">
        <v>11</v>
      </c>
      <c r="D309" s="7" t="s">
        <v>2255</v>
      </c>
      <c r="E309" s="7">
        <v>302.83199999999999</v>
      </c>
      <c r="F309" s="7">
        <f t="shared" si="20"/>
        <v>302832</v>
      </c>
      <c r="G309" s="7">
        <f t="shared" si="21"/>
        <v>975.60598445896312</v>
      </c>
      <c r="H309" s="19">
        <v>43282</v>
      </c>
      <c r="I309" s="18" t="s">
        <v>1811</v>
      </c>
      <c r="J309" s="18" t="s">
        <v>1807</v>
      </c>
      <c r="K309" s="7">
        <v>441</v>
      </c>
      <c r="L309" s="7" t="s">
        <v>2246</v>
      </c>
      <c r="M309" s="7">
        <f t="shared" si="22"/>
        <v>0.441</v>
      </c>
      <c r="N309" s="7">
        <f t="shared" si="19"/>
        <v>136.88816400000002</v>
      </c>
    </row>
    <row r="310" spans="1:14" ht="15.6" x14ac:dyDescent="0.3">
      <c r="A310" s="7" t="s">
        <v>1733</v>
      </c>
      <c r="B310" s="7">
        <v>5</v>
      </c>
      <c r="C310" s="7">
        <v>11</v>
      </c>
      <c r="D310" s="7" t="s">
        <v>2255</v>
      </c>
      <c r="E310" s="7">
        <v>302.83199999999999</v>
      </c>
      <c r="F310" s="7">
        <f t="shared" si="20"/>
        <v>302832</v>
      </c>
      <c r="G310" s="7">
        <f t="shared" si="21"/>
        <v>975.60598445896312</v>
      </c>
      <c r="H310" s="19">
        <v>43282</v>
      </c>
      <c r="I310" s="18" t="s">
        <v>1811</v>
      </c>
      <c r="J310" s="18" t="s">
        <v>1807</v>
      </c>
      <c r="K310" s="7" t="s">
        <v>1716</v>
      </c>
      <c r="L310" s="7" t="s">
        <v>2246</v>
      </c>
      <c r="M310" s="7" t="str">
        <f t="shared" si="22"/>
        <v>ND</v>
      </c>
      <c r="N310" s="7" t="str">
        <f t="shared" si="19"/>
        <v>ND</v>
      </c>
    </row>
    <row r="311" spans="1:14" ht="15.6" x14ac:dyDescent="0.3">
      <c r="A311" s="7" t="s">
        <v>1734</v>
      </c>
      <c r="B311" s="7">
        <v>5</v>
      </c>
      <c r="C311" s="7">
        <v>11</v>
      </c>
      <c r="D311" s="7" t="s">
        <v>2255</v>
      </c>
      <c r="E311" s="7">
        <v>302.83199999999999</v>
      </c>
      <c r="F311" s="7">
        <f t="shared" si="20"/>
        <v>302832</v>
      </c>
      <c r="G311" s="7">
        <f t="shared" si="21"/>
        <v>975.60598445896312</v>
      </c>
      <c r="H311" s="19">
        <v>43282</v>
      </c>
      <c r="I311" s="18" t="s">
        <v>1811</v>
      </c>
      <c r="J311" s="18" t="s">
        <v>1807</v>
      </c>
      <c r="K311" s="7">
        <v>400</v>
      </c>
      <c r="L311" s="7" t="s">
        <v>2246</v>
      </c>
      <c r="M311" s="7">
        <f t="shared" si="22"/>
        <v>0.4</v>
      </c>
      <c r="N311" s="7">
        <f t="shared" si="19"/>
        <v>124.16160000000001</v>
      </c>
    </row>
    <row r="312" spans="1:14" ht="15.6" x14ac:dyDescent="0.3">
      <c r="A312" s="7" t="s">
        <v>1737</v>
      </c>
      <c r="B312" s="7">
        <v>5</v>
      </c>
      <c r="C312" s="7">
        <v>11</v>
      </c>
      <c r="D312" s="7" t="s">
        <v>2255</v>
      </c>
      <c r="E312" s="7">
        <v>302.83199999999999</v>
      </c>
      <c r="F312" s="7">
        <f t="shared" si="20"/>
        <v>302832</v>
      </c>
      <c r="G312" s="7">
        <f t="shared" si="21"/>
        <v>975.60598445896312</v>
      </c>
      <c r="H312" s="19">
        <v>43282</v>
      </c>
      <c r="I312" s="18" t="s">
        <v>1811</v>
      </c>
      <c r="J312" s="18" t="s">
        <v>1807</v>
      </c>
      <c r="K312" s="7" t="s">
        <v>2256</v>
      </c>
      <c r="L312" s="7" t="s">
        <v>2246</v>
      </c>
      <c r="M312" s="7" t="str">
        <f t="shared" si="22"/>
        <v>ND</v>
      </c>
      <c r="N312" s="7" t="str">
        <f t="shared" si="19"/>
        <v>ND</v>
      </c>
    </row>
    <row r="313" spans="1:14" ht="15.6" x14ac:dyDescent="0.3">
      <c r="A313" s="7" t="s">
        <v>1749</v>
      </c>
      <c r="B313" s="7">
        <v>5</v>
      </c>
      <c r="C313" s="7">
        <v>11</v>
      </c>
      <c r="D313" s="7" t="s">
        <v>2255</v>
      </c>
      <c r="E313" s="7">
        <v>302.83199999999999</v>
      </c>
      <c r="F313" s="7">
        <f t="shared" si="20"/>
        <v>302832</v>
      </c>
      <c r="G313" s="7">
        <f t="shared" si="21"/>
        <v>975.60598445896312</v>
      </c>
      <c r="H313" s="19">
        <v>43282</v>
      </c>
      <c r="I313" s="18" t="s">
        <v>1811</v>
      </c>
      <c r="J313" s="18" t="s">
        <v>1807</v>
      </c>
      <c r="K313" s="7">
        <v>37</v>
      </c>
      <c r="L313" s="7" t="s">
        <v>2246</v>
      </c>
      <c r="M313" s="7">
        <f t="shared" si="22"/>
        <v>3.6999999999999998E-2</v>
      </c>
      <c r="N313" s="7">
        <f t="shared" si="19"/>
        <v>11.484947999999999</v>
      </c>
    </row>
    <row r="314" spans="1:14" ht="15.6" x14ac:dyDescent="0.3">
      <c r="A314" s="7" t="s">
        <v>1748</v>
      </c>
      <c r="B314" s="7">
        <v>5</v>
      </c>
      <c r="C314" s="7">
        <v>11</v>
      </c>
      <c r="D314" s="7" t="s">
        <v>2255</v>
      </c>
      <c r="E314" s="7">
        <v>302.83199999999999</v>
      </c>
      <c r="F314" s="7">
        <f t="shared" si="20"/>
        <v>302832</v>
      </c>
      <c r="G314" s="7">
        <f t="shared" si="21"/>
        <v>975.60598445896312</v>
      </c>
      <c r="H314" s="19">
        <v>43282</v>
      </c>
      <c r="I314" s="18" t="s">
        <v>1811</v>
      </c>
      <c r="J314" s="18" t="s">
        <v>1807</v>
      </c>
      <c r="K314" s="7">
        <v>292</v>
      </c>
      <c r="L314" s="7" t="s">
        <v>2246</v>
      </c>
      <c r="M314" s="7">
        <f t="shared" si="22"/>
        <v>0.29199999999999998</v>
      </c>
      <c r="N314" s="7">
        <f t="shared" si="19"/>
        <v>90.637967999999987</v>
      </c>
    </row>
    <row r="315" spans="1:14" ht="15.6" x14ac:dyDescent="0.3">
      <c r="A315" s="7" t="s">
        <v>1754</v>
      </c>
      <c r="B315" s="7">
        <v>5</v>
      </c>
      <c r="C315" s="7">
        <v>11</v>
      </c>
      <c r="D315" s="7" t="s">
        <v>2255</v>
      </c>
      <c r="E315" s="7">
        <v>302.83199999999999</v>
      </c>
      <c r="F315" s="7">
        <f t="shared" si="20"/>
        <v>302832</v>
      </c>
      <c r="G315" s="7">
        <f t="shared" si="21"/>
        <v>975.60598445896312</v>
      </c>
      <c r="H315" s="19">
        <v>43282</v>
      </c>
      <c r="I315" s="18" t="s">
        <v>1811</v>
      </c>
      <c r="J315" s="18" t="s">
        <v>1807</v>
      </c>
      <c r="K315" s="7" t="s">
        <v>1716</v>
      </c>
      <c r="L315" s="7" t="s">
        <v>2246</v>
      </c>
      <c r="M315" s="7" t="str">
        <f t="shared" si="22"/>
        <v>ND</v>
      </c>
      <c r="N315" s="7" t="str">
        <f t="shared" si="19"/>
        <v>ND</v>
      </c>
    </row>
    <row r="316" spans="1:14" ht="15.6" x14ac:dyDescent="0.3">
      <c r="A316" s="7" t="s">
        <v>1728</v>
      </c>
      <c r="B316" s="7">
        <v>5</v>
      </c>
      <c r="C316" s="7">
        <v>11</v>
      </c>
      <c r="D316" s="7" t="s">
        <v>2255</v>
      </c>
      <c r="E316" s="7">
        <v>302.83199999999999</v>
      </c>
      <c r="F316" s="7">
        <f t="shared" si="20"/>
        <v>302832</v>
      </c>
      <c r="G316" s="7">
        <f t="shared" si="21"/>
        <v>975.60598445896312</v>
      </c>
      <c r="H316" s="19">
        <v>43282</v>
      </c>
      <c r="I316" s="18" t="s">
        <v>1811</v>
      </c>
      <c r="J316" s="18" t="s">
        <v>1807</v>
      </c>
      <c r="K316" s="7" t="s">
        <v>1716</v>
      </c>
      <c r="L316" s="7" t="s">
        <v>2246</v>
      </c>
      <c r="M316" s="7" t="str">
        <f t="shared" si="22"/>
        <v>ND</v>
      </c>
      <c r="N316" s="7" t="str">
        <f t="shared" si="19"/>
        <v>ND</v>
      </c>
    </row>
    <row r="317" spans="1:14" ht="15.6" x14ac:dyDescent="0.3">
      <c r="A317" s="7" t="s">
        <v>1755</v>
      </c>
      <c r="B317" s="7">
        <v>5</v>
      </c>
      <c r="C317" s="7">
        <v>11</v>
      </c>
      <c r="D317" s="7" t="s">
        <v>2255</v>
      </c>
      <c r="E317" s="7">
        <v>302.83199999999999</v>
      </c>
      <c r="F317" s="7">
        <f t="shared" si="20"/>
        <v>302832</v>
      </c>
      <c r="G317" s="7">
        <f t="shared" si="21"/>
        <v>975.60598445896312</v>
      </c>
      <c r="H317" s="19">
        <v>43282</v>
      </c>
      <c r="I317" s="18" t="s">
        <v>1811</v>
      </c>
      <c r="J317" s="18" t="s">
        <v>1807</v>
      </c>
      <c r="K317" s="7" t="s">
        <v>1716</v>
      </c>
      <c r="L317" s="7" t="s">
        <v>2246</v>
      </c>
      <c r="M317" s="7" t="str">
        <f t="shared" si="22"/>
        <v>ND</v>
      </c>
      <c r="N317" s="7" t="str">
        <f t="shared" si="19"/>
        <v>ND</v>
      </c>
    </row>
    <row r="318" spans="1:14" ht="15.6" x14ac:dyDescent="0.3">
      <c r="A318" s="7" t="s">
        <v>1740</v>
      </c>
      <c r="B318" s="7">
        <v>5</v>
      </c>
      <c r="C318" s="7">
        <v>11</v>
      </c>
      <c r="D318" s="7" t="s">
        <v>2255</v>
      </c>
      <c r="E318" s="7">
        <v>302.83199999999999</v>
      </c>
      <c r="F318" s="7">
        <f t="shared" si="20"/>
        <v>302832</v>
      </c>
      <c r="G318" s="7">
        <f t="shared" si="21"/>
        <v>975.60598445896312</v>
      </c>
      <c r="H318" s="19">
        <v>43282</v>
      </c>
      <c r="I318" s="18" t="s">
        <v>1811</v>
      </c>
      <c r="J318" s="18" t="s">
        <v>1807</v>
      </c>
      <c r="K318" s="7" t="s">
        <v>1716</v>
      </c>
      <c r="L318" s="7" t="s">
        <v>2246</v>
      </c>
      <c r="M318" s="7" t="str">
        <f t="shared" si="22"/>
        <v>ND</v>
      </c>
      <c r="N318" s="7" t="str">
        <f t="shared" si="19"/>
        <v>ND</v>
      </c>
    </row>
    <row r="319" spans="1:14" ht="15.6" x14ac:dyDescent="0.3">
      <c r="A319" s="7" t="s">
        <v>1756</v>
      </c>
      <c r="B319" s="7">
        <v>5</v>
      </c>
      <c r="C319" s="7">
        <v>11</v>
      </c>
      <c r="D319" s="7" t="s">
        <v>2255</v>
      </c>
      <c r="E319" s="7">
        <v>302.83199999999999</v>
      </c>
      <c r="F319" s="7">
        <f t="shared" si="20"/>
        <v>302832</v>
      </c>
      <c r="G319" s="7">
        <f t="shared" si="21"/>
        <v>975.60598445896312</v>
      </c>
      <c r="H319" s="19">
        <v>43282</v>
      </c>
      <c r="I319" s="18" t="s">
        <v>1811</v>
      </c>
      <c r="J319" s="18" t="s">
        <v>1807</v>
      </c>
      <c r="K319" s="7">
        <v>372</v>
      </c>
      <c r="L319" s="7" t="s">
        <v>2246</v>
      </c>
      <c r="M319" s="7">
        <f t="shared" si="22"/>
        <v>0.372</v>
      </c>
      <c r="N319" s="7">
        <f t="shared" si="19"/>
        <v>115.47028800000001</v>
      </c>
    </row>
    <row r="320" spans="1:14" ht="15.6" x14ac:dyDescent="0.3">
      <c r="A320" s="7" t="s">
        <v>1743</v>
      </c>
      <c r="B320" s="7">
        <v>5</v>
      </c>
      <c r="C320" s="7">
        <v>11</v>
      </c>
      <c r="D320" s="7" t="s">
        <v>2255</v>
      </c>
      <c r="E320" s="7">
        <v>302.83199999999999</v>
      </c>
      <c r="F320" s="7">
        <f t="shared" si="20"/>
        <v>302832</v>
      </c>
      <c r="G320" s="7">
        <f t="shared" si="21"/>
        <v>975.60598445896312</v>
      </c>
      <c r="H320" s="19">
        <v>43282</v>
      </c>
      <c r="I320" s="18" t="s">
        <v>1811</v>
      </c>
      <c r="J320" s="18" t="s">
        <v>1807</v>
      </c>
      <c r="K320" s="7" t="s">
        <v>1716</v>
      </c>
      <c r="L320" s="7" t="s">
        <v>2246</v>
      </c>
      <c r="M320" s="7" t="str">
        <f t="shared" si="22"/>
        <v>ND</v>
      </c>
      <c r="N320" s="7" t="str">
        <f t="shared" si="19"/>
        <v>ND</v>
      </c>
    </row>
    <row r="321" spans="1:14" ht="15.6" x14ac:dyDescent="0.3">
      <c r="A321" s="7" t="s">
        <v>1757</v>
      </c>
      <c r="B321" s="7">
        <v>5</v>
      </c>
      <c r="C321" s="7">
        <v>11</v>
      </c>
      <c r="D321" s="7" t="s">
        <v>2255</v>
      </c>
      <c r="E321" s="7">
        <v>302.83199999999999</v>
      </c>
      <c r="F321" s="7">
        <f t="shared" si="20"/>
        <v>302832</v>
      </c>
      <c r="G321" s="7">
        <f t="shared" si="21"/>
        <v>975.60598445896312</v>
      </c>
      <c r="H321" s="19">
        <v>43282</v>
      </c>
      <c r="I321" s="18" t="s">
        <v>1811</v>
      </c>
      <c r="J321" s="18" t="s">
        <v>1807</v>
      </c>
      <c r="K321" s="7" t="s">
        <v>1716</v>
      </c>
      <c r="L321" s="7" t="s">
        <v>2246</v>
      </c>
      <c r="M321" s="7" t="str">
        <f t="shared" si="22"/>
        <v>ND</v>
      </c>
      <c r="N321" s="7" t="str">
        <f t="shared" si="19"/>
        <v>ND</v>
      </c>
    </row>
    <row r="322" spans="1:14" ht="15.6" x14ac:dyDescent="0.3">
      <c r="A322" s="7" t="s">
        <v>1758</v>
      </c>
      <c r="B322" s="7">
        <v>5</v>
      </c>
      <c r="C322" s="7">
        <v>11</v>
      </c>
      <c r="D322" s="7" t="s">
        <v>2255</v>
      </c>
      <c r="E322" s="7">
        <v>302.83199999999999</v>
      </c>
      <c r="F322" s="7">
        <f t="shared" si="20"/>
        <v>302832</v>
      </c>
      <c r="G322" s="7">
        <f t="shared" si="21"/>
        <v>975.60598445896312</v>
      </c>
      <c r="H322" s="19">
        <v>43282</v>
      </c>
      <c r="I322" s="18" t="s">
        <v>1811</v>
      </c>
      <c r="J322" s="18" t="s">
        <v>1807</v>
      </c>
      <c r="K322" s="7" t="s">
        <v>1716</v>
      </c>
      <c r="L322" s="7" t="s">
        <v>2246</v>
      </c>
      <c r="M322" s="7" t="str">
        <f t="shared" si="22"/>
        <v>ND</v>
      </c>
      <c r="N322" s="7" t="str">
        <f t="shared" si="19"/>
        <v>ND</v>
      </c>
    </row>
    <row r="323" spans="1:14" ht="15.6" x14ac:dyDescent="0.3">
      <c r="A323" s="7" t="s">
        <v>1759</v>
      </c>
      <c r="B323" s="7">
        <v>5</v>
      </c>
      <c r="C323" s="7">
        <v>11</v>
      </c>
      <c r="D323" s="7" t="s">
        <v>2255</v>
      </c>
      <c r="E323" s="7">
        <v>302.83199999999999</v>
      </c>
      <c r="F323" s="7">
        <f t="shared" si="20"/>
        <v>302832</v>
      </c>
      <c r="G323" s="7">
        <f t="shared" si="21"/>
        <v>975.60598445896312</v>
      </c>
      <c r="H323" s="19">
        <v>43282</v>
      </c>
      <c r="I323" s="18" t="s">
        <v>1811</v>
      </c>
      <c r="J323" s="18" t="s">
        <v>1807</v>
      </c>
      <c r="K323" s="7" t="s">
        <v>1716</v>
      </c>
      <c r="L323" s="7" t="s">
        <v>2246</v>
      </c>
      <c r="M323" s="7" t="str">
        <f t="shared" si="22"/>
        <v>ND</v>
      </c>
      <c r="N323" s="7" t="str">
        <f t="shared" ref="N323:N386" si="23">IFERROR((M323*F323)/G323,"ND")</f>
        <v>ND</v>
      </c>
    </row>
    <row r="324" spans="1:14" ht="15.6" x14ac:dyDescent="0.3">
      <c r="A324" s="7" t="s">
        <v>1745</v>
      </c>
      <c r="B324" s="7">
        <v>5</v>
      </c>
      <c r="C324" s="7">
        <v>11</v>
      </c>
      <c r="D324" s="7" t="s">
        <v>2255</v>
      </c>
      <c r="E324" s="7">
        <v>302.83199999999999</v>
      </c>
      <c r="F324" s="7">
        <f t="shared" si="20"/>
        <v>302832</v>
      </c>
      <c r="G324" s="7">
        <f t="shared" si="21"/>
        <v>975.60598445896312</v>
      </c>
      <c r="H324" s="19">
        <v>43282</v>
      </c>
      <c r="I324" s="18" t="s">
        <v>1811</v>
      </c>
      <c r="J324" s="18" t="s">
        <v>1807</v>
      </c>
      <c r="K324" s="7">
        <v>1545</v>
      </c>
      <c r="L324" s="7" t="s">
        <v>2246</v>
      </c>
      <c r="M324" s="7">
        <f t="shared" si="22"/>
        <v>1.5449999999999999</v>
      </c>
      <c r="N324" s="7">
        <f t="shared" si="23"/>
        <v>479.57418000000001</v>
      </c>
    </row>
    <row r="325" spans="1:14" ht="15.6" x14ac:dyDescent="0.3">
      <c r="A325" s="7" t="s">
        <v>1746</v>
      </c>
      <c r="B325" s="7">
        <v>5</v>
      </c>
      <c r="C325" s="7">
        <v>11</v>
      </c>
      <c r="D325" s="7" t="s">
        <v>2255</v>
      </c>
      <c r="E325" s="7">
        <v>302.83199999999999</v>
      </c>
      <c r="F325" s="7">
        <f t="shared" si="20"/>
        <v>302832</v>
      </c>
      <c r="G325" s="7">
        <f t="shared" si="21"/>
        <v>975.60598445896312</v>
      </c>
      <c r="H325" s="19">
        <v>43282</v>
      </c>
      <c r="I325" s="18" t="s">
        <v>1811</v>
      </c>
      <c r="J325" s="18" t="s">
        <v>1807</v>
      </c>
      <c r="K325" s="7">
        <v>259</v>
      </c>
      <c r="L325" s="7" t="s">
        <v>2246</v>
      </c>
      <c r="M325" s="7">
        <f t="shared" si="22"/>
        <v>0.25900000000000001</v>
      </c>
      <c r="N325" s="7">
        <f t="shared" si="23"/>
        <v>80.394636000000006</v>
      </c>
    </row>
    <row r="326" spans="1:14" ht="15.6" x14ac:dyDescent="0.3">
      <c r="A326" s="7" t="s">
        <v>1747</v>
      </c>
      <c r="B326" s="7">
        <v>5</v>
      </c>
      <c r="C326" s="7">
        <v>11</v>
      </c>
      <c r="D326" s="7" t="s">
        <v>2255</v>
      </c>
      <c r="E326" s="7">
        <v>302.83199999999999</v>
      </c>
      <c r="F326" s="7">
        <f t="shared" si="20"/>
        <v>302832</v>
      </c>
      <c r="G326" s="7">
        <f t="shared" si="21"/>
        <v>975.60598445896312</v>
      </c>
      <c r="H326" s="19">
        <v>43282</v>
      </c>
      <c r="I326" s="18" t="s">
        <v>1811</v>
      </c>
      <c r="J326" s="18" t="s">
        <v>1807</v>
      </c>
      <c r="K326" s="7" t="s">
        <v>1716</v>
      </c>
      <c r="L326" s="7" t="s">
        <v>2246</v>
      </c>
      <c r="M326" s="7" t="str">
        <f t="shared" si="22"/>
        <v>ND</v>
      </c>
      <c r="N326" s="7" t="str">
        <f t="shared" si="23"/>
        <v>ND</v>
      </c>
    </row>
    <row r="327" spans="1:14" ht="15.6" x14ac:dyDescent="0.3">
      <c r="A327" s="7" t="s">
        <v>2064</v>
      </c>
      <c r="B327" s="7">
        <v>5</v>
      </c>
      <c r="C327" s="7">
        <v>11</v>
      </c>
      <c r="D327" s="7" t="s">
        <v>2255</v>
      </c>
      <c r="E327" s="7">
        <v>302.83199999999999</v>
      </c>
      <c r="F327" s="7">
        <f t="shared" si="20"/>
        <v>302832</v>
      </c>
      <c r="G327" s="7">
        <f t="shared" si="21"/>
        <v>975.60598445896312</v>
      </c>
      <c r="H327" s="19">
        <v>43282</v>
      </c>
      <c r="I327" s="18" t="s">
        <v>1811</v>
      </c>
      <c r="J327" s="18" t="s">
        <v>1807</v>
      </c>
      <c r="K327" s="7" t="s">
        <v>1716</v>
      </c>
      <c r="L327" s="7" t="s">
        <v>2246</v>
      </c>
      <c r="M327" s="7" t="str">
        <f t="shared" si="22"/>
        <v>ND</v>
      </c>
      <c r="N327" s="7" t="str">
        <f t="shared" si="23"/>
        <v>ND</v>
      </c>
    </row>
    <row r="328" spans="1:14" ht="15.6" x14ac:dyDescent="0.3">
      <c r="A328" s="7" t="s">
        <v>1729</v>
      </c>
      <c r="B328" s="7">
        <v>5</v>
      </c>
      <c r="C328" s="7">
        <v>11</v>
      </c>
      <c r="D328" s="7" t="s">
        <v>2257</v>
      </c>
      <c r="E328" s="7">
        <v>302.83199999999999</v>
      </c>
      <c r="F328" s="7">
        <f t="shared" si="20"/>
        <v>302832</v>
      </c>
      <c r="G328" s="7">
        <f t="shared" si="21"/>
        <v>975.60598445896312</v>
      </c>
      <c r="H328" s="19">
        <v>42675</v>
      </c>
      <c r="I328" s="18" t="s">
        <v>1811</v>
      </c>
      <c r="J328" s="18" t="s">
        <v>1807</v>
      </c>
      <c r="K328" s="7">
        <v>25654</v>
      </c>
      <c r="L328" s="7" t="s">
        <v>2246</v>
      </c>
      <c r="M328" s="7">
        <f t="shared" si="22"/>
        <v>25.654</v>
      </c>
      <c r="N328" s="7">
        <f t="shared" si="23"/>
        <v>7963.1042159999997</v>
      </c>
    </row>
    <row r="329" spans="1:14" ht="15.6" x14ac:dyDescent="0.3">
      <c r="A329" s="7" t="s">
        <v>1753</v>
      </c>
      <c r="B329" s="7">
        <v>5</v>
      </c>
      <c r="C329" s="7">
        <v>11</v>
      </c>
      <c r="D329" s="7" t="s">
        <v>2257</v>
      </c>
      <c r="E329" s="7">
        <v>302.83199999999999</v>
      </c>
      <c r="F329" s="7">
        <f t="shared" si="20"/>
        <v>302832</v>
      </c>
      <c r="G329" s="7">
        <f t="shared" si="21"/>
        <v>975.60598445896312</v>
      </c>
      <c r="H329" s="19">
        <v>42675</v>
      </c>
      <c r="I329" s="18" t="s">
        <v>1811</v>
      </c>
      <c r="J329" s="18" t="s">
        <v>1807</v>
      </c>
      <c r="K329" s="7" t="s">
        <v>1716</v>
      </c>
      <c r="L329" s="7" t="s">
        <v>2246</v>
      </c>
      <c r="M329" s="7" t="str">
        <f t="shared" si="22"/>
        <v>ND</v>
      </c>
      <c r="N329" s="7" t="str">
        <f t="shared" si="23"/>
        <v>ND</v>
      </c>
    </row>
    <row r="330" spans="1:14" ht="15.6" x14ac:dyDescent="0.3">
      <c r="A330" s="7" t="s">
        <v>1733</v>
      </c>
      <c r="B330" s="7">
        <v>5</v>
      </c>
      <c r="C330" s="7">
        <v>11</v>
      </c>
      <c r="D330" s="7" t="s">
        <v>2257</v>
      </c>
      <c r="E330" s="7">
        <v>302.83199999999999</v>
      </c>
      <c r="F330" s="7">
        <f t="shared" si="20"/>
        <v>302832</v>
      </c>
      <c r="G330" s="7">
        <f t="shared" si="21"/>
        <v>975.60598445896312</v>
      </c>
      <c r="H330" s="19">
        <v>42675</v>
      </c>
      <c r="I330" s="18" t="s">
        <v>1811</v>
      </c>
      <c r="J330" s="18" t="s">
        <v>1807</v>
      </c>
      <c r="K330" s="7">
        <v>233</v>
      </c>
      <c r="L330" s="7" t="s">
        <v>2246</v>
      </c>
      <c r="M330" s="7">
        <f t="shared" si="22"/>
        <v>0.23300000000000001</v>
      </c>
      <c r="N330" s="7">
        <f t="shared" si="23"/>
        <v>72.324132000000006</v>
      </c>
    </row>
    <row r="331" spans="1:14" ht="15.6" x14ac:dyDescent="0.3">
      <c r="A331" s="7" t="s">
        <v>1734</v>
      </c>
      <c r="B331" s="7">
        <v>5</v>
      </c>
      <c r="C331" s="7">
        <v>11</v>
      </c>
      <c r="D331" s="7" t="s">
        <v>2257</v>
      </c>
      <c r="E331" s="7">
        <v>302.83199999999999</v>
      </c>
      <c r="F331" s="7">
        <f t="shared" si="20"/>
        <v>302832</v>
      </c>
      <c r="G331" s="7">
        <f t="shared" si="21"/>
        <v>975.60598445896312</v>
      </c>
      <c r="H331" s="19">
        <v>42675</v>
      </c>
      <c r="I331" s="18" t="s">
        <v>1811</v>
      </c>
      <c r="J331" s="18" t="s">
        <v>1807</v>
      </c>
      <c r="K331" s="7" t="s">
        <v>1716</v>
      </c>
      <c r="L331" s="7" t="s">
        <v>2246</v>
      </c>
      <c r="M331" s="7" t="str">
        <f t="shared" si="22"/>
        <v>ND</v>
      </c>
      <c r="N331" s="7" t="str">
        <f t="shared" si="23"/>
        <v>ND</v>
      </c>
    </row>
    <row r="332" spans="1:14" ht="15.6" x14ac:dyDescent="0.3">
      <c r="A332" s="7" t="s">
        <v>1737</v>
      </c>
      <c r="B332" s="7">
        <v>5</v>
      </c>
      <c r="C332" s="7">
        <v>11</v>
      </c>
      <c r="D332" s="7" t="s">
        <v>2257</v>
      </c>
      <c r="E332" s="7">
        <v>302.83199999999999</v>
      </c>
      <c r="F332" s="7">
        <f t="shared" si="20"/>
        <v>302832</v>
      </c>
      <c r="G332" s="7">
        <f t="shared" si="21"/>
        <v>975.60598445896312</v>
      </c>
      <c r="H332" s="19">
        <v>42675</v>
      </c>
      <c r="I332" s="18" t="s">
        <v>1811</v>
      </c>
      <c r="J332" s="18" t="s">
        <v>1807</v>
      </c>
      <c r="K332" s="7" t="s">
        <v>1716</v>
      </c>
      <c r="L332" s="7" t="s">
        <v>2246</v>
      </c>
      <c r="M332" s="7" t="str">
        <f t="shared" si="22"/>
        <v>ND</v>
      </c>
      <c r="N332" s="7" t="str">
        <f t="shared" si="23"/>
        <v>ND</v>
      </c>
    </row>
    <row r="333" spans="1:14" ht="15.6" x14ac:dyDescent="0.3">
      <c r="A333" s="7" t="s">
        <v>1749</v>
      </c>
      <c r="B333" s="7">
        <v>5</v>
      </c>
      <c r="C333" s="7">
        <v>11</v>
      </c>
      <c r="D333" s="7" t="s">
        <v>2257</v>
      </c>
      <c r="E333" s="7">
        <v>302.83199999999999</v>
      </c>
      <c r="F333" s="7">
        <f t="shared" si="20"/>
        <v>302832</v>
      </c>
      <c r="G333" s="7">
        <f t="shared" si="21"/>
        <v>975.60598445896312</v>
      </c>
      <c r="H333" s="19">
        <v>42675</v>
      </c>
      <c r="I333" s="18" t="s">
        <v>1811</v>
      </c>
      <c r="J333" s="18" t="s">
        <v>1807</v>
      </c>
      <c r="K333" s="7">
        <v>274</v>
      </c>
      <c r="L333" s="7" t="s">
        <v>2246</v>
      </c>
      <c r="M333" s="7">
        <f t="shared" si="22"/>
        <v>0.27400000000000002</v>
      </c>
      <c r="N333" s="7">
        <f t="shared" si="23"/>
        <v>85.050696000000016</v>
      </c>
    </row>
    <row r="334" spans="1:14" ht="15.6" x14ac:dyDescent="0.3">
      <c r="A334" s="7" t="s">
        <v>1748</v>
      </c>
      <c r="B334" s="7">
        <v>5</v>
      </c>
      <c r="C334" s="7">
        <v>11</v>
      </c>
      <c r="D334" s="7" t="s">
        <v>2257</v>
      </c>
      <c r="E334" s="7">
        <v>302.83199999999999</v>
      </c>
      <c r="F334" s="7">
        <f t="shared" si="20"/>
        <v>302832</v>
      </c>
      <c r="G334" s="7">
        <f t="shared" si="21"/>
        <v>975.60598445896312</v>
      </c>
      <c r="H334" s="19">
        <v>42675</v>
      </c>
      <c r="I334" s="18" t="s">
        <v>1811</v>
      </c>
      <c r="J334" s="18" t="s">
        <v>1807</v>
      </c>
      <c r="K334" s="7">
        <v>766</v>
      </c>
      <c r="L334" s="7" t="s">
        <v>2246</v>
      </c>
      <c r="M334" s="7">
        <f t="shared" si="22"/>
        <v>0.76600000000000001</v>
      </c>
      <c r="N334" s="7">
        <f t="shared" si="23"/>
        <v>237.76946400000003</v>
      </c>
    </row>
    <row r="335" spans="1:14" ht="15.6" x14ac:dyDescent="0.3">
      <c r="A335" s="7" t="s">
        <v>1754</v>
      </c>
      <c r="B335" s="7">
        <v>5</v>
      </c>
      <c r="C335" s="7">
        <v>11</v>
      </c>
      <c r="D335" s="7" t="s">
        <v>2257</v>
      </c>
      <c r="E335" s="7">
        <v>302.83199999999999</v>
      </c>
      <c r="F335" s="7">
        <f t="shared" si="20"/>
        <v>302832</v>
      </c>
      <c r="G335" s="7">
        <f t="shared" si="21"/>
        <v>975.60598445896312</v>
      </c>
      <c r="H335" s="19">
        <v>42675</v>
      </c>
      <c r="I335" s="18" t="s">
        <v>1811</v>
      </c>
      <c r="J335" s="18" t="s">
        <v>1807</v>
      </c>
      <c r="K335" s="7" t="s">
        <v>1716</v>
      </c>
      <c r="L335" s="7" t="s">
        <v>2246</v>
      </c>
      <c r="M335" s="7" t="str">
        <f t="shared" si="22"/>
        <v>ND</v>
      </c>
      <c r="N335" s="7" t="str">
        <f t="shared" si="23"/>
        <v>ND</v>
      </c>
    </row>
    <row r="336" spans="1:14" ht="15.6" x14ac:dyDescent="0.3">
      <c r="A336" s="7" t="s">
        <v>1728</v>
      </c>
      <c r="B336" s="7">
        <v>5</v>
      </c>
      <c r="C336" s="7">
        <v>11</v>
      </c>
      <c r="D336" s="7" t="s">
        <v>2257</v>
      </c>
      <c r="E336" s="7">
        <v>302.83199999999999</v>
      </c>
      <c r="F336" s="7">
        <f t="shared" si="20"/>
        <v>302832</v>
      </c>
      <c r="G336" s="7">
        <f t="shared" si="21"/>
        <v>975.60598445896312</v>
      </c>
      <c r="H336" s="19">
        <v>42675</v>
      </c>
      <c r="I336" s="18" t="s">
        <v>1811</v>
      </c>
      <c r="J336" s="18" t="s">
        <v>1807</v>
      </c>
      <c r="K336" s="7">
        <v>240</v>
      </c>
      <c r="L336" s="7" t="s">
        <v>2246</v>
      </c>
      <c r="M336" s="7">
        <f t="shared" si="22"/>
        <v>0.24</v>
      </c>
      <c r="N336" s="7">
        <f t="shared" si="23"/>
        <v>74.496960000000001</v>
      </c>
    </row>
    <row r="337" spans="1:14" ht="15.6" x14ac:dyDescent="0.3">
      <c r="A337" s="7" t="s">
        <v>1755</v>
      </c>
      <c r="B337" s="7">
        <v>5</v>
      </c>
      <c r="C337" s="7">
        <v>11</v>
      </c>
      <c r="D337" s="7" t="s">
        <v>2257</v>
      </c>
      <c r="E337" s="7">
        <v>302.83199999999999</v>
      </c>
      <c r="F337" s="7">
        <f t="shared" si="20"/>
        <v>302832</v>
      </c>
      <c r="G337" s="7">
        <f t="shared" si="21"/>
        <v>975.60598445896312</v>
      </c>
      <c r="H337" s="19">
        <v>42675</v>
      </c>
      <c r="I337" s="18" t="s">
        <v>1811</v>
      </c>
      <c r="J337" s="18" t="s">
        <v>1807</v>
      </c>
      <c r="K337" s="7">
        <v>123</v>
      </c>
      <c r="L337" s="7" t="s">
        <v>2246</v>
      </c>
      <c r="M337" s="7">
        <f t="shared" si="22"/>
        <v>0.123</v>
      </c>
      <c r="N337" s="7">
        <f t="shared" si="23"/>
        <v>38.179692000000003</v>
      </c>
    </row>
    <row r="338" spans="1:14" ht="15.6" x14ac:dyDescent="0.3">
      <c r="A338" s="7" t="s">
        <v>1740</v>
      </c>
      <c r="B338" s="7">
        <v>5</v>
      </c>
      <c r="C338" s="7">
        <v>11</v>
      </c>
      <c r="D338" s="7" t="s">
        <v>2257</v>
      </c>
      <c r="E338" s="7">
        <v>302.83199999999999</v>
      </c>
      <c r="F338" s="7">
        <f t="shared" si="20"/>
        <v>302832</v>
      </c>
      <c r="G338" s="7">
        <f t="shared" si="21"/>
        <v>975.60598445896312</v>
      </c>
      <c r="H338" s="19">
        <v>42675</v>
      </c>
      <c r="I338" s="18" t="s">
        <v>1811</v>
      </c>
      <c r="J338" s="18" t="s">
        <v>1807</v>
      </c>
      <c r="K338" s="7" t="s">
        <v>1716</v>
      </c>
      <c r="L338" s="7" t="s">
        <v>2246</v>
      </c>
      <c r="M338" s="7" t="str">
        <f t="shared" si="22"/>
        <v>ND</v>
      </c>
      <c r="N338" s="7" t="str">
        <f t="shared" si="23"/>
        <v>ND</v>
      </c>
    </row>
    <row r="339" spans="1:14" ht="15.6" x14ac:dyDescent="0.3">
      <c r="A339" s="7" t="s">
        <v>1756</v>
      </c>
      <c r="B339" s="7">
        <v>5</v>
      </c>
      <c r="C339" s="7">
        <v>11</v>
      </c>
      <c r="D339" s="7" t="s">
        <v>2257</v>
      </c>
      <c r="E339" s="7">
        <v>302.83199999999999</v>
      </c>
      <c r="F339" s="7">
        <f t="shared" si="20"/>
        <v>302832</v>
      </c>
      <c r="G339" s="7">
        <f t="shared" si="21"/>
        <v>975.60598445896312</v>
      </c>
      <c r="H339" s="19">
        <v>42675</v>
      </c>
      <c r="I339" s="18" t="s">
        <v>1811</v>
      </c>
      <c r="J339" s="18" t="s">
        <v>1807</v>
      </c>
      <c r="K339" s="7">
        <v>567</v>
      </c>
      <c r="L339" s="7" t="s">
        <v>2246</v>
      </c>
      <c r="M339" s="7">
        <f t="shared" si="22"/>
        <v>0.56699999999999995</v>
      </c>
      <c r="N339" s="7">
        <f t="shared" si="23"/>
        <v>175.99906799999999</v>
      </c>
    </row>
    <row r="340" spans="1:14" ht="15.6" x14ac:dyDescent="0.3">
      <c r="A340" s="7" t="s">
        <v>1743</v>
      </c>
      <c r="B340" s="7">
        <v>5</v>
      </c>
      <c r="C340" s="7">
        <v>11</v>
      </c>
      <c r="D340" s="7" t="s">
        <v>2257</v>
      </c>
      <c r="E340" s="7">
        <v>302.83199999999999</v>
      </c>
      <c r="F340" s="7">
        <f t="shared" si="20"/>
        <v>302832</v>
      </c>
      <c r="G340" s="7">
        <f t="shared" si="21"/>
        <v>975.60598445896312</v>
      </c>
      <c r="H340" s="19">
        <v>42675</v>
      </c>
      <c r="I340" s="18" t="s">
        <v>1811</v>
      </c>
      <c r="J340" s="18" t="s">
        <v>1807</v>
      </c>
      <c r="K340" s="7" t="s">
        <v>1716</v>
      </c>
      <c r="L340" s="7" t="s">
        <v>2246</v>
      </c>
      <c r="M340" s="7" t="str">
        <f t="shared" si="22"/>
        <v>ND</v>
      </c>
      <c r="N340" s="7" t="str">
        <f t="shared" si="23"/>
        <v>ND</v>
      </c>
    </row>
    <row r="341" spans="1:14" ht="15.6" x14ac:dyDescent="0.3">
      <c r="A341" s="7" t="s">
        <v>1757</v>
      </c>
      <c r="B341" s="7">
        <v>5</v>
      </c>
      <c r="C341" s="7">
        <v>11</v>
      </c>
      <c r="D341" s="7" t="s">
        <v>2257</v>
      </c>
      <c r="E341" s="7">
        <v>302.83199999999999</v>
      </c>
      <c r="F341" s="7">
        <f t="shared" si="20"/>
        <v>302832</v>
      </c>
      <c r="G341" s="7">
        <f t="shared" si="21"/>
        <v>975.60598445896312</v>
      </c>
      <c r="H341" s="19">
        <v>42675</v>
      </c>
      <c r="I341" s="18" t="s">
        <v>1811</v>
      </c>
      <c r="J341" s="18" t="s">
        <v>1807</v>
      </c>
      <c r="K341" s="7">
        <v>1405</v>
      </c>
      <c r="L341" s="7" t="s">
        <v>2246</v>
      </c>
      <c r="M341" s="7">
        <f t="shared" si="22"/>
        <v>1.405</v>
      </c>
      <c r="N341" s="7">
        <f t="shared" si="23"/>
        <v>436.11762000000004</v>
      </c>
    </row>
    <row r="342" spans="1:14" ht="15.6" x14ac:dyDescent="0.3">
      <c r="A342" s="7" t="s">
        <v>1758</v>
      </c>
      <c r="B342" s="7">
        <v>5</v>
      </c>
      <c r="C342" s="7">
        <v>11</v>
      </c>
      <c r="D342" s="7" t="s">
        <v>2257</v>
      </c>
      <c r="E342" s="7">
        <v>302.83199999999999</v>
      </c>
      <c r="F342" s="7">
        <f t="shared" si="20"/>
        <v>302832</v>
      </c>
      <c r="G342" s="7">
        <f t="shared" si="21"/>
        <v>975.60598445896312</v>
      </c>
      <c r="H342" s="19">
        <v>42675</v>
      </c>
      <c r="I342" s="18" t="s">
        <v>1811</v>
      </c>
      <c r="J342" s="18" t="s">
        <v>1807</v>
      </c>
      <c r="K342" s="7" t="s">
        <v>1716</v>
      </c>
      <c r="L342" s="7" t="s">
        <v>2246</v>
      </c>
      <c r="M342" s="7" t="str">
        <f t="shared" si="22"/>
        <v>ND</v>
      </c>
      <c r="N342" s="7" t="str">
        <f t="shared" si="23"/>
        <v>ND</v>
      </c>
    </row>
    <row r="343" spans="1:14" ht="15.6" x14ac:dyDescent="0.3">
      <c r="A343" s="7" t="s">
        <v>1759</v>
      </c>
      <c r="B343" s="7">
        <v>5</v>
      </c>
      <c r="C343" s="7">
        <v>11</v>
      </c>
      <c r="D343" s="7" t="s">
        <v>2257</v>
      </c>
      <c r="E343" s="7">
        <v>302.83199999999999</v>
      </c>
      <c r="F343" s="7">
        <f t="shared" si="20"/>
        <v>302832</v>
      </c>
      <c r="G343" s="7">
        <f t="shared" si="21"/>
        <v>975.60598445896312</v>
      </c>
      <c r="H343" s="19">
        <v>42675</v>
      </c>
      <c r="I343" s="18" t="s">
        <v>1811</v>
      </c>
      <c r="J343" s="18" t="s">
        <v>1807</v>
      </c>
      <c r="K343" s="7">
        <v>635</v>
      </c>
      <c r="L343" s="7" t="s">
        <v>2246</v>
      </c>
      <c r="M343" s="7">
        <f t="shared" si="22"/>
        <v>0.63500000000000001</v>
      </c>
      <c r="N343" s="7">
        <f t="shared" si="23"/>
        <v>197.10654000000002</v>
      </c>
    </row>
    <row r="344" spans="1:14" ht="15.6" x14ac:dyDescent="0.3">
      <c r="A344" s="7" t="s">
        <v>1745</v>
      </c>
      <c r="B344" s="7">
        <v>5</v>
      </c>
      <c r="C344" s="7">
        <v>11</v>
      </c>
      <c r="D344" s="7" t="s">
        <v>2257</v>
      </c>
      <c r="E344" s="7">
        <v>302.83199999999999</v>
      </c>
      <c r="F344" s="7">
        <f t="shared" si="20"/>
        <v>302832</v>
      </c>
      <c r="G344" s="7">
        <f t="shared" si="21"/>
        <v>975.60598445896312</v>
      </c>
      <c r="H344" s="19">
        <v>42675</v>
      </c>
      <c r="I344" s="18" t="s">
        <v>1811</v>
      </c>
      <c r="J344" s="18" t="s">
        <v>1807</v>
      </c>
      <c r="K344" s="7">
        <v>3003</v>
      </c>
      <c r="L344" s="7" t="s">
        <v>2246</v>
      </c>
      <c r="M344" s="7">
        <f t="shared" si="22"/>
        <v>3.0030000000000001</v>
      </c>
      <c r="N344" s="7">
        <f t="shared" si="23"/>
        <v>932.14321200000006</v>
      </c>
    </row>
    <row r="345" spans="1:14" ht="15.6" x14ac:dyDescent="0.3">
      <c r="A345" s="7" t="s">
        <v>1746</v>
      </c>
      <c r="B345" s="7">
        <v>5</v>
      </c>
      <c r="C345" s="7">
        <v>11</v>
      </c>
      <c r="D345" s="7" t="s">
        <v>2257</v>
      </c>
      <c r="E345" s="7">
        <v>302.83199999999999</v>
      </c>
      <c r="F345" s="7">
        <f t="shared" si="20"/>
        <v>302832</v>
      </c>
      <c r="G345" s="7">
        <f t="shared" si="21"/>
        <v>975.60598445896312</v>
      </c>
      <c r="H345" s="19">
        <v>42675</v>
      </c>
      <c r="I345" s="18" t="s">
        <v>1811</v>
      </c>
      <c r="J345" s="18" t="s">
        <v>1807</v>
      </c>
      <c r="K345" s="7">
        <v>2852</v>
      </c>
      <c r="L345" s="7" t="s">
        <v>2246</v>
      </c>
      <c r="M345" s="7">
        <f t="shared" si="22"/>
        <v>2.8519999999999999</v>
      </c>
      <c r="N345" s="7">
        <f t="shared" si="23"/>
        <v>885.27220799999998</v>
      </c>
    </row>
    <row r="346" spans="1:14" ht="15.6" x14ac:dyDescent="0.3">
      <c r="A346" s="7" t="s">
        <v>1747</v>
      </c>
      <c r="B346" s="7">
        <v>5</v>
      </c>
      <c r="C346" s="7">
        <v>11</v>
      </c>
      <c r="D346" s="7" t="s">
        <v>2257</v>
      </c>
      <c r="E346" s="7">
        <v>302.83199999999999</v>
      </c>
      <c r="F346" s="7">
        <f t="shared" si="20"/>
        <v>302832</v>
      </c>
      <c r="G346" s="7">
        <f t="shared" si="21"/>
        <v>975.60598445896312</v>
      </c>
      <c r="H346" s="19">
        <v>42675</v>
      </c>
      <c r="I346" s="18" t="s">
        <v>1811</v>
      </c>
      <c r="J346" s="18" t="s">
        <v>1807</v>
      </c>
      <c r="K346" s="7" t="s">
        <v>1716</v>
      </c>
      <c r="L346" s="7" t="s">
        <v>2246</v>
      </c>
      <c r="M346" s="7" t="str">
        <f t="shared" si="22"/>
        <v>ND</v>
      </c>
      <c r="N346" s="7" t="str">
        <f t="shared" si="23"/>
        <v>ND</v>
      </c>
    </row>
    <row r="347" spans="1:14" ht="15.6" x14ac:dyDescent="0.3">
      <c r="A347" s="7" t="s">
        <v>2064</v>
      </c>
      <c r="B347" s="7">
        <v>5</v>
      </c>
      <c r="C347" s="7">
        <v>11</v>
      </c>
      <c r="D347" s="7" t="s">
        <v>2257</v>
      </c>
      <c r="E347" s="7">
        <v>302.83199999999999</v>
      </c>
      <c r="F347" s="7">
        <f t="shared" si="20"/>
        <v>302832</v>
      </c>
      <c r="G347" s="7">
        <f t="shared" si="21"/>
        <v>975.60598445896312</v>
      </c>
      <c r="H347" s="19">
        <v>42675</v>
      </c>
      <c r="I347" s="18" t="s">
        <v>1811</v>
      </c>
      <c r="J347" s="18" t="s">
        <v>1807</v>
      </c>
      <c r="K347" s="7" t="s">
        <v>1716</v>
      </c>
      <c r="L347" s="7" t="s">
        <v>2246</v>
      </c>
      <c r="M347" s="7" t="str">
        <f t="shared" si="22"/>
        <v>ND</v>
      </c>
      <c r="N347" s="7" t="str">
        <f t="shared" si="23"/>
        <v>ND</v>
      </c>
    </row>
    <row r="348" spans="1:14" ht="15.6" x14ac:dyDescent="0.3">
      <c r="A348" s="7" t="s">
        <v>1729</v>
      </c>
      <c r="B348" s="7">
        <v>5</v>
      </c>
      <c r="C348" s="7">
        <v>11</v>
      </c>
      <c r="D348" s="7" t="s">
        <v>2258</v>
      </c>
      <c r="E348" s="7">
        <v>302.83199999999999</v>
      </c>
      <c r="F348" s="7">
        <f t="shared" si="20"/>
        <v>302832</v>
      </c>
      <c r="G348" s="7">
        <f t="shared" si="21"/>
        <v>975.60598445896312</v>
      </c>
      <c r="H348" s="19">
        <v>42979</v>
      </c>
      <c r="I348" s="18" t="s">
        <v>1811</v>
      </c>
      <c r="J348" s="18" t="s">
        <v>1807</v>
      </c>
      <c r="K348" s="7">
        <v>86207</v>
      </c>
      <c r="L348" s="7" t="s">
        <v>2246</v>
      </c>
      <c r="M348" s="7">
        <f t="shared" si="22"/>
        <v>86.206999999999994</v>
      </c>
      <c r="N348" s="7">
        <f t="shared" si="23"/>
        <v>26758.997628000001</v>
      </c>
    </row>
    <row r="349" spans="1:14" ht="15.6" x14ac:dyDescent="0.3">
      <c r="A349" s="7" t="s">
        <v>1753</v>
      </c>
      <c r="B349" s="7">
        <v>5</v>
      </c>
      <c r="C349" s="7">
        <v>11</v>
      </c>
      <c r="D349" s="7" t="s">
        <v>2258</v>
      </c>
      <c r="E349" s="7">
        <v>302.83199999999999</v>
      </c>
      <c r="F349" s="7">
        <f t="shared" si="20"/>
        <v>302832</v>
      </c>
      <c r="G349" s="7">
        <f t="shared" si="21"/>
        <v>975.60598445896312</v>
      </c>
      <c r="H349" s="19">
        <v>42979</v>
      </c>
      <c r="I349" s="18" t="s">
        <v>1811</v>
      </c>
      <c r="J349" s="18" t="s">
        <v>1807</v>
      </c>
      <c r="K349" s="7">
        <v>606</v>
      </c>
      <c r="L349" s="7" t="s">
        <v>2246</v>
      </c>
      <c r="M349" s="7">
        <f t="shared" si="22"/>
        <v>0.60599999999999998</v>
      </c>
      <c r="N349" s="7">
        <f t="shared" si="23"/>
        <v>188.10482399999998</v>
      </c>
    </row>
    <row r="350" spans="1:14" ht="15.6" x14ac:dyDescent="0.3">
      <c r="A350" s="7" t="s">
        <v>1733</v>
      </c>
      <c r="B350" s="7">
        <v>5</v>
      </c>
      <c r="C350" s="7">
        <v>11</v>
      </c>
      <c r="D350" s="7" t="s">
        <v>2258</v>
      </c>
      <c r="E350" s="7">
        <v>302.83199999999999</v>
      </c>
      <c r="F350" s="7">
        <f t="shared" si="20"/>
        <v>302832</v>
      </c>
      <c r="G350" s="7">
        <f t="shared" si="21"/>
        <v>975.60598445896312</v>
      </c>
      <c r="H350" s="19">
        <v>42979</v>
      </c>
      <c r="I350" s="18" t="s">
        <v>1811</v>
      </c>
      <c r="J350" s="18" t="s">
        <v>1807</v>
      </c>
      <c r="K350" s="7">
        <v>158</v>
      </c>
      <c r="L350" s="7" t="s">
        <v>2246</v>
      </c>
      <c r="M350" s="7">
        <f t="shared" si="22"/>
        <v>0.158</v>
      </c>
      <c r="N350" s="7">
        <f t="shared" si="23"/>
        <v>49.043832000000002</v>
      </c>
    </row>
    <row r="351" spans="1:14" ht="15.6" x14ac:dyDescent="0.3">
      <c r="A351" s="7" t="s">
        <v>1734</v>
      </c>
      <c r="B351" s="7">
        <v>5</v>
      </c>
      <c r="C351" s="7">
        <v>11</v>
      </c>
      <c r="D351" s="7" t="s">
        <v>2258</v>
      </c>
      <c r="E351" s="7">
        <v>302.83199999999999</v>
      </c>
      <c r="F351" s="7">
        <f t="shared" si="20"/>
        <v>302832</v>
      </c>
      <c r="G351" s="7">
        <f t="shared" si="21"/>
        <v>975.60598445896312</v>
      </c>
      <c r="H351" s="19">
        <v>42979</v>
      </c>
      <c r="I351" s="18" t="s">
        <v>1811</v>
      </c>
      <c r="J351" s="18" t="s">
        <v>1807</v>
      </c>
      <c r="K351" s="7" t="s">
        <v>1716</v>
      </c>
      <c r="L351" s="7" t="s">
        <v>2246</v>
      </c>
      <c r="M351" s="7" t="str">
        <f t="shared" si="22"/>
        <v>ND</v>
      </c>
      <c r="N351" s="7" t="str">
        <f t="shared" si="23"/>
        <v>ND</v>
      </c>
    </row>
    <row r="352" spans="1:14" ht="15.6" x14ac:dyDescent="0.3">
      <c r="A352" s="7" t="s">
        <v>1737</v>
      </c>
      <c r="B352" s="7">
        <v>5</v>
      </c>
      <c r="C352" s="7">
        <v>11</v>
      </c>
      <c r="D352" s="7" t="s">
        <v>2258</v>
      </c>
      <c r="E352" s="7">
        <v>302.83199999999999</v>
      </c>
      <c r="F352" s="7">
        <f t="shared" si="20"/>
        <v>302832</v>
      </c>
      <c r="G352" s="7">
        <f t="shared" si="21"/>
        <v>975.60598445896312</v>
      </c>
      <c r="H352" s="19">
        <v>42979</v>
      </c>
      <c r="I352" s="18" t="s">
        <v>1811</v>
      </c>
      <c r="J352" s="18" t="s">
        <v>1807</v>
      </c>
      <c r="K352" s="7" t="s">
        <v>1716</v>
      </c>
      <c r="L352" s="7" t="s">
        <v>2246</v>
      </c>
      <c r="M352" s="7" t="str">
        <f t="shared" si="22"/>
        <v>ND</v>
      </c>
      <c r="N352" s="7" t="str">
        <f t="shared" si="23"/>
        <v>ND</v>
      </c>
    </row>
    <row r="353" spans="1:14" ht="15.6" x14ac:dyDescent="0.3">
      <c r="A353" s="7" t="s">
        <v>1749</v>
      </c>
      <c r="B353" s="7">
        <v>5</v>
      </c>
      <c r="C353" s="7">
        <v>11</v>
      </c>
      <c r="D353" s="7" t="s">
        <v>2258</v>
      </c>
      <c r="E353" s="7">
        <v>302.83199999999999</v>
      </c>
      <c r="F353" s="7">
        <f t="shared" si="20"/>
        <v>302832</v>
      </c>
      <c r="G353" s="7">
        <f t="shared" si="21"/>
        <v>975.60598445896312</v>
      </c>
      <c r="H353" s="19">
        <v>42979</v>
      </c>
      <c r="I353" s="18" t="s">
        <v>1811</v>
      </c>
      <c r="J353" s="18" t="s">
        <v>1807</v>
      </c>
      <c r="K353" s="7">
        <v>84</v>
      </c>
      <c r="L353" s="7" t="s">
        <v>2246</v>
      </c>
      <c r="M353" s="7">
        <f t="shared" si="22"/>
        <v>8.4000000000000005E-2</v>
      </c>
      <c r="N353" s="7">
        <f t="shared" si="23"/>
        <v>26.073936000000003</v>
      </c>
    </row>
    <row r="354" spans="1:14" ht="15.6" x14ac:dyDescent="0.3">
      <c r="A354" s="7" t="s">
        <v>1748</v>
      </c>
      <c r="B354" s="7">
        <v>5</v>
      </c>
      <c r="C354" s="7">
        <v>11</v>
      </c>
      <c r="D354" s="7" t="s">
        <v>2258</v>
      </c>
      <c r="E354" s="7">
        <v>302.83199999999999</v>
      </c>
      <c r="F354" s="7">
        <f t="shared" si="20"/>
        <v>302832</v>
      </c>
      <c r="G354" s="7">
        <f t="shared" si="21"/>
        <v>975.60598445896312</v>
      </c>
      <c r="H354" s="19">
        <v>42979</v>
      </c>
      <c r="I354" s="18" t="s">
        <v>1811</v>
      </c>
      <c r="J354" s="18" t="s">
        <v>1807</v>
      </c>
      <c r="K354" s="7">
        <v>1292</v>
      </c>
      <c r="L354" s="7" t="s">
        <v>2246</v>
      </c>
      <c r="M354" s="7">
        <f t="shared" si="22"/>
        <v>1.292</v>
      </c>
      <c r="N354" s="7">
        <f t="shared" si="23"/>
        <v>401.04196800000005</v>
      </c>
    </row>
    <row r="355" spans="1:14" ht="15.6" x14ac:dyDescent="0.3">
      <c r="A355" s="7" t="s">
        <v>1754</v>
      </c>
      <c r="B355" s="7">
        <v>5</v>
      </c>
      <c r="C355" s="7">
        <v>11</v>
      </c>
      <c r="D355" s="7" t="s">
        <v>2258</v>
      </c>
      <c r="E355" s="7">
        <v>302.83199999999999</v>
      </c>
      <c r="F355" s="7">
        <f t="shared" si="20"/>
        <v>302832</v>
      </c>
      <c r="G355" s="7">
        <f t="shared" si="21"/>
        <v>975.60598445896312</v>
      </c>
      <c r="H355" s="19">
        <v>42979</v>
      </c>
      <c r="I355" s="18" t="s">
        <v>1811</v>
      </c>
      <c r="J355" s="18" t="s">
        <v>1807</v>
      </c>
      <c r="K355" s="7" t="s">
        <v>1716</v>
      </c>
      <c r="L355" s="7" t="s">
        <v>2246</v>
      </c>
      <c r="M355" s="7" t="str">
        <f t="shared" si="22"/>
        <v>ND</v>
      </c>
      <c r="N355" s="7" t="str">
        <f t="shared" si="23"/>
        <v>ND</v>
      </c>
    </row>
    <row r="356" spans="1:14" ht="15.6" x14ac:dyDescent="0.3">
      <c r="A356" s="7" t="s">
        <v>1728</v>
      </c>
      <c r="B356" s="7">
        <v>5</v>
      </c>
      <c r="C356" s="7">
        <v>11</v>
      </c>
      <c r="D356" s="7" t="s">
        <v>2258</v>
      </c>
      <c r="E356" s="7">
        <v>302.83199999999999</v>
      </c>
      <c r="F356" s="7">
        <f t="shared" si="20"/>
        <v>302832</v>
      </c>
      <c r="G356" s="7">
        <f t="shared" si="21"/>
        <v>975.60598445896312</v>
      </c>
      <c r="H356" s="19">
        <v>42979</v>
      </c>
      <c r="I356" s="18" t="s">
        <v>1811</v>
      </c>
      <c r="J356" s="18" t="s">
        <v>1807</v>
      </c>
      <c r="K356" s="7" t="s">
        <v>1716</v>
      </c>
      <c r="L356" s="7" t="s">
        <v>2246</v>
      </c>
      <c r="M356" s="7" t="str">
        <f t="shared" si="22"/>
        <v>ND</v>
      </c>
      <c r="N356" s="7" t="str">
        <f t="shared" si="23"/>
        <v>ND</v>
      </c>
    </row>
    <row r="357" spans="1:14" ht="15.6" x14ac:dyDescent="0.3">
      <c r="A357" s="7" t="s">
        <v>1755</v>
      </c>
      <c r="B357" s="7">
        <v>5</v>
      </c>
      <c r="C357" s="7">
        <v>11</v>
      </c>
      <c r="D357" s="7" t="s">
        <v>2258</v>
      </c>
      <c r="E357" s="7">
        <v>302.83199999999999</v>
      </c>
      <c r="F357" s="7">
        <f t="shared" si="20"/>
        <v>302832</v>
      </c>
      <c r="G357" s="7">
        <f t="shared" si="21"/>
        <v>975.60598445896312</v>
      </c>
      <c r="H357" s="19">
        <v>42979</v>
      </c>
      <c r="I357" s="18" t="s">
        <v>1811</v>
      </c>
      <c r="J357" s="18" t="s">
        <v>1807</v>
      </c>
      <c r="K357" s="7" t="s">
        <v>1716</v>
      </c>
      <c r="L357" s="7" t="s">
        <v>2246</v>
      </c>
      <c r="M357" s="7" t="str">
        <f t="shared" si="22"/>
        <v>ND</v>
      </c>
      <c r="N357" s="7" t="str">
        <f t="shared" si="23"/>
        <v>ND</v>
      </c>
    </row>
    <row r="358" spans="1:14" ht="15.6" x14ac:dyDescent="0.3">
      <c r="A358" s="7" t="s">
        <v>1740</v>
      </c>
      <c r="B358" s="7">
        <v>5</v>
      </c>
      <c r="C358" s="7">
        <v>11</v>
      </c>
      <c r="D358" s="7" t="s">
        <v>2258</v>
      </c>
      <c r="E358" s="7">
        <v>302.83199999999999</v>
      </c>
      <c r="F358" s="7">
        <f t="shared" si="20"/>
        <v>302832</v>
      </c>
      <c r="G358" s="7">
        <f t="shared" si="21"/>
        <v>975.60598445896312</v>
      </c>
      <c r="H358" s="19">
        <v>42979</v>
      </c>
      <c r="I358" s="18" t="s">
        <v>1811</v>
      </c>
      <c r="J358" s="18" t="s">
        <v>1807</v>
      </c>
      <c r="K358" s="7" t="s">
        <v>1716</v>
      </c>
      <c r="L358" s="7" t="s">
        <v>2246</v>
      </c>
      <c r="M358" s="7" t="str">
        <f t="shared" si="22"/>
        <v>ND</v>
      </c>
      <c r="N358" s="7" t="str">
        <f t="shared" si="23"/>
        <v>ND</v>
      </c>
    </row>
    <row r="359" spans="1:14" ht="15.6" x14ac:dyDescent="0.3">
      <c r="A359" s="7" t="s">
        <v>1756</v>
      </c>
      <c r="B359" s="7">
        <v>5</v>
      </c>
      <c r="C359" s="7">
        <v>11</v>
      </c>
      <c r="D359" s="7" t="s">
        <v>2258</v>
      </c>
      <c r="E359" s="7">
        <v>302.83199999999999</v>
      </c>
      <c r="F359" s="7">
        <f t="shared" si="20"/>
        <v>302832</v>
      </c>
      <c r="G359" s="7">
        <f t="shared" si="21"/>
        <v>975.60598445896312</v>
      </c>
      <c r="H359" s="19">
        <v>42979</v>
      </c>
      <c r="I359" s="18" t="s">
        <v>1811</v>
      </c>
      <c r="J359" s="18" t="s">
        <v>1807</v>
      </c>
      <c r="K359" s="7">
        <v>710</v>
      </c>
      <c r="L359" s="7" t="s">
        <v>2246</v>
      </c>
      <c r="M359" s="7">
        <f t="shared" si="22"/>
        <v>0.71</v>
      </c>
      <c r="N359" s="7">
        <f t="shared" si="23"/>
        <v>220.38684000000001</v>
      </c>
    </row>
    <row r="360" spans="1:14" ht="15.6" x14ac:dyDescent="0.3">
      <c r="A360" s="7" t="s">
        <v>1743</v>
      </c>
      <c r="B360" s="7">
        <v>5</v>
      </c>
      <c r="C360" s="7">
        <v>11</v>
      </c>
      <c r="D360" s="7" t="s">
        <v>2258</v>
      </c>
      <c r="E360" s="7">
        <v>302.83199999999999</v>
      </c>
      <c r="F360" s="7">
        <f t="shared" si="20"/>
        <v>302832</v>
      </c>
      <c r="G360" s="7">
        <f t="shared" si="21"/>
        <v>975.60598445896312</v>
      </c>
      <c r="H360" s="19">
        <v>42979</v>
      </c>
      <c r="I360" s="18" t="s">
        <v>1811</v>
      </c>
      <c r="J360" s="18" t="s">
        <v>1807</v>
      </c>
      <c r="K360" s="7" t="s">
        <v>1716</v>
      </c>
      <c r="L360" s="7" t="s">
        <v>2246</v>
      </c>
      <c r="M360" s="7" t="str">
        <f t="shared" si="22"/>
        <v>ND</v>
      </c>
      <c r="N360" s="7" t="str">
        <f t="shared" si="23"/>
        <v>ND</v>
      </c>
    </row>
    <row r="361" spans="1:14" ht="15.6" x14ac:dyDescent="0.3">
      <c r="A361" s="7" t="s">
        <v>1757</v>
      </c>
      <c r="B361" s="7">
        <v>5</v>
      </c>
      <c r="C361" s="7">
        <v>11</v>
      </c>
      <c r="D361" s="7" t="s">
        <v>2258</v>
      </c>
      <c r="E361" s="7">
        <v>302.83199999999999</v>
      </c>
      <c r="F361" s="7">
        <f t="shared" ref="F361:F407" si="24">E361*1000</f>
        <v>302832</v>
      </c>
      <c r="G361" s="7">
        <f t="shared" ref="G361:G407" si="25">F361/310.404</f>
        <v>975.60598445896312</v>
      </c>
      <c r="H361" s="19">
        <v>42979</v>
      </c>
      <c r="I361" s="18" t="s">
        <v>1811</v>
      </c>
      <c r="J361" s="18" t="s">
        <v>1807</v>
      </c>
      <c r="K361" s="7" t="s">
        <v>1716</v>
      </c>
      <c r="L361" s="7" t="s">
        <v>2246</v>
      </c>
      <c r="M361" s="7" t="str">
        <f t="shared" si="22"/>
        <v>ND</v>
      </c>
      <c r="N361" s="7" t="str">
        <f t="shared" si="23"/>
        <v>ND</v>
      </c>
    </row>
    <row r="362" spans="1:14" ht="15.6" x14ac:dyDescent="0.3">
      <c r="A362" s="7" t="s">
        <v>1758</v>
      </c>
      <c r="B362" s="7">
        <v>5</v>
      </c>
      <c r="C362" s="7">
        <v>11</v>
      </c>
      <c r="D362" s="7" t="s">
        <v>2258</v>
      </c>
      <c r="E362" s="7">
        <v>302.83199999999999</v>
      </c>
      <c r="F362" s="7">
        <f t="shared" si="24"/>
        <v>302832</v>
      </c>
      <c r="G362" s="7">
        <f t="shared" si="25"/>
        <v>975.60598445896312</v>
      </c>
      <c r="H362" s="19">
        <v>42979</v>
      </c>
      <c r="I362" s="18" t="s">
        <v>1811</v>
      </c>
      <c r="J362" s="18" t="s">
        <v>1807</v>
      </c>
      <c r="K362" s="7" t="s">
        <v>1716</v>
      </c>
      <c r="L362" s="7" t="s">
        <v>2246</v>
      </c>
      <c r="M362" s="7" t="str">
        <f t="shared" ref="M362:M425" si="26">IFERROR(K362/1000,"ND")</f>
        <v>ND</v>
      </c>
      <c r="N362" s="7" t="str">
        <f t="shared" si="23"/>
        <v>ND</v>
      </c>
    </row>
    <row r="363" spans="1:14" ht="15.6" x14ac:dyDescent="0.3">
      <c r="A363" s="7" t="s">
        <v>1759</v>
      </c>
      <c r="B363" s="7">
        <v>5</v>
      </c>
      <c r="C363" s="7">
        <v>11</v>
      </c>
      <c r="D363" s="7" t="s">
        <v>2258</v>
      </c>
      <c r="E363" s="7">
        <v>302.83199999999999</v>
      </c>
      <c r="F363" s="7">
        <f t="shared" si="24"/>
        <v>302832</v>
      </c>
      <c r="G363" s="7">
        <f t="shared" si="25"/>
        <v>975.60598445896312</v>
      </c>
      <c r="H363" s="19">
        <v>42979</v>
      </c>
      <c r="I363" s="18" t="s">
        <v>1811</v>
      </c>
      <c r="J363" s="18" t="s">
        <v>1807</v>
      </c>
      <c r="K363" s="7" t="s">
        <v>1716</v>
      </c>
      <c r="L363" s="7" t="s">
        <v>2246</v>
      </c>
      <c r="M363" s="7" t="str">
        <f t="shared" si="26"/>
        <v>ND</v>
      </c>
      <c r="N363" s="7" t="str">
        <f t="shared" si="23"/>
        <v>ND</v>
      </c>
    </row>
    <row r="364" spans="1:14" ht="15.6" x14ac:dyDescent="0.3">
      <c r="A364" s="7" t="s">
        <v>1745</v>
      </c>
      <c r="B364" s="7">
        <v>5</v>
      </c>
      <c r="C364" s="7">
        <v>11</v>
      </c>
      <c r="D364" s="7" t="s">
        <v>2258</v>
      </c>
      <c r="E364" s="7">
        <v>302.83199999999999</v>
      </c>
      <c r="F364" s="7">
        <f t="shared" si="24"/>
        <v>302832</v>
      </c>
      <c r="G364" s="7">
        <f t="shared" si="25"/>
        <v>975.60598445896312</v>
      </c>
      <c r="H364" s="19">
        <v>42979</v>
      </c>
      <c r="I364" s="18" t="s">
        <v>1811</v>
      </c>
      <c r="J364" s="18" t="s">
        <v>1807</v>
      </c>
      <c r="K364" s="7">
        <v>4998</v>
      </c>
      <c r="L364" s="7" t="s">
        <v>2246</v>
      </c>
      <c r="M364" s="7">
        <f t="shared" si="26"/>
        <v>4.9980000000000002</v>
      </c>
      <c r="N364" s="7">
        <f t="shared" si="23"/>
        <v>1551.3991920000001</v>
      </c>
    </row>
    <row r="365" spans="1:14" ht="15.6" x14ac:dyDescent="0.3">
      <c r="A365" s="7" t="s">
        <v>1746</v>
      </c>
      <c r="B365" s="7">
        <v>5</v>
      </c>
      <c r="C365" s="7">
        <v>11</v>
      </c>
      <c r="D365" s="7" t="s">
        <v>2258</v>
      </c>
      <c r="E365" s="7">
        <v>302.83199999999999</v>
      </c>
      <c r="F365" s="7">
        <f t="shared" si="24"/>
        <v>302832</v>
      </c>
      <c r="G365" s="7">
        <f t="shared" si="25"/>
        <v>975.60598445896312</v>
      </c>
      <c r="H365" s="19">
        <v>42979</v>
      </c>
      <c r="I365" s="18" t="s">
        <v>1811</v>
      </c>
      <c r="J365" s="18" t="s">
        <v>1807</v>
      </c>
      <c r="K365" s="7">
        <v>1329</v>
      </c>
      <c r="L365" s="7" t="s">
        <v>2246</v>
      </c>
      <c r="M365" s="7">
        <f t="shared" si="26"/>
        <v>1.329</v>
      </c>
      <c r="N365" s="7">
        <f t="shared" si="23"/>
        <v>412.52691600000003</v>
      </c>
    </row>
    <row r="366" spans="1:14" ht="15.6" x14ac:dyDescent="0.3">
      <c r="A366" s="7" t="s">
        <v>1747</v>
      </c>
      <c r="B366" s="7">
        <v>5</v>
      </c>
      <c r="C366" s="7">
        <v>11</v>
      </c>
      <c r="D366" s="7" t="s">
        <v>2258</v>
      </c>
      <c r="E366" s="7">
        <v>302.83199999999999</v>
      </c>
      <c r="F366" s="7">
        <f t="shared" si="24"/>
        <v>302832</v>
      </c>
      <c r="G366" s="7">
        <f t="shared" si="25"/>
        <v>975.60598445896312</v>
      </c>
      <c r="H366" s="19">
        <v>42979</v>
      </c>
      <c r="I366" s="18" t="s">
        <v>1811</v>
      </c>
      <c r="J366" s="18" t="s">
        <v>1807</v>
      </c>
      <c r="K366" s="7" t="s">
        <v>1716</v>
      </c>
      <c r="L366" s="7" t="s">
        <v>2246</v>
      </c>
      <c r="M366" s="7" t="str">
        <f t="shared" si="26"/>
        <v>ND</v>
      </c>
      <c r="N366" s="7" t="str">
        <f t="shared" si="23"/>
        <v>ND</v>
      </c>
    </row>
    <row r="367" spans="1:14" ht="15.6" x14ac:dyDescent="0.3">
      <c r="A367" s="7" t="s">
        <v>2064</v>
      </c>
      <c r="B367" s="7">
        <v>5</v>
      </c>
      <c r="C367" s="7">
        <v>11</v>
      </c>
      <c r="D367" s="7" t="s">
        <v>2258</v>
      </c>
      <c r="E367" s="7">
        <v>302.83199999999999</v>
      </c>
      <c r="F367" s="7">
        <f t="shared" si="24"/>
        <v>302832</v>
      </c>
      <c r="G367" s="7">
        <f t="shared" si="25"/>
        <v>975.60598445896312</v>
      </c>
      <c r="H367" s="19">
        <v>42979</v>
      </c>
      <c r="I367" s="18" t="s">
        <v>1811</v>
      </c>
      <c r="J367" s="18" t="s">
        <v>1807</v>
      </c>
      <c r="K367" s="7" t="s">
        <v>1716</v>
      </c>
      <c r="L367" s="7" t="s">
        <v>2246</v>
      </c>
      <c r="M367" s="7" t="str">
        <f t="shared" si="26"/>
        <v>ND</v>
      </c>
      <c r="N367" s="7" t="str">
        <f t="shared" si="23"/>
        <v>ND</v>
      </c>
    </row>
    <row r="368" spans="1:14" ht="15.6" x14ac:dyDescent="0.3">
      <c r="A368" s="7" t="s">
        <v>1729</v>
      </c>
      <c r="B368" s="7">
        <v>5</v>
      </c>
      <c r="C368" s="7">
        <v>11</v>
      </c>
      <c r="D368" s="7" t="s">
        <v>2258</v>
      </c>
      <c r="E368" s="7">
        <v>302.83199999999999</v>
      </c>
      <c r="F368" s="7">
        <f t="shared" si="24"/>
        <v>302832</v>
      </c>
      <c r="G368" s="7">
        <f t="shared" si="25"/>
        <v>975.60598445896312</v>
      </c>
      <c r="H368" s="19">
        <v>43070</v>
      </c>
      <c r="I368" s="18" t="s">
        <v>1811</v>
      </c>
      <c r="J368" s="18" t="s">
        <v>1807</v>
      </c>
      <c r="K368" s="7">
        <v>18862</v>
      </c>
      <c r="L368" s="7" t="s">
        <v>2246</v>
      </c>
      <c r="M368" s="7">
        <f t="shared" si="26"/>
        <v>18.861999999999998</v>
      </c>
      <c r="N368" s="7">
        <f t="shared" si="23"/>
        <v>5854.8402479999995</v>
      </c>
    </row>
    <row r="369" spans="1:14" ht="15.6" x14ac:dyDescent="0.3">
      <c r="A369" s="7" t="s">
        <v>1753</v>
      </c>
      <c r="B369" s="7">
        <v>5</v>
      </c>
      <c r="C369" s="7">
        <v>11</v>
      </c>
      <c r="D369" s="7" t="s">
        <v>2258</v>
      </c>
      <c r="E369" s="7">
        <v>302.83199999999999</v>
      </c>
      <c r="F369" s="7">
        <f t="shared" si="24"/>
        <v>302832</v>
      </c>
      <c r="G369" s="7">
        <f t="shared" si="25"/>
        <v>975.60598445896312</v>
      </c>
      <c r="H369" s="19">
        <v>43070</v>
      </c>
      <c r="I369" s="18" t="s">
        <v>1811</v>
      </c>
      <c r="J369" s="18" t="s">
        <v>1807</v>
      </c>
      <c r="K369" s="7">
        <v>226</v>
      </c>
      <c r="L369" s="7" t="s">
        <v>2246</v>
      </c>
      <c r="M369" s="7">
        <f t="shared" si="26"/>
        <v>0.22600000000000001</v>
      </c>
      <c r="N369" s="7">
        <f t="shared" si="23"/>
        <v>70.15130400000001</v>
      </c>
    </row>
    <row r="370" spans="1:14" ht="15.6" x14ac:dyDescent="0.3">
      <c r="A370" s="7" t="s">
        <v>1733</v>
      </c>
      <c r="B370" s="7">
        <v>5</v>
      </c>
      <c r="C370" s="7">
        <v>11</v>
      </c>
      <c r="D370" s="7" t="s">
        <v>2258</v>
      </c>
      <c r="E370" s="7">
        <v>302.83199999999999</v>
      </c>
      <c r="F370" s="7">
        <f t="shared" si="24"/>
        <v>302832</v>
      </c>
      <c r="G370" s="7">
        <f t="shared" si="25"/>
        <v>975.60598445896312</v>
      </c>
      <c r="H370" s="19">
        <v>43070</v>
      </c>
      <c r="I370" s="18" t="s">
        <v>1811</v>
      </c>
      <c r="J370" s="18" t="s">
        <v>1807</v>
      </c>
      <c r="K370" s="7">
        <v>94</v>
      </c>
      <c r="L370" s="7" t="s">
        <v>2246</v>
      </c>
      <c r="M370" s="7">
        <f t="shared" si="26"/>
        <v>9.4E-2</v>
      </c>
      <c r="N370" s="7">
        <f t="shared" si="23"/>
        <v>29.177976000000001</v>
      </c>
    </row>
    <row r="371" spans="1:14" ht="15.6" x14ac:dyDescent="0.3">
      <c r="A371" s="7" t="s">
        <v>1734</v>
      </c>
      <c r="B371" s="7">
        <v>5</v>
      </c>
      <c r="C371" s="7">
        <v>11</v>
      </c>
      <c r="D371" s="7" t="s">
        <v>2258</v>
      </c>
      <c r="E371" s="7">
        <v>302.83199999999999</v>
      </c>
      <c r="F371" s="7">
        <f t="shared" si="24"/>
        <v>302832</v>
      </c>
      <c r="G371" s="7">
        <f t="shared" si="25"/>
        <v>975.60598445896312</v>
      </c>
      <c r="H371" s="19">
        <v>43070</v>
      </c>
      <c r="I371" s="18" t="s">
        <v>1811</v>
      </c>
      <c r="J371" s="18" t="s">
        <v>1807</v>
      </c>
      <c r="K371" s="7">
        <v>485</v>
      </c>
      <c r="L371" s="7" t="s">
        <v>2246</v>
      </c>
      <c r="M371" s="7">
        <f t="shared" si="26"/>
        <v>0.48499999999999999</v>
      </c>
      <c r="N371" s="7">
        <f t="shared" si="23"/>
        <v>150.54594</v>
      </c>
    </row>
    <row r="372" spans="1:14" ht="15.6" x14ac:dyDescent="0.3">
      <c r="A372" s="7" t="s">
        <v>1737</v>
      </c>
      <c r="B372" s="7">
        <v>5</v>
      </c>
      <c r="C372" s="7">
        <v>11</v>
      </c>
      <c r="D372" s="7" t="s">
        <v>2258</v>
      </c>
      <c r="E372" s="7">
        <v>302.83199999999999</v>
      </c>
      <c r="F372" s="7">
        <f t="shared" si="24"/>
        <v>302832</v>
      </c>
      <c r="G372" s="7">
        <f t="shared" si="25"/>
        <v>975.60598445896312</v>
      </c>
      <c r="H372" s="19">
        <v>43070</v>
      </c>
      <c r="I372" s="18" t="s">
        <v>1811</v>
      </c>
      <c r="J372" s="18" t="s">
        <v>1807</v>
      </c>
      <c r="K372" s="7" t="s">
        <v>1716</v>
      </c>
      <c r="L372" s="7" t="s">
        <v>2246</v>
      </c>
      <c r="M372" s="7" t="str">
        <f t="shared" si="26"/>
        <v>ND</v>
      </c>
      <c r="N372" s="7" t="str">
        <f t="shared" si="23"/>
        <v>ND</v>
      </c>
    </row>
    <row r="373" spans="1:14" ht="15.6" x14ac:dyDescent="0.3">
      <c r="A373" s="7" t="s">
        <v>1749</v>
      </c>
      <c r="B373" s="7">
        <v>5</v>
      </c>
      <c r="C373" s="7">
        <v>11</v>
      </c>
      <c r="D373" s="7" t="s">
        <v>2258</v>
      </c>
      <c r="E373" s="7">
        <v>302.83199999999999</v>
      </c>
      <c r="F373" s="7">
        <f t="shared" si="24"/>
        <v>302832</v>
      </c>
      <c r="G373" s="7">
        <f t="shared" si="25"/>
        <v>975.60598445896312</v>
      </c>
      <c r="H373" s="19">
        <v>43070</v>
      </c>
      <c r="I373" s="18" t="s">
        <v>1811</v>
      </c>
      <c r="J373" s="18" t="s">
        <v>1807</v>
      </c>
      <c r="K373" s="7" t="s">
        <v>1716</v>
      </c>
      <c r="L373" s="7" t="s">
        <v>2246</v>
      </c>
      <c r="M373" s="7" t="str">
        <f t="shared" si="26"/>
        <v>ND</v>
      </c>
      <c r="N373" s="7" t="str">
        <f t="shared" si="23"/>
        <v>ND</v>
      </c>
    </row>
    <row r="374" spans="1:14" ht="15.6" x14ac:dyDescent="0.3">
      <c r="A374" s="7" t="s">
        <v>1748</v>
      </c>
      <c r="B374" s="7">
        <v>5</v>
      </c>
      <c r="C374" s="7">
        <v>11</v>
      </c>
      <c r="D374" s="7" t="s">
        <v>2258</v>
      </c>
      <c r="E374" s="7">
        <v>302.83199999999999</v>
      </c>
      <c r="F374" s="7">
        <f t="shared" si="24"/>
        <v>302832</v>
      </c>
      <c r="G374" s="7">
        <f t="shared" si="25"/>
        <v>975.60598445896312</v>
      </c>
      <c r="H374" s="19">
        <v>43070</v>
      </c>
      <c r="I374" s="18" t="s">
        <v>1811</v>
      </c>
      <c r="J374" s="18" t="s">
        <v>1807</v>
      </c>
      <c r="K374" s="7">
        <v>190</v>
      </c>
      <c r="L374" s="7" t="s">
        <v>2246</v>
      </c>
      <c r="M374" s="7">
        <f t="shared" si="26"/>
        <v>0.19</v>
      </c>
      <c r="N374" s="7">
        <f t="shared" si="23"/>
        <v>58.976760000000006</v>
      </c>
    </row>
    <row r="375" spans="1:14" ht="15.6" x14ac:dyDescent="0.3">
      <c r="A375" s="7" t="s">
        <v>1754</v>
      </c>
      <c r="B375" s="7">
        <v>5</v>
      </c>
      <c r="C375" s="7">
        <v>11</v>
      </c>
      <c r="D375" s="7" t="s">
        <v>2258</v>
      </c>
      <c r="E375" s="7">
        <v>302.83199999999999</v>
      </c>
      <c r="F375" s="7">
        <f t="shared" si="24"/>
        <v>302832</v>
      </c>
      <c r="G375" s="7">
        <f t="shared" si="25"/>
        <v>975.60598445896312</v>
      </c>
      <c r="H375" s="19">
        <v>43070</v>
      </c>
      <c r="I375" s="18" t="s">
        <v>1811</v>
      </c>
      <c r="J375" s="18" t="s">
        <v>1807</v>
      </c>
      <c r="K375" s="7" t="s">
        <v>1716</v>
      </c>
      <c r="L375" s="7" t="s">
        <v>2246</v>
      </c>
      <c r="M375" s="7" t="str">
        <f t="shared" si="26"/>
        <v>ND</v>
      </c>
      <c r="N375" s="7" t="str">
        <f t="shared" si="23"/>
        <v>ND</v>
      </c>
    </row>
    <row r="376" spans="1:14" ht="15.6" x14ac:dyDescent="0.3">
      <c r="A376" s="7" t="s">
        <v>1728</v>
      </c>
      <c r="B376" s="7">
        <v>5</v>
      </c>
      <c r="C376" s="7">
        <v>11</v>
      </c>
      <c r="D376" s="7" t="s">
        <v>2258</v>
      </c>
      <c r="E376" s="7">
        <v>302.83199999999999</v>
      </c>
      <c r="F376" s="7">
        <f t="shared" si="24"/>
        <v>302832</v>
      </c>
      <c r="G376" s="7">
        <f t="shared" si="25"/>
        <v>975.60598445896312</v>
      </c>
      <c r="H376" s="19">
        <v>43070</v>
      </c>
      <c r="I376" s="18" t="s">
        <v>1811</v>
      </c>
      <c r="J376" s="18" t="s">
        <v>1807</v>
      </c>
      <c r="K376" s="7" t="s">
        <v>1716</v>
      </c>
      <c r="L376" s="7" t="s">
        <v>2246</v>
      </c>
      <c r="M376" s="7" t="str">
        <f t="shared" si="26"/>
        <v>ND</v>
      </c>
      <c r="N376" s="7" t="str">
        <f t="shared" si="23"/>
        <v>ND</v>
      </c>
    </row>
    <row r="377" spans="1:14" ht="15.6" x14ac:dyDescent="0.3">
      <c r="A377" s="7" t="s">
        <v>1755</v>
      </c>
      <c r="B377" s="7">
        <v>5</v>
      </c>
      <c r="C377" s="7">
        <v>11</v>
      </c>
      <c r="D377" s="7" t="s">
        <v>2258</v>
      </c>
      <c r="E377" s="7">
        <v>302.83199999999999</v>
      </c>
      <c r="F377" s="7">
        <f t="shared" si="24"/>
        <v>302832</v>
      </c>
      <c r="G377" s="7">
        <f t="shared" si="25"/>
        <v>975.60598445896312</v>
      </c>
      <c r="H377" s="19">
        <v>43070</v>
      </c>
      <c r="I377" s="18" t="s">
        <v>1811</v>
      </c>
      <c r="J377" s="18" t="s">
        <v>1807</v>
      </c>
      <c r="K377" s="7" t="s">
        <v>1716</v>
      </c>
      <c r="L377" s="7" t="s">
        <v>2246</v>
      </c>
      <c r="M377" s="7" t="str">
        <f t="shared" si="26"/>
        <v>ND</v>
      </c>
      <c r="N377" s="7" t="str">
        <f t="shared" si="23"/>
        <v>ND</v>
      </c>
    </row>
    <row r="378" spans="1:14" ht="15.6" x14ac:dyDescent="0.3">
      <c r="A378" s="7" t="s">
        <v>1740</v>
      </c>
      <c r="B378" s="7">
        <v>5</v>
      </c>
      <c r="C378" s="7">
        <v>11</v>
      </c>
      <c r="D378" s="7" t="s">
        <v>2258</v>
      </c>
      <c r="E378" s="7">
        <v>302.83199999999999</v>
      </c>
      <c r="F378" s="7">
        <f t="shared" si="24"/>
        <v>302832</v>
      </c>
      <c r="G378" s="7">
        <f t="shared" si="25"/>
        <v>975.60598445896312</v>
      </c>
      <c r="H378" s="19">
        <v>43070</v>
      </c>
      <c r="I378" s="18" t="s">
        <v>1811</v>
      </c>
      <c r="J378" s="18" t="s">
        <v>1807</v>
      </c>
      <c r="K378" s="7" t="s">
        <v>1716</v>
      </c>
      <c r="L378" s="7" t="s">
        <v>2246</v>
      </c>
      <c r="M378" s="7" t="str">
        <f t="shared" si="26"/>
        <v>ND</v>
      </c>
      <c r="N378" s="7" t="str">
        <f t="shared" si="23"/>
        <v>ND</v>
      </c>
    </row>
    <row r="379" spans="1:14" ht="15.6" x14ac:dyDescent="0.3">
      <c r="A379" s="7" t="s">
        <v>1756</v>
      </c>
      <c r="B379" s="7">
        <v>5</v>
      </c>
      <c r="C379" s="7">
        <v>11</v>
      </c>
      <c r="D379" s="7" t="s">
        <v>2258</v>
      </c>
      <c r="E379" s="7">
        <v>302.83199999999999</v>
      </c>
      <c r="F379" s="7">
        <f t="shared" si="24"/>
        <v>302832</v>
      </c>
      <c r="G379" s="7">
        <f t="shared" si="25"/>
        <v>975.60598445896312</v>
      </c>
      <c r="H379" s="19">
        <v>43070</v>
      </c>
      <c r="I379" s="18" t="s">
        <v>1811</v>
      </c>
      <c r="J379" s="18" t="s">
        <v>1807</v>
      </c>
      <c r="K379" s="7">
        <v>258</v>
      </c>
      <c r="L379" s="7" t="s">
        <v>2246</v>
      </c>
      <c r="M379" s="7">
        <f t="shared" si="26"/>
        <v>0.25800000000000001</v>
      </c>
      <c r="N379" s="7">
        <f t="shared" si="23"/>
        <v>80.084232</v>
      </c>
    </row>
    <row r="380" spans="1:14" ht="15.6" x14ac:dyDescent="0.3">
      <c r="A380" s="7" t="s">
        <v>1743</v>
      </c>
      <c r="B380" s="7">
        <v>5</v>
      </c>
      <c r="C380" s="7">
        <v>11</v>
      </c>
      <c r="D380" s="7" t="s">
        <v>2258</v>
      </c>
      <c r="E380" s="7">
        <v>302.83199999999999</v>
      </c>
      <c r="F380" s="7">
        <f t="shared" si="24"/>
        <v>302832</v>
      </c>
      <c r="G380" s="7">
        <f t="shared" si="25"/>
        <v>975.60598445896312</v>
      </c>
      <c r="H380" s="19">
        <v>43070</v>
      </c>
      <c r="I380" s="18" t="s">
        <v>1811</v>
      </c>
      <c r="J380" s="18" t="s">
        <v>1807</v>
      </c>
      <c r="K380" s="7" t="s">
        <v>1716</v>
      </c>
      <c r="L380" s="7" t="s">
        <v>2246</v>
      </c>
      <c r="M380" s="7" t="str">
        <f t="shared" si="26"/>
        <v>ND</v>
      </c>
      <c r="N380" s="7" t="str">
        <f t="shared" si="23"/>
        <v>ND</v>
      </c>
    </row>
    <row r="381" spans="1:14" ht="15.6" x14ac:dyDescent="0.3">
      <c r="A381" s="7" t="s">
        <v>1757</v>
      </c>
      <c r="B381" s="7">
        <v>5</v>
      </c>
      <c r="C381" s="7">
        <v>11</v>
      </c>
      <c r="D381" s="7" t="s">
        <v>2258</v>
      </c>
      <c r="E381" s="7">
        <v>302.83199999999999</v>
      </c>
      <c r="F381" s="7">
        <f t="shared" si="24"/>
        <v>302832</v>
      </c>
      <c r="G381" s="7">
        <f t="shared" si="25"/>
        <v>975.60598445896312</v>
      </c>
      <c r="H381" s="19">
        <v>43070</v>
      </c>
      <c r="I381" s="18" t="s">
        <v>1811</v>
      </c>
      <c r="J381" s="18" t="s">
        <v>1807</v>
      </c>
      <c r="K381" s="7" t="s">
        <v>1716</v>
      </c>
      <c r="L381" s="7" t="s">
        <v>2246</v>
      </c>
      <c r="M381" s="7" t="str">
        <f t="shared" si="26"/>
        <v>ND</v>
      </c>
      <c r="N381" s="7" t="str">
        <f t="shared" si="23"/>
        <v>ND</v>
      </c>
    </row>
    <row r="382" spans="1:14" ht="15.6" x14ac:dyDescent="0.3">
      <c r="A382" s="7" t="s">
        <v>1758</v>
      </c>
      <c r="B382" s="7">
        <v>5</v>
      </c>
      <c r="C382" s="7">
        <v>11</v>
      </c>
      <c r="D382" s="7" t="s">
        <v>2258</v>
      </c>
      <c r="E382" s="7">
        <v>302.83199999999999</v>
      </c>
      <c r="F382" s="7">
        <f t="shared" si="24"/>
        <v>302832</v>
      </c>
      <c r="G382" s="7">
        <f t="shared" si="25"/>
        <v>975.60598445896312</v>
      </c>
      <c r="H382" s="19">
        <v>43070</v>
      </c>
      <c r="I382" s="18" t="s">
        <v>1811</v>
      </c>
      <c r="J382" s="18" t="s">
        <v>1807</v>
      </c>
      <c r="K382" s="7" t="s">
        <v>1716</v>
      </c>
      <c r="L382" s="7" t="s">
        <v>2246</v>
      </c>
      <c r="M382" s="7" t="str">
        <f t="shared" si="26"/>
        <v>ND</v>
      </c>
      <c r="N382" s="7" t="str">
        <f t="shared" si="23"/>
        <v>ND</v>
      </c>
    </row>
    <row r="383" spans="1:14" ht="15.6" x14ac:dyDescent="0.3">
      <c r="A383" s="7" t="s">
        <v>1759</v>
      </c>
      <c r="B383" s="7">
        <v>5</v>
      </c>
      <c r="C383" s="7">
        <v>11</v>
      </c>
      <c r="D383" s="7" t="s">
        <v>2258</v>
      </c>
      <c r="E383" s="7">
        <v>302.83199999999999</v>
      </c>
      <c r="F383" s="7">
        <f t="shared" si="24"/>
        <v>302832</v>
      </c>
      <c r="G383" s="7">
        <f t="shared" si="25"/>
        <v>975.60598445896312</v>
      </c>
      <c r="H383" s="19">
        <v>43070</v>
      </c>
      <c r="I383" s="18" t="s">
        <v>1811</v>
      </c>
      <c r="J383" s="18" t="s">
        <v>1807</v>
      </c>
      <c r="K383" s="7" t="s">
        <v>1716</v>
      </c>
      <c r="L383" s="7" t="s">
        <v>2246</v>
      </c>
      <c r="M383" s="7" t="str">
        <f t="shared" si="26"/>
        <v>ND</v>
      </c>
      <c r="N383" s="7" t="str">
        <f t="shared" si="23"/>
        <v>ND</v>
      </c>
    </row>
    <row r="384" spans="1:14" ht="15.6" x14ac:dyDescent="0.3">
      <c r="A384" s="7" t="s">
        <v>1745</v>
      </c>
      <c r="B384" s="7">
        <v>5</v>
      </c>
      <c r="C384" s="7">
        <v>11</v>
      </c>
      <c r="D384" s="7" t="s">
        <v>2258</v>
      </c>
      <c r="E384" s="7">
        <v>302.83199999999999</v>
      </c>
      <c r="F384" s="7">
        <f t="shared" si="24"/>
        <v>302832</v>
      </c>
      <c r="G384" s="7">
        <f t="shared" si="25"/>
        <v>975.60598445896312</v>
      </c>
      <c r="H384" s="19">
        <v>43070</v>
      </c>
      <c r="I384" s="18" t="s">
        <v>1811</v>
      </c>
      <c r="J384" s="18" t="s">
        <v>1807</v>
      </c>
      <c r="K384" s="7">
        <v>2956</v>
      </c>
      <c r="L384" s="7" t="s">
        <v>2246</v>
      </c>
      <c r="M384" s="7">
        <f t="shared" si="26"/>
        <v>2.956</v>
      </c>
      <c r="N384" s="7">
        <f t="shared" si="23"/>
        <v>917.55422399999998</v>
      </c>
    </row>
    <row r="385" spans="1:14" ht="15.6" x14ac:dyDescent="0.3">
      <c r="A385" s="7" t="s">
        <v>1746</v>
      </c>
      <c r="B385" s="7">
        <v>5</v>
      </c>
      <c r="C385" s="7">
        <v>11</v>
      </c>
      <c r="D385" s="7" t="s">
        <v>2258</v>
      </c>
      <c r="E385" s="7">
        <v>302.83199999999999</v>
      </c>
      <c r="F385" s="7">
        <f t="shared" si="24"/>
        <v>302832</v>
      </c>
      <c r="G385" s="7">
        <f t="shared" si="25"/>
        <v>975.60598445896312</v>
      </c>
      <c r="H385" s="19">
        <v>43070</v>
      </c>
      <c r="I385" s="18" t="s">
        <v>1811</v>
      </c>
      <c r="J385" s="18" t="s">
        <v>1807</v>
      </c>
      <c r="K385" s="7">
        <v>371</v>
      </c>
      <c r="L385" s="7" t="s">
        <v>2246</v>
      </c>
      <c r="M385" s="7">
        <f t="shared" si="26"/>
        <v>0.371</v>
      </c>
      <c r="N385" s="7">
        <f t="shared" si="23"/>
        <v>115.15988400000001</v>
      </c>
    </row>
    <row r="386" spans="1:14" ht="15.6" x14ac:dyDescent="0.3">
      <c r="A386" s="7" t="s">
        <v>1747</v>
      </c>
      <c r="B386" s="7">
        <v>5</v>
      </c>
      <c r="C386" s="7">
        <v>11</v>
      </c>
      <c r="D386" s="7" t="s">
        <v>2258</v>
      </c>
      <c r="E386" s="7">
        <v>302.83199999999999</v>
      </c>
      <c r="F386" s="7">
        <f t="shared" si="24"/>
        <v>302832</v>
      </c>
      <c r="G386" s="7">
        <f t="shared" si="25"/>
        <v>975.60598445896312</v>
      </c>
      <c r="H386" s="19">
        <v>43070</v>
      </c>
      <c r="I386" s="18" t="s">
        <v>1811</v>
      </c>
      <c r="J386" s="18" t="s">
        <v>1807</v>
      </c>
      <c r="K386" s="7" t="s">
        <v>1716</v>
      </c>
      <c r="L386" s="7" t="s">
        <v>2246</v>
      </c>
      <c r="M386" s="7" t="str">
        <f t="shared" si="26"/>
        <v>ND</v>
      </c>
      <c r="N386" s="7" t="str">
        <f t="shared" si="23"/>
        <v>ND</v>
      </c>
    </row>
    <row r="387" spans="1:14" ht="15.6" x14ac:dyDescent="0.3">
      <c r="A387" s="7" t="s">
        <v>2064</v>
      </c>
      <c r="B387" s="7">
        <v>5</v>
      </c>
      <c r="C387" s="7">
        <v>11</v>
      </c>
      <c r="D387" s="7" t="s">
        <v>2258</v>
      </c>
      <c r="E387" s="7">
        <v>302.83199999999999</v>
      </c>
      <c r="F387" s="7">
        <f t="shared" si="24"/>
        <v>302832</v>
      </c>
      <c r="G387" s="7">
        <f t="shared" si="25"/>
        <v>975.60598445896312</v>
      </c>
      <c r="H387" s="19">
        <v>43070</v>
      </c>
      <c r="I387" s="18" t="s">
        <v>1811</v>
      </c>
      <c r="J387" s="18" t="s">
        <v>1807</v>
      </c>
      <c r="K387" s="7" t="s">
        <v>1716</v>
      </c>
      <c r="L387" s="7" t="s">
        <v>2246</v>
      </c>
      <c r="M387" s="7" t="str">
        <f t="shared" si="26"/>
        <v>ND</v>
      </c>
      <c r="N387" s="7" t="str">
        <f t="shared" ref="N387:N450" si="27">IFERROR((M387*F387)/G387,"ND")</f>
        <v>ND</v>
      </c>
    </row>
    <row r="388" spans="1:14" ht="15.6" x14ac:dyDescent="0.3">
      <c r="A388" s="7" t="s">
        <v>1729</v>
      </c>
      <c r="B388" s="7">
        <v>5</v>
      </c>
      <c r="C388" s="7">
        <v>11</v>
      </c>
      <c r="D388" s="7" t="s">
        <v>2258</v>
      </c>
      <c r="E388" s="7">
        <v>302.83199999999999</v>
      </c>
      <c r="F388" s="7">
        <f t="shared" si="24"/>
        <v>302832</v>
      </c>
      <c r="G388" s="7">
        <f t="shared" si="25"/>
        <v>975.60598445896312</v>
      </c>
      <c r="H388" s="19">
        <v>43282</v>
      </c>
      <c r="I388" s="18" t="s">
        <v>1811</v>
      </c>
      <c r="J388" s="18" t="s">
        <v>1807</v>
      </c>
      <c r="K388" s="7">
        <v>30592</v>
      </c>
      <c r="L388" s="7" t="s">
        <v>2246</v>
      </c>
      <c r="M388" s="7">
        <f t="shared" si="26"/>
        <v>30.591999999999999</v>
      </c>
      <c r="N388" s="7">
        <f t="shared" si="27"/>
        <v>9495.8791679999995</v>
      </c>
    </row>
    <row r="389" spans="1:14" ht="15.6" x14ac:dyDescent="0.3">
      <c r="A389" s="7" t="s">
        <v>1753</v>
      </c>
      <c r="B389" s="7">
        <v>5</v>
      </c>
      <c r="C389" s="7">
        <v>11</v>
      </c>
      <c r="D389" s="7" t="s">
        <v>2258</v>
      </c>
      <c r="E389" s="7">
        <v>302.83199999999999</v>
      </c>
      <c r="F389" s="7">
        <f t="shared" si="24"/>
        <v>302832</v>
      </c>
      <c r="G389" s="7">
        <f t="shared" si="25"/>
        <v>975.60598445896312</v>
      </c>
      <c r="H389" s="19">
        <v>43282</v>
      </c>
      <c r="I389" s="18" t="s">
        <v>1811</v>
      </c>
      <c r="J389" s="18" t="s">
        <v>1807</v>
      </c>
      <c r="K389" s="7">
        <v>464</v>
      </c>
      <c r="L389" s="7" t="s">
        <v>2246</v>
      </c>
      <c r="M389" s="7">
        <f t="shared" si="26"/>
        <v>0.46400000000000002</v>
      </c>
      <c r="N389" s="7">
        <f t="shared" si="27"/>
        <v>144.02745600000003</v>
      </c>
    </row>
    <row r="390" spans="1:14" ht="15.6" x14ac:dyDescent="0.3">
      <c r="A390" s="7" t="s">
        <v>1733</v>
      </c>
      <c r="B390" s="7">
        <v>5</v>
      </c>
      <c r="C390" s="7">
        <v>11</v>
      </c>
      <c r="D390" s="7" t="s">
        <v>2258</v>
      </c>
      <c r="E390" s="7">
        <v>302.83199999999999</v>
      </c>
      <c r="F390" s="7">
        <f t="shared" si="24"/>
        <v>302832</v>
      </c>
      <c r="G390" s="7">
        <f t="shared" si="25"/>
        <v>975.60598445896312</v>
      </c>
      <c r="H390" s="19">
        <v>43282</v>
      </c>
      <c r="I390" s="18" t="s">
        <v>1811</v>
      </c>
      <c r="J390" s="18" t="s">
        <v>1807</v>
      </c>
      <c r="K390" s="7" t="s">
        <v>1716</v>
      </c>
      <c r="L390" s="7" t="s">
        <v>2246</v>
      </c>
      <c r="M390" s="7" t="str">
        <f t="shared" si="26"/>
        <v>ND</v>
      </c>
      <c r="N390" s="7" t="str">
        <f t="shared" si="27"/>
        <v>ND</v>
      </c>
    </row>
    <row r="391" spans="1:14" ht="15.6" x14ac:dyDescent="0.3">
      <c r="A391" s="7" t="s">
        <v>1734</v>
      </c>
      <c r="B391" s="7">
        <v>5</v>
      </c>
      <c r="C391" s="7">
        <v>11</v>
      </c>
      <c r="D391" s="7" t="s">
        <v>2258</v>
      </c>
      <c r="E391" s="7">
        <v>302.83199999999999</v>
      </c>
      <c r="F391" s="7">
        <f t="shared" si="24"/>
        <v>302832</v>
      </c>
      <c r="G391" s="7">
        <f t="shared" si="25"/>
        <v>975.60598445896312</v>
      </c>
      <c r="H391" s="19">
        <v>43282</v>
      </c>
      <c r="I391" s="18" t="s">
        <v>1811</v>
      </c>
      <c r="J391" s="18" t="s">
        <v>1807</v>
      </c>
      <c r="K391" s="7" t="s">
        <v>1716</v>
      </c>
      <c r="L391" s="7" t="s">
        <v>2246</v>
      </c>
      <c r="M391" s="7" t="str">
        <f t="shared" si="26"/>
        <v>ND</v>
      </c>
      <c r="N391" s="7" t="str">
        <f t="shared" si="27"/>
        <v>ND</v>
      </c>
    </row>
    <row r="392" spans="1:14" ht="15.6" x14ac:dyDescent="0.3">
      <c r="A392" s="7" t="s">
        <v>1737</v>
      </c>
      <c r="B392" s="7">
        <v>5</v>
      </c>
      <c r="C392" s="7">
        <v>11</v>
      </c>
      <c r="D392" s="7" t="s">
        <v>2258</v>
      </c>
      <c r="E392" s="7">
        <v>302.83199999999999</v>
      </c>
      <c r="F392" s="7">
        <f t="shared" si="24"/>
        <v>302832</v>
      </c>
      <c r="G392" s="7">
        <f t="shared" si="25"/>
        <v>975.60598445896312</v>
      </c>
      <c r="H392" s="19">
        <v>43282</v>
      </c>
      <c r="I392" s="18" t="s">
        <v>1811</v>
      </c>
      <c r="J392" s="18" t="s">
        <v>1807</v>
      </c>
      <c r="K392" s="7" t="s">
        <v>1716</v>
      </c>
      <c r="L392" s="7" t="s">
        <v>2246</v>
      </c>
      <c r="M392" s="7" t="str">
        <f t="shared" si="26"/>
        <v>ND</v>
      </c>
      <c r="N392" s="7" t="str">
        <f t="shared" si="27"/>
        <v>ND</v>
      </c>
    </row>
    <row r="393" spans="1:14" ht="15.6" x14ac:dyDescent="0.3">
      <c r="A393" s="7" t="s">
        <v>1749</v>
      </c>
      <c r="B393" s="7">
        <v>5</v>
      </c>
      <c r="C393" s="7">
        <v>11</v>
      </c>
      <c r="D393" s="7" t="s">
        <v>2258</v>
      </c>
      <c r="E393" s="7">
        <v>302.83199999999999</v>
      </c>
      <c r="F393" s="7">
        <f t="shared" si="24"/>
        <v>302832</v>
      </c>
      <c r="G393" s="7">
        <f t="shared" si="25"/>
        <v>975.60598445896312</v>
      </c>
      <c r="H393" s="19">
        <v>43282</v>
      </c>
      <c r="I393" s="18" t="s">
        <v>1811</v>
      </c>
      <c r="J393" s="18" t="s">
        <v>1807</v>
      </c>
      <c r="K393" s="7">
        <v>40</v>
      </c>
      <c r="L393" s="7" t="s">
        <v>2246</v>
      </c>
      <c r="M393" s="7">
        <f t="shared" si="26"/>
        <v>0.04</v>
      </c>
      <c r="N393" s="7">
        <f t="shared" si="27"/>
        <v>12.416160000000001</v>
      </c>
    </row>
    <row r="394" spans="1:14" ht="15.6" x14ac:dyDescent="0.3">
      <c r="A394" s="7" t="s">
        <v>1748</v>
      </c>
      <c r="B394" s="7">
        <v>5</v>
      </c>
      <c r="C394" s="7">
        <v>11</v>
      </c>
      <c r="D394" s="7" t="s">
        <v>2258</v>
      </c>
      <c r="E394" s="7">
        <v>302.83199999999999</v>
      </c>
      <c r="F394" s="7">
        <f t="shared" si="24"/>
        <v>302832</v>
      </c>
      <c r="G394" s="7">
        <f t="shared" si="25"/>
        <v>975.60598445896312</v>
      </c>
      <c r="H394" s="19">
        <v>43282</v>
      </c>
      <c r="I394" s="18" t="s">
        <v>1811</v>
      </c>
      <c r="J394" s="18" t="s">
        <v>1807</v>
      </c>
      <c r="K394" s="7">
        <v>352</v>
      </c>
      <c r="L394" s="7" t="s">
        <v>2246</v>
      </c>
      <c r="M394" s="7">
        <f t="shared" si="26"/>
        <v>0.35199999999999998</v>
      </c>
      <c r="N394" s="7">
        <f t="shared" si="27"/>
        <v>109.26220799999999</v>
      </c>
    </row>
    <row r="395" spans="1:14" ht="15.6" x14ac:dyDescent="0.3">
      <c r="A395" s="7" t="s">
        <v>1754</v>
      </c>
      <c r="B395" s="7">
        <v>5</v>
      </c>
      <c r="C395" s="7">
        <v>11</v>
      </c>
      <c r="D395" s="7" t="s">
        <v>2258</v>
      </c>
      <c r="E395" s="7">
        <v>302.83199999999999</v>
      </c>
      <c r="F395" s="7">
        <f t="shared" si="24"/>
        <v>302832</v>
      </c>
      <c r="G395" s="7">
        <f t="shared" si="25"/>
        <v>975.60598445896312</v>
      </c>
      <c r="H395" s="19">
        <v>43282</v>
      </c>
      <c r="I395" s="18" t="s">
        <v>1811</v>
      </c>
      <c r="J395" s="18" t="s">
        <v>1807</v>
      </c>
      <c r="K395" s="7" t="s">
        <v>1716</v>
      </c>
      <c r="L395" s="7" t="s">
        <v>2246</v>
      </c>
      <c r="M395" s="7" t="str">
        <f t="shared" si="26"/>
        <v>ND</v>
      </c>
      <c r="N395" s="7" t="str">
        <f t="shared" si="27"/>
        <v>ND</v>
      </c>
    </row>
    <row r="396" spans="1:14" ht="15.6" x14ac:dyDescent="0.3">
      <c r="A396" s="7" t="s">
        <v>1728</v>
      </c>
      <c r="B396" s="7">
        <v>5</v>
      </c>
      <c r="C396" s="7">
        <v>11</v>
      </c>
      <c r="D396" s="7" t="s">
        <v>2258</v>
      </c>
      <c r="E396" s="7">
        <v>302.83199999999999</v>
      </c>
      <c r="F396" s="7">
        <f t="shared" si="24"/>
        <v>302832</v>
      </c>
      <c r="G396" s="7">
        <f t="shared" si="25"/>
        <v>975.60598445896312</v>
      </c>
      <c r="H396" s="19">
        <v>43282</v>
      </c>
      <c r="I396" s="18" t="s">
        <v>1811</v>
      </c>
      <c r="J396" s="18" t="s">
        <v>1807</v>
      </c>
      <c r="K396" s="7" t="s">
        <v>1716</v>
      </c>
      <c r="L396" s="7" t="s">
        <v>2246</v>
      </c>
      <c r="M396" s="7" t="str">
        <f t="shared" si="26"/>
        <v>ND</v>
      </c>
      <c r="N396" s="7" t="str">
        <f t="shared" si="27"/>
        <v>ND</v>
      </c>
    </row>
    <row r="397" spans="1:14" ht="15.6" x14ac:dyDescent="0.3">
      <c r="A397" s="7" t="s">
        <v>1755</v>
      </c>
      <c r="B397" s="7">
        <v>5</v>
      </c>
      <c r="C397" s="7">
        <v>11</v>
      </c>
      <c r="D397" s="7" t="s">
        <v>2258</v>
      </c>
      <c r="E397" s="7">
        <v>302.83199999999999</v>
      </c>
      <c r="F397" s="7">
        <f t="shared" si="24"/>
        <v>302832</v>
      </c>
      <c r="G397" s="7">
        <f t="shared" si="25"/>
        <v>975.60598445896312</v>
      </c>
      <c r="H397" s="19">
        <v>43282</v>
      </c>
      <c r="I397" s="18" t="s">
        <v>1811</v>
      </c>
      <c r="J397" s="18" t="s">
        <v>1807</v>
      </c>
      <c r="K397" s="7" t="s">
        <v>1716</v>
      </c>
      <c r="L397" s="7" t="s">
        <v>2246</v>
      </c>
      <c r="M397" s="7" t="str">
        <f t="shared" si="26"/>
        <v>ND</v>
      </c>
      <c r="N397" s="7" t="str">
        <f t="shared" si="27"/>
        <v>ND</v>
      </c>
    </row>
    <row r="398" spans="1:14" ht="15.6" x14ac:dyDescent="0.3">
      <c r="A398" s="7" t="s">
        <v>1740</v>
      </c>
      <c r="B398" s="7">
        <v>5</v>
      </c>
      <c r="C398" s="7">
        <v>11</v>
      </c>
      <c r="D398" s="7" t="s">
        <v>2258</v>
      </c>
      <c r="E398" s="7">
        <v>302.83199999999999</v>
      </c>
      <c r="F398" s="7">
        <f t="shared" si="24"/>
        <v>302832</v>
      </c>
      <c r="G398" s="7">
        <f t="shared" si="25"/>
        <v>975.60598445896312</v>
      </c>
      <c r="H398" s="19">
        <v>43282</v>
      </c>
      <c r="I398" s="18" t="s">
        <v>1811</v>
      </c>
      <c r="J398" s="18" t="s">
        <v>1807</v>
      </c>
      <c r="K398" s="7" t="s">
        <v>1716</v>
      </c>
      <c r="L398" s="7" t="s">
        <v>2246</v>
      </c>
      <c r="M398" s="7" t="str">
        <f t="shared" si="26"/>
        <v>ND</v>
      </c>
      <c r="N398" s="7" t="str">
        <f t="shared" si="27"/>
        <v>ND</v>
      </c>
    </row>
    <row r="399" spans="1:14" ht="15.6" x14ac:dyDescent="0.3">
      <c r="A399" s="7" t="s">
        <v>1756</v>
      </c>
      <c r="B399" s="7">
        <v>5</v>
      </c>
      <c r="C399" s="7">
        <v>11</v>
      </c>
      <c r="D399" s="7" t="s">
        <v>2258</v>
      </c>
      <c r="E399" s="7">
        <v>302.83199999999999</v>
      </c>
      <c r="F399" s="7">
        <f t="shared" si="24"/>
        <v>302832</v>
      </c>
      <c r="G399" s="7">
        <f t="shared" si="25"/>
        <v>975.60598445896312</v>
      </c>
      <c r="H399" s="19">
        <v>43282</v>
      </c>
      <c r="I399" s="18" t="s">
        <v>1811</v>
      </c>
      <c r="J399" s="18" t="s">
        <v>1807</v>
      </c>
      <c r="K399" s="7">
        <v>402</v>
      </c>
      <c r="L399" s="7" t="s">
        <v>2246</v>
      </c>
      <c r="M399" s="7">
        <f t="shared" si="26"/>
        <v>0.40200000000000002</v>
      </c>
      <c r="N399" s="7">
        <f t="shared" si="27"/>
        <v>124.78240800000002</v>
      </c>
    </row>
    <row r="400" spans="1:14" ht="15.6" x14ac:dyDescent="0.3">
      <c r="A400" s="7" t="s">
        <v>1743</v>
      </c>
      <c r="B400" s="7">
        <v>5</v>
      </c>
      <c r="C400" s="7">
        <v>11</v>
      </c>
      <c r="D400" s="7" t="s">
        <v>2258</v>
      </c>
      <c r="E400" s="7">
        <v>302.83199999999999</v>
      </c>
      <c r="F400" s="7">
        <f t="shared" si="24"/>
        <v>302832</v>
      </c>
      <c r="G400" s="7">
        <f t="shared" si="25"/>
        <v>975.60598445896312</v>
      </c>
      <c r="H400" s="19">
        <v>43282</v>
      </c>
      <c r="I400" s="18" t="s">
        <v>1811</v>
      </c>
      <c r="J400" s="18" t="s">
        <v>1807</v>
      </c>
      <c r="K400" s="7" t="s">
        <v>1716</v>
      </c>
      <c r="L400" s="7" t="s">
        <v>2246</v>
      </c>
      <c r="M400" s="7" t="str">
        <f t="shared" si="26"/>
        <v>ND</v>
      </c>
      <c r="N400" s="7" t="str">
        <f t="shared" si="27"/>
        <v>ND</v>
      </c>
    </row>
    <row r="401" spans="1:14" ht="15.6" x14ac:dyDescent="0.3">
      <c r="A401" s="7" t="s">
        <v>1757</v>
      </c>
      <c r="B401" s="7">
        <v>5</v>
      </c>
      <c r="C401" s="7">
        <v>11</v>
      </c>
      <c r="D401" s="7" t="s">
        <v>2258</v>
      </c>
      <c r="E401" s="7">
        <v>302.83199999999999</v>
      </c>
      <c r="F401" s="7">
        <f t="shared" si="24"/>
        <v>302832</v>
      </c>
      <c r="G401" s="7">
        <f t="shared" si="25"/>
        <v>975.60598445896312</v>
      </c>
      <c r="H401" s="19">
        <v>43282</v>
      </c>
      <c r="I401" s="18" t="s">
        <v>1811</v>
      </c>
      <c r="J401" s="18" t="s">
        <v>1807</v>
      </c>
      <c r="K401" s="7" t="s">
        <v>1716</v>
      </c>
      <c r="L401" s="7" t="s">
        <v>2246</v>
      </c>
      <c r="M401" s="7" t="str">
        <f t="shared" si="26"/>
        <v>ND</v>
      </c>
      <c r="N401" s="7" t="str">
        <f t="shared" si="27"/>
        <v>ND</v>
      </c>
    </row>
    <row r="402" spans="1:14" ht="15.6" x14ac:dyDescent="0.3">
      <c r="A402" s="7" t="s">
        <v>1758</v>
      </c>
      <c r="B402" s="7">
        <v>5</v>
      </c>
      <c r="C402" s="7">
        <v>11</v>
      </c>
      <c r="D402" s="7" t="s">
        <v>2258</v>
      </c>
      <c r="E402" s="7">
        <v>302.83199999999999</v>
      </c>
      <c r="F402" s="7">
        <f t="shared" si="24"/>
        <v>302832</v>
      </c>
      <c r="G402" s="7">
        <f t="shared" si="25"/>
        <v>975.60598445896312</v>
      </c>
      <c r="H402" s="19">
        <v>43282</v>
      </c>
      <c r="I402" s="18" t="s">
        <v>1811</v>
      </c>
      <c r="J402" s="18" t="s">
        <v>1807</v>
      </c>
      <c r="K402" s="7" t="s">
        <v>1716</v>
      </c>
      <c r="L402" s="7" t="s">
        <v>2246</v>
      </c>
      <c r="M402" s="7" t="str">
        <f t="shared" si="26"/>
        <v>ND</v>
      </c>
      <c r="N402" s="7" t="str">
        <f t="shared" si="27"/>
        <v>ND</v>
      </c>
    </row>
    <row r="403" spans="1:14" ht="15.6" x14ac:dyDescent="0.3">
      <c r="A403" s="7" t="s">
        <v>1759</v>
      </c>
      <c r="B403" s="7">
        <v>5</v>
      </c>
      <c r="C403" s="7">
        <v>11</v>
      </c>
      <c r="D403" s="7" t="s">
        <v>2258</v>
      </c>
      <c r="E403" s="7">
        <v>302.83199999999999</v>
      </c>
      <c r="F403" s="7">
        <f t="shared" si="24"/>
        <v>302832</v>
      </c>
      <c r="G403" s="7">
        <f t="shared" si="25"/>
        <v>975.60598445896312</v>
      </c>
      <c r="H403" s="19">
        <v>43282</v>
      </c>
      <c r="I403" s="18" t="s">
        <v>1811</v>
      </c>
      <c r="J403" s="18" t="s">
        <v>1807</v>
      </c>
      <c r="K403" s="7" t="s">
        <v>1716</v>
      </c>
      <c r="L403" s="7" t="s">
        <v>2246</v>
      </c>
      <c r="M403" s="7" t="str">
        <f t="shared" si="26"/>
        <v>ND</v>
      </c>
      <c r="N403" s="7" t="str">
        <f t="shared" si="27"/>
        <v>ND</v>
      </c>
    </row>
    <row r="404" spans="1:14" ht="15.6" x14ac:dyDescent="0.3">
      <c r="A404" s="7" t="s">
        <v>1745</v>
      </c>
      <c r="B404" s="7">
        <v>5</v>
      </c>
      <c r="C404" s="7">
        <v>11</v>
      </c>
      <c r="D404" s="7" t="s">
        <v>2258</v>
      </c>
      <c r="E404" s="7">
        <v>302.83199999999999</v>
      </c>
      <c r="F404" s="7">
        <f t="shared" si="24"/>
        <v>302832</v>
      </c>
      <c r="G404" s="7">
        <f t="shared" si="25"/>
        <v>975.60598445896312</v>
      </c>
      <c r="H404" s="19">
        <v>43282</v>
      </c>
      <c r="I404" s="18" t="s">
        <v>1811</v>
      </c>
      <c r="J404" s="18" t="s">
        <v>1807</v>
      </c>
      <c r="K404" s="7">
        <v>1623</v>
      </c>
      <c r="L404" s="7" t="s">
        <v>2246</v>
      </c>
      <c r="M404" s="7">
        <f t="shared" si="26"/>
        <v>1.623</v>
      </c>
      <c r="N404" s="7">
        <f t="shared" si="27"/>
        <v>503.78569200000004</v>
      </c>
    </row>
    <row r="405" spans="1:14" ht="15.6" x14ac:dyDescent="0.3">
      <c r="A405" s="7" t="s">
        <v>1746</v>
      </c>
      <c r="B405" s="7">
        <v>5</v>
      </c>
      <c r="C405" s="7">
        <v>11</v>
      </c>
      <c r="D405" s="7" t="s">
        <v>2258</v>
      </c>
      <c r="E405" s="7">
        <v>302.83199999999999</v>
      </c>
      <c r="F405" s="7">
        <f t="shared" si="24"/>
        <v>302832</v>
      </c>
      <c r="G405" s="7">
        <f t="shared" si="25"/>
        <v>975.60598445896312</v>
      </c>
      <c r="H405" s="19">
        <v>43282</v>
      </c>
      <c r="I405" s="18" t="s">
        <v>1811</v>
      </c>
      <c r="J405" s="18" t="s">
        <v>1807</v>
      </c>
      <c r="K405" s="7">
        <v>203</v>
      </c>
      <c r="L405" s="7" t="s">
        <v>2246</v>
      </c>
      <c r="M405" s="7">
        <f t="shared" si="26"/>
        <v>0.20300000000000001</v>
      </c>
      <c r="N405" s="7">
        <f t="shared" si="27"/>
        <v>63.012012000000006</v>
      </c>
    </row>
    <row r="406" spans="1:14" ht="15.6" x14ac:dyDescent="0.3">
      <c r="A406" s="7" t="s">
        <v>1747</v>
      </c>
      <c r="B406" s="7">
        <v>5</v>
      </c>
      <c r="C406" s="7">
        <v>11</v>
      </c>
      <c r="D406" s="7" t="s">
        <v>2258</v>
      </c>
      <c r="E406" s="7">
        <v>302.83199999999999</v>
      </c>
      <c r="F406" s="7">
        <f t="shared" si="24"/>
        <v>302832</v>
      </c>
      <c r="G406" s="7">
        <f t="shared" si="25"/>
        <v>975.60598445896312</v>
      </c>
      <c r="H406" s="19">
        <v>43282</v>
      </c>
      <c r="I406" s="18" t="s">
        <v>1811</v>
      </c>
      <c r="J406" s="18" t="s">
        <v>1807</v>
      </c>
      <c r="K406" s="7" t="s">
        <v>1716</v>
      </c>
      <c r="L406" s="7" t="s">
        <v>2246</v>
      </c>
      <c r="M406" s="7" t="str">
        <f t="shared" si="26"/>
        <v>ND</v>
      </c>
      <c r="N406" s="7" t="str">
        <f t="shared" si="27"/>
        <v>ND</v>
      </c>
    </row>
    <row r="407" spans="1:14" ht="15.6" x14ac:dyDescent="0.3">
      <c r="A407" s="7" t="s">
        <v>2064</v>
      </c>
      <c r="B407" s="7">
        <v>5</v>
      </c>
      <c r="C407" s="7">
        <v>11</v>
      </c>
      <c r="D407" s="7" t="s">
        <v>2258</v>
      </c>
      <c r="E407" s="7">
        <v>302.83199999999999</v>
      </c>
      <c r="F407" s="7">
        <f t="shared" si="24"/>
        <v>302832</v>
      </c>
      <c r="G407" s="7">
        <f t="shared" si="25"/>
        <v>975.60598445896312</v>
      </c>
      <c r="H407" s="19">
        <v>43282</v>
      </c>
      <c r="I407" s="18" t="s">
        <v>1811</v>
      </c>
      <c r="J407" s="18" t="s">
        <v>1807</v>
      </c>
      <c r="K407" s="7" t="s">
        <v>1716</v>
      </c>
      <c r="L407" s="7" t="s">
        <v>2246</v>
      </c>
      <c r="M407" s="7" t="str">
        <f t="shared" si="26"/>
        <v>ND</v>
      </c>
      <c r="N407" s="7" t="str">
        <f t="shared" si="27"/>
        <v>ND</v>
      </c>
    </row>
    <row r="408" spans="1:14" ht="15.6" x14ac:dyDescent="0.3">
      <c r="A408" s="18" t="s">
        <v>1729</v>
      </c>
      <c r="B408" s="7">
        <v>6</v>
      </c>
      <c r="C408" s="7">
        <v>12</v>
      </c>
      <c r="D408" s="7" t="s">
        <v>2259</v>
      </c>
      <c r="E408" s="7">
        <v>11000000</v>
      </c>
      <c r="F408" s="7">
        <f>E408</f>
        <v>11000000</v>
      </c>
      <c r="G408" s="7">
        <f>F408/310.404</f>
        <v>35437.687658664196</v>
      </c>
      <c r="H408" s="7" t="s">
        <v>2260</v>
      </c>
      <c r="I408" s="18" t="s">
        <v>1812</v>
      </c>
      <c r="J408" s="18" t="s">
        <v>1802</v>
      </c>
      <c r="K408" s="3">
        <v>0.28000000000000003</v>
      </c>
      <c r="L408" s="7" t="s">
        <v>2246</v>
      </c>
      <c r="M408" s="7">
        <f t="shared" si="26"/>
        <v>2.8000000000000003E-4</v>
      </c>
      <c r="N408" s="7">
        <f t="shared" si="27"/>
        <v>8.691312000000001E-2</v>
      </c>
    </row>
    <row r="409" spans="1:14" ht="15.6" x14ac:dyDescent="0.3">
      <c r="A409" s="18" t="s">
        <v>1729</v>
      </c>
      <c r="B409" s="7">
        <v>6</v>
      </c>
      <c r="C409" s="7">
        <v>12</v>
      </c>
      <c r="D409" s="7" t="s">
        <v>2259</v>
      </c>
      <c r="E409" s="7">
        <v>11000000</v>
      </c>
      <c r="F409" s="7">
        <f t="shared" ref="F409:F472" si="28">E409</f>
        <v>11000000</v>
      </c>
      <c r="G409" s="7">
        <f t="shared" ref="G409:G472" si="29">F409/310.404</f>
        <v>35437.687658664196</v>
      </c>
      <c r="H409" s="7" t="s">
        <v>2260</v>
      </c>
      <c r="I409" s="18" t="s">
        <v>1812</v>
      </c>
      <c r="J409" s="18" t="s">
        <v>1802</v>
      </c>
      <c r="K409" s="3">
        <v>12.55</v>
      </c>
      <c r="L409" s="7" t="s">
        <v>2246</v>
      </c>
      <c r="M409" s="7">
        <f t="shared" si="26"/>
        <v>1.255E-2</v>
      </c>
      <c r="N409" s="7">
        <f t="shared" si="27"/>
        <v>3.8955701999999999</v>
      </c>
    </row>
    <row r="410" spans="1:14" ht="15.6" x14ac:dyDescent="0.3">
      <c r="A410" s="18" t="s">
        <v>1729</v>
      </c>
      <c r="B410" s="7">
        <v>6</v>
      </c>
      <c r="C410" s="7">
        <v>12</v>
      </c>
      <c r="D410" s="7" t="s">
        <v>2259</v>
      </c>
      <c r="E410" s="7">
        <v>11000000</v>
      </c>
      <c r="F410" s="7">
        <f t="shared" si="28"/>
        <v>11000000</v>
      </c>
      <c r="G410" s="7">
        <f t="shared" si="29"/>
        <v>35437.687658664196</v>
      </c>
      <c r="H410" s="7" t="s">
        <v>2260</v>
      </c>
      <c r="I410" s="18" t="s">
        <v>1812</v>
      </c>
      <c r="J410" s="18" t="s">
        <v>1802</v>
      </c>
      <c r="K410" s="3">
        <v>20.59</v>
      </c>
      <c r="L410" s="7" t="s">
        <v>2246</v>
      </c>
      <c r="M410" s="7">
        <f t="shared" si="26"/>
        <v>2.0590000000000001E-2</v>
      </c>
      <c r="N410" s="7">
        <f t="shared" si="27"/>
        <v>6.391218359999999</v>
      </c>
    </row>
    <row r="411" spans="1:14" ht="15.6" x14ac:dyDescent="0.3">
      <c r="A411" s="18" t="s">
        <v>1729</v>
      </c>
      <c r="B411" s="7">
        <v>6</v>
      </c>
      <c r="C411" s="7">
        <v>12</v>
      </c>
      <c r="D411" s="7" t="s">
        <v>2259</v>
      </c>
      <c r="E411" s="7">
        <v>11000000</v>
      </c>
      <c r="F411" s="7">
        <f t="shared" si="28"/>
        <v>11000000</v>
      </c>
      <c r="G411" s="7">
        <f t="shared" si="29"/>
        <v>35437.687658664196</v>
      </c>
      <c r="H411" s="7" t="s">
        <v>2260</v>
      </c>
      <c r="I411" s="18" t="s">
        <v>1812</v>
      </c>
      <c r="J411" s="18" t="s">
        <v>1802</v>
      </c>
      <c r="K411" s="3">
        <v>25.07</v>
      </c>
      <c r="L411" s="7" t="s">
        <v>2246</v>
      </c>
      <c r="M411" s="7">
        <f t="shared" si="26"/>
        <v>2.5070000000000002E-2</v>
      </c>
      <c r="N411" s="7">
        <f t="shared" si="27"/>
        <v>7.7818282799999992</v>
      </c>
    </row>
    <row r="412" spans="1:14" ht="15.6" x14ac:dyDescent="0.3">
      <c r="A412" s="18" t="s">
        <v>1729</v>
      </c>
      <c r="B412" s="7">
        <v>6</v>
      </c>
      <c r="C412" s="7">
        <v>12</v>
      </c>
      <c r="D412" s="7" t="s">
        <v>2259</v>
      </c>
      <c r="E412" s="7">
        <v>11000000</v>
      </c>
      <c r="F412" s="7">
        <f t="shared" si="28"/>
        <v>11000000</v>
      </c>
      <c r="G412" s="7">
        <f t="shared" si="29"/>
        <v>35437.687658664196</v>
      </c>
      <c r="H412" s="7" t="s">
        <v>2260</v>
      </c>
      <c r="I412" s="18" t="s">
        <v>1812</v>
      </c>
      <c r="J412" s="18" t="s">
        <v>1802</v>
      </c>
      <c r="K412" s="3">
        <v>11.25</v>
      </c>
      <c r="L412" s="7" t="s">
        <v>2246</v>
      </c>
      <c r="M412" s="7">
        <f t="shared" si="26"/>
        <v>1.125E-2</v>
      </c>
      <c r="N412" s="7">
        <f t="shared" si="27"/>
        <v>3.4920449999999996</v>
      </c>
    </row>
    <row r="413" spans="1:14" ht="15.6" x14ac:dyDescent="0.3">
      <c r="A413" s="18" t="s">
        <v>1729</v>
      </c>
      <c r="B413" s="7">
        <v>6</v>
      </c>
      <c r="C413" s="7">
        <v>12</v>
      </c>
      <c r="D413" s="7" t="s">
        <v>2259</v>
      </c>
      <c r="E413" s="7">
        <v>11000000</v>
      </c>
      <c r="F413" s="7">
        <f t="shared" si="28"/>
        <v>11000000</v>
      </c>
      <c r="G413" s="7">
        <f t="shared" si="29"/>
        <v>35437.687658664196</v>
      </c>
      <c r="H413" s="7" t="s">
        <v>2260</v>
      </c>
      <c r="I413" s="18" t="s">
        <v>1812</v>
      </c>
      <c r="J413" s="18" t="s">
        <v>1802</v>
      </c>
      <c r="K413" s="3">
        <v>6.55</v>
      </c>
      <c r="L413" s="7" t="s">
        <v>2246</v>
      </c>
      <c r="M413" s="7">
        <f t="shared" si="26"/>
        <v>6.5499999999999994E-3</v>
      </c>
      <c r="N413" s="7">
        <f t="shared" si="27"/>
        <v>2.0331462</v>
      </c>
    </row>
    <row r="414" spans="1:14" ht="15.6" x14ac:dyDescent="0.3">
      <c r="A414" s="18" t="s">
        <v>1729</v>
      </c>
      <c r="B414" s="7">
        <v>6</v>
      </c>
      <c r="C414" s="7">
        <v>12</v>
      </c>
      <c r="D414" s="7" t="s">
        <v>2259</v>
      </c>
      <c r="E414" s="7">
        <v>11000000</v>
      </c>
      <c r="F414" s="7">
        <f t="shared" si="28"/>
        <v>11000000</v>
      </c>
      <c r="G414" s="7">
        <f t="shared" si="29"/>
        <v>35437.687658664196</v>
      </c>
      <c r="H414" s="7" t="s">
        <v>2260</v>
      </c>
      <c r="I414" s="18" t="s">
        <v>1812</v>
      </c>
      <c r="J414" s="18" t="s">
        <v>1802</v>
      </c>
      <c r="K414" s="3">
        <v>1.17</v>
      </c>
      <c r="L414" s="7" t="s">
        <v>2246</v>
      </c>
      <c r="M414" s="7">
        <f t="shared" si="26"/>
        <v>1.17E-3</v>
      </c>
      <c r="N414" s="7">
        <f t="shared" si="27"/>
        <v>0.36317267999999997</v>
      </c>
    </row>
    <row r="415" spans="1:14" ht="15.6" x14ac:dyDescent="0.3">
      <c r="A415" s="18" t="s">
        <v>1729</v>
      </c>
      <c r="B415" s="7">
        <v>6</v>
      </c>
      <c r="C415" s="7">
        <v>12</v>
      </c>
      <c r="D415" s="7" t="s">
        <v>2259</v>
      </c>
      <c r="E415" s="7">
        <v>11000000</v>
      </c>
      <c r="F415" s="7">
        <f t="shared" si="28"/>
        <v>11000000</v>
      </c>
      <c r="G415" s="7">
        <f t="shared" si="29"/>
        <v>35437.687658664196</v>
      </c>
      <c r="H415" s="7" t="s">
        <v>2260</v>
      </c>
      <c r="I415" s="18" t="s">
        <v>1812</v>
      </c>
      <c r="J415" s="18" t="s">
        <v>1802</v>
      </c>
      <c r="K415" s="3">
        <v>50.19</v>
      </c>
      <c r="L415" s="7" t="s">
        <v>2246</v>
      </c>
      <c r="M415" s="7">
        <f t="shared" si="26"/>
        <v>5.0189999999999999E-2</v>
      </c>
      <c r="N415" s="7">
        <f t="shared" si="27"/>
        <v>15.579176759999999</v>
      </c>
    </row>
    <row r="416" spans="1:14" ht="15.6" x14ac:dyDescent="0.3">
      <c r="A416" s="18" t="s">
        <v>1729</v>
      </c>
      <c r="B416" s="7">
        <v>6</v>
      </c>
      <c r="C416" s="7">
        <v>12</v>
      </c>
      <c r="D416" s="7" t="s">
        <v>2259</v>
      </c>
      <c r="E416" s="7">
        <v>11000000</v>
      </c>
      <c r="F416" s="7">
        <f t="shared" si="28"/>
        <v>11000000</v>
      </c>
      <c r="G416" s="7">
        <f t="shared" si="29"/>
        <v>35437.687658664196</v>
      </c>
      <c r="H416" s="7" t="s">
        <v>2260</v>
      </c>
      <c r="I416" s="18" t="s">
        <v>1812</v>
      </c>
      <c r="J416" s="18" t="s">
        <v>1802</v>
      </c>
      <c r="K416" s="3">
        <v>33.54</v>
      </c>
      <c r="L416" s="7" t="s">
        <v>2246</v>
      </c>
      <c r="M416" s="7">
        <f t="shared" si="26"/>
        <v>3.354E-2</v>
      </c>
      <c r="N416" s="7">
        <f t="shared" si="27"/>
        <v>10.410950159999999</v>
      </c>
    </row>
    <row r="417" spans="1:14" ht="15.6" x14ac:dyDescent="0.3">
      <c r="A417" s="18" t="s">
        <v>1729</v>
      </c>
      <c r="B417" s="7">
        <v>6</v>
      </c>
      <c r="C417" s="7">
        <v>12</v>
      </c>
      <c r="D417" s="7" t="s">
        <v>2259</v>
      </c>
      <c r="E417" s="7">
        <v>11000000</v>
      </c>
      <c r="F417" s="7">
        <f t="shared" si="28"/>
        <v>11000000</v>
      </c>
      <c r="G417" s="7">
        <f t="shared" si="29"/>
        <v>35437.687658664196</v>
      </c>
      <c r="H417" s="7" t="s">
        <v>2260</v>
      </c>
      <c r="I417" s="18" t="s">
        <v>1812</v>
      </c>
      <c r="J417" s="18" t="s">
        <v>1802</v>
      </c>
      <c r="K417" s="3">
        <v>1.24</v>
      </c>
      <c r="L417" s="7" t="s">
        <v>2246</v>
      </c>
      <c r="M417" s="7">
        <f t="shared" si="26"/>
        <v>1.24E-3</v>
      </c>
      <c r="N417" s="7">
        <f t="shared" si="27"/>
        <v>0.38490095999999996</v>
      </c>
    </row>
    <row r="418" spans="1:14" ht="15.6" x14ac:dyDescent="0.3">
      <c r="A418" s="18" t="s">
        <v>1729</v>
      </c>
      <c r="B418" s="7">
        <v>6</v>
      </c>
      <c r="C418" s="7">
        <v>12</v>
      </c>
      <c r="D418" s="7" t="s">
        <v>2259</v>
      </c>
      <c r="E418" s="7">
        <v>11000000</v>
      </c>
      <c r="F418" s="7">
        <f t="shared" si="28"/>
        <v>11000000</v>
      </c>
      <c r="G418" s="7">
        <f t="shared" si="29"/>
        <v>35437.687658664196</v>
      </c>
      <c r="H418" s="7" t="s">
        <v>2260</v>
      </c>
      <c r="I418" s="18" t="s">
        <v>1812</v>
      </c>
      <c r="J418" s="18" t="s">
        <v>1802</v>
      </c>
      <c r="K418" s="3">
        <v>20.96</v>
      </c>
      <c r="L418" s="7" t="s">
        <v>2246</v>
      </c>
      <c r="M418" s="7">
        <f t="shared" si="26"/>
        <v>2.0959999999999999E-2</v>
      </c>
      <c r="N418" s="7">
        <f t="shared" si="27"/>
        <v>6.5060678399999992</v>
      </c>
    </row>
    <row r="419" spans="1:14" ht="15.6" x14ac:dyDescent="0.3">
      <c r="A419" s="18" t="s">
        <v>1729</v>
      </c>
      <c r="B419" s="7">
        <v>6</v>
      </c>
      <c r="C419" s="7">
        <v>12</v>
      </c>
      <c r="D419" s="7" t="s">
        <v>2259</v>
      </c>
      <c r="E419" s="7">
        <v>11000000</v>
      </c>
      <c r="F419" s="7">
        <f t="shared" si="28"/>
        <v>11000000</v>
      </c>
      <c r="G419" s="7">
        <f t="shared" si="29"/>
        <v>35437.687658664196</v>
      </c>
      <c r="H419" s="7" t="s">
        <v>2260</v>
      </c>
      <c r="I419" s="18" t="s">
        <v>1812</v>
      </c>
      <c r="J419" s="18" t="s">
        <v>1802</v>
      </c>
      <c r="K419" s="3">
        <v>19.059999999999999</v>
      </c>
      <c r="L419" s="7" t="s">
        <v>2246</v>
      </c>
      <c r="M419" s="7">
        <f t="shared" si="26"/>
        <v>1.9059999999999997E-2</v>
      </c>
      <c r="N419" s="7">
        <f t="shared" si="27"/>
        <v>5.9163002399999982</v>
      </c>
    </row>
    <row r="420" spans="1:14" ht="15.6" x14ac:dyDescent="0.3">
      <c r="A420" s="18" t="s">
        <v>1729</v>
      </c>
      <c r="B420" s="7">
        <v>6</v>
      </c>
      <c r="C420" s="7">
        <v>12</v>
      </c>
      <c r="D420" s="7" t="s">
        <v>2259</v>
      </c>
      <c r="E420" s="7">
        <v>11000000</v>
      </c>
      <c r="F420" s="7">
        <f t="shared" si="28"/>
        <v>11000000</v>
      </c>
      <c r="G420" s="7">
        <f t="shared" si="29"/>
        <v>35437.687658664196</v>
      </c>
      <c r="H420" s="7" t="s">
        <v>2260</v>
      </c>
      <c r="I420" s="18" t="s">
        <v>1812</v>
      </c>
      <c r="J420" s="18" t="s">
        <v>1802</v>
      </c>
      <c r="K420" s="3">
        <v>72.540000000000006</v>
      </c>
      <c r="L420" s="7" t="s">
        <v>2246</v>
      </c>
      <c r="M420" s="7">
        <f t="shared" si="26"/>
        <v>7.2540000000000007E-2</v>
      </c>
      <c r="N420" s="7">
        <f t="shared" si="27"/>
        <v>22.516706160000002</v>
      </c>
    </row>
    <row r="421" spans="1:14" ht="15.6" x14ac:dyDescent="0.3">
      <c r="A421" s="18" t="s">
        <v>1729</v>
      </c>
      <c r="B421" s="7">
        <v>6</v>
      </c>
      <c r="C421" s="7">
        <v>12</v>
      </c>
      <c r="D421" s="7" t="s">
        <v>2259</v>
      </c>
      <c r="E421" s="7">
        <v>11000000</v>
      </c>
      <c r="F421" s="7">
        <f t="shared" si="28"/>
        <v>11000000</v>
      </c>
      <c r="G421" s="7">
        <f t="shared" si="29"/>
        <v>35437.687658664196</v>
      </c>
      <c r="H421" s="7" t="s">
        <v>2260</v>
      </c>
      <c r="I421" s="18" t="s">
        <v>1812</v>
      </c>
      <c r="J421" s="18" t="s">
        <v>1802</v>
      </c>
      <c r="K421" s="3">
        <v>68.45</v>
      </c>
      <c r="L421" s="7" t="s">
        <v>2246</v>
      </c>
      <c r="M421" s="7">
        <f t="shared" si="26"/>
        <v>6.8449999999999997E-2</v>
      </c>
      <c r="N421" s="7">
        <f t="shared" si="27"/>
        <v>21.2471538</v>
      </c>
    </row>
    <row r="422" spans="1:14" ht="15.6" x14ac:dyDescent="0.3">
      <c r="A422" s="18" t="s">
        <v>1729</v>
      </c>
      <c r="B422" s="7">
        <v>6</v>
      </c>
      <c r="C422" s="7">
        <v>12</v>
      </c>
      <c r="D422" s="7" t="s">
        <v>2259</v>
      </c>
      <c r="E422" s="7">
        <v>11000000</v>
      </c>
      <c r="F422" s="7">
        <f t="shared" si="28"/>
        <v>11000000</v>
      </c>
      <c r="G422" s="7">
        <f t="shared" si="29"/>
        <v>35437.687658664196</v>
      </c>
      <c r="H422" s="7" t="s">
        <v>2260</v>
      </c>
      <c r="I422" s="18" t="s">
        <v>1812</v>
      </c>
      <c r="J422" s="18" t="s">
        <v>1802</v>
      </c>
      <c r="K422" s="3">
        <v>68.31</v>
      </c>
      <c r="L422" s="7" t="s">
        <v>2246</v>
      </c>
      <c r="M422" s="7">
        <f t="shared" si="26"/>
        <v>6.8309999999999996E-2</v>
      </c>
      <c r="N422" s="7">
        <f t="shared" si="27"/>
        <v>21.203697239999997</v>
      </c>
    </row>
    <row r="423" spans="1:14" ht="15.6" x14ac:dyDescent="0.3">
      <c r="A423" s="18" t="s">
        <v>1729</v>
      </c>
      <c r="B423" s="7">
        <v>6</v>
      </c>
      <c r="C423" s="7">
        <v>12</v>
      </c>
      <c r="D423" s="7" t="s">
        <v>2259</v>
      </c>
      <c r="E423" s="7">
        <v>11000000</v>
      </c>
      <c r="F423" s="7">
        <f t="shared" si="28"/>
        <v>11000000</v>
      </c>
      <c r="G423" s="7">
        <f t="shared" si="29"/>
        <v>35437.687658664196</v>
      </c>
      <c r="H423" s="7" t="s">
        <v>2260</v>
      </c>
      <c r="I423" s="18" t="s">
        <v>1812</v>
      </c>
      <c r="J423" s="18" t="s">
        <v>1802</v>
      </c>
      <c r="K423" s="3">
        <v>73.489999999999995</v>
      </c>
      <c r="L423" s="7" t="s">
        <v>2246</v>
      </c>
      <c r="M423" s="7">
        <f t="shared" si="26"/>
        <v>7.349E-2</v>
      </c>
      <c r="N423" s="7">
        <f t="shared" si="27"/>
        <v>22.811589959999999</v>
      </c>
    </row>
    <row r="424" spans="1:14" ht="15.6" x14ac:dyDescent="0.3">
      <c r="A424" s="18" t="s">
        <v>1729</v>
      </c>
      <c r="B424" s="7">
        <v>6</v>
      </c>
      <c r="C424" s="7">
        <v>12</v>
      </c>
      <c r="D424" s="7" t="s">
        <v>2259</v>
      </c>
      <c r="E424" s="7">
        <v>11000000</v>
      </c>
      <c r="F424" s="7">
        <f t="shared" si="28"/>
        <v>11000000</v>
      </c>
      <c r="G424" s="7">
        <f t="shared" si="29"/>
        <v>35437.687658664196</v>
      </c>
      <c r="H424" s="7" t="s">
        <v>2260</v>
      </c>
      <c r="I424" s="18" t="s">
        <v>1812</v>
      </c>
      <c r="J424" s="18" t="s">
        <v>1802</v>
      </c>
      <c r="K424" s="3">
        <v>94.52</v>
      </c>
      <c r="L424" s="7" t="s">
        <v>2246</v>
      </c>
      <c r="M424" s="7">
        <f t="shared" si="26"/>
        <v>9.4519999999999993E-2</v>
      </c>
      <c r="N424" s="7">
        <f t="shared" si="27"/>
        <v>29.339386079999993</v>
      </c>
    </row>
    <row r="425" spans="1:14" ht="15.6" x14ac:dyDescent="0.3">
      <c r="A425" s="18" t="s">
        <v>1729</v>
      </c>
      <c r="B425" s="7">
        <v>6</v>
      </c>
      <c r="C425" s="7">
        <v>12</v>
      </c>
      <c r="D425" s="7" t="s">
        <v>2259</v>
      </c>
      <c r="E425" s="7">
        <v>11000000</v>
      </c>
      <c r="F425" s="7">
        <f t="shared" si="28"/>
        <v>11000000</v>
      </c>
      <c r="G425" s="7">
        <f t="shared" si="29"/>
        <v>35437.687658664196</v>
      </c>
      <c r="H425" s="7" t="s">
        <v>2260</v>
      </c>
      <c r="I425" s="18" t="s">
        <v>1812</v>
      </c>
      <c r="J425" s="18" t="s">
        <v>1802</v>
      </c>
      <c r="K425" s="3">
        <v>83.61</v>
      </c>
      <c r="L425" s="7" t="s">
        <v>2246</v>
      </c>
      <c r="M425" s="7">
        <f t="shared" si="26"/>
        <v>8.3610000000000004E-2</v>
      </c>
      <c r="N425" s="7">
        <f t="shared" si="27"/>
        <v>25.952878439999999</v>
      </c>
    </row>
    <row r="426" spans="1:14" ht="15.6" x14ac:dyDescent="0.3">
      <c r="A426" s="18" t="s">
        <v>1729</v>
      </c>
      <c r="B426" s="7">
        <v>6</v>
      </c>
      <c r="C426" s="7">
        <v>12</v>
      </c>
      <c r="D426" s="7" t="s">
        <v>2259</v>
      </c>
      <c r="E426" s="7">
        <v>11000000</v>
      </c>
      <c r="F426" s="7">
        <f t="shared" si="28"/>
        <v>11000000</v>
      </c>
      <c r="G426" s="7">
        <f t="shared" si="29"/>
        <v>35437.687658664196</v>
      </c>
      <c r="H426" s="7" t="s">
        <v>2260</v>
      </c>
      <c r="I426" s="18" t="s">
        <v>1812</v>
      </c>
      <c r="J426" s="18" t="s">
        <v>1802</v>
      </c>
      <c r="K426" s="3">
        <v>70.95</v>
      </c>
      <c r="L426" s="7" t="s">
        <v>2246</v>
      </c>
      <c r="M426" s="7">
        <f t="shared" ref="M426:M489" si="30">IFERROR(K426/1000,"ND")</f>
        <v>7.0949999999999999E-2</v>
      </c>
      <c r="N426" s="7">
        <f t="shared" si="27"/>
        <v>22.023163799999999</v>
      </c>
    </row>
    <row r="427" spans="1:14" ht="15.6" x14ac:dyDescent="0.3">
      <c r="A427" s="18" t="s">
        <v>1729</v>
      </c>
      <c r="B427" s="7">
        <v>6</v>
      </c>
      <c r="C427" s="7">
        <v>12</v>
      </c>
      <c r="D427" s="7" t="s">
        <v>2259</v>
      </c>
      <c r="E427" s="7">
        <v>11000000</v>
      </c>
      <c r="F427" s="7">
        <f t="shared" si="28"/>
        <v>11000000</v>
      </c>
      <c r="G427" s="7">
        <f t="shared" si="29"/>
        <v>35437.687658664196</v>
      </c>
      <c r="H427" s="7" t="s">
        <v>2260</v>
      </c>
      <c r="I427" s="18" t="s">
        <v>1812</v>
      </c>
      <c r="J427" s="18" t="s">
        <v>1802</v>
      </c>
      <c r="K427" s="3">
        <v>23.72</v>
      </c>
      <c r="L427" s="7" t="s">
        <v>2246</v>
      </c>
      <c r="M427" s="7">
        <f t="shared" si="30"/>
        <v>2.3719999999999998E-2</v>
      </c>
      <c r="N427" s="7">
        <f t="shared" si="27"/>
        <v>7.3627828799999984</v>
      </c>
    </row>
    <row r="428" spans="1:14" ht="15.6" x14ac:dyDescent="0.3">
      <c r="A428" s="18" t="s">
        <v>1729</v>
      </c>
      <c r="B428" s="7">
        <v>6</v>
      </c>
      <c r="C428" s="7">
        <v>12</v>
      </c>
      <c r="D428" s="7" t="s">
        <v>2259</v>
      </c>
      <c r="E428" s="7">
        <v>11000000</v>
      </c>
      <c r="F428" s="7">
        <f t="shared" si="28"/>
        <v>11000000</v>
      </c>
      <c r="G428" s="7">
        <f t="shared" si="29"/>
        <v>35437.687658664196</v>
      </c>
      <c r="H428" s="7" t="s">
        <v>2260</v>
      </c>
      <c r="I428" s="18" t="s">
        <v>1812</v>
      </c>
      <c r="J428" s="18" t="s">
        <v>1802</v>
      </c>
      <c r="K428" s="3">
        <v>29.36</v>
      </c>
      <c r="L428" s="7" t="s">
        <v>2246</v>
      </c>
      <c r="M428" s="7">
        <f t="shared" si="30"/>
        <v>2.9360000000000001E-2</v>
      </c>
      <c r="N428" s="7">
        <f t="shared" si="27"/>
        <v>9.11346144</v>
      </c>
    </row>
    <row r="429" spans="1:14" ht="15.6" x14ac:dyDescent="0.3">
      <c r="A429" s="18" t="s">
        <v>1729</v>
      </c>
      <c r="B429" s="7">
        <v>6</v>
      </c>
      <c r="C429" s="7">
        <v>12</v>
      </c>
      <c r="D429" s="7" t="s">
        <v>2259</v>
      </c>
      <c r="E429" s="7">
        <v>11000000</v>
      </c>
      <c r="F429" s="7">
        <f t="shared" si="28"/>
        <v>11000000</v>
      </c>
      <c r="G429" s="7">
        <f t="shared" si="29"/>
        <v>35437.687658664196</v>
      </c>
      <c r="H429" s="7" t="s">
        <v>2260</v>
      </c>
      <c r="I429" s="18" t="s">
        <v>1812</v>
      </c>
      <c r="J429" s="18" t="s">
        <v>1802</v>
      </c>
      <c r="K429" s="3">
        <v>20.37</v>
      </c>
      <c r="L429" s="7" t="s">
        <v>2246</v>
      </c>
      <c r="M429" s="7">
        <f t="shared" si="30"/>
        <v>2.0370000000000003E-2</v>
      </c>
      <c r="N429" s="7">
        <f t="shared" si="27"/>
        <v>6.32292948</v>
      </c>
    </row>
    <row r="430" spans="1:14" ht="15.6" x14ac:dyDescent="0.3">
      <c r="A430" s="18" t="s">
        <v>1729</v>
      </c>
      <c r="B430" s="7">
        <v>6</v>
      </c>
      <c r="C430" s="7">
        <v>12</v>
      </c>
      <c r="D430" s="7" t="s">
        <v>2259</v>
      </c>
      <c r="E430" s="7">
        <v>11000000</v>
      </c>
      <c r="F430" s="7">
        <f t="shared" si="28"/>
        <v>11000000</v>
      </c>
      <c r="G430" s="7">
        <f t="shared" si="29"/>
        <v>35437.687658664196</v>
      </c>
      <c r="H430" s="7" t="s">
        <v>2260</v>
      </c>
      <c r="I430" s="18" t="s">
        <v>1812</v>
      </c>
      <c r="J430" s="18" t="s">
        <v>1802</v>
      </c>
      <c r="K430" s="3">
        <v>10.98</v>
      </c>
      <c r="L430" s="7" t="s">
        <v>2246</v>
      </c>
      <c r="M430" s="7">
        <f t="shared" si="30"/>
        <v>1.098E-2</v>
      </c>
      <c r="N430" s="7">
        <f t="shared" si="27"/>
        <v>3.4082359199999996</v>
      </c>
    </row>
    <row r="431" spans="1:14" ht="15.6" x14ac:dyDescent="0.3">
      <c r="A431" s="18" t="s">
        <v>1729</v>
      </c>
      <c r="B431" s="7">
        <v>6</v>
      </c>
      <c r="C431" s="7">
        <v>12</v>
      </c>
      <c r="D431" s="7" t="s">
        <v>2259</v>
      </c>
      <c r="E431" s="7">
        <v>11000000</v>
      </c>
      <c r="F431" s="7">
        <f t="shared" si="28"/>
        <v>11000000</v>
      </c>
      <c r="G431" s="7">
        <f t="shared" si="29"/>
        <v>35437.687658664196</v>
      </c>
      <c r="H431" s="7" t="s">
        <v>2260</v>
      </c>
      <c r="I431" s="18" t="s">
        <v>1812</v>
      </c>
      <c r="J431" s="18" t="s">
        <v>1802</v>
      </c>
      <c r="K431" s="3">
        <v>20.2</v>
      </c>
      <c r="L431" s="7" t="s">
        <v>2246</v>
      </c>
      <c r="M431" s="7">
        <f t="shared" si="30"/>
        <v>2.0199999999999999E-2</v>
      </c>
      <c r="N431" s="7">
        <f t="shared" si="27"/>
        <v>6.2701607999999993</v>
      </c>
    </row>
    <row r="432" spans="1:14" ht="15.6" x14ac:dyDescent="0.3">
      <c r="A432" s="18" t="s">
        <v>1729</v>
      </c>
      <c r="B432" s="7">
        <v>6</v>
      </c>
      <c r="C432" s="7">
        <v>12</v>
      </c>
      <c r="D432" s="7" t="s">
        <v>2259</v>
      </c>
      <c r="E432" s="7">
        <v>11000000</v>
      </c>
      <c r="F432" s="7">
        <f t="shared" si="28"/>
        <v>11000000</v>
      </c>
      <c r="G432" s="7">
        <f t="shared" si="29"/>
        <v>35437.687658664196</v>
      </c>
      <c r="H432" s="7" t="s">
        <v>2260</v>
      </c>
      <c r="I432" s="18" t="s">
        <v>1812</v>
      </c>
      <c r="J432" s="18" t="s">
        <v>1802</v>
      </c>
      <c r="K432" s="3">
        <v>72.77</v>
      </c>
      <c r="L432" s="7" t="s">
        <v>2246</v>
      </c>
      <c r="M432" s="7">
        <f t="shared" si="30"/>
        <v>7.2770000000000001E-2</v>
      </c>
      <c r="N432" s="7">
        <f t="shared" si="27"/>
        <v>22.588099079999999</v>
      </c>
    </row>
    <row r="433" spans="1:14" ht="15.6" x14ac:dyDescent="0.3">
      <c r="A433" s="18" t="s">
        <v>1729</v>
      </c>
      <c r="B433" s="7">
        <v>6</v>
      </c>
      <c r="C433" s="7">
        <v>12</v>
      </c>
      <c r="D433" s="7" t="s">
        <v>2259</v>
      </c>
      <c r="E433" s="7">
        <v>11000000</v>
      </c>
      <c r="F433" s="7">
        <f t="shared" si="28"/>
        <v>11000000</v>
      </c>
      <c r="G433" s="7">
        <f t="shared" si="29"/>
        <v>35437.687658664196</v>
      </c>
      <c r="H433" s="7" t="s">
        <v>2260</v>
      </c>
      <c r="I433" s="18" t="s">
        <v>1812</v>
      </c>
      <c r="J433" s="18" t="s">
        <v>1802</v>
      </c>
      <c r="K433" s="3">
        <v>34.47</v>
      </c>
      <c r="L433" s="7" t="s">
        <v>2246</v>
      </c>
      <c r="M433" s="7">
        <f t="shared" si="30"/>
        <v>3.4470000000000001E-2</v>
      </c>
      <c r="N433" s="7">
        <f t="shared" si="27"/>
        <v>10.699625879999999</v>
      </c>
    </row>
    <row r="434" spans="1:14" ht="15.6" x14ac:dyDescent="0.3">
      <c r="A434" s="18" t="s">
        <v>1729</v>
      </c>
      <c r="B434" s="7">
        <v>6</v>
      </c>
      <c r="C434" s="7">
        <v>12</v>
      </c>
      <c r="D434" s="7" t="s">
        <v>2259</v>
      </c>
      <c r="E434" s="7">
        <v>11000000</v>
      </c>
      <c r="F434" s="7">
        <f t="shared" si="28"/>
        <v>11000000</v>
      </c>
      <c r="G434" s="7">
        <f t="shared" si="29"/>
        <v>35437.687658664196</v>
      </c>
      <c r="H434" s="7" t="s">
        <v>2260</v>
      </c>
      <c r="I434" s="18" t="s">
        <v>1812</v>
      </c>
      <c r="J434" s="18" t="s">
        <v>1802</v>
      </c>
      <c r="K434" s="3">
        <v>18.690000000000001</v>
      </c>
      <c r="L434" s="7" t="s">
        <v>2246</v>
      </c>
      <c r="M434" s="7">
        <f t="shared" si="30"/>
        <v>1.8690000000000002E-2</v>
      </c>
      <c r="N434" s="7">
        <f t="shared" si="27"/>
        <v>5.8014507600000007</v>
      </c>
    </row>
    <row r="435" spans="1:14" ht="15.6" x14ac:dyDescent="0.3">
      <c r="A435" s="18" t="s">
        <v>1729</v>
      </c>
      <c r="B435" s="7">
        <v>6</v>
      </c>
      <c r="C435" s="7">
        <v>12</v>
      </c>
      <c r="D435" s="7" t="s">
        <v>2259</v>
      </c>
      <c r="E435" s="7">
        <v>11000000</v>
      </c>
      <c r="F435" s="7">
        <f t="shared" si="28"/>
        <v>11000000</v>
      </c>
      <c r="G435" s="7">
        <f t="shared" si="29"/>
        <v>35437.687658664196</v>
      </c>
      <c r="H435" s="7" t="s">
        <v>2260</v>
      </c>
      <c r="I435" s="18" t="s">
        <v>1812</v>
      </c>
      <c r="J435" s="18" t="s">
        <v>1802</v>
      </c>
      <c r="K435" s="3">
        <v>51.41</v>
      </c>
      <c r="L435" s="7" t="s">
        <v>2246</v>
      </c>
      <c r="M435" s="7">
        <f t="shared" si="30"/>
        <v>5.1409999999999997E-2</v>
      </c>
      <c r="N435" s="7">
        <f t="shared" si="27"/>
        <v>15.957869639999998</v>
      </c>
    </row>
    <row r="436" spans="1:14" ht="15.6" x14ac:dyDescent="0.3">
      <c r="A436" s="18" t="s">
        <v>1729</v>
      </c>
      <c r="B436" s="7">
        <v>6</v>
      </c>
      <c r="C436" s="7">
        <v>12</v>
      </c>
      <c r="D436" s="7" t="s">
        <v>2259</v>
      </c>
      <c r="E436" s="7">
        <v>11000000</v>
      </c>
      <c r="F436" s="7">
        <f t="shared" si="28"/>
        <v>11000000</v>
      </c>
      <c r="G436" s="7">
        <f t="shared" si="29"/>
        <v>35437.687658664196</v>
      </c>
      <c r="H436" s="7" t="s">
        <v>2260</v>
      </c>
      <c r="I436" s="18" t="s">
        <v>1812</v>
      </c>
      <c r="J436" s="18" t="s">
        <v>1802</v>
      </c>
      <c r="K436" s="3" t="s">
        <v>1716</v>
      </c>
      <c r="L436" s="7" t="s">
        <v>2246</v>
      </c>
      <c r="M436" s="7" t="str">
        <f t="shared" si="30"/>
        <v>ND</v>
      </c>
      <c r="N436" s="7" t="str">
        <f t="shared" si="27"/>
        <v>ND</v>
      </c>
    </row>
    <row r="437" spans="1:14" ht="15.6" x14ac:dyDescent="0.3">
      <c r="A437" s="18" t="s">
        <v>1729</v>
      </c>
      <c r="B437" s="7">
        <v>6</v>
      </c>
      <c r="C437" s="7">
        <v>12</v>
      </c>
      <c r="D437" s="7" t="s">
        <v>2259</v>
      </c>
      <c r="E437" s="7">
        <v>11000000</v>
      </c>
      <c r="F437" s="7">
        <f t="shared" si="28"/>
        <v>11000000</v>
      </c>
      <c r="G437" s="7">
        <f t="shared" si="29"/>
        <v>35437.687658664196</v>
      </c>
      <c r="H437" s="7" t="s">
        <v>2260</v>
      </c>
      <c r="I437" s="18" t="s">
        <v>1812</v>
      </c>
      <c r="J437" s="18" t="s">
        <v>1802</v>
      </c>
      <c r="K437" s="3">
        <v>1194.3699999999999</v>
      </c>
      <c r="L437" s="7" t="s">
        <v>2246</v>
      </c>
      <c r="M437" s="7">
        <f t="shared" si="30"/>
        <v>1.1943699999999999</v>
      </c>
      <c r="N437" s="7">
        <f t="shared" si="27"/>
        <v>370.73722547999995</v>
      </c>
    </row>
    <row r="438" spans="1:14" ht="15.6" x14ac:dyDescent="0.3">
      <c r="A438" s="18" t="s">
        <v>1729</v>
      </c>
      <c r="B438" s="7">
        <v>6</v>
      </c>
      <c r="C438" s="7">
        <v>12</v>
      </c>
      <c r="D438" s="7" t="s">
        <v>2259</v>
      </c>
      <c r="E438" s="7">
        <v>11000000</v>
      </c>
      <c r="F438" s="7">
        <f t="shared" si="28"/>
        <v>11000000</v>
      </c>
      <c r="G438" s="7">
        <f t="shared" si="29"/>
        <v>35437.687658664196</v>
      </c>
      <c r="H438" s="7" t="s">
        <v>2260</v>
      </c>
      <c r="I438" s="18" t="s">
        <v>1812</v>
      </c>
      <c r="J438" s="18" t="s">
        <v>1802</v>
      </c>
      <c r="K438" s="3">
        <v>1687.86</v>
      </c>
      <c r="L438" s="7" t="s">
        <v>2246</v>
      </c>
      <c r="M438" s="7">
        <f t="shared" si="30"/>
        <v>1.6878599999999999</v>
      </c>
      <c r="N438" s="7">
        <f t="shared" si="27"/>
        <v>523.9184954399999</v>
      </c>
    </row>
    <row r="439" spans="1:14" ht="15.6" x14ac:dyDescent="0.3">
      <c r="A439" s="18" t="s">
        <v>1729</v>
      </c>
      <c r="B439" s="7">
        <v>6</v>
      </c>
      <c r="C439" s="7">
        <v>12</v>
      </c>
      <c r="D439" s="7" t="s">
        <v>2259</v>
      </c>
      <c r="E439" s="7">
        <v>11000000</v>
      </c>
      <c r="F439" s="7">
        <f t="shared" si="28"/>
        <v>11000000</v>
      </c>
      <c r="G439" s="7">
        <f t="shared" si="29"/>
        <v>35437.687658664196</v>
      </c>
      <c r="H439" s="7" t="s">
        <v>2260</v>
      </c>
      <c r="I439" s="18" t="s">
        <v>1812</v>
      </c>
      <c r="J439" s="18" t="s">
        <v>1802</v>
      </c>
      <c r="K439" s="3">
        <v>1065.9100000000001</v>
      </c>
      <c r="L439" s="7" t="s">
        <v>2246</v>
      </c>
      <c r="M439" s="7">
        <f t="shared" si="30"/>
        <v>1.0659100000000001</v>
      </c>
      <c r="N439" s="7">
        <f t="shared" si="27"/>
        <v>330.86272764</v>
      </c>
    </row>
    <row r="440" spans="1:14" ht="15.6" x14ac:dyDescent="0.3">
      <c r="A440" s="18" t="s">
        <v>1729</v>
      </c>
      <c r="B440" s="7">
        <v>6</v>
      </c>
      <c r="C440" s="7">
        <v>12</v>
      </c>
      <c r="D440" s="7" t="s">
        <v>2259</v>
      </c>
      <c r="E440" s="7">
        <v>11000000</v>
      </c>
      <c r="F440" s="7">
        <f t="shared" si="28"/>
        <v>11000000</v>
      </c>
      <c r="G440" s="7">
        <f t="shared" si="29"/>
        <v>35437.687658664196</v>
      </c>
      <c r="H440" s="7" t="s">
        <v>2260</v>
      </c>
      <c r="I440" s="18" t="s">
        <v>1812</v>
      </c>
      <c r="J440" s="18" t="s">
        <v>1802</v>
      </c>
      <c r="K440" s="3" t="s">
        <v>1716</v>
      </c>
      <c r="L440" s="7" t="s">
        <v>2246</v>
      </c>
      <c r="M440" s="7" t="str">
        <f t="shared" si="30"/>
        <v>ND</v>
      </c>
      <c r="N440" s="7" t="str">
        <f t="shared" si="27"/>
        <v>ND</v>
      </c>
    </row>
    <row r="441" spans="1:14" ht="15.6" x14ac:dyDescent="0.3">
      <c r="A441" s="18" t="s">
        <v>1729</v>
      </c>
      <c r="B441" s="7">
        <v>6</v>
      </c>
      <c r="C441" s="7">
        <v>12</v>
      </c>
      <c r="D441" s="7" t="s">
        <v>2259</v>
      </c>
      <c r="E441" s="7">
        <v>11000000</v>
      </c>
      <c r="F441" s="7">
        <f t="shared" si="28"/>
        <v>11000000</v>
      </c>
      <c r="G441" s="7">
        <f t="shared" si="29"/>
        <v>35437.687658664196</v>
      </c>
      <c r="H441" s="7" t="s">
        <v>2260</v>
      </c>
      <c r="I441" s="18" t="s">
        <v>1812</v>
      </c>
      <c r="J441" s="18" t="s">
        <v>1802</v>
      </c>
      <c r="K441" s="3">
        <v>1160.54</v>
      </c>
      <c r="L441" s="7" t="s">
        <v>2246</v>
      </c>
      <c r="M441" s="7">
        <f t="shared" si="30"/>
        <v>1.1605399999999999</v>
      </c>
      <c r="N441" s="7">
        <f t="shared" si="27"/>
        <v>360.23625815999992</v>
      </c>
    </row>
    <row r="442" spans="1:14" ht="15.6" x14ac:dyDescent="0.3">
      <c r="A442" s="18" t="s">
        <v>1729</v>
      </c>
      <c r="B442" s="7">
        <v>6</v>
      </c>
      <c r="C442" s="7">
        <v>12</v>
      </c>
      <c r="D442" s="7" t="s">
        <v>2259</v>
      </c>
      <c r="E442" s="7">
        <v>11000000</v>
      </c>
      <c r="F442" s="7">
        <f t="shared" si="28"/>
        <v>11000000</v>
      </c>
      <c r="G442" s="7">
        <f t="shared" si="29"/>
        <v>35437.687658664196</v>
      </c>
      <c r="H442" s="7" t="s">
        <v>2260</v>
      </c>
      <c r="I442" s="18" t="s">
        <v>1812</v>
      </c>
      <c r="J442" s="18" t="s">
        <v>1802</v>
      </c>
      <c r="K442" s="3">
        <v>1204.5999999999999</v>
      </c>
      <c r="L442" s="7" t="s">
        <v>2246</v>
      </c>
      <c r="M442" s="7">
        <f t="shared" si="30"/>
        <v>1.2045999999999999</v>
      </c>
      <c r="N442" s="7">
        <f t="shared" si="27"/>
        <v>373.91265839999994</v>
      </c>
    </row>
    <row r="443" spans="1:14" ht="15.6" x14ac:dyDescent="0.3">
      <c r="A443" s="18" t="s">
        <v>1729</v>
      </c>
      <c r="B443" s="7">
        <v>6</v>
      </c>
      <c r="C443" s="7">
        <v>12</v>
      </c>
      <c r="D443" s="7" t="s">
        <v>2259</v>
      </c>
      <c r="E443" s="7">
        <v>11000000</v>
      </c>
      <c r="F443" s="7">
        <f t="shared" si="28"/>
        <v>11000000</v>
      </c>
      <c r="G443" s="7">
        <f t="shared" si="29"/>
        <v>35437.687658664196</v>
      </c>
      <c r="H443" s="7" t="s">
        <v>2260</v>
      </c>
      <c r="I443" s="18" t="s">
        <v>1812</v>
      </c>
      <c r="J443" s="18" t="s">
        <v>1802</v>
      </c>
      <c r="K443" s="3">
        <v>4484.9799999999996</v>
      </c>
      <c r="L443" s="7" t="s">
        <v>2246</v>
      </c>
      <c r="M443" s="7">
        <f t="shared" si="30"/>
        <v>4.4849799999999993</v>
      </c>
      <c r="N443" s="7">
        <f t="shared" si="27"/>
        <v>1392.1557319199997</v>
      </c>
    </row>
    <row r="444" spans="1:14" ht="15.6" x14ac:dyDescent="0.3">
      <c r="A444" s="18" t="s">
        <v>1729</v>
      </c>
      <c r="B444" s="7">
        <v>6</v>
      </c>
      <c r="C444" s="7">
        <v>12</v>
      </c>
      <c r="D444" s="7" t="s">
        <v>2259</v>
      </c>
      <c r="E444" s="7">
        <v>11000000</v>
      </c>
      <c r="F444" s="7">
        <f t="shared" si="28"/>
        <v>11000000</v>
      </c>
      <c r="G444" s="7">
        <f t="shared" si="29"/>
        <v>35437.687658664196</v>
      </c>
      <c r="H444" s="7" t="s">
        <v>2260</v>
      </c>
      <c r="I444" s="18" t="s">
        <v>1812</v>
      </c>
      <c r="J444" s="18" t="s">
        <v>1802</v>
      </c>
      <c r="K444" s="3">
        <v>6681.32</v>
      </c>
      <c r="L444" s="7" t="s">
        <v>2246</v>
      </c>
      <c r="M444" s="7">
        <f t="shared" si="30"/>
        <v>6.6813199999999995</v>
      </c>
      <c r="N444" s="7">
        <f t="shared" si="27"/>
        <v>2073.9084532799998</v>
      </c>
    </row>
    <row r="445" spans="1:14" ht="15.6" x14ac:dyDescent="0.3">
      <c r="A445" s="18" t="s">
        <v>1729</v>
      </c>
      <c r="B445" s="7">
        <v>6</v>
      </c>
      <c r="C445" s="7">
        <v>12</v>
      </c>
      <c r="D445" s="7" t="s">
        <v>2259</v>
      </c>
      <c r="E445" s="7">
        <v>11000000</v>
      </c>
      <c r="F445" s="7">
        <f t="shared" si="28"/>
        <v>11000000</v>
      </c>
      <c r="G445" s="7">
        <f t="shared" si="29"/>
        <v>35437.687658664196</v>
      </c>
      <c r="H445" s="7" t="s">
        <v>2260</v>
      </c>
      <c r="I445" s="18" t="s">
        <v>1812</v>
      </c>
      <c r="J445" s="18" t="s">
        <v>1802</v>
      </c>
      <c r="K445" s="3">
        <v>3937.26</v>
      </c>
      <c r="L445" s="7" t="s">
        <v>2246</v>
      </c>
      <c r="M445" s="7">
        <f t="shared" si="30"/>
        <v>3.9372600000000002</v>
      </c>
      <c r="N445" s="7">
        <f t="shared" si="27"/>
        <v>1222.1412530399998</v>
      </c>
    </row>
    <row r="446" spans="1:14" ht="15.6" x14ac:dyDescent="0.3">
      <c r="A446" s="18" t="s">
        <v>1729</v>
      </c>
      <c r="B446" s="7">
        <v>6</v>
      </c>
      <c r="C446" s="7">
        <v>12</v>
      </c>
      <c r="D446" s="7" t="s">
        <v>2259</v>
      </c>
      <c r="E446" s="7">
        <v>11000000</v>
      </c>
      <c r="F446" s="7">
        <f t="shared" si="28"/>
        <v>11000000</v>
      </c>
      <c r="G446" s="7">
        <f t="shared" si="29"/>
        <v>35437.687658664196</v>
      </c>
      <c r="H446" s="7" t="s">
        <v>2260</v>
      </c>
      <c r="I446" s="18" t="s">
        <v>1812</v>
      </c>
      <c r="J446" s="18" t="s">
        <v>1802</v>
      </c>
      <c r="K446" s="3">
        <v>9000</v>
      </c>
      <c r="L446" s="7" t="s">
        <v>2246</v>
      </c>
      <c r="M446" s="7">
        <f t="shared" si="30"/>
        <v>9</v>
      </c>
      <c r="N446" s="7">
        <f t="shared" si="27"/>
        <v>2793.636</v>
      </c>
    </row>
    <row r="447" spans="1:14" ht="15.6" x14ac:dyDescent="0.3">
      <c r="A447" s="18" t="s">
        <v>1729</v>
      </c>
      <c r="B447" s="7">
        <v>6</v>
      </c>
      <c r="C447" s="7">
        <v>12</v>
      </c>
      <c r="D447" s="7" t="s">
        <v>2259</v>
      </c>
      <c r="E447" s="7">
        <v>11000000</v>
      </c>
      <c r="F447" s="7">
        <f t="shared" si="28"/>
        <v>11000000</v>
      </c>
      <c r="G447" s="7">
        <f t="shared" si="29"/>
        <v>35437.687658664196</v>
      </c>
      <c r="H447" s="7" t="s">
        <v>2260</v>
      </c>
      <c r="I447" s="18" t="s">
        <v>1812</v>
      </c>
      <c r="J447" s="18" t="s">
        <v>1802</v>
      </c>
      <c r="K447" s="3">
        <v>15200</v>
      </c>
      <c r="L447" s="7" t="s">
        <v>2246</v>
      </c>
      <c r="M447" s="7">
        <f t="shared" si="30"/>
        <v>15.2</v>
      </c>
      <c r="N447" s="7">
        <f t="shared" si="27"/>
        <v>4718.1407999999992</v>
      </c>
    </row>
    <row r="448" spans="1:14" ht="15.6" x14ac:dyDescent="0.3">
      <c r="A448" s="18" t="s">
        <v>1729</v>
      </c>
      <c r="B448" s="7">
        <v>6</v>
      </c>
      <c r="C448" s="7">
        <v>12</v>
      </c>
      <c r="D448" s="7" t="s">
        <v>2259</v>
      </c>
      <c r="E448" s="7">
        <v>11000000</v>
      </c>
      <c r="F448" s="7">
        <f t="shared" si="28"/>
        <v>11000000</v>
      </c>
      <c r="G448" s="7">
        <f t="shared" si="29"/>
        <v>35437.687658664196</v>
      </c>
      <c r="H448" s="7" t="s">
        <v>2260</v>
      </c>
      <c r="I448" s="18" t="s">
        <v>1812</v>
      </c>
      <c r="J448" s="18" t="s">
        <v>1802</v>
      </c>
      <c r="K448" s="3">
        <v>5760</v>
      </c>
      <c r="L448" s="7" t="s">
        <v>2246</v>
      </c>
      <c r="M448" s="7">
        <f t="shared" si="30"/>
        <v>5.76</v>
      </c>
      <c r="N448" s="7">
        <f t="shared" si="27"/>
        <v>1787.9270399999998</v>
      </c>
    </row>
    <row r="449" spans="1:14" ht="15.6" x14ac:dyDescent="0.3">
      <c r="A449" s="18" t="s">
        <v>1729</v>
      </c>
      <c r="B449" s="7">
        <v>6</v>
      </c>
      <c r="C449" s="7">
        <v>12</v>
      </c>
      <c r="D449" s="7" t="s">
        <v>2259</v>
      </c>
      <c r="E449" s="7">
        <v>11000000</v>
      </c>
      <c r="F449" s="7">
        <f t="shared" si="28"/>
        <v>11000000</v>
      </c>
      <c r="G449" s="7">
        <f t="shared" si="29"/>
        <v>35437.687658664196</v>
      </c>
      <c r="H449" s="7" t="s">
        <v>2260</v>
      </c>
      <c r="I449" s="18" t="s">
        <v>1812</v>
      </c>
      <c r="J449" s="18" t="s">
        <v>1802</v>
      </c>
      <c r="K449" s="3">
        <v>5325.64</v>
      </c>
      <c r="L449" s="7" t="s">
        <v>2246</v>
      </c>
      <c r="M449" s="7">
        <f t="shared" si="30"/>
        <v>5.3256399999999999</v>
      </c>
      <c r="N449" s="7">
        <f t="shared" si="27"/>
        <v>1653.0999585599998</v>
      </c>
    </row>
    <row r="450" spans="1:14" ht="15.6" x14ac:dyDescent="0.3">
      <c r="A450" s="18" t="s">
        <v>1729</v>
      </c>
      <c r="B450" s="7">
        <v>6</v>
      </c>
      <c r="C450" s="7">
        <v>12</v>
      </c>
      <c r="D450" s="7" t="s">
        <v>2259</v>
      </c>
      <c r="E450" s="7">
        <v>11000000</v>
      </c>
      <c r="F450" s="7">
        <f t="shared" si="28"/>
        <v>11000000</v>
      </c>
      <c r="G450" s="7">
        <f t="shared" si="29"/>
        <v>35437.687658664196</v>
      </c>
      <c r="H450" s="7" t="s">
        <v>2260</v>
      </c>
      <c r="I450" s="18" t="s">
        <v>1812</v>
      </c>
      <c r="J450" s="18" t="s">
        <v>1802</v>
      </c>
      <c r="K450" s="3">
        <v>3968.16</v>
      </c>
      <c r="L450" s="7" t="s">
        <v>2246</v>
      </c>
      <c r="M450" s="7">
        <f t="shared" si="30"/>
        <v>3.9681599999999997</v>
      </c>
      <c r="N450" s="7">
        <f t="shared" si="27"/>
        <v>1231.73273664</v>
      </c>
    </row>
    <row r="451" spans="1:14" ht="15.6" x14ac:dyDescent="0.3">
      <c r="A451" s="18" t="s">
        <v>1729</v>
      </c>
      <c r="B451" s="7">
        <v>6</v>
      </c>
      <c r="C451" s="7">
        <v>12</v>
      </c>
      <c r="D451" s="7" t="s">
        <v>2259</v>
      </c>
      <c r="E451" s="7">
        <v>11000000</v>
      </c>
      <c r="F451" s="7">
        <f t="shared" si="28"/>
        <v>11000000</v>
      </c>
      <c r="G451" s="7">
        <f t="shared" si="29"/>
        <v>35437.687658664196</v>
      </c>
      <c r="H451" s="7" t="s">
        <v>2260</v>
      </c>
      <c r="I451" s="18" t="s">
        <v>1812</v>
      </c>
      <c r="J451" s="18" t="s">
        <v>1802</v>
      </c>
      <c r="K451" s="3">
        <v>3682.47</v>
      </c>
      <c r="L451" s="7" t="s">
        <v>2246</v>
      </c>
      <c r="M451" s="7">
        <f t="shared" si="30"/>
        <v>3.6824699999999999</v>
      </c>
      <c r="N451" s="7">
        <f t="shared" ref="N451:N514" si="31">IFERROR((M451*F451)/G451,"ND")</f>
        <v>1143.0534178799999</v>
      </c>
    </row>
    <row r="452" spans="1:14" ht="15.6" x14ac:dyDescent="0.3">
      <c r="A452" s="18" t="s">
        <v>1729</v>
      </c>
      <c r="B452" s="7">
        <v>6</v>
      </c>
      <c r="C452" s="7">
        <v>12</v>
      </c>
      <c r="D452" s="7" t="s">
        <v>2259</v>
      </c>
      <c r="E452" s="7">
        <v>11000000</v>
      </c>
      <c r="F452" s="7">
        <f t="shared" si="28"/>
        <v>11000000</v>
      </c>
      <c r="G452" s="7">
        <f t="shared" si="29"/>
        <v>35437.687658664196</v>
      </c>
      <c r="H452" s="7" t="s">
        <v>2260</v>
      </c>
      <c r="I452" s="18" t="s">
        <v>1812</v>
      </c>
      <c r="J452" s="18" t="s">
        <v>1802</v>
      </c>
      <c r="K452" s="3">
        <v>3372.81</v>
      </c>
      <c r="L452" s="7" t="s">
        <v>2246</v>
      </c>
      <c r="M452" s="7">
        <f t="shared" si="30"/>
        <v>3.3728099999999999</v>
      </c>
      <c r="N452" s="7">
        <f t="shared" si="31"/>
        <v>1046.9337152399999</v>
      </c>
    </row>
    <row r="453" spans="1:14" ht="15.6" x14ac:dyDescent="0.3">
      <c r="A453" s="18" t="s">
        <v>1729</v>
      </c>
      <c r="B453" s="7">
        <v>6</v>
      </c>
      <c r="C453" s="7">
        <v>12</v>
      </c>
      <c r="D453" s="7" t="s">
        <v>2259</v>
      </c>
      <c r="E453" s="7">
        <v>11000000</v>
      </c>
      <c r="F453" s="7">
        <f t="shared" si="28"/>
        <v>11000000</v>
      </c>
      <c r="G453" s="7">
        <f t="shared" si="29"/>
        <v>35437.687658664196</v>
      </c>
      <c r="H453" s="7" t="s">
        <v>2260</v>
      </c>
      <c r="I453" s="18" t="s">
        <v>1812</v>
      </c>
      <c r="J453" s="18" t="s">
        <v>1802</v>
      </c>
      <c r="K453" s="3">
        <v>5319.58</v>
      </c>
      <c r="L453" s="7" t="s">
        <v>2246</v>
      </c>
      <c r="M453" s="7">
        <f t="shared" si="30"/>
        <v>5.3195800000000002</v>
      </c>
      <c r="N453" s="7">
        <f t="shared" si="31"/>
        <v>1651.2189103199998</v>
      </c>
    </row>
    <row r="454" spans="1:14" ht="15.6" x14ac:dyDescent="0.3">
      <c r="A454" s="18" t="s">
        <v>1729</v>
      </c>
      <c r="B454" s="7">
        <v>6</v>
      </c>
      <c r="C454" s="7">
        <v>12</v>
      </c>
      <c r="D454" s="7" t="s">
        <v>2259</v>
      </c>
      <c r="E454" s="7">
        <v>11000000</v>
      </c>
      <c r="F454" s="7">
        <f t="shared" si="28"/>
        <v>11000000</v>
      </c>
      <c r="G454" s="7">
        <f t="shared" si="29"/>
        <v>35437.687658664196</v>
      </c>
      <c r="H454" s="7" t="s">
        <v>2260</v>
      </c>
      <c r="I454" s="18" t="s">
        <v>1812</v>
      </c>
      <c r="J454" s="18" t="s">
        <v>1802</v>
      </c>
      <c r="K454" s="3">
        <v>15810.2</v>
      </c>
      <c r="L454" s="7" t="s">
        <v>2246</v>
      </c>
      <c r="M454" s="7">
        <f t="shared" si="30"/>
        <v>15.8102</v>
      </c>
      <c r="N454" s="7">
        <f t="shared" si="31"/>
        <v>4907.5493207999998</v>
      </c>
    </row>
    <row r="455" spans="1:14" ht="15.6" x14ac:dyDescent="0.3">
      <c r="A455" s="18" t="s">
        <v>1729</v>
      </c>
      <c r="B455" s="7">
        <v>6</v>
      </c>
      <c r="C455" s="7">
        <v>12</v>
      </c>
      <c r="D455" s="7" t="s">
        <v>2259</v>
      </c>
      <c r="E455" s="7">
        <v>11000000</v>
      </c>
      <c r="F455" s="7">
        <f t="shared" si="28"/>
        <v>11000000</v>
      </c>
      <c r="G455" s="7">
        <f t="shared" si="29"/>
        <v>35437.687658664196</v>
      </c>
      <c r="H455" s="7" t="s">
        <v>2260</v>
      </c>
      <c r="I455" s="18" t="s">
        <v>1812</v>
      </c>
      <c r="J455" s="18" t="s">
        <v>1802</v>
      </c>
      <c r="K455" s="3">
        <v>2033.94</v>
      </c>
      <c r="L455" s="7" t="s">
        <v>2246</v>
      </c>
      <c r="M455" s="7">
        <f t="shared" si="30"/>
        <v>2.0339399999999999</v>
      </c>
      <c r="N455" s="7">
        <f t="shared" si="31"/>
        <v>631.34311175999994</v>
      </c>
    </row>
    <row r="456" spans="1:14" ht="15.6" x14ac:dyDescent="0.3">
      <c r="A456" s="18" t="s">
        <v>1729</v>
      </c>
      <c r="B456" s="7">
        <v>6</v>
      </c>
      <c r="C456" s="7">
        <v>12</v>
      </c>
      <c r="D456" s="7" t="s">
        <v>2259</v>
      </c>
      <c r="E456" s="7">
        <v>11000000</v>
      </c>
      <c r="F456" s="7">
        <f t="shared" si="28"/>
        <v>11000000</v>
      </c>
      <c r="G456" s="7">
        <f t="shared" si="29"/>
        <v>35437.687658664196</v>
      </c>
      <c r="H456" s="7" t="s">
        <v>2260</v>
      </c>
      <c r="I456" s="18" t="s">
        <v>1812</v>
      </c>
      <c r="J456" s="18" t="s">
        <v>1802</v>
      </c>
      <c r="K456" s="3">
        <v>1474.26</v>
      </c>
      <c r="L456" s="7" t="s">
        <v>2246</v>
      </c>
      <c r="M456" s="7">
        <f t="shared" si="30"/>
        <v>1.4742599999999999</v>
      </c>
      <c r="N456" s="7">
        <f t="shared" si="31"/>
        <v>457.61620103999991</v>
      </c>
    </row>
    <row r="457" spans="1:14" ht="15.6" x14ac:dyDescent="0.3">
      <c r="A457" s="18" t="s">
        <v>1729</v>
      </c>
      <c r="B457" s="7">
        <v>6</v>
      </c>
      <c r="C457" s="7">
        <v>12</v>
      </c>
      <c r="D457" s="7" t="s">
        <v>2259</v>
      </c>
      <c r="E457" s="7">
        <v>11000000</v>
      </c>
      <c r="F457" s="7">
        <f t="shared" si="28"/>
        <v>11000000</v>
      </c>
      <c r="G457" s="7">
        <f t="shared" si="29"/>
        <v>35437.687658664196</v>
      </c>
      <c r="H457" s="7" t="s">
        <v>2260</v>
      </c>
      <c r="I457" s="18" t="s">
        <v>1812</v>
      </c>
      <c r="J457" s="18" t="s">
        <v>1802</v>
      </c>
      <c r="K457" s="3">
        <v>2009.25</v>
      </c>
      <c r="L457" s="7" t="s">
        <v>2246</v>
      </c>
      <c r="M457" s="7">
        <f t="shared" si="30"/>
        <v>2.0092500000000002</v>
      </c>
      <c r="N457" s="7">
        <f t="shared" si="31"/>
        <v>623.67923700000006</v>
      </c>
    </row>
    <row r="458" spans="1:14" ht="15.6" x14ac:dyDescent="0.3">
      <c r="A458" s="18" t="s">
        <v>1741</v>
      </c>
      <c r="B458" s="7">
        <v>6</v>
      </c>
      <c r="C458" s="7">
        <v>12</v>
      </c>
      <c r="D458" s="7" t="s">
        <v>2259</v>
      </c>
      <c r="E458" s="7">
        <v>11000000</v>
      </c>
      <c r="F458" s="7">
        <f t="shared" si="28"/>
        <v>11000000</v>
      </c>
      <c r="G458" s="7">
        <f t="shared" si="29"/>
        <v>35437.687658664196</v>
      </c>
      <c r="H458" s="7" t="s">
        <v>2260</v>
      </c>
      <c r="I458" s="18" t="s">
        <v>1812</v>
      </c>
      <c r="J458" s="18" t="s">
        <v>1802</v>
      </c>
      <c r="K458" s="3">
        <v>115.58</v>
      </c>
      <c r="L458" s="7" t="s">
        <v>2246</v>
      </c>
      <c r="M458" s="7">
        <f t="shared" si="30"/>
        <v>0.11558</v>
      </c>
      <c r="N458" s="7">
        <f t="shared" si="31"/>
        <v>35.876494319999999</v>
      </c>
    </row>
    <row r="459" spans="1:14" ht="15.6" x14ac:dyDescent="0.3">
      <c r="A459" s="18" t="s">
        <v>1741</v>
      </c>
      <c r="B459" s="7">
        <v>6</v>
      </c>
      <c r="C459" s="7">
        <v>12</v>
      </c>
      <c r="D459" s="7" t="s">
        <v>2259</v>
      </c>
      <c r="E459" s="7">
        <v>11000000</v>
      </c>
      <c r="F459" s="7">
        <f t="shared" si="28"/>
        <v>11000000</v>
      </c>
      <c r="G459" s="7">
        <f t="shared" si="29"/>
        <v>35437.687658664196</v>
      </c>
      <c r="H459" s="7" t="s">
        <v>2260</v>
      </c>
      <c r="I459" s="18" t="s">
        <v>1812</v>
      </c>
      <c r="J459" s="18" t="s">
        <v>1802</v>
      </c>
      <c r="K459" s="3">
        <v>99.03</v>
      </c>
      <c r="L459" s="7" t="s">
        <v>2246</v>
      </c>
      <c r="M459" s="7">
        <f t="shared" si="30"/>
        <v>9.9030000000000007E-2</v>
      </c>
      <c r="N459" s="7">
        <f t="shared" si="31"/>
        <v>30.739308119999997</v>
      </c>
    </row>
    <row r="460" spans="1:14" ht="15.6" x14ac:dyDescent="0.3">
      <c r="A460" s="18" t="s">
        <v>1741</v>
      </c>
      <c r="B460" s="7">
        <v>6</v>
      </c>
      <c r="C460" s="7">
        <v>12</v>
      </c>
      <c r="D460" s="7" t="s">
        <v>2259</v>
      </c>
      <c r="E460" s="7">
        <v>11000000</v>
      </c>
      <c r="F460" s="7">
        <f t="shared" si="28"/>
        <v>11000000</v>
      </c>
      <c r="G460" s="7">
        <f t="shared" si="29"/>
        <v>35437.687658664196</v>
      </c>
      <c r="H460" s="7" t="s">
        <v>2260</v>
      </c>
      <c r="I460" s="18" t="s">
        <v>1812</v>
      </c>
      <c r="J460" s="18" t="s">
        <v>1802</v>
      </c>
      <c r="K460" s="3">
        <v>78.260000000000005</v>
      </c>
      <c r="L460" s="7" t="s">
        <v>2246</v>
      </c>
      <c r="M460" s="7">
        <f t="shared" si="30"/>
        <v>7.826000000000001E-2</v>
      </c>
      <c r="N460" s="7">
        <f t="shared" si="31"/>
        <v>24.292217040000001</v>
      </c>
    </row>
    <row r="461" spans="1:14" ht="15.6" x14ac:dyDescent="0.3">
      <c r="A461" s="18" t="s">
        <v>1741</v>
      </c>
      <c r="B461" s="7">
        <v>6</v>
      </c>
      <c r="C461" s="7">
        <v>12</v>
      </c>
      <c r="D461" s="7" t="s">
        <v>2259</v>
      </c>
      <c r="E461" s="7">
        <v>11000000</v>
      </c>
      <c r="F461" s="7">
        <f t="shared" si="28"/>
        <v>11000000</v>
      </c>
      <c r="G461" s="7">
        <f t="shared" si="29"/>
        <v>35437.687658664196</v>
      </c>
      <c r="H461" s="7" t="s">
        <v>2260</v>
      </c>
      <c r="I461" s="18" t="s">
        <v>1812</v>
      </c>
      <c r="J461" s="18" t="s">
        <v>1802</v>
      </c>
      <c r="K461" s="3">
        <v>159.77000000000001</v>
      </c>
      <c r="L461" s="7" t="s">
        <v>2246</v>
      </c>
      <c r="M461" s="7">
        <f t="shared" si="30"/>
        <v>0.15977000000000002</v>
      </c>
      <c r="N461" s="7">
        <f t="shared" si="31"/>
        <v>49.593247080000005</v>
      </c>
    </row>
    <row r="462" spans="1:14" ht="15.6" x14ac:dyDescent="0.3">
      <c r="A462" s="18" t="s">
        <v>1741</v>
      </c>
      <c r="B462" s="7">
        <v>6</v>
      </c>
      <c r="C462" s="7">
        <v>12</v>
      </c>
      <c r="D462" s="7" t="s">
        <v>2259</v>
      </c>
      <c r="E462" s="7">
        <v>11000000</v>
      </c>
      <c r="F462" s="7">
        <f t="shared" si="28"/>
        <v>11000000</v>
      </c>
      <c r="G462" s="7">
        <f t="shared" si="29"/>
        <v>35437.687658664196</v>
      </c>
      <c r="H462" s="7" t="s">
        <v>2260</v>
      </c>
      <c r="I462" s="18" t="s">
        <v>1812</v>
      </c>
      <c r="J462" s="18" t="s">
        <v>1802</v>
      </c>
      <c r="K462" s="3">
        <v>95.68</v>
      </c>
      <c r="L462" s="7" t="s">
        <v>2246</v>
      </c>
      <c r="M462" s="7">
        <f t="shared" si="30"/>
        <v>9.5680000000000001E-2</v>
      </c>
      <c r="N462" s="7">
        <f t="shared" si="31"/>
        <v>29.699454719999999</v>
      </c>
    </row>
    <row r="463" spans="1:14" ht="15.6" x14ac:dyDescent="0.3">
      <c r="A463" s="18" t="s">
        <v>1741</v>
      </c>
      <c r="B463" s="7">
        <v>6</v>
      </c>
      <c r="C463" s="7">
        <v>12</v>
      </c>
      <c r="D463" s="7" t="s">
        <v>2259</v>
      </c>
      <c r="E463" s="7">
        <v>11000000</v>
      </c>
      <c r="F463" s="7">
        <f t="shared" si="28"/>
        <v>11000000</v>
      </c>
      <c r="G463" s="7">
        <f t="shared" si="29"/>
        <v>35437.687658664196</v>
      </c>
      <c r="H463" s="7" t="s">
        <v>2260</v>
      </c>
      <c r="I463" s="18" t="s">
        <v>1812</v>
      </c>
      <c r="J463" s="18" t="s">
        <v>1802</v>
      </c>
      <c r="K463" s="3">
        <v>85.25</v>
      </c>
      <c r="L463" s="7" t="s">
        <v>2246</v>
      </c>
      <c r="M463" s="7">
        <f t="shared" si="30"/>
        <v>8.5250000000000006E-2</v>
      </c>
      <c r="N463" s="7">
        <f t="shared" si="31"/>
        <v>26.461940999999999</v>
      </c>
    </row>
    <row r="464" spans="1:14" ht="15.6" x14ac:dyDescent="0.3">
      <c r="A464" s="18" t="s">
        <v>1741</v>
      </c>
      <c r="B464" s="7">
        <v>6</v>
      </c>
      <c r="C464" s="7">
        <v>12</v>
      </c>
      <c r="D464" s="7" t="s">
        <v>2259</v>
      </c>
      <c r="E464" s="7">
        <v>11000000</v>
      </c>
      <c r="F464" s="7">
        <f t="shared" si="28"/>
        <v>11000000</v>
      </c>
      <c r="G464" s="7">
        <f t="shared" si="29"/>
        <v>35437.687658664196</v>
      </c>
      <c r="H464" s="7" t="s">
        <v>2260</v>
      </c>
      <c r="I464" s="18" t="s">
        <v>1812</v>
      </c>
      <c r="J464" s="18" t="s">
        <v>1802</v>
      </c>
      <c r="K464" s="3">
        <v>29.36</v>
      </c>
      <c r="L464" s="7" t="s">
        <v>2246</v>
      </c>
      <c r="M464" s="7">
        <f t="shared" si="30"/>
        <v>2.9360000000000001E-2</v>
      </c>
      <c r="N464" s="7">
        <f t="shared" si="31"/>
        <v>9.11346144</v>
      </c>
    </row>
    <row r="465" spans="1:14" ht="15.6" x14ac:dyDescent="0.3">
      <c r="A465" s="18" t="s">
        <v>1741</v>
      </c>
      <c r="B465" s="7">
        <v>6</v>
      </c>
      <c r="C465" s="7">
        <v>12</v>
      </c>
      <c r="D465" s="7" t="s">
        <v>2259</v>
      </c>
      <c r="E465" s="7">
        <v>11000000</v>
      </c>
      <c r="F465" s="7">
        <f t="shared" si="28"/>
        <v>11000000</v>
      </c>
      <c r="G465" s="7">
        <f t="shared" si="29"/>
        <v>35437.687658664196</v>
      </c>
      <c r="H465" s="7" t="s">
        <v>2260</v>
      </c>
      <c r="I465" s="18" t="s">
        <v>1812</v>
      </c>
      <c r="J465" s="18" t="s">
        <v>1802</v>
      </c>
      <c r="K465" s="3">
        <v>223.43</v>
      </c>
      <c r="L465" s="7" t="s">
        <v>2246</v>
      </c>
      <c r="M465" s="7">
        <f t="shared" si="30"/>
        <v>0.22343000000000002</v>
      </c>
      <c r="N465" s="7">
        <f t="shared" si="31"/>
        <v>69.353565719999992</v>
      </c>
    </row>
    <row r="466" spans="1:14" ht="15.6" x14ac:dyDescent="0.3">
      <c r="A466" s="18" t="s">
        <v>1741</v>
      </c>
      <c r="B466" s="7">
        <v>6</v>
      </c>
      <c r="C466" s="7">
        <v>12</v>
      </c>
      <c r="D466" s="7" t="s">
        <v>2259</v>
      </c>
      <c r="E466" s="7">
        <v>11000000</v>
      </c>
      <c r="F466" s="7">
        <f t="shared" si="28"/>
        <v>11000000</v>
      </c>
      <c r="G466" s="7">
        <f t="shared" si="29"/>
        <v>35437.687658664196</v>
      </c>
      <c r="H466" s="7" t="s">
        <v>2260</v>
      </c>
      <c r="I466" s="18" t="s">
        <v>1812</v>
      </c>
      <c r="J466" s="18" t="s">
        <v>1802</v>
      </c>
      <c r="K466" s="3">
        <v>187.97</v>
      </c>
      <c r="L466" s="7" t="s">
        <v>2246</v>
      </c>
      <c r="M466" s="7">
        <f t="shared" si="30"/>
        <v>0.18797</v>
      </c>
      <c r="N466" s="7">
        <f t="shared" si="31"/>
        <v>58.346639879999998</v>
      </c>
    </row>
    <row r="467" spans="1:14" ht="15.6" x14ac:dyDescent="0.3">
      <c r="A467" s="18" t="s">
        <v>1741</v>
      </c>
      <c r="B467" s="7">
        <v>6</v>
      </c>
      <c r="C467" s="7">
        <v>12</v>
      </c>
      <c r="D467" s="7" t="s">
        <v>2259</v>
      </c>
      <c r="E467" s="7">
        <v>11000000</v>
      </c>
      <c r="F467" s="7">
        <f t="shared" si="28"/>
        <v>11000000</v>
      </c>
      <c r="G467" s="7">
        <f t="shared" si="29"/>
        <v>35437.687658664196</v>
      </c>
      <c r="H467" s="7" t="s">
        <v>2260</v>
      </c>
      <c r="I467" s="18" t="s">
        <v>1812</v>
      </c>
      <c r="J467" s="18" t="s">
        <v>1802</v>
      </c>
      <c r="K467" s="3">
        <v>359.18</v>
      </c>
      <c r="L467" s="7" t="s">
        <v>2246</v>
      </c>
      <c r="M467" s="7">
        <f t="shared" si="30"/>
        <v>0.35918</v>
      </c>
      <c r="N467" s="7">
        <f t="shared" si="31"/>
        <v>111.49090871999999</v>
      </c>
    </row>
    <row r="468" spans="1:14" ht="15.6" x14ac:dyDescent="0.3">
      <c r="A468" s="18" t="s">
        <v>1741</v>
      </c>
      <c r="B468" s="7">
        <v>6</v>
      </c>
      <c r="C468" s="7">
        <v>12</v>
      </c>
      <c r="D468" s="7" t="s">
        <v>2259</v>
      </c>
      <c r="E468" s="7">
        <v>11000000</v>
      </c>
      <c r="F468" s="7">
        <f t="shared" si="28"/>
        <v>11000000</v>
      </c>
      <c r="G468" s="7">
        <f t="shared" si="29"/>
        <v>35437.687658664196</v>
      </c>
      <c r="H468" s="7" t="s">
        <v>2260</v>
      </c>
      <c r="I468" s="18" t="s">
        <v>1812</v>
      </c>
      <c r="J468" s="18" t="s">
        <v>1802</v>
      </c>
      <c r="K468" s="3">
        <v>575.88</v>
      </c>
      <c r="L468" s="7" t="s">
        <v>2246</v>
      </c>
      <c r="M468" s="7">
        <f t="shared" si="30"/>
        <v>0.57587999999999995</v>
      </c>
      <c r="N468" s="7">
        <f t="shared" si="31"/>
        <v>178.75545551999997</v>
      </c>
    </row>
    <row r="469" spans="1:14" ht="15.6" x14ac:dyDescent="0.3">
      <c r="A469" s="18" t="s">
        <v>1741</v>
      </c>
      <c r="B469" s="7">
        <v>6</v>
      </c>
      <c r="C469" s="7">
        <v>12</v>
      </c>
      <c r="D469" s="7" t="s">
        <v>2259</v>
      </c>
      <c r="E469" s="7">
        <v>11000000</v>
      </c>
      <c r="F469" s="7">
        <f t="shared" si="28"/>
        <v>11000000</v>
      </c>
      <c r="G469" s="7">
        <f t="shared" si="29"/>
        <v>35437.687658664196</v>
      </c>
      <c r="H469" s="7" t="s">
        <v>2260</v>
      </c>
      <c r="I469" s="18" t="s">
        <v>1812</v>
      </c>
      <c r="J469" s="18" t="s">
        <v>1802</v>
      </c>
      <c r="K469" s="3">
        <v>290.18</v>
      </c>
      <c r="L469" s="7" t="s">
        <v>2246</v>
      </c>
      <c r="M469" s="7">
        <f t="shared" si="30"/>
        <v>0.29017999999999999</v>
      </c>
      <c r="N469" s="7">
        <f t="shared" si="31"/>
        <v>90.073032719999986</v>
      </c>
    </row>
    <row r="470" spans="1:14" ht="15.6" x14ac:dyDescent="0.3">
      <c r="A470" s="18" t="s">
        <v>1741</v>
      </c>
      <c r="B470" s="7">
        <v>6</v>
      </c>
      <c r="C470" s="7">
        <v>12</v>
      </c>
      <c r="D470" s="7" t="s">
        <v>2259</v>
      </c>
      <c r="E470" s="7">
        <v>11000000</v>
      </c>
      <c r="F470" s="7">
        <f t="shared" si="28"/>
        <v>11000000</v>
      </c>
      <c r="G470" s="7">
        <f t="shared" si="29"/>
        <v>35437.687658664196</v>
      </c>
      <c r="H470" s="7" t="s">
        <v>2260</v>
      </c>
      <c r="I470" s="18" t="s">
        <v>1812</v>
      </c>
      <c r="J470" s="18" t="s">
        <v>1802</v>
      </c>
      <c r="K470" s="3">
        <v>728.97</v>
      </c>
      <c r="L470" s="7" t="s">
        <v>2246</v>
      </c>
      <c r="M470" s="7">
        <f t="shared" si="30"/>
        <v>0.72897000000000001</v>
      </c>
      <c r="N470" s="7">
        <f t="shared" si="31"/>
        <v>226.27520387999999</v>
      </c>
    </row>
    <row r="471" spans="1:14" ht="15.6" x14ac:dyDescent="0.3">
      <c r="A471" s="18" t="s">
        <v>1741</v>
      </c>
      <c r="B471" s="7">
        <v>6</v>
      </c>
      <c r="C471" s="7">
        <v>12</v>
      </c>
      <c r="D471" s="7" t="s">
        <v>2259</v>
      </c>
      <c r="E471" s="7">
        <v>11000000</v>
      </c>
      <c r="F471" s="7">
        <f t="shared" si="28"/>
        <v>11000000</v>
      </c>
      <c r="G471" s="7">
        <f t="shared" si="29"/>
        <v>35437.687658664196</v>
      </c>
      <c r="H471" s="7" t="s">
        <v>2260</v>
      </c>
      <c r="I471" s="18" t="s">
        <v>1812</v>
      </c>
      <c r="J471" s="18" t="s">
        <v>1802</v>
      </c>
      <c r="K471" s="3">
        <v>475.65</v>
      </c>
      <c r="L471" s="7" t="s">
        <v>2246</v>
      </c>
      <c r="M471" s="7">
        <f t="shared" si="30"/>
        <v>0.47564999999999996</v>
      </c>
      <c r="N471" s="7">
        <f t="shared" si="31"/>
        <v>147.6436626</v>
      </c>
    </row>
    <row r="472" spans="1:14" ht="15.6" x14ac:dyDescent="0.3">
      <c r="A472" s="18" t="s">
        <v>1741</v>
      </c>
      <c r="B472" s="7">
        <v>6</v>
      </c>
      <c r="C472" s="7">
        <v>12</v>
      </c>
      <c r="D472" s="7" t="s">
        <v>2259</v>
      </c>
      <c r="E472" s="7">
        <v>11000000</v>
      </c>
      <c r="F472" s="7">
        <f t="shared" si="28"/>
        <v>11000000</v>
      </c>
      <c r="G472" s="7">
        <f t="shared" si="29"/>
        <v>35437.687658664196</v>
      </c>
      <c r="H472" s="7" t="s">
        <v>2260</v>
      </c>
      <c r="I472" s="18" t="s">
        <v>1812</v>
      </c>
      <c r="J472" s="18" t="s">
        <v>1802</v>
      </c>
      <c r="K472" s="3">
        <v>443.52</v>
      </c>
      <c r="L472" s="7" t="s">
        <v>2246</v>
      </c>
      <c r="M472" s="7">
        <f t="shared" si="30"/>
        <v>0.44351999999999997</v>
      </c>
      <c r="N472" s="7">
        <f t="shared" si="31"/>
        <v>137.67038208</v>
      </c>
    </row>
    <row r="473" spans="1:14" ht="15.6" x14ac:dyDescent="0.3">
      <c r="A473" s="18" t="s">
        <v>1741</v>
      </c>
      <c r="B473" s="7">
        <v>6</v>
      </c>
      <c r="C473" s="7">
        <v>12</v>
      </c>
      <c r="D473" s="7" t="s">
        <v>2259</v>
      </c>
      <c r="E473" s="7">
        <v>11000000</v>
      </c>
      <c r="F473" s="7">
        <f t="shared" ref="F473:F536" si="32">E473</f>
        <v>11000000</v>
      </c>
      <c r="G473" s="7">
        <f t="shared" ref="G473:G536" si="33">F473/310.404</f>
        <v>35437.687658664196</v>
      </c>
      <c r="H473" s="7" t="s">
        <v>2260</v>
      </c>
      <c r="I473" s="18" t="s">
        <v>1812</v>
      </c>
      <c r="J473" s="18" t="s">
        <v>1802</v>
      </c>
      <c r="K473" s="3">
        <v>463.13</v>
      </c>
      <c r="L473" s="7" t="s">
        <v>2246</v>
      </c>
      <c r="M473" s="7">
        <f t="shared" si="30"/>
        <v>0.46312999999999999</v>
      </c>
      <c r="N473" s="7">
        <f t="shared" si="31"/>
        <v>143.75740451999999</v>
      </c>
    </row>
    <row r="474" spans="1:14" ht="15.6" x14ac:dyDescent="0.3">
      <c r="A474" s="18" t="s">
        <v>1741</v>
      </c>
      <c r="B474" s="7">
        <v>6</v>
      </c>
      <c r="C474" s="7">
        <v>12</v>
      </c>
      <c r="D474" s="7" t="s">
        <v>2259</v>
      </c>
      <c r="E474" s="7">
        <v>11000000</v>
      </c>
      <c r="F474" s="7">
        <f t="shared" si="32"/>
        <v>11000000</v>
      </c>
      <c r="G474" s="7">
        <f t="shared" si="33"/>
        <v>35437.687658664196</v>
      </c>
      <c r="H474" s="7" t="s">
        <v>2260</v>
      </c>
      <c r="I474" s="18" t="s">
        <v>1812</v>
      </c>
      <c r="J474" s="18" t="s">
        <v>1802</v>
      </c>
      <c r="K474" s="3">
        <v>451.65</v>
      </c>
      <c r="L474" s="7" t="s">
        <v>2246</v>
      </c>
      <c r="M474" s="7">
        <f t="shared" si="30"/>
        <v>0.45165</v>
      </c>
      <c r="N474" s="7">
        <f t="shared" si="31"/>
        <v>140.19396659999998</v>
      </c>
    </row>
    <row r="475" spans="1:14" ht="15.6" x14ac:dyDescent="0.3">
      <c r="A475" s="18" t="s">
        <v>1741</v>
      </c>
      <c r="B475" s="7">
        <v>6</v>
      </c>
      <c r="C475" s="7">
        <v>12</v>
      </c>
      <c r="D475" s="7" t="s">
        <v>2259</v>
      </c>
      <c r="E475" s="7">
        <v>11000000</v>
      </c>
      <c r="F475" s="7">
        <f t="shared" si="32"/>
        <v>11000000</v>
      </c>
      <c r="G475" s="7">
        <f t="shared" si="33"/>
        <v>35437.687658664196</v>
      </c>
      <c r="H475" s="7" t="s">
        <v>2260</v>
      </c>
      <c r="I475" s="18" t="s">
        <v>1812</v>
      </c>
      <c r="J475" s="18" t="s">
        <v>1802</v>
      </c>
      <c r="K475" s="3">
        <v>513.25</v>
      </c>
      <c r="L475" s="7" t="s">
        <v>2246</v>
      </c>
      <c r="M475" s="7">
        <f t="shared" si="30"/>
        <v>0.51324999999999998</v>
      </c>
      <c r="N475" s="7">
        <f t="shared" si="31"/>
        <v>159.314853</v>
      </c>
    </row>
    <row r="476" spans="1:14" ht="15.6" x14ac:dyDescent="0.3">
      <c r="A476" s="18" t="s">
        <v>1741</v>
      </c>
      <c r="B476" s="7">
        <v>6</v>
      </c>
      <c r="C476" s="7">
        <v>12</v>
      </c>
      <c r="D476" s="7" t="s">
        <v>2259</v>
      </c>
      <c r="E476" s="7">
        <v>11000000</v>
      </c>
      <c r="F476" s="7">
        <f t="shared" si="32"/>
        <v>11000000</v>
      </c>
      <c r="G476" s="7">
        <f t="shared" si="33"/>
        <v>35437.687658664196</v>
      </c>
      <c r="H476" s="7" t="s">
        <v>2260</v>
      </c>
      <c r="I476" s="18" t="s">
        <v>1812</v>
      </c>
      <c r="J476" s="18" t="s">
        <v>1802</v>
      </c>
      <c r="K476" s="3">
        <v>572.78</v>
      </c>
      <c r="L476" s="7" t="s">
        <v>2246</v>
      </c>
      <c r="M476" s="7">
        <f t="shared" si="30"/>
        <v>0.57277999999999996</v>
      </c>
      <c r="N476" s="7">
        <f t="shared" si="31"/>
        <v>177.79320311999996</v>
      </c>
    </row>
    <row r="477" spans="1:14" ht="15.6" x14ac:dyDescent="0.3">
      <c r="A477" s="18" t="s">
        <v>1741</v>
      </c>
      <c r="B477" s="7">
        <v>6</v>
      </c>
      <c r="C477" s="7">
        <v>12</v>
      </c>
      <c r="D477" s="7" t="s">
        <v>2259</v>
      </c>
      <c r="E477" s="7">
        <v>11000000</v>
      </c>
      <c r="F477" s="7">
        <f t="shared" si="32"/>
        <v>11000000</v>
      </c>
      <c r="G477" s="7">
        <f t="shared" si="33"/>
        <v>35437.687658664196</v>
      </c>
      <c r="H477" s="7" t="s">
        <v>2260</v>
      </c>
      <c r="I477" s="18" t="s">
        <v>1812</v>
      </c>
      <c r="J477" s="18" t="s">
        <v>1802</v>
      </c>
      <c r="K477" s="3">
        <v>118.05</v>
      </c>
      <c r="L477" s="7" t="s">
        <v>2246</v>
      </c>
      <c r="M477" s="7">
        <f t="shared" si="30"/>
        <v>0.11805</v>
      </c>
      <c r="N477" s="7">
        <f t="shared" si="31"/>
        <v>36.643192199999994</v>
      </c>
    </row>
    <row r="478" spans="1:14" ht="15.6" x14ac:dyDescent="0.3">
      <c r="A478" s="18" t="s">
        <v>1741</v>
      </c>
      <c r="B478" s="7">
        <v>6</v>
      </c>
      <c r="C478" s="7">
        <v>12</v>
      </c>
      <c r="D478" s="7" t="s">
        <v>2259</v>
      </c>
      <c r="E478" s="7">
        <v>11000000</v>
      </c>
      <c r="F478" s="7">
        <f t="shared" si="32"/>
        <v>11000000</v>
      </c>
      <c r="G478" s="7">
        <f t="shared" si="33"/>
        <v>35437.687658664196</v>
      </c>
      <c r="H478" s="7" t="s">
        <v>2260</v>
      </c>
      <c r="I478" s="18" t="s">
        <v>1812</v>
      </c>
      <c r="J478" s="18" t="s">
        <v>1802</v>
      </c>
      <c r="K478" s="3">
        <v>97.15</v>
      </c>
      <c r="L478" s="7" t="s">
        <v>2246</v>
      </c>
      <c r="M478" s="7">
        <f t="shared" si="30"/>
        <v>9.715E-2</v>
      </c>
      <c r="N478" s="7">
        <f t="shared" si="31"/>
        <v>30.155748599999999</v>
      </c>
    </row>
    <row r="479" spans="1:14" ht="15.6" x14ac:dyDescent="0.3">
      <c r="A479" s="18" t="s">
        <v>1741</v>
      </c>
      <c r="B479" s="7">
        <v>6</v>
      </c>
      <c r="C479" s="7">
        <v>12</v>
      </c>
      <c r="D479" s="7" t="s">
        <v>2259</v>
      </c>
      <c r="E479" s="7">
        <v>11000000</v>
      </c>
      <c r="F479" s="7">
        <f t="shared" si="32"/>
        <v>11000000</v>
      </c>
      <c r="G479" s="7">
        <f t="shared" si="33"/>
        <v>35437.687658664196</v>
      </c>
      <c r="H479" s="7" t="s">
        <v>2260</v>
      </c>
      <c r="I479" s="18" t="s">
        <v>1812</v>
      </c>
      <c r="J479" s="18" t="s">
        <v>1802</v>
      </c>
      <c r="K479" s="3">
        <v>117</v>
      </c>
      <c r="L479" s="7" t="s">
        <v>2246</v>
      </c>
      <c r="M479" s="7">
        <f t="shared" si="30"/>
        <v>0.11700000000000001</v>
      </c>
      <c r="N479" s="7">
        <f t="shared" si="31"/>
        <v>36.317267999999999</v>
      </c>
    </row>
    <row r="480" spans="1:14" ht="15.6" x14ac:dyDescent="0.3">
      <c r="A480" s="18" t="s">
        <v>1741</v>
      </c>
      <c r="B480" s="7">
        <v>6</v>
      </c>
      <c r="C480" s="7">
        <v>12</v>
      </c>
      <c r="D480" s="7" t="s">
        <v>2259</v>
      </c>
      <c r="E480" s="7">
        <v>11000000</v>
      </c>
      <c r="F480" s="7">
        <f t="shared" si="32"/>
        <v>11000000</v>
      </c>
      <c r="G480" s="7">
        <f t="shared" si="33"/>
        <v>35437.687658664196</v>
      </c>
      <c r="H480" s="7" t="s">
        <v>2260</v>
      </c>
      <c r="I480" s="18" t="s">
        <v>1812</v>
      </c>
      <c r="J480" s="18" t="s">
        <v>1802</v>
      </c>
      <c r="K480" s="3">
        <v>92.1</v>
      </c>
      <c r="L480" s="7" t="s">
        <v>2246</v>
      </c>
      <c r="M480" s="7">
        <f t="shared" si="30"/>
        <v>9.2099999999999987E-2</v>
      </c>
      <c r="N480" s="7">
        <f t="shared" si="31"/>
        <v>28.588208399999996</v>
      </c>
    </row>
    <row r="481" spans="1:14" ht="15.6" x14ac:dyDescent="0.3">
      <c r="A481" s="18" t="s">
        <v>1741</v>
      </c>
      <c r="B481" s="7">
        <v>6</v>
      </c>
      <c r="C481" s="7">
        <v>12</v>
      </c>
      <c r="D481" s="7" t="s">
        <v>2259</v>
      </c>
      <c r="E481" s="7">
        <v>11000000</v>
      </c>
      <c r="F481" s="7">
        <f t="shared" si="32"/>
        <v>11000000</v>
      </c>
      <c r="G481" s="7">
        <f t="shared" si="33"/>
        <v>35437.687658664196</v>
      </c>
      <c r="H481" s="7" t="s">
        <v>2260</v>
      </c>
      <c r="I481" s="18" t="s">
        <v>1812</v>
      </c>
      <c r="J481" s="18" t="s">
        <v>1802</v>
      </c>
      <c r="K481" s="3">
        <v>129.84</v>
      </c>
      <c r="L481" s="7" t="s">
        <v>2246</v>
      </c>
      <c r="M481" s="7">
        <f t="shared" si="30"/>
        <v>0.12984000000000001</v>
      </c>
      <c r="N481" s="7">
        <f t="shared" si="31"/>
        <v>40.302855360000002</v>
      </c>
    </row>
    <row r="482" spans="1:14" ht="15.6" x14ac:dyDescent="0.3">
      <c r="A482" s="18" t="s">
        <v>1741</v>
      </c>
      <c r="B482" s="7">
        <v>6</v>
      </c>
      <c r="C482" s="7">
        <v>12</v>
      </c>
      <c r="D482" s="7" t="s">
        <v>2259</v>
      </c>
      <c r="E482" s="7">
        <v>11000000</v>
      </c>
      <c r="F482" s="7">
        <f t="shared" si="32"/>
        <v>11000000</v>
      </c>
      <c r="G482" s="7">
        <f t="shared" si="33"/>
        <v>35437.687658664196</v>
      </c>
      <c r="H482" s="7" t="s">
        <v>2260</v>
      </c>
      <c r="I482" s="18" t="s">
        <v>1812</v>
      </c>
      <c r="J482" s="18" t="s">
        <v>1802</v>
      </c>
      <c r="K482" s="3">
        <v>288.77999999999997</v>
      </c>
      <c r="L482" s="7" t="s">
        <v>2246</v>
      </c>
      <c r="M482" s="7">
        <f t="shared" si="30"/>
        <v>0.28877999999999998</v>
      </c>
      <c r="N482" s="7">
        <f t="shared" si="31"/>
        <v>89.638467119999987</v>
      </c>
    </row>
    <row r="483" spans="1:14" ht="15.6" x14ac:dyDescent="0.3">
      <c r="A483" s="18" t="s">
        <v>1741</v>
      </c>
      <c r="B483" s="7">
        <v>6</v>
      </c>
      <c r="C483" s="7">
        <v>12</v>
      </c>
      <c r="D483" s="7" t="s">
        <v>2259</v>
      </c>
      <c r="E483" s="7">
        <v>11000000</v>
      </c>
      <c r="F483" s="7">
        <f t="shared" si="32"/>
        <v>11000000</v>
      </c>
      <c r="G483" s="7">
        <f t="shared" si="33"/>
        <v>35437.687658664196</v>
      </c>
      <c r="H483" s="7" t="s">
        <v>2260</v>
      </c>
      <c r="I483" s="18" t="s">
        <v>1812</v>
      </c>
      <c r="J483" s="18" t="s">
        <v>1802</v>
      </c>
      <c r="K483" s="3">
        <v>172.06</v>
      </c>
      <c r="L483" s="7" t="s">
        <v>2246</v>
      </c>
      <c r="M483" s="7">
        <f t="shared" si="30"/>
        <v>0.17205999999999999</v>
      </c>
      <c r="N483" s="7">
        <f t="shared" si="31"/>
        <v>53.408112239999994</v>
      </c>
    </row>
    <row r="484" spans="1:14" ht="15.6" x14ac:dyDescent="0.3">
      <c r="A484" s="18" t="s">
        <v>1741</v>
      </c>
      <c r="B484" s="7">
        <v>6</v>
      </c>
      <c r="C484" s="7">
        <v>12</v>
      </c>
      <c r="D484" s="7" t="s">
        <v>2259</v>
      </c>
      <c r="E484" s="7">
        <v>11000000</v>
      </c>
      <c r="F484" s="7">
        <f t="shared" si="32"/>
        <v>11000000</v>
      </c>
      <c r="G484" s="7">
        <f t="shared" si="33"/>
        <v>35437.687658664196</v>
      </c>
      <c r="H484" s="7" t="s">
        <v>2260</v>
      </c>
      <c r="I484" s="18" t="s">
        <v>1812</v>
      </c>
      <c r="J484" s="18" t="s">
        <v>1802</v>
      </c>
      <c r="K484" s="3">
        <v>251.68</v>
      </c>
      <c r="L484" s="7" t="s">
        <v>2246</v>
      </c>
      <c r="M484" s="7">
        <f t="shared" si="30"/>
        <v>0.25168000000000001</v>
      </c>
      <c r="N484" s="7">
        <f t="shared" si="31"/>
        <v>78.122478719999989</v>
      </c>
    </row>
    <row r="485" spans="1:14" ht="15.6" x14ac:dyDescent="0.3">
      <c r="A485" s="18" t="s">
        <v>1741</v>
      </c>
      <c r="B485" s="7">
        <v>6</v>
      </c>
      <c r="C485" s="7">
        <v>12</v>
      </c>
      <c r="D485" s="7" t="s">
        <v>2259</v>
      </c>
      <c r="E485" s="7">
        <v>11000000</v>
      </c>
      <c r="F485" s="7">
        <f t="shared" si="32"/>
        <v>11000000</v>
      </c>
      <c r="G485" s="7">
        <f t="shared" si="33"/>
        <v>35437.687658664196</v>
      </c>
      <c r="H485" s="7" t="s">
        <v>2260</v>
      </c>
      <c r="I485" s="18" t="s">
        <v>1812</v>
      </c>
      <c r="J485" s="18" t="s">
        <v>1802</v>
      </c>
      <c r="K485" s="3">
        <v>449.17</v>
      </c>
      <c r="L485" s="7" t="s">
        <v>2246</v>
      </c>
      <c r="M485" s="7">
        <f t="shared" si="30"/>
        <v>0.44917000000000001</v>
      </c>
      <c r="N485" s="7">
        <f t="shared" si="31"/>
        <v>139.42416467999999</v>
      </c>
    </row>
    <row r="486" spans="1:14" ht="15.6" x14ac:dyDescent="0.3">
      <c r="A486" s="18" t="s">
        <v>1741</v>
      </c>
      <c r="B486" s="7">
        <v>6</v>
      </c>
      <c r="C486" s="7">
        <v>12</v>
      </c>
      <c r="D486" s="7" t="s">
        <v>2259</v>
      </c>
      <c r="E486" s="7">
        <v>11000000</v>
      </c>
      <c r="F486" s="7">
        <f t="shared" si="32"/>
        <v>11000000</v>
      </c>
      <c r="G486" s="7">
        <f t="shared" si="33"/>
        <v>35437.687658664196</v>
      </c>
      <c r="H486" s="7" t="s">
        <v>2260</v>
      </c>
      <c r="I486" s="18" t="s">
        <v>1812</v>
      </c>
      <c r="J486" s="18" t="s">
        <v>1802</v>
      </c>
      <c r="K486" s="3">
        <v>4290.6499999999996</v>
      </c>
      <c r="L486" s="7" t="s">
        <v>2246</v>
      </c>
      <c r="M486" s="7">
        <f t="shared" si="30"/>
        <v>4.2906499999999994</v>
      </c>
      <c r="N486" s="7">
        <f t="shared" si="31"/>
        <v>1331.8349225999996</v>
      </c>
    </row>
    <row r="487" spans="1:14" ht="15.6" x14ac:dyDescent="0.3">
      <c r="A487" s="18" t="s">
        <v>1741</v>
      </c>
      <c r="B487" s="7">
        <v>6</v>
      </c>
      <c r="C487" s="7">
        <v>12</v>
      </c>
      <c r="D487" s="7" t="s">
        <v>2259</v>
      </c>
      <c r="E487" s="7">
        <v>11000000</v>
      </c>
      <c r="F487" s="7">
        <f t="shared" si="32"/>
        <v>11000000</v>
      </c>
      <c r="G487" s="7">
        <f t="shared" si="33"/>
        <v>35437.687658664196</v>
      </c>
      <c r="H487" s="7" t="s">
        <v>2260</v>
      </c>
      <c r="I487" s="18" t="s">
        <v>1812</v>
      </c>
      <c r="J487" s="18" t="s">
        <v>1802</v>
      </c>
      <c r="K487" s="3">
        <v>3861.62</v>
      </c>
      <c r="L487" s="7" t="s">
        <v>2246</v>
      </c>
      <c r="M487" s="7">
        <f t="shared" si="30"/>
        <v>3.8616199999999998</v>
      </c>
      <c r="N487" s="7">
        <f t="shared" si="31"/>
        <v>1198.6622944799999</v>
      </c>
    </row>
    <row r="488" spans="1:14" ht="15.6" x14ac:dyDescent="0.3">
      <c r="A488" s="18" t="s">
        <v>1741</v>
      </c>
      <c r="B488" s="7">
        <v>6</v>
      </c>
      <c r="C488" s="7">
        <v>12</v>
      </c>
      <c r="D488" s="7" t="s">
        <v>2259</v>
      </c>
      <c r="E488" s="7">
        <v>11000000</v>
      </c>
      <c r="F488" s="7">
        <f t="shared" si="32"/>
        <v>11000000</v>
      </c>
      <c r="G488" s="7">
        <f t="shared" si="33"/>
        <v>35437.687658664196</v>
      </c>
      <c r="H488" s="7" t="s">
        <v>2260</v>
      </c>
      <c r="I488" s="18" t="s">
        <v>1812</v>
      </c>
      <c r="J488" s="18" t="s">
        <v>1802</v>
      </c>
      <c r="K488" s="3">
        <v>3434.45</v>
      </c>
      <c r="L488" s="7" t="s">
        <v>2246</v>
      </c>
      <c r="M488" s="7">
        <f t="shared" si="30"/>
        <v>3.43445</v>
      </c>
      <c r="N488" s="7">
        <f t="shared" si="31"/>
        <v>1066.0670177999998</v>
      </c>
    </row>
    <row r="489" spans="1:14" ht="15.6" x14ac:dyDescent="0.3">
      <c r="A489" s="18" t="s">
        <v>1741</v>
      </c>
      <c r="B489" s="7">
        <v>6</v>
      </c>
      <c r="C489" s="7">
        <v>12</v>
      </c>
      <c r="D489" s="7" t="s">
        <v>2259</v>
      </c>
      <c r="E489" s="7">
        <v>11000000</v>
      </c>
      <c r="F489" s="7">
        <f t="shared" si="32"/>
        <v>11000000</v>
      </c>
      <c r="G489" s="7">
        <f t="shared" si="33"/>
        <v>35437.687658664196</v>
      </c>
      <c r="H489" s="7" t="s">
        <v>2260</v>
      </c>
      <c r="I489" s="18" t="s">
        <v>1812</v>
      </c>
      <c r="J489" s="18" t="s">
        <v>1802</v>
      </c>
      <c r="K489" s="3">
        <v>2533.4699999999998</v>
      </c>
      <c r="L489" s="7" t="s">
        <v>2246</v>
      </c>
      <c r="M489" s="7">
        <f t="shared" si="30"/>
        <v>2.5334699999999999</v>
      </c>
      <c r="N489" s="7">
        <f t="shared" si="31"/>
        <v>786.39922187999991</v>
      </c>
    </row>
    <row r="490" spans="1:14" ht="15.6" x14ac:dyDescent="0.3">
      <c r="A490" s="18" t="s">
        <v>1741</v>
      </c>
      <c r="B490" s="7">
        <v>6</v>
      </c>
      <c r="C490" s="7">
        <v>12</v>
      </c>
      <c r="D490" s="7" t="s">
        <v>2259</v>
      </c>
      <c r="E490" s="7">
        <v>11000000</v>
      </c>
      <c r="F490" s="7">
        <f t="shared" si="32"/>
        <v>11000000</v>
      </c>
      <c r="G490" s="7">
        <f t="shared" si="33"/>
        <v>35437.687658664196</v>
      </c>
      <c r="H490" s="7" t="s">
        <v>2260</v>
      </c>
      <c r="I490" s="18" t="s">
        <v>1812</v>
      </c>
      <c r="J490" s="18" t="s">
        <v>1802</v>
      </c>
      <c r="K490" s="3">
        <v>3247.84</v>
      </c>
      <c r="L490" s="7" t="s">
        <v>2246</v>
      </c>
      <c r="M490" s="7">
        <f t="shared" ref="M490:M553" si="34">IFERROR(K490/1000,"ND")</f>
        <v>3.2478400000000001</v>
      </c>
      <c r="N490" s="7">
        <f t="shared" si="31"/>
        <v>1008.1425273599999</v>
      </c>
    </row>
    <row r="491" spans="1:14" ht="15.6" x14ac:dyDescent="0.3">
      <c r="A491" s="18" t="s">
        <v>1741</v>
      </c>
      <c r="B491" s="7">
        <v>6</v>
      </c>
      <c r="C491" s="7">
        <v>12</v>
      </c>
      <c r="D491" s="7" t="s">
        <v>2259</v>
      </c>
      <c r="E491" s="7">
        <v>11000000</v>
      </c>
      <c r="F491" s="7">
        <f t="shared" si="32"/>
        <v>11000000</v>
      </c>
      <c r="G491" s="7">
        <f t="shared" si="33"/>
        <v>35437.687658664196</v>
      </c>
      <c r="H491" s="7" t="s">
        <v>2260</v>
      </c>
      <c r="I491" s="18" t="s">
        <v>1812</v>
      </c>
      <c r="J491" s="18" t="s">
        <v>1802</v>
      </c>
      <c r="K491" s="3">
        <v>2633.35</v>
      </c>
      <c r="L491" s="7" t="s">
        <v>2246</v>
      </c>
      <c r="M491" s="7">
        <f t="shared" si="34"/>
        <v>2.6333500000000001</v>
      </c>
      <c r="N491" s="7">
        <f t="shared" si="31"/>
        <v>817.40237339999987</v>
      </c>
    </row>
    <row r="492" spans="1:14" ht="15.6" x14ac:dyDescent="0.3">
      <c r="A492" s="18" t="s">
        <v>1741</v>
      </c>
      <c r="B492" s="7">
        <v>6</v>
      </c>
      <c r="C492" s="7">
        <v>12</v>
      </c>
      <c r="D492" s="7" t="s">
        <v>2259</v>
      </c>
      <c r="E492" s="7">
        <v>11000000</v>
      </c>
      <c r="F492" s="7">
        <f t="shared" si="32"/>
        <v>11000000</v>
      </c>
      <c r="G492" s="7">
        <f t="shared" si="33"/>
        <v>35437.687658664196</v>
      </c>
      <c r="H492" s="7" t="s">
        <v>2260</v>
      </c>
      <c r="I492" s="18" t="s">
        <v>1812</v>
      </c>
      <c r="J492" s="18" t="s">
        <v>1802</v>
      </c>
      <c r="K492" s="3">
        <v>2143.79</v>
      </c>
      <c r="L492" s="7" t="s">
        <v>2246</v>
      </c>
      <c r="M492" s="7">
        <f t="shared" si="34"/>
        <v>2.1437900000000001</v>
      </c>
      <c r="N492" s="7">
        <f t="shared" si="31"/>
        <v>665.44099115999995</v>
      </c>
    </row>
    <row r="493" spans="1:14" ht="15.6" x14ac:dyDescent="0.3">
      <c r="A493" s="18" t="s">
        <v>1741</v>
      </c>
      <c r="B493" s="7">
        <v>6</v>
      </c>
      <c r="C493" s="7">
        <v>12</v>
      </c>
      <c r="D493" s="7" t="s">
        <v>2259</v>
      </c>
      <c r="E493" s="7">
        <v>11000000</v>
      </c>
      <c r="F493" s="7">
        <f t="shared" si="32"/>
        <v>11000000</v>
      </c>
      <c r="G493" s="7">
        <f t="shared" si="33"/>
        <v>35437.687658664196</v>
      </c>
      <c r="H493" s="7" t="s">
        <v>2260</v>
      </c>
      <c r="I493" s="18" t="s">
        <v>1812</v>
      </c>
      <c r="J493" s="18" t="s">
        <v>1802</v>
      </c>
      <c r="K493" s="3">
        <v>4504.67</v>
      </c>
      <c r="L493" s="7" t="s">
        <v>2246</v>
      </c>
      <c r="M493" s="7">
        <f t="shared" si="34"/>
        <v>4.50467</v>
      </c>
      <c r="N493" s="7">
        <f t="shared" si="31"/>
        <v>1398.2675866799998</v>
      </c>
    </row>
    <row r="494" spans="1:14" ht="15.6" x14ac:dyDescent="0.3">
      <c r="A494" s="18" t="s">
        <v>1741</v>
      </c>
      <c r="B494" s="7">
        <v>6</v>
      </c>
      <c r="C494" s="7">
        <v>12</v>
      </c>
      <c r="D494" s="7" t="s">
        <v>2259</v>
      </c>
      <c r="E494" s="7">
        <v>11000000</v>
      </c>
      <c r="F494" s="7">
        <f t="shared" si="32"/>
        <v>11000000</v>
      </c>
      <c r="G494" s="7">
        <f t="shared" si="33"/>
        <v>35437.687658664196</v>
      </c>
      <c r="H494" s="7" t="s">
        <v>2260</v>
      </c>
      <c r="I494" s="18" t="s">
        <v>1812</v>
      </c>
      <c r="J494" s="18" t="s">
        <v>1802</v>
      </c>
      <c r="K494" s="3">
        <v>5919.39</v>
      </c>
      <c r="L494" s="7" t="s">
        <v>2246</v>
      </c>
      <c r="M494" s="7">
        <f t="shared" si="34"/>
        <v>5.9193899999999999</v>
      </c>
      <c r="N494" s="7">
        <f t="shared" si="31"/>
        <v>1837.4023335599998</v>
      </c>
    </row>
    <row r="495" spans="1:14" ht="15.6" x14ac:dyDescent="0.3">
      <c r="A495" s="18" t="s">
        <v>1741</v>
      </c>
      <c r="B495" s="7">
        <v>6</v>
      </c>
      <c r="C495" s="7">
        <v>12</v>
      </c>
      <c r="D495" s="7" t="s">
        <v>2259</v>
      </c>
      <c r="E495" s="7">
        <v>11000000</v>
      </c>
      <c r="F495" s="7">
        <f t="shared" si="32"/>
        <v>11000000</v>
      </c>
      <c r="G495" s="7">
        <f t="shared" si="33"/>
        <v>35437.687658664196</v>
      </c>
      <c r="H495" s="7" t="s">
        <v>2260</v>
      </c>
      <c r="I495" s="18" t="s">
        <v>1812</v>
      </c>
      <c r="J495" s="18" t="s">
        <v>1802</v>
      </c>
      <c r="K495" s="3">
        <v>4163.6499999999996</v>
      </c>
      <c r="L495" s="7" t="s">
        <v>2246</v>
      </c>
      <c r="M495" s="7">
        <f t="shared" si="34"/>
        <v>4.1636499999999996</v>
      </c>
      <c r="N495" s="7">
        <f t="shared" si="31"/>
        <v>1292.4136145999996</v>
      </c>
    </row>
    <row r="496" spans="1:14" ht="15.6" x14ac:dyDescent="0.3">
      <c r="A496" s="18" t="s">
        <v>1741</v>
      </c>
      <c r="B496" s="7">
        <v>6</v>
      </c>
      <c r="C496" s="7">
        <v>12</v>
      </c>
      <c r="D496" s="7" t="s">
        <v>2259</v>
      </c>
      <c r="E496" s="7">
        <v>11000000</v>
      </c>
      <c r="F496" s="7">
        <f t="shared" si="32"/>
        <v>11000000</v>
      </c>
      <c r="G496" s="7">
        <f t="shared" si="33"/>
        <v>35437.687658664196</v>
      </c>
      <c r="H496" s="7" t="s">
        <v>2260</v>
      </c>
      <c r="I496" s="18" t="s">
        <v>1812</v>
      </c>
      <c r="J496" s="18" t="s">
        <v>1802</v>
      </c>
      <c r="K496" s="3">
        <v>4530</v>
      </c>
      <c r="L496" s="7" t="s">
        <v>2246</v>
      </c>
      <c r="M496" s="7">
        <f t="shared" si="34"/>
        <v>4.53</v>
      </c>
      <c r="N496" s="7">
        <f t="shared" si="31"/>
        <v>1406.1301199999998</v>
      </c>
    </row>
    <row r="497" spans="1:14" ht="15.6" x14ac:dyDescent="0.3">
      <c r="A497" s="18" t="s">
        <v>1741</v>
      </c>
      <c r="B497" s="7">
        <v>6</v>
      </c>
      <c r="C497" s="7">
        <v>12</v>
      </c>
      <c r="D497" s="7" t="s">
        <v>2259</v>
      </c>
      <c r="E497" s="7">
        <v>11000000</v>
      </c>
      <c r="F497" s="7">
        <f t="shared" si="32"/>
        <v>11000000</v>
      </c>
      <c r="G497" s="7">
        <f t="shared" si="33"/>
        <v>35437.687658664196</v>
      </c>
      <c r="H497" s="7" t="s">
        <v>2260</v>
      </c>
      <c r="I497" s="18" t="s">
        <v>1812</v>
      </c>
      <c r="J497" s="18" t="s">
        <v>1802</v>
      </c>
      <c r="K497" s="3">
        <v>6360</v>
      </c>
      <c r="L497" s="7" t="s">
        <v>2246</v>
      </c>
      <c r="M497" s="7">
        <f t="shared" si="34"/>
        <v>6.36</v>
      </c>
      <c r="N497" s="7">
        <f t="shared" si="31"/>
        <v>1974.1694399999999</v>
      </c>
    </row>
    <row r="498" spans="1:14" ht="15.6" x14ac:dyDescent="0.3">
      <c r="A498" s="18" t="s">
        <v>1741</v>
      </c>
      <c r="B498" s="7">
        <v>6</v>
      </c>
      <c r="C498" s="7">
        <v>12</v>
      </c>
      <c r="D498" s="7" t="s">
        <v>2259</v>
      </c>
      <c r="E498" s="7">
        <v>11000000</v>
      </c>
      <c r="F498" s="7">
        <f t="shared" si="32"/>
        <v>11000000</v>
      </c>
      <c r="G498" s="7">
        <f t="shared" si="33"/>
        <v>35437.687658664196</v>
      </c>
      <c r="H498" s="7" t="s">
        <v>2260</v>
      </c>
      <c r="I498" s="18" t="s">
        <v>1812</v>
      </c>
      <c r="J498" s="18" t="s">
        <v>1802</v>
      </c>
      <c r="K498" s="3">
        <v>4980</v>
      </c>
      <c r="L498" s="7" t="s">
        <v>2246</v>
      </c>
      <c r="M498" s="7">
        <f t="shared" si="34"/>
        <v>4.9800000000000004</v>
      </c>
      <c r="N498" s="7">
        <f t="shared" si="31"/>
        <v>1545.8119200000001</v>
      </c>
    </row>
    <row r="499" spans="1:14" ht="15.6" x14ac:dyDescent="0.3">
      <c r="A499" s="18" t="s">
        <v>1741</v>
      </c>
      <c r="B499" s="7">
        <v>6</v>
      </c>
      <c r="C499" s="7">
        <v>12</v>
      </c>
      <c r="D499" s="7" t="s">
        <v>2259</v>
      </c>
      <c r="E499" s="7">
        <v>11000000</v>
      </c>
      <c r="F499" s="7">
        <f t="shared" si="32"/>
        <v>11000000</v>
      </c>
      <c r="G499" s="7">
        <f t="shared" si="33"/>
        <v>35437.687658664196</v>
      </c>
      <c r="H499" s="7" t="s">
        <v>2260</v>
      </c>
      <c r="I499" s="18" t="s">
        <v>1812</v>
      </c>
      <c r="J499" s="18" t="s">
        <v>1802</v>
      </c>
      <c r="K499" s="3">
        <v>4352.4799999999996</v>
      </c>
      <c r="L499" s="7" t="s">
        <v>2246</v>
      </c>
      <c r="M499" s="7">
        <f t="shared" si="34"/>
        <v>4.3524799999999999</v>
      </c>
      <c r="N499" s="7">
        <f t="shared" si="31"/>
        <v>1351.0272019199999</v>
      </c>
    </row>
    <row r="500" spans="1:14" ht="15.6" x14ac:dyDescent="0.3">
      <c r="A500" s="18" t="s">
        <v>1741</v>
      </c>
      <c r="B500" s="7">
        <v>6</v>
      </c>
      <c r="C500" s="7">
        <v>12</v>
      </c>
      <c r="D500" s="7" t="s">
        <v>2259</v>
      </c>
      <c r="E500" s="7">
        <v>11000000</v>
      </c>
      <c r="F500" s="7">
        <f t="shared" si="32"/>
        <v>11000000</v>
      </c>
      <c r="G500" s="7">
        <f t="shared" si="33"/>
        <v>35437.687658664196</v>
      </c>
      <c r="H500" s="7" t="s">
        <v>2260</v>
      </c>
      <c r="I500" s="18" t="s">
        <v>1812</v>
      </c>
      <c r="J500" s="18" t="s">
        <v>1802</v>
      </c>
      <c r="K500" s="3">
        <v>7874.9</v>
      </c>
      <c r="L500" s="7" t="s">
        <v>2246</v>
      </c>
      <c r="M500" s="7">
        <f t="shared" si="34"/>
        <v>7.8748999999999993</v>
      </c>
      <c r="N500" s="7">
        <f t="shared" si="31"/>
        <v>2444.4004596</v>
      </c>
    </row>
    <row r="501" spans="1:14" ht="15.6" x14ac:dyDescent="0.3">
      <c r="A501" s="18" t="s">
        <v>1741</v>
      </c>
      <c r="B501" s="7">
        <v>6</v>
      </c>
      <c r="C501" s="7">
        <v>12</v>
      </c>
      <c r="D501" s="7" t="s">
        <v>2259</v>
      </c>
      <c r="E501" s="7">
        <v>11000000</v>
      </c>
      <c r="F501" s="7">
        <f t="shared" si="32"/>
        <v>11000000</v>
      </c>
      <c r="G501" s="7">
        <f t="shared" si="33"/>
        <v>35437.687658664196</v>
      </c>
      <c r="H501" s="7" t="s">
        <v>2260</v>
      </c>
      <c r="I501" s="18" t="s">
        <v>1812</v>
      </c>
      <c r="J501" s="18" t="s">
        <v>1802</v>
      </c>
      <c r="K501" s="3">
        <v>5369.04</v>
      </c>
      <c r="L501" s="7" t="s">
        <v>2246</v>
      </c>
      <c r="M501" s="7">
        <f t="shared" si="34"/>
        <v>5.36904</v>
      </c>
      <c r="N501" s="7">
        <f t="shared" si="31"/>
        <v>1666.5714921599999</v>
      </c>
    </row>
    <row r="502" spans="1:14" ht="15.6" x14ac:dyDescent="0.3">
      <c r="A502" s="18" t="s">
        <v>1741</v>
      </c>
      <c r="B502" s="7">
        <v>6</v>
      </c>
      <c r="C502" s="7">
        <v>12</v>
      </c>
      <c r="D502" s="7" t="s">
        <v>2259</v>
      </c>
      <c r="E502" s="7">
        <v>11000000</v>
      </c>
      <c r="F502" s="7">
        <f t="shared" si="32"/>
        <v>11000000</v>
      </c>
      <c r="G502" s="7">
        <f t="shared" si="33"/>
        <v>35437.687658664196</v>
      </c>
      <c r="H502" s="7" t="s">
        <v>2260</v>
      </c>
      <c r="I502" s="18" t="s">
        <v>1812</v>
      </c>
      <c r="J502" s="18" t="s">
        <v>1802</v>
      </c>
      <c r="K502" s="3">
        <v>6084.35</v>
      </c>
      <c r="L502" s="7" t="s">
        <v>2246</v>
      </c>
      <c r="M502" s="7">
        <f t="shared" si="34"/>
        <v>6.0843500000000006</v>
      </c>
      <c r="N502" s="7">
        <f t="shared" si="31"/>
        <v>1888.6065774000001</v>
      </c>
    </row>
    <row r="503" spans="1:14" ht="15.6" x14ac:dyDescent="0.3">
      <c r="A503" s="18" t="s">
        <v>1741</v>
      </c>
      <c r="B503" s="7">
        <v>6</v>
      </c>
      <c r="C503" s="7">
        <v>12</v>
      </c>
      <c r="D503" s="7" t="s">
        <v>2259</v>
      </c>
      <c r="E503" s="7">
        <v>11000000</v>
      </c>
      <c r="F503" s="7">
        <f t="shared" si="32"/>
        <v>11000000</v>
      </c>
      <c r="G503" s="7">
        <f t="shared" si="33"/>
        <v>35437.687658664196</v>
      </c>
      <c r="H503" s="7" t="s">
        <v>2260</v>
      </c>
      <c r="I503" s="18" t="s">
        <v>1812</v>
      </c>
      <c r="J503" s="18" t="s">
        <v>1802</v>
      </c>
      <c r="K503" s="3">
        <v>6624.41</v>
      </c>
      <c r="L503" s="7" t="s">
        <v>2246</v>
      </c>
      <c r="M503" s="7">
        <f t="shared" si="34"/>
        <v>6.6244100000000001</v>
      </c>
      <c r="N503" s="7">
        <f t="shared" si="31"/>
        <v>2056.2433616399999</v>
      </c>
    </row>
    <row r="504" spans="1:14" ht="15.6" x14ac:dyDescent="0.3">
      <c r="A504" s="18" t="s">
        <v>1741</v>
      </c>
      <c r="B504" s="7">
        <v>6</v>
      </c>
      <c r="C504" s="7">
        <v>12</v>
      </c>
      <c r="D504" s="7" t="s">
        <v>2259</v>
      </c>
      <c r="E504" s="7">
        <v>11000000</v>
      </c>
      <c r="F504" s="7">
        <f t="shared" si="32"/>
        <v>11000000</v>
      </c>
      <c r="G504" s="7">
        <f t="shared" si="33"/>
        <v>35437.687658664196</v>
      </c>
      <c r="H504" s="7" t="s">
        <v>2260</v>
      </c>
      <c r="I504" s="18" t="s">
        <v>1812</v>
      </c>
      <c r="J504" s="18" t="s">
        <v>1802</v>
      </c>
      <c r="K504" s="3">
        <v>11072.73</v>
      </c>
      <c r="L504" s="7" t="s">
        <v>2246</v>
      </c>
      <c r="M504" s="7">
        <f t="shared" si="34"/>
        <v>11.07273</v>
      </c>
      <c r="N504" s="7">
        <f t="shared" si="31"/>
        <v>3437.0196829199995</v>
      </c>
    </row>
    <row r="505" spans="1:14" ht="15.6" x14ac:dyDescent="0.3">
      <c r="A505" s="18" t="s">
        <v>1741</v>
      </c>
      <c r="B505" s="7">
        <v>6</v>
      </c>
      <c r="C505" s="7">
        <v>12</v>
      </c>
      <c r="D505" s="7" t="s">
        <v>2259</v>
      </c>
      <c r="E505" s="7">
        <v>11000000</v>
      </c>
      <c r="F505" s="7">
        <f t="shared" si="32"/>
        <v>11000000</v>
      </c>
      <c r="G505" s="7">
        <f t="shared" si="33"/>
        <v>35437.687658664196</v>
      </c>
      <c r="H505" s="7" t="s">
        <v>2260</v>
      </c>
      <c r="I505" s="18" t="s">
        <v>1812</v>
      </c>
      <c r="J505" s="18" t="s">
        <v>1802</v>
      </c>
      <c r="K505" s="3" t="s">
        <v>1716</v>
      </c>
      <c r="L505" s="7" t="s">
        <v>2246</v>
      </c>
      <c r="M505" s="7" t="str">
        <f t="shared" si="34"/>
        <v>ND</v>
      </c>
      <c r="N505" s="7" t="str">
        <f t="shared" si="31"/>
        <v>ND</v>
      </c>
    </row>
    <row r="506" spans="1:14" ht="15.6" x14ac:dyDescent="0.3">
      <c r="A506" s="18" t="s">
        <v>1741</v>
      </c>
      <c r="B506" s="7">
        <v>6</v>
      </c>
      <c r="C506" s="7">
        <v>12</v>
      </c>
      <c r="D506" s="7" t="s">
        <v>2259</v>
      </c>
      <c r="E506" s="7">
        <v>11000000</v>
      </c>
      <c r="F506" s="7">
        <f t="shared" si="32"/>
        <v>11000000</v>
      </c>
      <c r="G506" s="7">
        <f t="shared" si="33"/>
        <v>35437.687658664196</v>
      </c>
      <c r="H506" s="7" t="s">
        <v>2260</v>
      </c>
      <c r="I506" s="18" t="s">
        <v>1812</v>
      </c>
      <c r="J506" s="18" t="s">
        <v>1802</v>
      </c>
      <c r="K506" s="3">
        <v>4902.83</v>
      </c>
      <c r="L506" s="7" t="s">
        <v>2246</v>
      </c>
      <c r="M506" s="7">
        <f t="shared" si="34"/>
        <v>4.9028299999999998</v>
      </c>
      <c r="N506" s="7">
        <f t="shared" si="31"/>
        <v>1521.8580433199998</v>
      </c>
    </row>
    <row r="507" spans="1:14" ht="15.6" x14ac:dyDescent="0.3">
      <c r="A507" s="18" t="s">
        <v>1741</v>
      </c>
      <c r="B507" s="7">
        <v>6</v>
      </c>
      <c r="C507" s="7">
        <v>12</v>
      </c>
      <c r="D507" s="7" t="s">
        <v>2259</v>
      </c>
      <c r="E507" s="7">
        <v>11000000</v>
      </c>
      <c r="F507" s="7">
        <f t="shared" si="32"/>
        <v>11000000</v>
      </c>
      <c r="G507" s="7">
        <f t="shared" si="33"/>
        <v>35437.687658664196</v>
      </c>
      <c r="H507" s="7" t="s">
        <v>2260</v>
      </c>
      <c r="I507" s="18" t="s">
        <v>1812</v>
      </c>
      <c r="J507" s="18" t="s">
        <v>1802</v>
      </c>
      <c r="K507" s="3">
        <v>5011.07</v>
      </c>
      <c r="L507" s="7" t="s">
        <v>2246</v>
      </c>
      <c r="M507" s="7">
        <f t="shared" si="34"/>
        <v>5.0110700000000001</v>
      </c>
      <c r="N507" s="7">
        <f t="shared" si="31"/>
        <v>1555.4561722799999</v>
      </c>
    </row>
    <row r="508" spans="1:14" ht="15.6" x14ac:dyDescent="0.3">
      <c r="A508" s="18" t="s">
        <v>1760</v>
      </c>
      <c r="B508" s="7">
        <v>6</v>
      </c>
      <c r="C508" s="7">
        <v>12</v>
      </c>
      <c r="D508" s="7" t="s">
        <v>2259</v>
      </c>
      <c r="E508" s="7">
        <v>11000000</v>
      </c>
      <c r="F508" s="7">
        <f t="shared" si="32"/>
        <v>11000000</v>
      </c>
      <c r="G508" s="7">
        <f t="shared" si="33"/>
        <v>35437.687658664196</v>
      </c>
      <c r="H508" s="7" t="s">
        <v>2260</v>
      </c>
      <c r="I508" s="18" t="s">
        <v>1812</v>
      </c>
      <c r="J508" s="18" t="s">
        <v>1802</v>
      </c>
      <c r="K508" s="3" t="s">
        <v>1716</v>
      </c>
      <c r="L508" s="7" t="s">
        <v>2246</v>
      </c>
      <c r="M508" s="7" t="str">
        <f t="shared" si="34"/>
        <v>ND</v>
      </c>
      <c r="N508" s="7" t="str">
        <f t="shared" si="31"/>
        <v>ND</v>
      </c>
    </row>
    <row r="509" spans="1:14" ht="15.6" x14ac:dyDescent="0.3">
      <c r="A509" s="18" t="s">
        <v>1760</v>
      </c>
      <c r="B509" s="7">
        <v>6</v>
      </c>
      <c r="C509" s="7">
        <v>12</v>
      </c>
      <c r="D509" s="7" t="s">
        <v>2259</v>
      </c>
      <c r="E509" s="7">
        <v>11000000</v>
      </c>
      <c r="F509" s="7">
        <f t="shared" si="32"/>
        <v>11000000</v>
      </c>
      <c r="G509" s="7">
        <f t="shared" si="33"/>
        <v>35437.687658664196</v>
      </c>
      <c r="H509" s="7" t="s">
        <v>2260</v>
      </c>
      <c r="I509" s="18" t="s">
        <v>1812</v>
      </c>
      <c r="J509" s="18" t="s">
        <v>1802</v>
      </c>
      <c r="K509" s="3" t="s">
        <v>1716</v>
      </c>
      <c r="L509" s="7" t="s">
        <v>2246</v>
      </c>
      <c r="M509" s="7" t="str">
        <f t="shared" si="34"/>
        <v>ND</v>
      </c>
      <c r="N509" s="7" t="str">
        <f t="shared" si="31"/>
        <v>ND</v>
      </c>
    </row>
    <row r="510" spans="1:14" ht="15.6" x14ac:dyDescent="0.3">
      <c r="A510" s="18" t="s">
        <v>1760</v>
      </c>
      <c r="B510" s="7">
        <v>6</v>
      </c>
      <c r="C510" s="7">
        <v>12</v>
      </c>
      <c r="D510" s="7" t="s">
        <v>2259</v>
      </c>
      <c r="E510" s="7">
        <v>11000000</v>
      </c>
      <c r="F510" s="7">
        <f t="shared" si="32"/>
        <v>11000000</v>
      </c>
      <c r="G510" s="7">
        <f t="shared" si="33"/>
        <v>35437.687658664196</v>
      </c>
      <c r="H510" s="7" t="s">
        <v>2260</v>
      </c>
      <c r="I510" s="18" t="s">
        <v>1812</v>
      </c>
      <c r="J510" s="18" t="s">
        <v>1802</v>
      </c>
      <c r="K510" s="3" t="s">
        <v>1716</v>
      </c>
      <c r="L510" s="7" t="s">
        <v>2246</v>
      </c>
      <c r="M510" s="7" t="str">
        <f t="shared" si="34"/>
        <v>ND</v>
      </c>
      <c r="N510" s="7" t="str">
        <f t="shared" si="31"/>
        <v>ND</v>
      </c>
    </row>
    <row r="511" spans="1:14" ht="15.6" x14ac:dyDescent="0.3">
      <c r="A511" s="18" t="s">
        <v>1760</v>
      </c>
      <c r="B511" s="7">
        <v>6</v>
      </c>
      <c r="C511" s="7">
        <v>12</v>
      </c>
      <c r="D511" s="7" t="s">
        <v>2259</v>
      </c>
      <c r="E511" s="7">
        <v>11000000</v>
      </c>
      <c r="F511" s="7">
        <f t="shared" si="32"/>
        <v>11000000</v>
      </c>
      <c r="G511" s="7">
        <f t="shared" si="33"/>
        <v>35437.687658664196</v>
      </c>
      <c r="H511" s="7" t="s">
        <v>2260</v>
      </c>
      <c r="I511" s="18" t="s">
        <v>1812</v>
      </c>
      <c r="J511" s="18" t="s">
        <v>1802</v>
      </c>
      <c r="K511" s="3" t="s">
        <v>1716</v>
      </c>
      <c r="L511" s="7" t="s">
        <v>2246</v>
      </c>
      <c r="M511" s="7" t="str">
        <f t="shared" si="34"/>
        <v>ND</v>
      </c>
      <c r="N511" s="7" t="str">
        <f t="shared" si="31"/>
        <v>ND</v>
      </c>
    </row>
    <row r="512" spans="1:14" ht="15.6" x14ac:dyDescent="0.3">
      <c r="A512" s="18" t="s">
        <v>1760</v>
      </c>
      <c r="B512" s="7">
        <v>6</v>
      </c>
      <c r="C512" s="7">
        <v>12</v>
      </c>
      <c r="D512" s="7" t="s">
        <v>2259</v>
      </c>
      <c r="E512" s="7">
        <v>11000000</v>
      </c>
      <c r="F512" s="7">
        <f t="shared" si="32"/>
        <v>11000000</v>
      </c>
      <c r="G512" s="7">
        <f t="shared" si="33"/>
        <v>35437.687658664196</v>
      </c>
      <c r="H512" s="7" t="s">
        <v>2260</v>
      </c>
      <c r="I512" s="18" t="s">
        <v>1812</v>
      </c>
      <c r="J512" s="18" t="s">
        <v>1802</v>
      </c>
      <c r="K512" s="3" t="s">
        <v>1716</v>
      </c>
      <c r="L512" s="7" t="s">
        <v>2246</v>
      </c>
      <c r="M512" s="7" t="str">
        <f t="shared" si="34"/>
        <v>ND</v>
      </c>
      <c r="N512" s="7" t="str">
        <f t="shared" si="31"/>
        <v>ND</v>
      </c>
    </row>
    <row r="513" spans="1:14" ht="15.6" x14ac:dyDescent="0.3">
      <c r="A513" s="18" t="s">
        <v>1760</v>
      </c>
      <c r="B513" s="7">
        <v>6</v>
      </c>
      <c r="C513" s="7">
        <v>12</v>
      </c>
      <c r="D513" s="7" t="s">
        <v>2259</v>
      </c>
      <c r="E513" s="7">
        <v>11000000</v>
      </c>
      <c r="F513" s="7">
        <f t="shared" si="32"/>
        <v>11000000</v>
      </c>
      <c r="G513" s="7">
        <f t="shared" si="33"/>
        <v>35437.687658664196</v>
      </c>
      <c r="H513" s="7" t="s">
        <v>2260</v>
      </c>
      <c r="I513" s="18" t="s">
        <v>1812</v>
      </c>
      <c r="J513" s="18" t="s">
        <v>1802</v>
      </c>
      <c r="K513" s="3" t="s">
        <v>1716</v>
      </c>
      <c r="L513" s="7" t="s">
        <v>2246</v>
      </c>
      <c r="M513" s="7" t="str">
        <f t="shared" si="34"/>
        <v>ND</v>
      </c>
      <c r="N513" s="7" t="str">
        <f t="shared" si="31"/>
        <v>ND</v>
      </c>
    </row>
    <row r="514" spans="1:14" ht="15.6" x14ac:dyDescent="0.3">
      <c r="A514" s="18" t="s">
        <v>1760</v>
      </c>
      <c r="B514" s="7">
        <v>6</v>
      </c>
      <c r="C514" s="7">
        <v>12</v>
      </c>
      <c r="D514" s="7" t="s">
        <v>2259</v>
      </c>
      <c r="E514" s="7">
        <v>11000000</v>
      </c>
      <c r="F514" s="7">
        <f t="shared" si="32"/>
        <v>11000000</v>
      </c>
      <c r="G514" s="7">
        <f t="shared" si="33"/>
        <v>35437.687658664196</v>
      </c>
      <c r="H514" s="7" t="s">
        <v>2260</v>
      </c>
      <c r="I514" s="18" t="s">
        <v>1812</v>
      </c>
      <c r="J514" s="18" t="s">
        <v>1802</v>
      </c>
      <c r="K514" s="3" t="s">
        <v>1716</v>
      </c>
      <c r="L514" s="7" t="s">
        <v>2246</v>
      </c>
      <c r="M514" s="7" t="str">
        <f t="shared" si="34"/>
        <v>ND</v>
      </c>
      <c r="N514" s="7" t="str">
        <f t="shared" si="31"/>
        <v>ND</v>
      </c>
    </row>
    <row r="515" spans="1:14" ht="15.6" x14ac:dyDescent="0.3">
      <c r="A515" s="18" t="s">
        <v>1760</v>
      </c>
      <c r="B515" s="7">
        <v>6</v>
      </c>
      <c r="C515" s="7">
        <v>12</v>
      </c>
      <c r="D515" s="7" t="s">
        <v>2259</v>
      </c>
      <c r="E515" s="7">
        <v>11000000</v>
      </c>
      <c r="F515" s="7">
        <f t="shared" si="32"/>
        <v>11000000</v>
      </c>
      <c r="G515" s="7">
        <f t="shared" si="33"/>
        <v>35437.687658664196</v>
      </c>
      <c r="H515" s="7" t="s">
        <v>2260</v>
      </c>
      <c r="I515" s="18" t="s">
        <v>1812</v>
      </c>
      <c r="J515" s="18" t="s">
        <v>1802</v>
      </c>
      <c r="K515" s="3" t="s">
        <v>1716</v>
      </c>
      <c r="L515" s="7" t="s">
        <v>2246</v>
      </c>
      <c r="M515" s="7" t="str">
        <f t="shared" si="34"/>
        <v>ND</v>
      </c>
      <c r="N515" s="7" t="str">
        <f t="shared" ref="N515:N578" si="35">IFERROR((M515*F515)/G515,"ND")</f>
        <v>ND</v>
      </c>
    </row>
    <row r="516" spans="1:14" ht="15.6" x14ac:dyDescent="0.3">
      <c r="A516" s="18" t="s">
        <v>1760</v>
      </c>
      <c r="B516" s="7">
        <v>6</v>
      </c>
      <c r="C516" s="7">
        <v>12</v>
      </c>
      <c r="D516" s="7" t="s">
        <v>2259</v>
      </c>
      <c r="E516" s="7">
        <v>11000000</v>
      </c>
      <c r="F516" s="7">
        <f t="shared" si="32"/>
        <v>11000000</v>
      </c>
      <c r="G516" s="7">
        <f t="shared" si="33"/>
        <v>35437.687658664196</v>
      </c>
      <c r="H516" s="7" t="s">
        <v>2260</v>
      </c>
      <c r="I516" s="18" t="s">
        <v>1812</v>
      </c>
      <c r="J516" s="18" t="s">
        <v>1802</v>
      </c>
      <c r="K516" s="3" t="s">
        <v>1716</v>
      </c>
      <c r="L516" s="7" t="s">
        <v>2246</v>
      </c>
      <c r="M516" s="7" t="str">
        <f t="shared" si="34"/>
        <v>ND</v>
      </c>
      <c r="N516" s="7" t="str">
        <f t="shared" si="35"/>
        <v>ND</v>
      </c>
    </row>
    <row r="517" spans="1:14" ht="15.6" x14ac:dyDescent="0.3">
      <c r="A517" s="18" t="s">
        <v>1760</v>
      </c>
      <c r="B517" s="7">
        <v>6</v>
      </c>
      <c r="C517" s="7">
        <v>12</v>
      </c>
      <c r="D517" s="7" t="s">
        <v>2259</v>
      </c>
      <c r="E517" s="7">
        <v>11000000</v>
      </c>
      <c r="F517" s="7">
        <f t="shared" si="32"/>
        <v>11000000</v>
      </c>
      <c r="G517" s="7">
        <f t="shared" si="33"/>
        <v>35437.687658664196</v>
      </c>
      <c r="H517" s="7" t="s">
        <v>2260</v>
      </c>
      <c r="I517" s="18" t="s">
        <v>1812</v>
      </c>
      <c r="J517" s="18" t="s">
        <v>1802</v>
      </c>
      <c r="K517" s="3" t="s">
        <v>1716</v>
      </c>
      <c r="L517" s="7" t="s">
        <v>2246</v>
      </c>
      <c r="M517" s="7" t="str">
        <f t="shared" si="34"/>
        <v>ND</v>
      </c>
      <c r="N517" s="7" t="str">
        <f t="shared" si="35"/>
        <v>ND</v>
      </c>
    </row>
    <row r="518" spans="1:14" ht="15.6" x14ac:dyDescent="0.3">
      <c r="A518" s="18" t="s">
        <v>1760</v>
      </c>
      <c r="B518" s="7">
        <v>6</v>
      </c>
      <c r="C518" s="7">
        <v>12</v>
      </c>
      <c r="D518" s="7" t="s">
        <v>2259</v>
      </c>
      <c r="E518" s="7">
        <v>11000000</v>
      </c>
      <c r="F518" s="7">
        <f t="shared" si="32"/>
        <v>11000000</v>
      </c>
      <c r="G518" s="7">
        <f t="shared" si="33"/>
        <v>35437.687658664196</v>
      </c>
      <c r="H518" s="7" t="s">
        <v>2260</v>
      </c>
      <c r="I518" s="18" t="s">
        <v>1812</v>
      </c>
      <c r="J518" s="18" t="s">
        <v>1802</v>
      </c>
      <c r="K518" s="3">
        <v>6.78</v>
      </c>
      <c r="L518" s="7" t="s">
        <v>2246</v>
      </c>
      <c r="M518" s="7">
        <f t="shared" si="34"/>
        <v>6.7800000000000004E-3</v>
      </c>
      <c r="N518" s="7">
        <f t="shared" si="35"/>
        <v>2.1045391199999997</v>
      </c>
    </row>
    <row r="519" spans="1:14" ht="15.6" x14ac:dyDescent="0.3">
      <c r="A519" s="18" t="s">
        <v>1760</v>
      </c>
      <c r="B519" s="7">
        <v>6</v>
      </c>
      <c r="C519" s="7">
        <v>12</v>
      </c>
      <c r="D519" s="7" t="s">
        <v>2259</v>
      </c>
      <c r="E519" s="7">
        <v>11000000</v>
      </c>
      <c r="F519" s="7">
        <f t="shared" si="32"/>
        <v>11000000</v>
      </c>
      <c r="G519" s="7">
        <f t="shared" si="33"/>
        <v>35437.687658664196</v>
      </c>
      <c r="H519" s="7" t="s">
        <v>2260</v>
      </c>
      <c r="I519" s="18" t="s">
        <v>1812</v>
      </c>
      <c r="J519" s="18" t="s">
        <v>1802</v>
      </c>
      <c r="K519" s="3" t="s">
        <v>1716</v>
      </c>
      <c r="L519" s="7" t="s">
        <v>2246</v>
      </c>
      <c r="M519" s="7" t="str">
        <f t="shared" si="34"/>
        <v>ND</v>
      </c>
      <c r="N519" s="7" t="str">
        <f t="shared" si="35"/>
        <v>ND</v>
      </c>
    </row>
    <row r="520" spans="1:14" ht="15.6" x14ac:dyDescent="0.3">
      <c r="A520" s="18" t="s">
        <v>1760</v>
      </c>
      <c r="B520" s="7">
        <v>6</v>
      </c>
      <c r="C520" s="7">
        <v>12</v>
      </c>
      <c r="D520" s="7" t="s">
        <v>2259</v>
      </c>
      <c r="E520" s="7">
        <v>11000000</v>
      </c>
      <c r="F520" s="7">
        <f t="shared" si="32"/>
        <v>11000000</v>
      </c>
      <c r="G520" s="7">
        <f t="shared" si="33"/>
        <v>35437.687658664196</v>
      </c>
      <c r="H520" s="7" t="s">
        <v>2260</v>
      </c>
      <c r="I520" s="18" t="s">
        <v>1812</v>
      </c>
      <c r="J520" s="18" t="s">
        <v>1802</v>
      </c>
      <c r="K520" s="3">
        <v>8.0399999999999991</v>
      </c>
      <c r="L520" s="7" t="s">
        <v>2246</v>
      </c>
      <c r="M520" s="7">
        <f t="shared" si="34"/>
        <v>8.0399999999999985E-3</v>
      </c>
      <c r="N520" s="7">
        <f t="shared" si="35"/>
        <v>2.4956481599999996</v>
      </c>
    </row>
    <row r="521" spans="1:14" ht="15.6" x14ac:dyDescent="0.3">
      <c r="A521" s="18" t="s">
        <v>1760</v>
      </c>
      <c r="B521" s="7">
        <v>6</v>
      </c>
      <c r="C521" s="7">
        <v>12</v>
      </c>
      <c r="D521" s="7" t="s">
        <v>2259</v>
      </c>
      <c r="E521" s="7">
        <v>11000000</v>
      </c>
      <c r="F521" s="7">
        <f t="shared" si="32"/>
        <v>11000000</v>
      </c>
      <c r="G521" s="7">
        <f t="shared" si="33"/>
        <v>35437.687658664196</v>
      </c>
      <c r="H521" s="7" t="s">
        <v>2260</v>
      </c>
      <c r="I521" s="18" t="s">
        <v>1812</v>
      </c>
      <c r="J521" s="18" t="s">
        <v>1802</v>
      </c>
      <c r="K521" s="3">
        <v>5.48</v>
      </c>
      <c r="L521" s="7" t="s">
        <v>2246</v>
      </c>
      <c r="M521" s="7">
        <f t="shared" si="34"/>
        <v>5.4800000000000005E-3</v>
      </c>
      <c r="N521" s="7">
        <f t="shared" si="35"/>
        <v>1.7010139200000001</v>
      </c>
    </row>
    <row r="522" spans="1:14" ht="15.6" x14ac:dyDescent="0.3">
      <c r="A522" s="18" t="s">
        <v>1760</v>
      </c>
      <c r="B522" s="7">
        <v>6</v>
      </c>
      <c r="C522" s="7">
        <v>12</v>
      </c>
      <c r="D522" s="7" t="s">
        <v>2259</v>
      </c>
      <c r="E522" s="7">
        <v>11000000</v>
      </c>
      <c r="F522" s="7">
        <f t="shared" si="32"/>
        <v>11000000</v>
      </c>
      <c r="G522" s="7">
        <f t="shared" si="33"/>
        <v>35437.687658664196</v>
      </c>
      <c r="H522" s="7" t="s">
        <v>2260</v>
      </c>
      <c r="I522" s="18" t="s">
        <v>1812</v>
      </c>
      <c r="J522" s="18" t="s">
        <v>1802</v>
      </c>
      <c r="K522" s="3">
        <v>5.82</v>
      </c>
      <c r="L522" s="7" t="s">
        <v>2246</v>
      </c>
      <c r="M522" s="7">
        <f t="shared" si="34"/>
        <v>5.8200000000000005E-3</v>
      </c>
      <c r="N522" s="7">
        <f t="shared" si="35"/>
        <v>1.8065512800000001</v>
      </c>
    </row>
    <row r="523" spans="1:14" ht="15.6" x14ac:dyDescent="0.3">
      <c r="A523" s="18" t="s">
        <v>1760</v>
      </c>
      <c r="B523" s="7">
        <v>6</v>
      </c>
      <c r="C523" s="7">
        <v>12</v>
      </c>
      <c r="D523" s="7" t="s">
        <v>2259</v>
      </c>
      <c r="E523" s="7">
        <v>11000000</v>
      </c>
      <c r="F523" s="7">
        <f t="shared" si="32"/>
        <v>11000000</v>
      </c>
      <c r="G523" s="7">
        <f t="shared" si="33"/>
        <v>35437.687658664196</v>
      </c>
      <c r="H523" s="7" t="s">
        <v>2260</v>
      </c>
      <c r="I523" s="18" t="s">
        <v>1812</v>
      </c>
      <c r="J523" s="18" t="s">
        <v>1802</v>
      </c>
      <c r="K523" s="3">
        <v>5.51</v>
      </c>
      <c r="L523" s="7" t="s">
        <v>2246</v>
      </c>
      <c r="M523" s="7">
        <f t="shared" si="34"/>
        <v>5.5100000000000001E-3</v>
      </c>
      <c r="N523" s="7">
        <f t="shared" si="35"/>
        <v>1.7103260399999998</v>
      </c>
    </row>
    <row r="524" spans="1:14" ht="15.6" x14ac:dyDescent="0.3">
      <c r="A524" s="18" t="s">
        <v>1760</v>
      </c>
      <c r="B524" s="7">
        <v>6</v>
      </c>
      <c r="C524" s="7">
        <v>12</v>
      </c>
      <c r="D524" s="7" t="s">
        <v>2259</v>
      </c>
      <c r="E524" s="7">
        <v>11000000</v>
      </c>
      <c r="F524" s="7">
        <f t="shared" si="32"/>
        <v>11000000</v>
      </c>
      <c r="G524" s="7">
        <f t="shared" si="33"/>
        <v>35437.687658664196</v>
      </c>
      <c r="H524" s="7" t="s">
        <v>2260</v>
      </c>
      <c r="I524" s="18" t="s">
        <v>1812</v>
      </c>
      <c r="J524" s="18" t="s">
        <v>1802</v>
      </c>
      <c r="K524" s="3">
        <v>5.99</v>
      </c>
      <c r="L524" s="7" t="s">
        <v>2246</v>
      </c>
      <c r="M524" s="7">
        <f t="shared" si="34"/>
        <v>5.9900000000000005E-3</v>
      </c>
      <c r="N524" s="7">
        <f t="shared" si="35"/>
        <v>1.8593199599999999</v>
      </c>
    </row>
    <row r="525" spans="1:14" ht="15.6" x14ac:dyDescent="0.3">
      <c r="A525" s="18" t="s">
        <v>1760</v>
      </c>
      <c r="B525" s="7">
        <v>6</v>
      </c>
      <c r="C525" s="7">
        <v>12</v>
      </c>
      <c r="D525" s="7" t="s">
        <v>2259</v>
      </c>
      <c r="E525" s="7">
        <v>11000000</v>
      </c>
      <c r="F525" s="7">
        <f t="shared" si="32"/>
        <v>11000000</v>
      </c>
      <c r="G525" s="7">
        <f t="shared" si="33"/>
        <v>35437.687658664196</v>
      </c>
      <c r="H525" s="7" t="s">
        <v>2260</v>
      </c>
      <c r="I525" s="18" t="s">
        <v>1812</v>
      </c>
      <c r="J525" s="18" t="s">
        <v>1802</v>
      </c>
      <c r="K525" s="3">
        <v>6.03</v>
      </c>
      <c r="L525" s="7" t="s">
        <v>2246</v>
      </c>
      <c r="M525" s="7">
        <f t="shared" si="34"/>
        <v>6.0300000000000006E-3</v>
      </c>
      <c r="N525" s="7">
        <f t="shared" si="35"/>
        <v>1.8717361199999998</v>
      </c>
    </row>
    <row r="526" spans="1:14" ht="15.6" x14ac:dyDescent="0.3">
      <c r="A526" s="18" t="s">
        <v>1760</v>
      </c>
      <c r="B526" s="7">
        <v>6</v>
      </c>
      <c r="C526" s="7">
        <v>12</v>
      </c>
      <c r="D526" s="7" t="s">
        <v>2259</v>
      </c>
      <c r="E526" s="7">
        <v>11000000</v>
      </c>
      <c r="F526" s="7">
        <f t="shared" si="32"/>
        <v>11000000</v>
      </c>
      <c r="G526" s="7">
        <f t="shared" si="33"/>
        <v>35437.687658664196</v>
      </c>
      <c r="H526" s="7" t="s">
        <v>2260</v>
      </c>
      <c r="I526" s="18" t="s">
        <v>1812</v>
      </c>
      <c r="J526" s="18" t="s">
        <v>1802</v>
      </c>
      <c r="K526" s="3">
        <v>7.02</v>
      </c>
      <c r="L526" s="7" t="s">
        <v>2246</v>
      </c>
      <c r="M526" s="7">
        <f t="shared" si="34"/>
        <v>7.0199999999999993E-3</v>
      </c>
      <c r="N526" s="7">
        <f t="shared" si="35"/>
        <v>2.1790360799999995</v>
      </c>
    </row>
    <row r="527" spans="1:14" ht="15.6" x14ac:dyDescent="0.3">
      <c r="A527" s="18" t="s">
        <v>1760</v>
      </c>
      <c r="B527" s="7">
        <v>6</v>
      </c>
      <c r="C527" s="7">
        <v>12</v>
      </c>
      <c r="D527" s="7" t="s">
        <v>2259</v>
      </c>
      <c r="E527" s="7">
        <v>11000000</v>
      </c>
      <c r="F527" s="7">
        <f t="shared" si="32"/>
        <v>11000000</v>
      </c>
      <c r="G527" s="7">
        <f t="shared" si="33"/>
        <v>35437.687658664196</v>
      </c>
      <c r="H527" s="7" t="s">
        <v>2260</v>
      </c>
      <c r="I527" s="18" t="s">
        <v>1812</v>
      </c>
      <c r="J527" s="18" t="s">
        <v>1802</v>
      </c>
      <c r="K527" s="3" t="s">
        <v>1716</v>
      </c>
      <c r="L527" s="7" t="s">
        <v>2246</v>
      </c>
      <c r="M527" s="7" t="str">
        <f t="shared" si="34"/>
        <v>ND</v>
      </c>
      <c r="N527" s="7" t="str">
        <f t="shared" si="35"/>
        <v>ND</v>
      </c>
    </row>
    <row r="528" spans="1:14" ht="15.6" x14ac:dyDescent="0.3">
      <c r="A528" s="18" t="s">
        <v>1760</v>
      </c>
      <c r="B528" s="7">
        <v>6</v>
      </c>
      <c r="C528" s="7">
        <v>12</v>
      </c>
      <c r="D528" s="7" t="s">
        <v>2259</v>
      </c>
      <c r="E528" s="7">
        <v>11000000</v>
      </c>
      <c r="F528" s="7">
        <f t="shared" si="32"/>
        <v>11000000</v>
      </c>
      <c r="G528" s="7">
        <f t="shared" si="33"/>
        <v>35437.687658664196</v>
      </c>
      <c r="H528" s="7" t="s">
        <v>2260</v>
      </c>
      <c r="I528" s="18" t="s">
        <v>1812</v>
      </c>
      <c r="J528" s="18" t="s">
        <v>1802</v>
      </c>
      <c r="K528" s="3" t="s">
        <v>1716</v>
      </c>
      <c r="L528" s="7" t="s">
        <v>2246</v>
      </c>
      <c r="M528" s="7" t="str">
        <f t="shared" si="34"/>
        <v>ND</v>
      </c>
      <c r="N528" s="7" t="str">
        <f t="shared" si="35"/>
        <v>ND</v>
      </c>
    </row>
    <row r="529" spans="1:14" ht="15.6" x14ac:dyDescent="0.3">
      <c r="A529" s="18" t="s">
        <v>1760</v>
      </c>
      <c r="B529" s="7">
        <v>6</v>
      </c>
      <c r="C529" s="7">
        <v>12</v>
      </c>
      <c r="D529" s="7" t="s">
        <v>2259</v>
      </c>
      <c r="E529" s="7">
        <v>11000000</v>
      </c>
      <c r="F529" s="7">
        <f t="shared" si="32"/>
        <v>11000000</v>
      </c>
      <c r="G529" s="7">
        <f t="shared" si="33"/>
        <v>35437.687658664196</v>
      </c>
      <c r="H529" s="7" t="s">
        <v>2260</v>
      </c>
      <c r="I529" s="18" t="s">
        <v>1812</v>
      </c>
      <c r="J529" s="18" t="s">
        <v>1802</v>
      </c>
      <c r="K529" s="3" t="s">
        <v>1716</v>
      </c>
      <c r="L529" s="7" t="s">
        <v>2246</v>
      </c>
      <c r="M529" s="7" t="str">
        <f t="shared" si="34"/>
        <v>ND</v>
      </c>
      <c r="N529" s="7" t="str">
        <f t="shared" si="35"/>
        <v>ND</v>
      </c>
    </row>
    <row r="530" spans="1:14" ht="15.6" x14ac:dyDescent="0.3">
      <c r="A530" s="18" t="s">
        <v>1760</v>
      </c>
      <c r="B530" s="7">
        <v>6</v>
      </c>
      <c r="C530" s="7">
        <v>12</v>
      </c>
      <c r="D530" s="7" t="s">
        <v>2259</v>
      </c>
      <c r="E530" s="7">
        <v>11000000</v>
      </c>
      <c r="F530" s="7">
        <f t="shared" si="32"/>
        <v>11000000</v>
      </c>
      <c r="G530" s="7">
        <f t="shared" si="33"/>
        <v>35437.687658664196</v>
      </c>
      <c r="H530" s="7" t="s">
        <v>2260</v>
      </c>
      <c r="I530" s="18" t="s">
        <v>1812</v>
      </c>
      <c r="J530" s="18" t="s">
        <v>1802</v>
      </c>
      <c r="K530" s="3" t="s">
        <v>1716</v>
      </c>
      <c r="L530" s="7" t="s">
        <v>2246</v>
      </c>
      <c r="M530" s="7" t="str">
        <f t="shared" si="34"/>
        <v>ND</v>
      </c>
      <c r="N530" s="7" t="str">
        <f t="shared" si="35"/>
        <v>ND</v>
      </c>
    </row>
    <row r="531" spans="1:14" ht="15.6" x14ac:dyDescent="0.3">
      <c r="A531" s="18" t="s">
        <v>1760</v>
      </c>
      <c r="B531" s="7">
        <v>6</v>
      </c>
      <c r="C531" s="7">
        <v>12</v>
      </c>
      <c r="D531" s="7" t="s">
        <v>2259</v>
      </c>
      <c r="E531" s="7">
        <v>11000000</v>
      </c>
      <c r="F531" s="7">
        <f t="shared" si="32"/>
        <v>11000000</v>
      </c>
      <c r="G531" s="7">
        <f t="shared" si="33"/>
        <v>35437.687658664196</v>
      </c>
      <c r="H531" s="7" t="s">
        <v>2260</v>
      </c>
      <c r="I531" s="18" t="s">
        <v>1812</v>
      </c>
      <c r="J531" s="18" t="s">
        <v>1802</v>
      </c>
      <c r="K531" s="3" t="s">
        <v>1716</v>
      </c>
      <c r="L531" s="7" t="s">
        <v>2246</v>
      </c>
      <c r="M531" s="7" t="str">
        <f t="shared" si="34"/>
        <v>ND</v>
      </c>
      <c r="N531" s="7" t="str">
        <f t="shared" si="35"/>
        <v>ND</v>
      </c>
    </row>
    <row r="532" spans="1:14" ht="15.6" x14ac:dyDescent="0.3">
      <c r="A532" s="18" t="s">
        <v>1760</v>
      </c>
      <c r="B532" s="7">
        <v>6</v>
      </c>
      <c r="C532" s="7">
        <v>12</v>
      </c>
      <c r="D532" s="7" t="s">
        <v>2259</v>
      </c>
      <c r="E532" s="7">
        <v>11000000</v>
      </c>
      <c r="F532" s="7">
        <f t="shared" si="32"/>
        <v>11000000</v>
      </c>
      <c r="G532" s="7">
        <f t="shared" si="33"/>
        <v>35437.687658664196</v>
      </c>
      <c r="H532" s="7" t="s">
        <v>2260</v>
      </c>
      <c r="I532" s="18" t="s">
        <v>1812</v>
      </c>
      <c r="J532" s="18" t="s">
        <v>1802</v>
      </c>
      <c r="K532" s="3" t="s">
        <v>1716</v>
      </c>
      <c r="L532" s="7" t="s">
        <v>2246</v>
      </c>
      <c r="M532" s="7" t="str">
        <f t="shared" si="34"/>
        <v>ND</v>
      </c>
      <c r="N532" s="7" t="str">
        <f t="shared" si="35"/>
        <v>ND</v>
      </c>
    </row>
    <row r="533" spans="1:14" ht="15.6" x14ac:dyDescent="0.3">
      <c r="A533" s="18" t="s">
        <v>1760</v>
      </c>
      <c r="B533" s="7">
        <v>6</v>
      </c>
      <c r="C533" s="7">
        <v>12</v>
      </c>
      <c r="D533" s="7" t="s">
        <v>2259</v>
      </c>
      <c r="E533" s="7">
        <v>11000000</v>
      </c>
      <c r="F533" s="7">
        <f t="shared" si="32"/>
        <v>11000000</v>
      </c>
      <c r="G533" s="7">
        <f t="shared" si="33"/>
        <v>35437.687658664196</v>
      </c>
      <c r="H533" s="7" t="s">
        <v>2260</v>
      </c>
      <c r="I533" s="18" t="s">
        <v>1812</v>
      </c>
      <c r="J533" s="18" t="s">
        <v>1802</v>
      </c>
      <c r="K533" s="3" t="s">
        <v>1716</v>
      </c>
      <c r="L533" s="7" t="s">
        <v>2246</v>
      </c>
      <c r="M533" s="7" t="str">
        <f t="shared" si="34"/>
        <v>ND</v>
      </c>
      <c r="N533" s="7" t="str">
        <f t="shared" si="35"/>
        <v>ND</v>
      </c>
    </row>
    <row r="534" spans="1:14" ht="15.6" x14ac:dyDescent="0.3">
      <c r="A534" s="18" t="s">
        <v>1760</v>
      </c>
      <c r="B534" s="7">
        <v>6</v>
      </c>
      <c r="C534" s="7">
        <v>12</v>
      </c>
      <c r="D534" s="7" t="s">
        <v>2259</v>
      </c>
      <c r="E534" s="7">
        <v>11000000</v>
      </c>
      <c r="F534" s="7">
        <f t="shared" si="32"/>
        <v>11000000</v>
      </c>
      <c r="G534" s="7">
        <f t="shared" si="33"/>
        <v>35437.687658664196</v>
      </c>
      <c r="H534" s="7" t="s">
        <v>2260</v>
      </c>
      <c r="I534" s="18" t="s">
        <v>1812</v>
      </c>
      <c r="J534" s="18" t="s">
        <v>1802</v>
      </c>
      <c r="K534" s="3" t="s">
        <v>1716</v>
      </c>
      <c r="L534" s="7" t="s">
        <v>2246</v>
      </c>
      <c r="M534" s="7" t="str">
        <f t="shared" si="34"/>
        <v>ND</v>
      </c>
      <c r="N534" s="7" t="str">
        <f t="shared" si="35"/>
        <v>ND</v>
      </c>
    </row>
    <row r="535" spans="1:14" ht="15.6" x14ac:dyDescent="0.3">
      <c r="A535" s="18" t="s">
        <v>1760</v>
      </c>
      <c r="B535" s="7">
        <v>6</v>
      </c>
      <c r="C535" s="7">
        <v>12</v>
      </c>
      <c r="D535" s="7" t="s">
        <v>2259</v>
      </c>
      <c r="E535" s="7">
        <v>11000000</v>
      </c>
      <c r="F535" s="7">
        <f t="shared" si="32"/>
        <v>11000000</v>
      </c>
      <c r="G535" s="7">
        <f t="shared" si="33"/>
        <v>35437.687658664196</v>
      </c>
      <c r="H535" s="7" t="s">
        <v>2260</v>
      </c>
      <c r="I535" s="18" t="s">
        <v>1812</v>
      </c>
      <c r="J535" s="18" t="s">
        <v>1802</v>
      </c>
      <c r="K535" s="3" t="s">
        <v>1716</v>
      </c>
      <c r="L535" s="7" t="s">
        <v>2246</v>
      </c>
      <c r="M535" s="7" t="str">
        <f t="shared" si="34"/>
        <v>ND</v>
      </c>
      <c r="N535" s="7" t="str">
        <f t="shared" si="35"/>
        <v>ND</v>
      </c>
    </row>
    <row r="536" spans="1:14" ht="15.6" x14ac:dyDescent="0.3">
      <c r="A536" s="18" t="s">
        <v>1760</v>
      </c>
      <c r="B536" s="7">
        <v>6</v>
      </c>
      <c r="C536" s="7">
        <v>12</v>
      </c>
      <c r="D536" s="7" t="s">
        <v>2259</v>
      </c>
      <c r="E536" s="7">
        <v>11000000</v>
      </c>
      <c r="F536" s="7">
        <f t="shared" si="32"/>
        <v>11000000</v>
      </c>
      <c r="G536" s="7">
        <f t="shared" si="33"/>
        <v>35437.687658664196</v>
      </c>
      <c r="H536" s="7" t="s">
        <v>2260</v>
      </c>
      <c r="I536" s="18" t="s">
        <v>1812</v>
      </c>
      <c r="J536" s="18" t="s">
        <v>1802</v>
      </c>
      <c r="K536" s="3" t="s">
        <v>1716</v>
      </c>
      <c r="L536" s="7" t="s">
        <v>2246</v>
      </c>
      <c r="M536" s="7" t="str">
        <f t="shared" si="34"/>
        <v>ND</v>
      </c>
      <c r="N536" s="7" t="str">
        <f t="shared" si="35"/>
        <v>ND</v>
      </c>
    </row>
    <row r="537" spans="1:14" ht="15.6" x14ac:dyDescent="0.3">
      <c r="A537" s="18" t="s">
        <v>1760</v>
      </c>
      <c r="B537" s="7">
        <v>6</v>
      </c>
      <c r="C537" s="7">
        <v>12</v>
      </c>
      <c r="D537" s="7" t="s">
        <v>2259</v>
      </c>
      <c r="E537" s="7">
        <v>11000000</v>
      </c>
      <c r="F537" s="7">
        <f t="shared" ref="F537:F600" si="36">E537</f>
        <v>11000000</v>
      </c>
      <c r="G537" s="7">
        <f t="shared" ref="G537:G600" si="37">F537/310.404</f>
        <v>35437.687658664196</v>
      </c>
      <c r="H537" s="7" t="s">
        <v>2260</v>
      </c>
      <c r="I537" s="18" t="s">
        <v>1812</v>
      </c>
      <c r="J537" s="18" t="s">
        <v>1802</v>
      </c>
      <c r="K537" s="3">
        <v>21.38</v>
      </c>
      <c r="L537" s="7" t="s">
        <v>2246</v>
      </c>
      <c r="M537" s="7">
        <f t="shared" si="34"/>
        <v>2.138E-2</v>
      </c>
      <c r="N537" s="7">
        <f t="shared" si="35"/>
        <v>6.6364375199999994</v>
      </c>
    </row>
    <row r="538" spans="1:14" ht="15.6" x14ac:dyDescent="0.3">
      <c r="A538" s="18" t="s">
        <v>1760</v>
      </c>
      <c r="B538" s="7">
        <v>6</v>
      </c>
      <c r="C538" s="7">
        <v>12</v>
      </c>
      <c r="D538" s="7" t="s">
        <v>2259</v>
      </c>
      <c r="E538" s="7">
        <v>11000000</v>
      </c>
      <c r="F538" s="7">
        <f t="shared" si="36"/>
        <v>11000000</v>
      </c>
      <c r="G538" s="7">
        <f t="shared" si="37"/>
        <v>35437.687658664196</v>
      </c>
      <c r="H538" s="7" t="s">
        <v>2260</v>
      </c>
      <c r="I538" s="18" t="s">
        <v>1812</v>
      </c>
      <c r="J538" s="18" t="s">
        <v>1802</v>
      </c>
      <c r="K538" s="3">
        <v>23.33</v>
      </c>
      <c r="L538" s="7" t="s">
        <v>2246</v>
      </c>
      <c r="M538" s="7">
        <f t="shared" si="34"/>
        <v>2.3329999999999997E-2</v>
      </c>
      <c r="N538" s="7">
        <f t="shared" si="35"/>
        <v>7.2417253199999987</v>
      </c>
    </row>
    <row r="539" spans="1:14" ht="15.6" x14ac:dyDescent="0.3">
      <c r="A539" s="18" t="s">
        <v>1760</v>
      </c>
      <c r="B539" s="7">
        <v>6</v>
      </c>
      <c r="C539" s="7">
        <v>12</v>
      </c>
      <c r="D539" s="7" t="s">
        <v>2259</v>
      </c>
      <c r="E539" s="7">
        <v>11000000</v>
      </c>
      <c r="F539" s="7">
        <f t="shared" si="36"/>
        <v>11000000</v>
      </c>
      <c r="G539" s="7">
        <f t="shared" si="37"/>
        <v>35437.687658664196</v>
      </c>
      <c r="H539" s="7" t="s">
        <v>2260</v>
      </c>
      <c r="I539" s="18" t="s">
        <v>1812</v>
      </c>
      <c r="J539" s="18" t="s">
        <v>1802</v>
      </c>
      <c r="K539" s="3">
        <v>14.18</v>
      </c>
      <c r="L539" s="7" t="s">
        <v>2246</v>
      </c>
      <c r="M539" s="7">
        <f t="shared" si="34"/>
        <v>1.418E-2</v>
      </c>
      <c r="N539" s="7">
        <f t="shared" si="35"/>
        <v>4.40152872</v>
      </c>
    </row>
    <row r="540" spans="1:14" ht="15.6" x14ac:dyDescent="0.3">
      <c r="A540" s="18" t="s">
        <v>1760</v>
      </c>
      <c r="B540" s="7">
        <v>6</v>
      </c>
      <c r="C540" s="7">
        <v>12</v>
      </c>
      <c r="D540" s="7" t="s">
        <v>2259</v>
      </c>
      <c r="E540" s="7">
        <v>11000000</v>
      </c>
      <c r="F540" s="7">
        <f t="shared" si="36"/>
        <v>11000000</v>
      </c>
      <c r="G540" s="7">
        <f t="shared" si="37"/>
        <v>35437.687658664196</v>
      </c>
      <c r="H540" s="7" t="s">
        <v>2260</v>
      </c>
      <c r="I540" s="18" t="s">
        <v>1812</v>
      </c>
      <c r="J540" s="18" t="s">
        <v>1802</v>
      </c>
      <c r="K540" s="3">
        <v>16.14</v>
      </c>
      <c r="L540" s="7" t="s">
        <v>2246</v>
      </c>
      <c r="M540" s="7">
        <f t="shared" si="34"/>
        <v>1.6140000000000002E-2</v>
      </c>
      <c r="N540" s="7">
        <f t="shared" si="35"/>
        <v>5.0099205600000003</v>
      </c>
    </row>
    <row r="541" spans="1:14" ht="15.6" x14ac:dyDescent="0.3">
      <c r="A541" s="18" t="s">
        <v>1760</v>
      </c>
      <c r="B541" s="7">
        <v>6</v>
      </c>
      <c r="C541" s="7">
        <v>12</v>
      </c>
      <c r="D541" s="7" t="s">
        <v>2259</v>
      </c>
      <c r="E541" s="7">
        <v>11000000</v>
      </c>
      <c r="F541" s="7">
        <f t="shared" si="36"/>
        <v>11000000</v>
      </c>
      <c r="G541" s="7">
        <f t="shared" si="37"/>
        <v>35437.687658664196</v>
      </c>
      <c r="H541" s="7" t="s">
        <v>2260</v>
      </c>
      <c r="I541" s="18" t="s">
        <v>1812</v>
      </c>
      <c r="J541" s="18" t="s">
        <v>1802</v>
      </c>
      <c r="K541" s="3">
        <v>16.36</v>
      </c>
      <c r="L541" s="7" t="s">
        <v>2246</v>
      </c>
      <c r="M541" s="7">
        <f t="shared" si="34"/>
        <v>1.636E-2</v>
      </c>
      <c r="N541" s="7">
        <f t="shared" si="35"/>
        <v>5.0782094399999993</v>
      </c>
    </row>
    <row r="542" spans="1:14" ht="15.6" x14ac:dyDescent="0.3">
      <c r="A542" s="18" t="s">
        <v>1760</v>
      </c>
      <c r="B542" s="7">
        <v>6</v>
      </c>
      <c r="C542" s="7">
        <v>12</v>
      </c>
      <c r="D542" s="7" t="s">
        <v>2259</v>
      </c>
      <c r="E542" s="7">
        <v>11000000</v>
      </c>
      <c r="F542" s="7">
        <f t="shared" si="36"/>
        <v>11000000</v>
      </c>
      <c r="G542" s="7">
        <f t="shared" si="37"/>
        <v>35437.687658664196</v>
      </c>
      <c r="H542" s="7" t="s">
        <v>2260</v>
      </c>
      <c r="I542" s="18" t="s">
        <v>1812</v>
      </c>
      <c r="J542" s="18" t="s">
        <v>1802</v>
      </c>
      <c r="K542" s="3" t="s">
        <v>1716</v>
      </c>
      <c r="L542" s="7" t="s">
        <v>2246</v>
      </c>
      <c r="M542" s="7" t="str">
        <f t="shared" si="34"/>
        <v>ND</v>
      </c>
      <c r="N542" s="7" t="str">
        <f t="shared" si="35"/>
        <v>ND</v>
      </c>
    </row>
    <row r="543" spans="1:14" ht="15.6" x14ac:dyDescent="0.3">
      <c r="A543" s="18" t="s">
        <v>1760</v>
      </c>
      <c r="B543" s="7">
        <v>6</v>
      </c>
      <c r="C543" s="7">
        <v>12</v>
      </c>
      <c r="D543" s="7" t="s">
        <v>2259</v>
      </c>
      <c r="E543" s="7">
        <v>11000000</v>
      </c>
      <c r="F543" s="7">
        <f t="shared" si="36"/>
        <v>11000000</v>
      </c>
      <c r="G543" s="7">
        <f t="shared" si="37"/>
        <v>35437.687658664196</v>
      </c>
      <c r="H543" s="7" t="s">
        <v>2260</v>
      </c>
      <c r="I543" s="18" t="s">
        <v>1812</v>
      </c>
      <c r="J543" s="18" t="s">
        <v>1802</v>
      </c>
      <c r="K543" s="3">
        <v>5.78</v>
      </c>
      <c r="L543" s="7" t="s">
        <v>2246</v>
      </c>
      <c r="M543" s="7">
        <f t="shared" si="34"/>
        <v>5.7800000000000004E-3</v>
      </c>
      <c r="N543" s="7">
        <f t="shared" si="35"/>
        <v>1.79413512</v>
      </c>
    </row>
    <row r="544" spans="1:14" ht="15.6" x14ac:dyDescent="0.3">
      <c r="A544" s="18" t="s">
        <v>1760</v>
      </c>
      <c r="B544" s="7">
        <v>6</v>
      </c>
      <c r="C544" s="7">
        <v>12</v>
      </c>
      <c r="D544" s="7" t="s">
        <v>2259</v>
      </c>
      <c r="E544" s="7">
        <v>11000000</v>
      </c>
      <c r="F544" s="7">
        <f t="shared" si="36"/>
        <v>11000000</v>
      </c>
      <c r="G544" s="7">
        <f t="shared" si="37"/>
        <v>35437.687658664196</v>
      </c>
      <c r="H544" s="7" t="s">
        <v>2260</v>
      </c>
      <c r="I544" s="18" t="s">
        <v>1812</v>
      </c>
      <c r="J544" s="18" t="s">
        <v>1802</v>
      </c>
      <c r="K544" s="3">
        <v>6.68</v>
      </c>
      <c r="L544" s="7" t="s">
        <v>2246</v>
      </c>
      <c r="M544" s="7">
        <f t="shared" si="34"/>
        <v>6.6799999999999993E-3</v>
      </c>
      <c r="N544" s="7">
        <f t="shared" si="35"/>
        <v>2.0734987199999995</v>
      </c>
    </row>
    <row r="545" spans="1:14" ht="15.6" x14ac:dyDescent="0.3">
      <c r="A545" s="18" t="s">
        <v>1760</v>
      </c>
      <c r="B545" s="7">
        <v>6</v>
      </c>
      <c r="C545" s="7">
        <v>12</v>
      </c>
      <c r="D545" s="7" t="s">
        <v>2259</v>
      </c>
      <c r="E545" s="7">
        <v>11000000</v>
      </c>
      <c r="F545" s="7">
        <f t="shared" si="36"/>
        <v>11000000</v>
      </c>
      <c r="G545" s="7">
        <f t="shared" si="37"/>
        <v>35437.687658664196</v>
      </c>
      <c r="H545" s="7" t="s">
        <v>2260</v>
      </c>
      <c r="I545" s="18" t="s">
        <v>1812</v>
      </c>
      <c r="J545" s="18" t="s">
        <v>1802</v>
      </c>
      <c r="K545" s="3">
        <v>5.89</v>
      </c>
      <c r="L545" s="7" t="s">
        <v>2246</v>
      </c>
      <c r="M545" s="7">
        <f t="shared" si="34"/>
        <v>5.8899999999999994E-3</v>
      </c>
      <c r="N545" s="7">
        <f t="shared" si="35"/>
        <v>1.8282795599999997</v>
      </c>
    </row>
    <row r="546" spans="1:14" ht="15.6" x14ac:dyDescent="0.3">
      <c r="A546" s="18" t="s">
        <v>1760</v>
      </c>
      <c r="B546" s="7">
        <v>6</v>
      </c>
      <c r="C546" s="7">
        <v>12</v>
      </c>
      <c r="D546" s="7" t="s">
        <v>2259</v>
      </c>
      <c r="E546" s="7">
        <v>11000000</v>
      </c>
      <c r="F546" s="7">
        <f t="shared" si="36"/>
        <v>11000000</v>
      </c>
      <c r="G546" s="7">
        <f t="shared" si="37"/>
        <v>35437.687658664196</v>
      </c>
      <c r="H546" s="7" t="s">
        <v>2260</v>
      </c>
      <c r="I546" s="18" t="s">
        <v>1812</v>
      </c>
      <c r="J546" s="18" t="s">
        <v>1802</v>
      </c>
      <c r="K546" s="3">
        <v>3.66</v>
      </c>
      <c r="L546" s="7" t="s">
        <v>2246</v>
      </c>
      <c r="M546" s="7">
        <f t="shared" si="34"/>
        <v>3.6600000000000001E-3</v>
      </c>
      <c r="N546" s="7">
        <f t="shared" si="35"/>
        <v>1.1360786399999998</v>
      </c>
    </row>
    <row r="547" spans="1:14" ht="15.6" x14ac:dyDescent="0.3">
      <c r="A547" s="18" t="s">
        <v>1760</v>
      </c>
      <c r="B547" s="7">
        <v>6</v>
      </c>
      <c r="C547" s="7">
        <v>12</v>
      </c>
      <c r="D547" s="7" t="s">
        <v>2259</v>
      </c>
      <c r="E547" s="7">
        <v>11000000</v>
      </c>
      <c r="F547" s="7">
        <f t="shared" si="36"/>
        <v>11000000</v>
      </c>
      <c r="G547" s="7">
        <f t="shared" si="37"/>
        <v>35437.687658664196</v>
      </c>
      <c r="H547" s="7" t="s">
        <v>2260</v>
      </c>
      <c r="I547" s="18" t="s">
        <v>1812</v>
      </c>
      <c r="J547" s="18" t="s">
        <v>1802</v>
      </c>
      <c r="K547" s="3">
        <v>5.99</v>
      </c>
      <c r="L547" s="7" t="s">
        <v>2246</v>
      </c>
      <c r="M547" s="7">
        <f t="shared" si="34"/>
        <v>5.9900000000000005E-3</v>
      </c>
      <c r="N547" s="7">
        <f t="shared" si="35"/>
        <v>1.8593199599999999</v>
      </c>
    </row>
    <row r="548" spans="1:14" ht="15.6" x14ac:dyDescent="0.3">
      <c r="A548" s="18" t="s">
        <v>1760</v>
      </c>
      <c r="B548" s="7">
        <v>6</v>
      </c>
      <c r="C548" s="7">
        <v>12</v>
      </c>
      <c r="D548" s="7" t="s">
        <v>2259</v>
      </c>
      <c r="E548" s="7">
        <v>11000000</v>
      </c>
      <c r="F548" s="7">
        <f t="shared" si="36"/>
        <v>11000000</v>
      </c>
      <c r="G548" s="7">
        <f t="shared" si="37"/>
        <v>35437.687658664196</v>
      </c>
      <c r="H548" s="7" t="s">
        <v>2260</v>
      </c>
      <c r="I548" s="18" t="s">
        <v>1812</v>
      </c>
      <c r="J548" s="18" t="s">
        <v>1802</v>
      </c>
      <c r="K548" s="3">
        <v>5.5</v>
      </c>
      <c r="L548" s="7" t="s">
        <v>2246</v>
      </c>
      <c r="M548" s="7">
        <f t="shared" si="34"/>
        <v>5.4999999999999997E-3</v>
      </c>
      <c r="N548" s="7">
        <f t="shared" si="35"/>
        <v>1.7072219999999998</v>
      </c>
    </row>
    <row r="549" spans="1:14" ht="15.6" x14ac:dyDescent="0.3">
      <c r="A549" s="18" t="s">
        <v>1760</v>
      </c>
      <c r="B549" s="7">
        <v>6</v>
      </c>
      <c r="C549" s="7">
        <v>12</v>
      </c>
      <c r="D549" s="7" t="s">
        <v>2259</v>
      </c>
      <c r="E549" s="7">
        <v>11000000</v>
      </c>
      <c r="F549" s="7">
        <f t="shared" si="36"/>
        <v>11000000</v>
      </c>
      <c r="G549" s="7">
        <f t="shared" si="37"/>
        <v>35437.687658664196</v>
      </c>
      <c r="H549" s="7" t="s">
        <v>2260</v>
      </c>
      <c r="I549" s="18" t="s">
        <v>1812</v>
      </c>
      <c r="J549" s="18" t="s">
        <v>1802</v>
      </c>
      <c r="K549" s="3" t="s">
        <v>1716</v>
      </c>
      <c r="L549" s="7" t="s">
        <v>2246</v>
      </c>
      <c r="M549" s="7" t="str">
        <f t="shared" si="34"/>
        <v>ND</v>
      </c>
      <c r="N549" s="7" t="str">
        <f t="shared" si="35"/>
        <v>ND</v>
      </c>
    </row>
    <row r="550" spans="1:14" ht="15.6" x14ac:dyDescent="0.3">
      <c r="A550" s="18" t="s">
        <v>1760</v>
      </c>
      <c r="B550" s="7">
        <v>6</v>
      </c>
      <c r="C550" s="7">
        <v>12</v>
      </c>
      <c r="D550" s="7" t="s">
        <v>2259</v>
      </c>
      <c r="E550" s="7">
        <v>11000000</v>
      </c>
      <c r="F550" s="7">
        <f t="shared" si="36"/>
        <v>11000000</v>
      </c>
      <c r="G550" s="7">
        <f t="shared" si="37"/>
        <v>35437.687658664196</v>
      </c>
      <c r="H550" s="7" t="s">
        <v>2260</v>
      </c>
      <c r="I550" s="18" t="s">
        <v>1812</v>
      </c>
      <c r="J550" s="18" t="s">
        <v>1802</v>
      </c>
      <c r="K550" s="3" t="s">
        <v>1716</v>
      </c>
      <c r="L550" s="7" t="s">
        <v>2246</v>
      </c>
      <c r="M550" s="7" t="str">
        <f t="shared" si="34"/>
        <v>ND</v>
      </c>
      <c r="N550" s="7" t="str">
        <f t="shared" si="35"/>
        <v>ND</v>
      </c>
    </row>
    <row r="551" spans="1:14" ht="15.6" x14ac:dyDescent="0.3">
      <c r="A551" s="18" t="s">
        <v>1760</v>
      </c>
      <c r="B551" s="7">
        <v>6</v>
      </c>
      <c r="C551" s="7">
        <v>12</v>
      </c>
      <c r="D551" s="7" t="s">
        <v>2259</v>
      </c>
      <c r="E551" s="7">
        <v>11000000</v>
      </c>
      <c r="F551" s="7">
        <f t="shared" si="36"/>
        <v>11000000</v>
      </c>
      <c r="G551" s="7">
        <f t="shared" si="37"/>
        <v>35437.687658664196</v>
      </c>
      <c r="H551" s="7" t="s">
        <v>2260</v>
      </c>
      <c r="I551" s="18" t="s">
        <v>1812</v>
      </c>
      <c r="J551" s="18" t="s">
        <v>1802</v>
      </c>
      <c r="K551" s="3" t="s">
        <v>1716</v>
      </c>
      <c r="L551" s="7" t="s">
        <v>2246</v>
      </c>
      <c r="M551" s="7" t="str">
        <f t="shared" si="34"/>
        <v>ND</v>
      </c>
      <c r="N551" s="7" t="str">
        <f t="shared" si="35"/>
        <v>ND</v>
      </c>
    </row>
    <row r="552" spans="1:14" ht="15.6" x14ac:dyDescent="0.3">
      <c r="A552" s="18" t="s">
        <v>1760</v>
      </c>
      <c r="B552" s="7">
        <v>6</v>
      </c>
      <c r="C552" s="7">
        <v>12</v>
      </c>
      <c r="D552" s="7" t="s">
        <v>2259</v>
      </c>
      <c r="E552" s="7">
        <v>11000000</v>
      </c>
      <c r="F552" s="7">
        <f t="shared" si="36"/>
        <v>11000000</v>
      </c>
      <c r="G552" s="7">
        <f t="shared" si="37"/>
        <v>35437.687658664196</v>
      </c>
      <c r="H552" s="7" t="s">
        <v>2260</v>
      </c>
      <c r="I552" s="18" t="s">
        <v>1812</v>
      </c>
      <c r="J552" s="18" t="s">
        <v>1802</v>
      </c>
      <c r="K552" s="3" t="s">
        <v>1716</v>
      </c>
      <c r="L552" s="7" t="s">
        <v>2246</v>
      </c>
      <c r="M552" s="7" t="str">
        <f t="shared" si="34"/>
        <v>ND</v>
      </c>
      <c r="N552" s="7" t="str">
        <f t="shared" si="35"/>
        <v>ND</v>
      </c>
    </row>
    <row r="553" spans="1:14" ht="15.6" x14ac:dyDescent="0.3">
      <c r="A553" s="18" t="s">
        <v>1760</v>
      </c>
      <c r="B553" s="7">
        <v>6</v>
      </c>
      <c r="C553" s="7">
        <v>12</v>
      </c>
      <c r="D553" s="7" t="s">
        <v>2259</v>
      </c>
      <c r="E553" s="7">
        <v>11000000</v>
      </c>
      <c r="F553" s="7">
        <f t="shared" si="36"/>
        <v>11000000</v>
      </c>
      <c r="G553" s="7">
        <f t="shared" si="37"/>
        <v>35437.687658664196</v>
      </c>
      <c r="H553" s="7" t="s">
        <v>2260</v>
      </c>
      <c r="I553" s="18" t="s">
        <v>1812</v>
      </c>
      <c r="J553" s="18" t="s">
        <v>1802</v>
      </c>
      <c r="K553" s="3" t="s">
        <v>1716</v>
      </c>
      <c r="L553" s="7" t="s">
        <v>2246</v>
      </c>
      <c r="M553" s="7" t="str">
        <f t="shared" si="34"/>
        <v>ND</v>
      </c>
      <c r="N553" s="7" t="str">
        <f t="shared" si="35"/>
        <v>ND</v>
      </c>
    </row>
    <row r="554" spans="1:14" ht="15.6" x14ac:dyDescent="0.3">
      <c r="A554" s="18" t="s">
        <v>1760</v>
      </c>
      <c r="B554" s="7">
        <v>6</v>
      </c>
      <c r="C554" s="7">
        <v>12</v>
      </c>
      <c r="D554" s="7" t="s">
        <v>2259</v>
      </c>
      <c r="E554" s="7">
        <v>11000000</v>
      </c>
      <c r="F554" s="7">
        <f t="shared" si="36"/>
        <v>11000000</v>
      </c>
      <c r="G554" s="7">
        <f t="shared" si="37"/>
        <v>35437.687658664196</v>
      </c>
      <c r="H554" s="7" t="s">
        <v>2260</v>
      </c>
      <c r="I554" s="18" t="s">
        <v>1812</v>
      </c>
      <c r="J554" s="18" t="s">
        <v>1802</v>
      </c>
      <c r="K554" s="3" t="s">
        <v>1716</v>
      </c>
      <c r="L554" s="7" t="s">
        <v>2246</v>
      </c>
      <c r="M554" s="7" t="str">
        <f t="shared" ref="M554:M617" si="38">IFERROR(K554/1000,"ND")</f>
        <v>ND</v>
      </c>
      <c r="N554" s="7" t="str">
        <f t="shared" si="35"/>
        <v>ND</v>
      </c>
    </row>
    <row r="555" spans="1:14" ht="15.6" x14ac:dyDescent="0.3">
      <c r="A555" s="18" t="s">
        <v>1760</v>
      </c>
      <c r="B555" s="7">
        <v>6</v>
      </c>
      <c r="C555" s="7">
        <v>12</v>
      </c>
      <c r="D555" s="7" t="s">
        <v>2259</v>
      </c>
      <c r="E555" s="7">
        <v>11000000</v>
      </c>
      <c r="F555" s="7">
        <f t="shared" si="36"/>
        <v>11000000</v>
      </c>
      <c r="G555" s="7">
        <f t="shared" si="37"/>
        <v>35437.687658664196</v>
      </c>
      <c r="H555" s="7" t="s">
        <v>2260</v>
      </c>
      <c r="I555" s="18" t="s">
        <v>1812</v>
      </c>
      <c r="J555" s="18" t="s">
        <v>1802</v>
      </c>
      <c r="K555" s="3" t="s">
        <v>1716</v>
      </c>
      <c r="L555" s="7" t="s">
        <v>2246</v>
      </c>
      <c r="M555" s="7" t="str">
        <f t="shared" si="38"/>
        <v>ND</v>
      </c>
      <c r="N555" s="7" t="str">
        <f t="shared" si="35"/>
        <v>ND</v>
      </c>
    </row>
    <row r="556" spans="1:14" ht="15.6" x14ac:dyDescent="0.3">
      <c r="A556" s="18" t="s">
        <v>1760</v>
      </c>
      <c r="B556" s="7">
        <v>6</v>
      </c>
      <c r="C556" s="7">
        <v>12</v>
      </c>
      <c r="D556" s="7" t="s">
        <v>2259</v>
      </c>
      <c r="E556" s="7">
        <v>11000000</v>
      </c>
      <c r="F556" s="7">
        <f t="shared" si="36"/>
        <v>11000000</v>
      </c>
      <c r="G556" s="7">
        <f t="shared" si="37"/>
        <v>35437.687658664196</v>
      </c>
      <c r="H556" s="7" t="s">
        <v>2260</v>
      </c>
      <c r="I556" s="18" t="s">
        <v>1812</v>
      </c>
      <c r="J556" s="18" t="s">
        <v>1802</v>
      </c>
      <c r="K556" s="3" t="s">
        <v>1716</v>
      </c>
      <c r="L556" s="7" t="s">
        <v>2246</v>
      </c>
      <c r="M556" s="7" t="str">
        <f t="shared" si="38"/>
        <v>ND</v>
      </c>
      <c r="N556" s="7" t="str">
        <f t="shared" si="35"/>
        <v>ND</v>
      </c>
    </row>
    <row r="557" spans="1:14" ht="15.6" x14ac:dyDescent="0.3">
      <c r="A557" s="18" t="s">
        <v>1760</v>
      </c>
      <c r="B557" s="7">
        <v>6</v>
      </c>
      <c r="C557" s="7">
        <v>12</v>
      </c>
      <c r="D557" s="7" t="s">
        <v>2259</v>
      </c>
      <c r="E557" s="7">
        <v>11000000</v>
      </c>
      <c r="F557" s="7">
        <f t="shared" si="36"/>
        <v>11000000</v>
      </c>
      <c r="G557" s="7">
        <f t="shared" si="37"/>
        <v>35437.687658664196</v>
      </c>
      <c r="H557" s="7" t="s">
        <v>2260</v>
      </c>
      <c r="I557" s="18" t="s">
        <v>1812</v>
      </c>
      <c r="J557" s="18" t="s">
        <v>1802</v>
      </c>
      <c r="K557" s="3" t="s">
        <v>1716</v>
      </c>
      <c r="L557" s="7" t="s">
        <v>2246</v>
      </c>
      <c r="M557" s="7" t="str">
        <f t="shared" si="38"/>
        <v>ND</v>
      </c>
      <c r="N557" s="7" t="str">
        <f t="shared" si="35"/>
        <v>ND</v>
      </c>
    </row>
    <row r="558" spans="1:14" ht="15.6" x14ac:dyDescent="0.3">
      <c r="A558" s="18" t="s">
        <v>1761</v>
      </c>
      <c r="B558" s="7">
        <v>6</v>
      </c>
      <c r="C558" s="7">
        <v>12</v>
      </c>
      <c r="D558" s="7" t="s">
        <v>2259</v>
      </c>
      <c r="E558" s="7">
        <v>11000000</v>
      </c>
      <c r="F558" s="7">
        <f t="shared" si="36"/>
        <v>11000000</v>
      </c>
      <c r="G558" s="7">
        <f t="shared" si="37"/>
        <v>35437.687658664196</v>
      </c>
      <c r="H558" s="7" t="s">
        <v>2260</v>
      </c>
      <c r="I558" s="18" t="s">
        <v>1812</v>
      </c>
      <c r="J558" s="18" t="s">
        <v>1802</v>
      </c>
      <c r="K558" s="3">
        <v>22.03</v>
      </c>
      <c r="L558" s="7" t="s">
        <v>2246</v>
      </c>
      <c r="M558" s="7">
        <f t="shared" si="38"/>
        <v>2.2030000000000001E-2</v>
      </c>
      <c r="N558" s="7">
        <f t="shared" si="35"/>
        <v>6.8382001199999998</v>
      </c>
    </row>
    <row r="559" spans="1:14" ht="15.6" x14ac:dyDescent="0.3">
      <c r="A559" s="18" t="s">
        <v>1761</v>
      </c>
      <c r="B559" s="7">
        <v>6</v>
      </c>
      <c r="C559" s="7">
        <v>12</v>
      </c>
      <c r="D559" s="7" t="s">
        <v>2259</v>
      </c>
      <c r="E559" s="7">
        <v>11000000</v>
      </c>
      <c r="F559" s="7">
        <f t="shared" si="36"/>
        <v>11000000</v>
      </c>
      <c r="G559" s="7">
        <f t="shared" si="37"/>
        <v>35437.687658664196</v>
      </c>
      <c r="H559" s="7" t="s">
        <v>2260</v>
      </c>
      <c r="I559" s="18" t="s">
        <v>1812</v>
      </c>
      <c r="J559" s="18" t="s">
        <v>1802</v>
      </c>
      <c r="K559" s="3">
        <v>22.03</v>
      </c>
      <c r="L559" s="7" t="s">
        <v>2246</v>
      </c>
      <c r="M559" s="7">
        <f t="shared" si="38"/>
        <v>2.2030000000000001E-2</v>
      </c>
      <c r="N559" s="7">
        <f t="shared" si="35"/>
        <v>6.8382001199999998</v>
      </c>
    </row>
    <row r="560" spans="1:14" ht="15.6" x14ac:dyDescent="0.3">
      <c r="A560" s="18" t="s">
        <v>1761</v>
      </c>
      <c r="B560" s="7">
        <v>6</v>
      </c>
      <c r="C560" s="7">
        <v>12</v>
      </c>
      <c r="D560" s="7" t="s">
        <v>2259</v>
      </c>
      <c r="E560" s="7">
        <v>11000000</v>
      </c>
      <c r="F560" s="7">
        <f t="shared" si="36"/>
        <v>11000000</v>
      </c>
      <c r="G560" s="7">
        <f t="shared" si="37"/>
        <v>35437.687658664196</v>
      </c>
      <c r="H560" s="7" t="s">
        <v>2260</v>
      </c>
      <c r="I560" s="18" t="s">
        <v>1812</v>
      </c>
      <c r="J560" s="18" t="s">
        <v>1802</v>
      </c>
      <c r="K560" s="3">
        <v>22.03</v>
      </c>
      <c r="L560" s="7" t="s">
        <v>2246</v>
      </c>
      <c r="M560" s="7">
        <f t="shared" si="38"/>
        <v>2.2030000000000001E-2</v>
      </c>
      <c r="N560" s="7">
        <f t="shared" si="35"/>
        <v>6.8382001199999998</v>
      </c>
    </row>
    <row r="561" spans="1:14" ht="15.6" x14ac:dyDescent="0.3">
      <c r="A561" s="18" t="s">
        <v>1761</v>
      </c>
      <c r="B561" s="7">
        <v>6</v>
      </c>
      <c r="C561" s="7">
        <v>12</v>
      </c>
      <c r="D561" s="7" t="s">
        <v>2259</v>
      </c>
      <c r="E561" s="7">
        <v>11000000</v>
      </c>
      <c r="F561" s="7">
        <f t="shared" si="36"/>
        <v>11000000</v>
      </c>
      <c r="G561" s="7">
        <f t="shared" si="37"/>
        <v>35437.687658664196</v>
      </c>
      <c r="H561" s="7" t="s">
        <v>2260</v>
      </c>
      <c r="I561" s="18" t="s">
        <v>1812</v>
      </c>
      <c r="J561" s="18" t="s">
        <v>1802</v>
      </c>
      <c r="K561" s="3">
        <v>22.03</v>
      </c>
      <c r="L561" s="7" t="s">
        <v>2246</v>
      </c>
      <c r="M561" s="7">
        <f t="shared" si="38"/>
        <v>2.2030000000000001E-2</v>
      </c>
      <c r="N561" s="7">
        <f t="shared" si="35"/>
        <v>6.8382001199999998</v>
      </c>
    </row>
    <row r="562" spans="1:14" ht="15.6" x14ac:dyDescent="0.3">
      <c r="A562" s="18" t="s">
        <v>1761</v>
      </c>
      <c r="B562" s="7">
        <v>6</v>
      </c>
      <c r="C562" s="7">
        <v>12</v>
      </c>
      <c r="D562" s="7" t="s">
        <v>2259</v>
      </c>
      <c r="E562" s="7">
        <v>11000000</v>
      </c>
      <c r="F562" s="7">
        <f t="shared" si="36"/>
        <v>11000000</v>
      </c>
      <c r="G562" s="7">
        <f t="shared" si="37"/>
        <v>35437.687658664196</v>
      </c>
      <c r="H562" s="7" t="s">
        <v>2260</v>
      </c>
      <c r="I562" s="18" t="s">
        <v>1812</v>
      </c>
      <c r="J562" s="18" t="s">
        <v>1802</v>
      </c>
      <c r="K562" s="3">
        <v>22.03</v>
      </c>
      <c r="L562" s="7" t="s">
        <v>2246</v>
      </c>
      <c r="M562" s="7">
        <f t="shared" si="38"/>
        <v>2.2030000000000001E-2</v>
      </c>
      <c r="N562" s="7">
        <f t="shared" si="35"/>
        <v>6.8382001199999998</v>
      </c>
    </row>
    <row r="563" spans="1:14" ht="15.6" x14ac:dyDescent="0.3">
      <c r="A563" s="18" t="s">
        <v>1761</v>
      </c>
      <c r="B563" s="7">
        <v>6</v>
      </c>
      <c r="C563" s="7">
        <v>12</v>
      </c>
      <c r="D563" s="7" t="s">
        <v>2259</v>
      </c>
      <c r="E563" s="7">
        <v>11000000</v>
      </c>
      <c r="F563" s="7">
        <f t="shared" si="36"/>
        <v>11000000</v>
      </c>
      <c r="G563" s="7">
        <f t="shared" si="37"/>
        <v>35437.687658664196</v>
      </c>
      <c r="H563" s="7" t="s">
        <v>2260</v>
      </c>
      <c r="I563" s="18" t="s">
        <v>1812</v>
      </c>
      <c r="J563" s="18" t="s">
        <v>1802</v>
      </c>
      <c r="K563" s="3">
        <v>22.03</v>
      </c>
      <c r="L563" s="7" t="s">
        <v>2246</v>
      </c>
      <c r="M563" s="7">
        <f t="shared" si="38"/>
        <v>2.2030000000000001E-2</v>
      </c>
      <c r="N563" s="7">
        <f t="shared" si="35"/>
        <v>6.8382001199999998</v>
      </c>
    </row>
    <row r="564" spans="1:14" ht="15.6" x14ac:dyDescent="0.3">
      <c r="A564" s="18" t="s">
        <v>1761</v>
      </c>
      <c r="B564" s="7">
        <v>6</v>
      </c>
      <c r="C564" s="7">
        <v>12</v>
      </c>
      <c r="D564" s="7" t="s">
        <v>2259</v>
      </c>
      <c r="E564" s="7">
        <v>11000000</v>
      </c>
      <c r="F564" s="7">
        <f t="shared" si="36"/>
        <v>11000000</v>
      </c>
      <c r="G564" s="7">
        <f t="shared" si="37"/>
        <v>35437.687658664196</v>
      </c>
      <c r="H564" s="7" t="s">
        <v>2260</v>
      </c>
      <c r="I564" s="18" t="s">
        <v>1812</v>
      </c>
      <c r="J564" s="18" t="s">
        <v>1802</v>
      </c>
      <c r="K564" s="3">
        <v>22.03</v>
      </c>
      <c r="L564" s="7" t="s">
        <v>2246</v>
      </c>
      <c r="M564" s="7">
        <f t="shared" si="38"/>
        <v>2.2030000000000001E-2</v>
      </c>
      <c r="N564" s="7">
        <f t="shared" si="35"/>
        <v>6.8382001199999998</v>
      </c>
    </row>
    <row r="565" spans="1:14" ht="15.6" x14ac:dyDescent="0.3">
      <c r="A565" s="18" t="s">
        <v>1761</v>
      </c>
      <c r="B565" s="7">
        <v>6</v>
      </c>
      <c r="C565" s="7">
        <v>12</v>
      </c>
      <c r="D565" s="7" t="s">
        <v>2259</v>
      </c>
      <c r="E565" s="7">
        <v>11000000</v>
      </c>
      <c r="F565" s="7">
        <f t="shared" si="36"/>
        <v>11000000</v>
      </c>
      <c r="G565" s="7">
        <f t="shared" si="37"/>
        <v>35437.687658664196</v>
      </c>
      <c r="H565" s="7" t="s">
        <v>2260</v>
      </c>
      <c r="I565" s="18" t="s">
        <v>1812</v>
      </c>
      <c r="J565" s="18" t="s">
        <v>1802</v>
      </c>
      <c r="K565" s="3">
        <v>22.03</v>
      </c>
      <c r="L565" s="7" t="s">
        <v>2246</v>
      </c>
      <c r="M565" s="7">
        <f t="shared" si="38"/>
        <v>2.2030000000000001E-2</v>
      </c>
      <c r="N565" s="7">
        <f t="shared" si="35"/>
        <v>6.8382001199999998</v>
      </c>
    </row>
    <row r="566" spans="1:14" ht="15.6" x14ac:dyDescent="0.3">
      <c r="A566" s="18" t="s">
        <v>1761</v>
      </c>
      <c r="B566" s="7">
        <v>6</v>
      </c>
      <c r="C566" s="7">
        <v>12</v>
      </c>
      <c r="D566" s="7" t="s">
        <v>2259</v>
      </c>
      <c r="E566" s="7">
        <v>11000000</v>
      </c>
      <c r="F566" s="7">
        <f t="shared" si="36"/>
        <v>11000000</v>
      </c>
      <c r="G566" s="7">
        <f t="shared" si="37"/>
        <v>35437.687658664196</v>
      </c>
      <c r="H566" s="7" t="s">
        <v>2260</v>
      </c>
      <c r="I566" s="18" t="s">
        <v>1812</v>
      </c>
      <c r="J566" s="18" t="s">
        <v>1802</v>
      </c>
      <c r="K566" s="3">
        <v>22.03</v>
      </c>
      <c r="L566" s="7" t="s">
        <v>2246</v>
      </c>
      <c r="M566" s="7">
        <f t="shared" si="38"/>
        <v>2.2030000000000001E-2</v>
      </c>
      <c r="N566" s="7">
        <f t="shared" si="35"/>
        <v>6.8382001199999998</v>
      </c>
    </row>
    <row r="567" spans="1:14" ht="15.6" x14ac:dyDescent="0.3">
      <c r="A567" s="18" t="s">
        <v>1761</v>
      </c>
      <c r="B567" s="7">
        <v>6</v>
      </c>
      <c r="C567" s="7">
        <v>12</v>
      </c>
      <c r="D567" s="7" t="s">
        <v>2259</v>
      </c>
      <c r="E567" s="7">
        <v>11000000</v>
      </c>
      <c r="F567" s="7">
        <f t="shared" si="36"/>
        <v>11000000</v>
      </c>
      <c r="G567" s="7">
        <f t="shared" si="37"/>
        <v>35437.687658664196</v>
      </c>
      <c r="H567" s="7" t="s">
        <v>2260</v>
      </c>
      <c r="I567" s="18" t="s">
        <v>1812</v>
      </c>
      <c r="J567" s="18" t="s">
        <v>1802</v>
      </c>
      <c r="K567" s="3">
        <v>22.03</v>
      </c>
      <c r="L567" s="7" t="s">
        <v>2246</v>
      </c>
      <c r="M567" s="7">
        <f t="shared" si="38"/>
        <v>2.2030000000000001E-2</v>
      </c>
      <c r="N567" s="7">
        <f t="shared" si="35"/>
        <v>6.8382001199999998</v>
      </c>
    </row>
    <row r="568" spans="1:14" ht="15.6" x14ac:dyDescent="0.3">
      <c r="A568" s="18" t="s">
        <v>1761</v>
      </c>
      <c r="B568" s="7">
        <v>6</v>
      </c>
      <c r="C568" s="7">
        <v>12</v>
      </c>
      <c r="D568" s="7" t="s">
        <v>2259</v>
      </c>
      <c r="E568" s="7">
        <v>11000000</v>
      </c>
      <c r="F568" s="7">
        <f t="shared" si="36"/>
        <v>11000000</v>
      </c>
      <c r="G568" s="7">
        <f t="shared" si="37"/>
        <v>35437.687658664196</v>
      </c>
      <c r="H568" s="7" t="s">
        <v>2260</v>
      </c>
      <c r="I568" s="18" t="s">
        <v>1812</v>
      </c>
      <c r="J568" s="18" t="s">
        <v>1802</v>
      </c>
      <c r="K568" s="3">
        <v>22.03</v>
      </c>
      <c r="L568" s="7" t="s">
        <v>2246</v>
      </c>
      <c r="M568" s="7">
        <f t="shared" si="38"/>
        <v>2.2030000000000001E-2</v>
      </c>
      <c r="N568" s="7">
        <f t="shared" si="35"/>
        <v>6.8382001199999998</v>
      </c>
    </row>
    <row r="569" spans="1:14" ht="15.6" x14ac:dyDescent="0.3">
      <c r="A569" s="18" t="s">
        <v>1761</v>
      </c>
      <c r="B569" s="7">
        <v>6</v>
      </c>
      <c r="C569" s="7">
        <v>12</v>
      </c>
      <c r="D569" s="7" t="s">
        <v>2259</v>
      </c>
      <c r="E569" s="7">
        <v>11000000</v>
      </c>
      <c r="F569" s="7">
        <f t="shared" si="36"/>
        <v>11000000</v>
      </c>
      <c r="G569" s="7">
        <f t="shared" si="37"/>
        <v>35437.687658664196</v>
      </c>
      <c r="H569" s="7" t="s">
        <v>2260</v>
      </c>
      <c r="I569" s="18" t="s">
        <v>1812</v>
      </c>
      <c r="J569" s="18" t="s">
        <v>1802</v>
      </c>
      <c r="K569" s="3">
        <v>22.03</v>
      </c>
      <c r="L569" s="7" t="s">
        <v>2246</v>
      </c>
      <c r="M569" s="7">
        <f t="shared" si="38"/>
        <v>2.2030000000000001E-2</v>
      </c>
      <c r="N569" s="7">
        <f t="shared" si="35"/>
        <v>6.8382001199999998</v>
      </c>
    </row>
    <row r="570" spans="1:14" ht="15.6" x14ac:dyDescent="0.3">
      <c r="A570" s="18" t="s">
        <v>1761</v>
      </c>
      <c r="B570" s="7">
        <v>6</v>
      </c>
      <c r="C570" s="7">
        <v>12</v>
      </c>
      <c r="D570" s="7" t="s">
        <v>2259</v>
      </c>
      <c r="E570" s="7">
        <v>11000000</v>
      </c>
      <c r="F570" s="7">
        <f t="shared" si="36"/>
        <v>11000000</v>
      </c>
      <c r="G570" s="7">
        <f t="shared" si="37"/>
        <v>35437.687658664196</v>
      </c>
      <c r="H570" s="7" t="s">
        <v>2260</v>
      </c>
      <c r="I570" s="18" t="s">
        <v>1812</v>
      </c>
      <c r="J570" s="18" t="s">
        <v>1802</v>
      </c>
      <c r="K570" s="3">
        <v>22.03</v>
      </c>
      <c r="L570" s="7" t="s">
        <v>2246</v>
      </c>
      <c r="M570" s="7">
        <f t="shared" si="38"/>
        <v>2.2030000000000001E-2</v>
      </c>
      <c r="N570" s="7">
        <f t="shared" si="35"/>
        <v>6.8382001199999998</v>
      </c>
    </row>
    <row r="571" spans="1:14" ht="15.6" x14ac:dyDescent="0.3">
      <c r="A571" s="18" t="s">
        <v>1761</v>
      </c>
      <c r="B571" s="7">
        <v>6</v>
      </c>
      <c r="C571" s="7">
        <v>12</v>
      </c>
      <c r="D571" s="7" t="s">
        <v>2259</v>
      </c>
      <c r="E571" s="7">
        <v>11000000</v>
      </c>
      <c r="F571" s="7">
        <f t="shared" si="36"/>
        <v>11000000</v>
      </c>
      <c r="G571" s="7">
        <f t="shared" si="37"/>
        <v>35437.687658664196</v>
      </c>
      <c r="H571" s="7" t="s">
        <v>2260</v>
      </c>
      <c r="I571" s="18" t="s">
        <v>1812</v>
      </c>
      <c r="J571" s="18" t="s">
        <v>1802</v>
      </c>
      <c r="K571" s="3">
        <v>22.03</v>
      </c>
      <c r="L571" s="7" t="s">
        <v>2246</v>
      </c>
      <c r="M571" s="7">
        <f t="shared" si="38"/>
        <v>2.2030000000000001E-2</v>
      </c>
      <c r="N571" s="7">
        <f t="shared" si="35"/>
        <v>6.8382001199999998</v>
      </c>
    </row>
    <row r="572" spans="1:14" ht="15.6" x14ac:dyDescent="0.3">
      <c r="A572" s="18" t="s">
        <v>1761</v>
      </c>
      <c r="B572" s="7">
        <v>6</v>
      </c>
      <c r="C572" s="7">
        <v>12</v>
      </c>
      <c r="D572" s="7" t="s">
        <v>2259</v>
      </c>
      <c r="E572" s="7">
        <v>11000000</v>
      </c>
      <c r="F572" s="7">
        <f t="shared" si="36"/>
        <v>11000000</v>
      </c>
      <c r="G572" s="7">
        <f t="shared" si="37"/>
        <v>35437.687658664196</v>
      </c>
      <c r="H572" s="7" t="s">
        <v>2260</v>
      </c>
      <c r="I572" s="18" t="s">
        <v>1812</v>
      </c>
      <c r="J572" s="18" t="s">
        <v>1802</v>
      </c>
      <c r="K572" s="3">
        <v>22.03</v>
      </c>
      <c r="L572" s="7" t="s">
        <v>2246</v>
      </c>
      <c r="M572" s="7">
        <f t="shared" si="38"/>
        <v>2.2030000000000001E-2</v>
      </c>
      <c r="N572" s="7">
        <f t="shared" si="35"/>
        <v>6.8382001199999998</v>
      </c>
    </row>
    <row r="573" spans="1:14" ht="15.6" x14ac:dyDescent="0.3">
      <c r="A573" s="18" t="s">
        <v>1761</v>
      </c>
      <c r="B573" s="7">
        <v>6</v>
      </c>
      <c r="C573" s="7">
        <v>12</v>
      </c>
      <c r="D573" s="7" t="s">
        <v>2259</v>
      </c>
      <c r="E573" s="7">
        <v>11000000</v>
      </c>
      <c r="F573" s="7">
        <f t="shared" si="36"/>
        <v>11000000</v>
      </c>
      <c r="G573" s="7">
        <f t="shared" si="37"/>
        <v>35437.687658664196</v>
      </c>
      <c r="H573" s="7" t="s">
        <v>2260</v>
      </c>
      <c r="I573" s="18" t="s">
        <v>1812</v>
      </c>
      <c r="J573" s="18" t="s">
        <v>1802</v>
      </c>
      <c r="K573" s="3">
        <v>22.03</v>
      </c>
      <c r="L573" s="7" t="s">
        <v>2246</v>
      </c>
      <c r="M573" s="7">
        <f t="shared" si="38"/>
        <v>2.2030000000000001E-2</v>
      </c>
      <c r="N573" s="7">
        <f t="shared" si="35"/>
        <v>6.8382001199999998</v>
      </c>
    </row>
    <row r="574" spans="1:14" ht="15.6" x14ac:dyDescent="0.3">
      <c r="A574" s="18" t="s">
        <v>1761</v>
      </c>
      <c r="B574" s="7">
        <v>6</v>
      </c>
      <c r="C574" s="7">
        <v>12</v>
      </c>
      <c r="D574" s="7" t="s">
        <v>2259</v>
      </c>
      <c r="E574" s="7">
        <v>11000000</v>
      </c>
      <c r="F574" s="7">
        <f t="shared" si="36"/>
        <v>11000000</v>
      </c>
      <c r="G574" s="7">
        <f t="shared" si="37"/>
        <v>35437.687658664196</v>
      </c>
      <c r="H574" s="7" t="s">
        <v>2260</v>
      </c>
      <c r="I574" s="18" t="s">
        <v>1812</v>
      </c>
      <c r="J574" s="18" t="s">
        <v>1802</v>
      </c>
      <c r="K574" s="3">
        <v>22.03</v>
      </c>
      <c r="L574" s="7" t="s">
        <v>2246</v>
      </c>
      <c r="M574" s="7">
        <f t="shared" si="38"/>
        <v>2.2030000000000001E-2</v>
      </c>
      <c r="N574" s="7">
        <f t="shared" si="35"/>
        <v>6.8382001199999998</v>
      </c>
    </row>
    <row r="575" spans="1:14" ht="15.6" x14ac:dyDescent="0.3">
      <c r="A575" s="18" t="s">
        <v>1761</v>
      </c>
      <c r="B575" s="7">
        <v>6</v>
      </c>
      <c r="C575" s="7">
        <v>12</v>
      </c>
      <c r="D575" s="7" t="s">
        <v>2259</v>
      </c>
      <c r="E575" s="7">
        <v>11000000</v>
      </c>
      <c r="F575" s="7">
        <f t="shared" si="36"/>
        <v>11000000</v>
      </c>
      <c r="G575" s="7">
        <f t="shared" si="37"/>
        <v>35437.687658664196</v>
      </c>
      <c r="H575" s="7" t="s">
        <v>2260</v>
      </c>
      <c r="I575" s="18" t="s">
        <v>1812</v>
      </c>
      <c r="J575" s="18" t="s">
        <v>1802</v>
      </c>
      <c r="K575" s="3">
        <v>22.03</v>
      </c>
      <c r="L575" s="7" t="s">
        <v>2246</v>
      </c>
      <c r="M575" s="7">
        <f t="shared" si="38"/>
        <v>2.2030000000000001E-2</v>
      </c>
      <c r="N575" s="7">
        <f t="shared" si="35"/>
        <v>6.8382001199999998</v>
      </c>
    </row>
    <row r="576" spans="1:14" ht="15.6" x14ac:dyDescent="0.3">
      <c r="A576" s="18" t="s">
        <v>1761</v>
      </c>
      <c r="B576" s="7">
        <v>6</v>
      </c>
      <c r="C576" s="7">
        <v>12</v>
      </c>
      <c r="D576" s="7" t="s">
        <v>2259</v>
      </c>
      <c r="E576" s="7">
        <v>11000000</v>
      </c>
      <c r="F576" s="7">
        <f t="shared" si="36"/>
        <v>11000000</v>
      </c>
      <c r="G576" s="7">
        <f t="shared" si="37"/>
        <v>35437.687658664196</v>
      </c>
      <c r="H576" s="7" t="s">
        <v>2260</v>
      </c>
      <c r="I576" s="18" t="s">
        <v>1812</v>
      </c>
      <c r="J576" s="18" t="s">
        <v>1802</v>
      </c>
      <c r="K576" s="3">
        <v>22.03</v>
      </c>
      <c r="L576" s="7" t="s">
        <v>2246</v>
      </c>
      <c r="M576" s="7">
        <f t="shared" si="38"/>
        <v>2.2030000000000001E-2</v>
      </c>
      <c r="N576" s="7">
        <f t="shared" si="35"/>
        <v>6.8382001199999998</v>
      </c>
    </row>
    <row r="577" spans="1:14" ht="15.6" x14ac:dyDescent="0.3">
      <c r="A577" s="18" t="s">
        <v>1761</v>
      </c>
      <c r="B577" s="7">
        <v>6</v>
      </c>
      <c r="C577" s="7">
        <v>12</v>
      </c>
      <c r="D577" s="7" t="s">
        <v>2259</v>
      </c>
      <c r="E577" s="7">
        <v>11000000</v>
      </c>
      <c r="F577" s="7">
        <f t="shared" si="36"/>
        <v>11000000</v>
      </c>
      <c r="G577" s="7">
        <f t="shared" si="37"/>
        <v>35437.687658664196</v>
      </c>
      <c r="H577" s="7" t="s">
        <v>2260</v>
      </c>
      <c r="I577" s="18" t="s">
        <v>1812</v>
      </c>
      <c r="J577" s="18" t="s">
        <v>1802</v>
      </c>
      <c r="K577" s="3">
        <v>22.03</v>
      </c>
      <c r="L577" s="7" t="s">
        <v>2246</v>
      </c>
      <c r="M577" s="7">
        <f t="shared" si="38"/>
        <v>2.2030000000000001E-2</v>
      </c>
      <c r="N577" s="7">
        <f t="shared" si="35"/>
        <v>6.8382001199999998</v>
      </c>
    </row>
    <row r="578" spans="1:14" ht="15.6" x14ac:dyDescent="0.3">
      <c r="A578" s="18" t="s">
        <v>1761</v>
      </c>
      <c r="B578" s="7">
        <v>6</v>
      </c>
      <c r="C578" s="7">
        <v>12</v>
      </c>
      <c r="D578" s="7" t="s">
        <v>2259</v>
      </c>
      <c r="E578" s="7">
        <v>11000000</v>
      </c>
      <c r="F578" s="7">
        <f t="shared" si="36"/>
        <v>11000000</v>
      </c>
      <c r="G578" s="7">
        <f t="shared" si="37"/>
        <v>35437.687658664196</v>
      </c>
      <c r="H578" s="7" t="s">
        <v>2260</v>
      </c>
      <c r="I578" s="18" t="s">
        <v>1812</v>
      </c>
      <c r="J578" s="18" t="s">
        <v>1802</v>
      </c>
      <c r="K578" s="3">
        <v>22.03</v>
      </c>
      <c r="L578" s="7" t="s">
        <v>2246</v>
      </c>
      <c r="M578" s="7">
        <f t="shared" si="38"/>
        <v>2.2030000000000001E-2</v>
      </c>
      <c r="N578" s="7">
        <f t="shared" si="35"/>
        <v>6.8382001199999998</v>
      </c>
    </row>
    <row r="579" spans="1:14" ht="15.6" x14ac:dyDescent="0.3">
      <c r="A579" s="18" t="s">
        <v>1761</v>
      </c>
      <c r="B579" s="7">
        <v>6</v>
      </c>
      <c r="C579" s="7">
        <v>12</v>
      </c>
      <c r="D579" s="7" t="s">
        <v>2259</v>
      </c>
      <c r="E579" s="7">
        <v>11000000</v>
      </c>
      <c r="F579" s="7">
        <f t="shared" si="36"/>
        <v>11000000</v>
      </c>
      <c r="G579" s="7">
        <f t="shared" si="37"/>
        <v>35437.687658664196</v>
      </c>
      <c r="H579" s="7" t="s">
        <v>2260</v>
      </c>
      <c r="I579" s="18" t="s">
        <v>1812</v>
      </c>
      <c r="J579" s="18" t="s">
        <v>1802</v>
      </c>
      <c r="K579" s="3">
        <v>22.03</v>
      </c>
      <c r="L579" s="7" t="s">
        <v>2246</v>
      </c>
      <c r="M579" s="7">
        <f t="shared" si="38"/>
        <v>2.2030000000000001E-2</v>
      </c>
      <c r="N579" s="7">
        <f t="shared" ref="N579:N642" si="39">IFERROR((M579*F579)/G579,"ND")</f>
        <v>6.8382001199999998</v>
      </c>
    </row>
    <row r="580" spans="1:14" ht="15.6" x14ac:dyDescent="0.3">
      <c r="A580" s="18" t="s">
        <v>1761</v>
      </c>
      <c r="B580" s="7">
        <v>6</v>
      </c>
      <c r="C580" s="7">
        <v>12</v>
      </c>
      <c r="D580" s="7" t="s">
        <v>2259</v>
      </c>
      <c r="E580" s="7">
        <v>11000000</v>
      </c>
      <c r="F580" s="7">
        <f t="shared" si="36"/>
        <v>11000000</v>
      </c>
      <c r="G580" s="7">
        <f t="shared" si="37"/>
        <v>35437.687658664196</v>
      </c>
      <c r="H580" s="7" t="s">
        <v>2260</v>
      </c>
      <c r="I580" s="18" t="s">
        <v>1812</v>
      </c>
      <c r="J580" s="18" t="s">
        <v>1802</v>
      </c>
      <c r="K580" s="3">
        <v>22.03</v>
      </c>
      <c r="L580" s="7" t="s">
        <v>2246</v>
      </c>
      <c r="M580" s="7">
        <f t="shared" si="38"/>
        <v>2.2030000000000001E-2</v>
      </c>
      <c r="N580" s="7">
        <f t="shared" si="39"/>
        <v>6.8382001199999998</v>
      </c>
    </row>
    <row r="581" spans="1:14" ht="15.6" x14ac:dyDescent="0.3">
      <c r="A581" s="18" t="s">
        <v>1761</v>
      </c>
      <c r="B581" s="7">
        <v>6</v>
      </c>
      <c r="C581" s="7">
        <v>12</v>
      </c>
      <c r="D581" s="7" t="s">
        <v>2259</v>
      </c>
      <c r="E581" s="7">
        <v>11000000</v>
      </c>
      <c r="F581" s="7">
        <f t="shared" si="36"/>
        <v>11000000</v>
      </c>
      <c r="G581" s="7">
        <f t="shared" si="37"/>
        <v>35437.687658664196</v>
      </c>
      <c r="H581" s="7" t="s">
        <v>2260</v>
      </c>
      <c r="I581" s="18" t="s">
        <v>1812</v>
      </c>
      <c r="J581" s="18" t="s">
        <v>1802</v>
      </c>
      <c r="K581" s="3">
        <v>22.03</v>
      </c>
      <c r="L581" s="7" t="s">
        <v>2246</v>
      </c>
      <c r="M581" s="7">
        <f t="shared" si="38"/>
        <v>2.2030000000000001E-2</v>
      </c>
      <c r="N581" s="7">
        <f t="shared" si="39"/>
        <v>6.8382001199999998</v>
      </c>
    </row>
    <row r="582" spans="1:14" ht="15.6" x14ac:dyDescent="0.3">
      <c r="A582" s="18" t="s">
        <v>1761</v>
      </c>
      <c r="B582" s="7">
        <v>6</v>
      </c>
      <c r="C582" s="7">
        <v>12</v>
      </c>
      <c r="D582" s="7" t="s">
        <v>2259</v>
      </c>
      <c r="E582" s="7">
        <v>11000000</v>
      </c>
      <c r="F582" s="7">
        <f t="shared" si="36"/>
        <v>11000000</v>
      </c>
      <c r="G582" s="7">
        <f t="shared" si="37"/>
        <v>35437.687658664196</v>
      </c>
      <c r="H582" s="7" t="s">
        <v>2260</v>
      </c>
      <c r="I582" s="18" t="s">
        <v>1812</v>
      </c>
      <c r="J582" s="18" t="s">
        <v>1802</v>
      </c>
      <c r="K582" s="3">
        <v>22.03</v>
      </c>
      <c r="L582" s="7" t="s">
        <v>2246</v>
      </c>
      <c r="M582" s="7">
        <f t="shared" si="38"/>
        <v>2.2030000000000001E-2</v>
      </c>
      <c r="N582" s="7">
        <f t="shared" si="39"/>
        <v>6.8382001199999998</v>
      </c>
    </row>
    <row r="583" spans="1:14" ht="15.6" x14ac:dyDescent="0.3">
      <c r="A583" s="18" t="s">
        <v>1761</v>
      </c>
      <c r="B583" s="7">
        <v>6</v>
      </c>
      <c r="C583" s="7">
        <v>12</v>
      </c>
      <c r="D583" s="7" t="s">
        <v>2259</v>
      </c>
      <c r="E583" s="7">
        <v>11000000</v>
      </c>
      <c r="F583" s="7">
        <f t="shared" si="36"/>
        <v>11000000</v>
      </c>
      <c r="G583" s="7">
        <f t="shared" si="37"/>
        <v>35437.687658664196</v>
      </c>
      <c r="H583" s="7" t="s">
        <v>2260</v>
      </c>
      <c r="I583" s="18" t="s">
        <v>1812</v>
      </c>
      <c r="J583" s="18" t="s">
        <v>1802</v>
      </c>
      <c r="K583" s="3">
        <v>22.03</v>
      </c>
      <c r="L583" s="7" t="s">
        <v>2246</v>
      </c>
      <c r="M583" s="7">
        <f t="shared" si="38"/>
        <v>2.2030000000000001E-2</v>
      </c>
      <c r="N583" s="7">
        <f t="shared" si="39"/>
        <v>6.8382001199999998</v>
      </c>
    </row>
    <row r="584" spans="1:14" ht="15.6" x14ac:dyDescent="0.3">
      <c r="A584" s="18" t="s">
        <v>1761</v>
      </c>
      <c r="B584" s="7">
        <v>6</v>
      </c>
      <c r="C584" s="7">
        <v>12</v>
      </c>
      <c r="D584" s="7" t="s">
        <v>2259</v>
      </c>
      <c r="E584" s="7">
        <v>11000000</v>
      </c>
      <c r="F584" s="7">
        <f t="shared" si="36"/>
        <v>11000000</v>
      </c>
      <c r="G584" s="7">
        <f t="shared" si="37"/>
        <v>35437.687658664196</v>
      </c>
      <c r="H584" s="7" t="s">
        <v>2260</v>
      </c>
      <c r="I584" s="18" t="s">
        <v>1812</v>
      </c>
      <c r="J584" s="18" t="s">
        <v>1802</v>
      </c>
      <c r="K584" s="3">
        <v>22.03</v>
      </c>
      <c r="L584" s="7" t="s">
        <v>2246</v>
      </c>
      <c r="M584" s="7">
        <f t="shared" si="38"/>
        <v>2.2030000000000001E-2</v>
      </c>
      <c r="N584" s="7">
        <f t="shared" si="39"/>
        <v>6.8382001199999998</v>
      </c>
    </row>
    <row r="585" spans="1:14" ht="15.6" x14ac:dyDescent="0.3">
      <c r="A585" s="18" t="s">
        <v>1761</v>
      </c>
      <c r="B585" s="7">
        <v>6</v>
      </c>
      <c r="C585" s="7">
        <v>12</v>
      </c>
      <c r="D585" s="7" t="s">
        <v>2259</v>
      </c>
      <c r="E585" s="7">
        <v>11000000</v>
      </c>
      <c r="F585" s="7">
        <f t="shared" si="36"/>
        <v>11000000</v>
      </c>
      <c r="G585" s="7">
        <f t="shared" si="37"/>
        <v>35437.687658664196</v>
      </c>
      <c r="H585" s="7" t="s">
        <v>2260</v>
      </c>
      <c r="I585" s="18" t="s">
        <v>1812</v>
      </c>
      <c r="J585" s="18" t="s">
        <v>1802</v>
      </c>
      <c r="K585" s="3">
        <v>22.03</v>
      </c>
      <c r="L585" s="7" t="s">
        <v>2246</v>
      </c>
      <c r="M585" s="7">
        <f t="shared" si="38"/>
        <v>2.2030000000000001E-2</v>
      </c>
      <c r="N585" s="7">
        <f t="shared" si="39"/>
        <v>6.8382001199999998</v>
      </c>
    </row>
    <row r="586" spans="1:14" ht="15.6" x14ac:dyDescent="0.3">
      <c r="A586" s="18" t="s">
        <v>1761</v>
      </c>
      <c r="B586" s="7">
        <v>6</v>
      </c>
      <c r="C586" s="7">
        <v>12</v>
      </c>
      <c r="D586" s="7" t="s">
        <v>2259</v>
      </c>
      <c r="E586" s="7">
        <v>11000000</v>
      </c>
      <c r="F586" s="7">
        <f t="shared" si="36"/>
        <v>11000000</v>
      </c>
      <c r="G586" s="7">
        <f t="shared" si="37"/>
        <v>35437.687658664196</v>
      </c>
      <c r="H586" s="7" t="s">
        <v>2260</v>
      </c>
      <c r="I586" s="18" t="s">
        <v>1812</v>
      </c>
      <c r="J586" s="18" t="s">
        <v>1802</v>
      </c>
      <c r="K586" s="3">
        <v>22.03</v>
      </c>
      <c r="L586" s="7" t="s">
        <v>2246</v>
      </c>
      <c r="M586" s="7">
        <f t="shared" si="38"/>
        <v>2.2030000000000001E-2</v>
      </c>
      <c r="N586" s="7">
        <f t="shared" si="39"/>
        <v>6.8382001199999998</v>
      </c>
    </row>
    <row r="587" spans="1:14" ht="15.6" x14ac:dyDescent="0.3">
      <c r="A587" s="18" t="s">
        <v>1761</v>
      </c>
      <c r="B587" s="7">
        <v>6</v>
      </c>
      <c r="C587" s="7">
        <v>12</v>
      </c>
      <c r="D587" s="7" t="s">
        <v>2259</v>
      </c>
      <c r="E587" s="7">
        <v>11000000</v>
      </c>
      <c r="F587" s="7">
        <f t="shared" si="36"/>
        <v>11000000</v>
      </c>
      <c r="G587" s="7">
        <f t="shared" si="37"/>
        <v>35437.687658664196</v>
      </c>
      <c r="H587" s="7" t="s">
        <v>2260</v>
      </c>
      <c r="I587" s="18" t="s">
        <v>1812</v>
      </c>
      <c r="J587" s="18" t="s">
        <v>1802</v>
      </c>
      <c r="K587" s="3">
        <v>22.03</v>
      </c>
      <c r="L587" s="7" t="s">
        <v>2246</v>
      </c>
      <c r="M587" s="7">
        <f t="shared" si="38"/>
        <v>2.2030000000000001E-2</v>
      </c>
      <c r="N587" s="7">
        <f t="shared" si="39"/>
        <v>6.8382001199999998</v>
      </c>
    </row>
    <row r="588" spans="1:14" ht="15.6" x14ac:dyDescent="0.3">
      <c r="A588" s="18" t="s">
        <v>1761</v>
      </c>
      <c r="B588" s="7">
        <v>6</v>
      </c>
      <c r="C588" s="7">
        <v>12</v>
      </c>
      <c r="D588" s="7" t="s">
        <v>2259</v>
      </c>
      <c r="E588" s="7">
        <v>11000000</v>
      </c>
      <c r="F588" s="7">
        <f t="shared" si="36"/>
        <v>11000000</v>
      </c>
      <c r="G588" s="7">
        <f t="shared" si="37"/>
        <v>35437.687658664196</v>
      </c>
      <c r="H588" s="7" t="s">
        <v>2260</v>
      </c>
      <c r="I588" s="18" t="s">
        <v>1812</v>
      </c>
      <c r="J588" s="18" t="s">
        <v>1802</v>
      </c>
      <c r="K588" s="3">
        <v>22.03</v>
      </c>
      <c r="L588" s="7" t="s">
        <v>2246</v>
      </c>
      <c r="M588" s="7">
        <f t="shared" si="38"/>
        <v>2.2030000000000001E-2</v>
      </c>
      <c r="N588" s="7">
        <f t="shared" si="39"/>
        <v>6.8382001199999998</v>
      </c>
    </row>
    <row r="589" spans="1:14" ht="15.6" x14ac:dyDescent="0.3">
      <c r="A589" s="18" t="s">
        <v>1761</v>
      </c>
      <c r="B589" s="7">
        <v>6</v>
      </c>
      <c r="C589" s="7">
        <v>12</v>
      </c>
      <c r="D589" s="7" t="s">
        <v>2259</v>
      </c>
      <c r="E589" s="7">
        <v>11000000</v>
      </c>
      <c r="F589" s="7">
        <f t="shared" si="36"/>
        <v>11000000</v>
      </c>
      <c r="G589" s="7">
        <f t="shared" si="37"/>
        <v>35437.687658664196</v>
      </c>
      <c r="H589" s="7" t="s">
        <v>2260</v>
      </c>
      <c r="I589" s="18" t="s">
        <v>1812</v>
      </c>
      <c r="J589" s="18" t="s">
        <v>1802</v>
      </c>
      <c r="K589" s="3">
        <v>22.03</v>
      </c>
      <c r="L589" s="7" t="s">
        <v>2246</v>
      </c>
      <c r="M589" s="7">
        <f t="shared" si="38"/>
        <v>2.2030000000000001E-2</v>
      </c>
      <c r="N589" s="7">
        <f t="shared" si="39"/>
        <v>6.8382001199999998</v>
      </c>
    </row>
    <row r="590" spans="1:14" ht="15.6" x14ac:dyDescent="0.3">
      <c r="A590" s="18" t="s">
        <v>1761</v>
      </c>
      <c r="B590" s="7">
        <v>6</v>
      </c>
      <c r="C590" s="7">
        <v>12</v>
      </c>
      <c r="D590" s="7" t="s">
        <v>2259</v>
      </c>
      <c r="E590" s="7">
        <v>11000000</v>
      </c>
      <c r="F590" s="7">
        <f t="shared" si="36"/>
        <v>11000000</v>
      </c>
      <c r="G590" s="7">
        <f t="shared" si="37"/>
        <v>35437.687658664196</v>
      </c>
      <c r="H590" s="7" t="s">
        <v>2260</v>
      </c>
      <c r="I590" s="18" t="s">
        <v>1812</v>
      </c>
      <c r="J590" s="18" t="s">
        <v>1802</v>
      </c>
      <c r="K590" s="3">
        <v>22.03</v>
      </c>
      <c r="L590" s="7" t="s">
        <v>2246</v>
      </c>
      <c r="M590" s="7">
        <f t="shared" si="38"/>
        <v>2.2030000000000001E-2</v>
      </c>
      <c r="N590" s="7">
        <f t="shared" si="39"/>
        <v>6.8382001199999998</v>
      </c>
    </row>
    <row r="591" spans="1:14" ht="15.6" x14ac:dyDescent="0.3">
      <c r="A591" s="18" t="s">
        <v>1761</v>
      </c>
      <c r="B591" s="7">
        <v>6</v>
      </c>
      <c r="C591" s="7">
        <v>12</v>
      </c>
      <c r="D591" s="7" t="s">
        <v>2259</v>
      </c>
      <c r="E591" s="7">
        <v>11000000</v>
      </c>
      <c r="F591" s="7">
        <f t="shared" si="36"/>
        <v>11000000</v>
      </c>
      <c r="G591" s="7">
        <f t="shared" si="37"/>
        <v>35437.687658664196</v>
      </c>
      <c r="H591" s="7" t="s">
        <v>2260</v>
      </c>
      <c r="I591" s="18" t="s">
        <v>1812</v>
      </c>
      <c r="J591" s="18" t="s">
        <v>1802</v>
      </c>
      <c r="K591" s="3">
        <v>22.03</v>
      </c>
      <c r="L591" s="7" t="s">
        <v>2246</v>
      </c>
      <c r="M591" s="7">
        <f t="shared" si="38"/>
        <v>2.2030000000000001E-2</v>
      </c>
      <c r="N591" s="7">
        <f t="shared" si="39"/>
        <v>6.8382001199999998</v>
      </c>
    </row>
    <row r="592" spans="1:14" ht="15.6" x14ac:dyDescent="0.3">
      <c r="A592" s="18" t="s">
        <v>1761</v>
      </c>
      <c r="B592" s="7">
        <v>6</v>
      </c>
      <c r="C592" s="7">
        <v>12</v>
      </c>
      <c r="D592" s="7" t="s">
        <v>2259</v>
      </c>
      <c r="E592" s="7">
        <v>11000000</v>
      </c>
      <c r="F592" s="7">
        <f t="shared" si="36"/>
        <v>11000000</v>
      </c>
      <c r="G592" s="7">
        <f t="shared" si="37"/>
        <v>35437.687658664196</v>
      </c>
      <c r="H592" s="7" t="s">
        <v>2260</v>
      </c>
      <c r="I592" s="18" t="s">
        <v>1812</v>
      </c>
      <c r="J592" s="18" t="s">
        <v>1802</v>
      </c>
      <c r="K592" s="3">
        <v>22.03</v>
      </c>
      <c r="L592" s="7" t="s">
        <v>2246</v>
      </c>
      <c r="M592" s="7">
        <f t="shared" si="38"/>
        <v>2.2030000000000001E-2</v>
      </c>
      <c r="N592" s="7">
        <f t="shared" si="39"/>
        <v>6.8382001199999998</v>
      </c>
    </row>
    <row r="593" spans="1:14" ht="15.6" x14ac:dyDescent="0.3">
      <c r="A593" s="18" t="s">
        <v>1761</v>
      </c>
      <c r="B593" s="7">
        <v>6</v>
      </c>
      <c r="C593" s="7">
        <v>12</v>
      </c>
      <c r="D593" s="7" t="s">
        <v>2259</v>
      </c>
      <c r="E593" s="7">
        <v>11000000</v>
      </c>
      <c r="F593" s="7">
        <f t="shared" si="36"/>
        <v>11000000</v>
      </c>
      <c r="G593" s="7">
        <f t="shared" si="37"/>
        <v>35437.687658664196</v>
      </c>
      <c r="H593" s="7" t="s">
        <v>2260</v>
      </c>
      <c r="I593" s="18" t="s">
        <v>1812</v>
      </c>
      <c r="J593" s="18" t="s">
        <v>1802</v>
      </c>
      <c r="K593" s="3">
        <v>22.03</v>
      </c>
      <c r="L593" s="7" t="s">
        <v>2246</v>
      </c>
      <c r="M593" s="7">
        <f t="shared" si="38"/>
        <v>2.2030000000000001E-2</v>
      </c>
      <c r="N593" s="7">
        <f t="shared" si="39"/>
        <v>6.8382001199999998</v>
      </c>
    </row>
    <row r="594" spans="1:14" ht="15.6" x14ac:dyDescent="0.3">
      <c r="A594" s="18" t="s">
        <v>1761</v>
      </c>
      <c r="B594" s="7">
        <v>6</v>
      </c>
      <c r="C594" s="7">
        <v>12</v>
      </c>
      <c r="D594" s="7" t="s">
        <v>2259</v>
      </c>
      <c r="E594" s="7">
        <v>11000000</v>
      </c>
      <c r="F594" s="7">
        <f t="shared" si="36"/>
        <v>11000000</v>
      </c>
      <c r="G594" s="7">
        <f t="shared" si="37"/>
        <v>35437.687658664196</v>
      </c>
      <c r="H594" s="7" t="s">
        <v>2260</v>
      </c>
      <c r="I594" s="18" t="s">
        <v>1812</v>
      </c>
      <c r="J594" s="18" t="s">
        <v>1802</v>
      </c>
      <c r="K594" s="3">
        <v>22.03</v>
      </c>
      <c r="L594" s="7" t="s">
        <v>2246</v>
      </c>
      <c r="M594" s="7">
        <f t="shared" si="38"/>
        <v>2.2030000000000001E-2</v>
      </c>
      <c r="N594" s="7">
        <f t="shared" si="39"/>
        <v>6.8382001199999998</v>
      </c>
    </row>
    <row r="595" spans="1:14" ht="15.6" x14ac:dyDescent="0.3">
      <c r="A595" s="18" t="s">
        <v>1761</v>
      </c>
      <c r="B595" s="7">
        <v>6</v>
      </c>
      <c r="C595" s="7">
        <v>12</v>
      </c>
      <c r="D595" s="7" t="s">
        <v>2259</v>
      </c>
      <c r="E595" s="7">
        <v>11000000</v>
      </c>
      <c r="F595" s="7">
        <f t="shared" si="36"/>
        <v>11000000</v>
      </c>
      <c r="G595" s="7">
        <f t="shared" si="37"/>
        <v>35437.687658664196</v>
      </c>
      <c r="H595" s="7" t="s">
        <v>2260</v>
      </c>
      <c r="I595" s="18" t="s">
        <v>1812</v>
      </c>
      <c r="J595" s="18" t="s">
        <v>1802</v>
      </c>
      <c r="K595" s="3">
        <v>22.03</v>
      </c>
      <c r="L595" s="7" t="s">
        <v>2246</v>
      </c>
      <c r="M595" s="7">
        <f t="shared" si="38"/>
        <v>2.2030000000000001E-2</v>
      </c>
      <c r="N595" s="7">
        <f t="shared" si="39"/>
        <v>6.8382001199999998</v>
      </c>
    </row>
    <row r="596" spans="1:14" ht="15.6" x14ac:dyDescent="0.3">
      <c r="A596" s="18" t="s">
        <v>1761</v>
      </c>
      <c r="B596" s="7">
        <v>6</v>
      </c>
      <c r="C596" s="7">
        <v>12</v>
      </c>
      <c r="D596" s="7" t="s">
        <v>2259</v>
      </c>
      <c r="E596" s="7">
        <v>11000000</v>
      </c>
      <c r="F596" s="7">
        <f t="shared" si="36"/>
        <v>11000000</v>
      </c>
      <c r="G596" s="7">
        <f t="shared" si="37"/>
        <v>35437.687658664196</v>
      </c>
      <c r="H596" s="7" t="s">
        <v>2260</v>
      </c>
      <c r="I596" s="18" t="s">
        <v>1812</v>
      </c>
      <c r="J596" s="18" t="s">
        <v>1802</v>
      </c>
      <c r="K596" s="3">
        <v>22.03</v>
      </c>
      <c r="L596" s="7" t="s">
        <v>2246</v>
      </c>
      <c r="M596" s="7">
        <f t="shared" si="38"/>
        <v>2.2030000000000001E-2</v>
      </c>
      <c r="N596" s="7">
        <f t="shared" si="39"/>
        <v>6.8382001199999998</v>
      </c>
    </row>
    <row r="597" spans="1:14" ht="15.6" x14ac:dyDescent="0.3">
      <c r="A597" s="18" t="s">
        <v>1761</v>
      </c>
      <c r="B597" s="7">
        <v>6</v>
      </c>
      <c r="C597" s="7">
        <v>12</v>
      </c>
      <c r="D597" s="7" t="s">
        <v>2259</v>
      </c>
      <c r="E597" s="7">
        <v>11000000</v>
      </c>
      <c r="F597" s="7">
        <f t="shared" si="36"/>
        <v>11000000</v>
      </c>
      <c r="G597" s="7">
        <f t="shared" si="37"/>
        <v>35437.687658664196</v>
      </c>
      <c r="H597" s="7" t="s">
        <v>2260</v>
      </c>
      <c r="I597" s="18" t="s">
        <v>1812</v>
      </c>
      <c r="J597" s="18" t="s">
        <v>1802</v>
      </c>
      <c r="K597" s="3">
        <v>22.03</v>
      </c>
      <c r="L597" s="7" t="s">
        <v>2246</v>
      </c>
      <c r="M597" s="7">
        <f t="shared" si="38"/>
        <v>2.2030000000000001E-2</v>
      </c>
      <c r="N597" s="7">
        <f t="shared" si="39"/>
        <v>6.8382001199999998</v>
      </c>
    </row>
    <row r="598" spans="1:14" ht="15.6" x14ac:dyDescent="0.3">
      <c r="A598" s="18" t="s">
        <v>1761</v>
      </c>
      <c r="B598" s="7">
        <v>6</v>
      </c>
      <c r="C598" s="7">
        <v>12</v>
      </c>
      <c r="D598" s="7" t="s">
        <v>2259</v>
      </c>
      <c r="E598" s="7">
        <v>11000000</v>
      </c>
      <c r="F598" s="7">
        <f t="shared" si="36"/>
        <v>11000000</v>
      </c>
      <c r="G598" s="7">
        <f t="shared" si="37"/>
        <v>35437.687658664196</v>
      </c>
      <c r="H598" s="7" t="s">
        <v>2260</v>
      </c>
      <c r="I598" s="18" t="s">
        <v>1812</v>
      </c>
      <c r="J598" s="18" t="s">
        <v>1802</v>
      </c>
      <c r="K598" s="3">
        <v>22.03</v>
      </c>
      <c r="L598" s="7" t="s">
        <v>2246</v>
      </c>
      <c r="M598" s="7">
        <f t="shared" si="38"/>
        <v>2.2030000000000001E-2</v>
      </c>
      <c r="N598" s="7">
        <f t="shared" si="39"/>
        <v>6.8382001199999998</v>
      </c>
    </row>
    <row r="599" spans="1:14" ht="15.6" x14ac:dyDescent="0.3">
      <c r="A599" s="18" t="s">
        <v>1761</v>
      </c>
      <c r="B599" s="7">
        <v>6</v>
      </c>
      <c r="C599" s="7">
        <v>12</v>
      </c>
      <c r="D599" s="7" t="s">
        <v>2259</v>
      </c>
      <c r="E599" s="7">
        <v>11000000</v>
      </c>
      <c r="F599" s="7">
        <f t="shared" si="36"/>
        <v>11000000</v>
      </c>
      <c r="G599" s="7">
        <f t="shared" si="37"/>
        <v>35437.687658664196</v>
      </c>
      <c r="H599" s="7" t="s">
        <v>2260</v>
      </c>
      <c r="I599" s="18" t="s">
        <v>1812</v>
      </c>
      <c r="J599" s="18" t="s">
        <v>1802</v>
      </c>
      <c r="K599" s="3">
        <v>22.03</v>
      </c>
      <c r="L599" s="7" t="s">
        <v>2246</v>
      </c>
      <c r="M599" s="7">
        <f t="shared" si="38"/>
        <v>2.2030000000000001E-2</v>
      </c>
      <c r="N599" s="7">
        <f t="shared" si="39"/>
        <v>6.8382001199999998</v>
      </c>
    </row>
    <row r="600" spans="1:14" ht="15.6" x14ac:dyDescent="0.3">
      <c r="A600" s="18" t="s">
        <v>1761</v>
      </c>
      <c r="B600" s="7">
        <v>6</v>
      </c>
      <c r="C600" s="7">
        <v>12</v>
      </c>
      <c r="D600" s="7" t="s">
        <v>2259</v>
      </c>
      <c r="E600" s="7">
        <v>11000000</v>
      </c>
      <c r="F600" s="7">
        <f t="shared" si="36"/>
        <v>11000000</v>
      </c>
      <c r="G600" s="7">
        <f t="shared" si="37"/>
        <v>35437.687658664196</v>
      </c>
      <c r="H600" s="7" t="s">
        <v>2260</v>
      </c>
      <c r="I600" s="18" t="s">
        <v>1812</v>
      </c>
      <c r="J600" s="18" t="s">
        <v>1802</v>
      </c>
      <c r="K600" s="3">
        <v>22.03</v>
      </c>
      <c r="L600" s="7" t="s">
        <v>2246</v>
      </c>
      <c r="M600" s="7">
        <f t="shared" si="38"/>
        <v>2.2030000000000001E-2</v>
      </c>
      <c r="N600" s="7">
        <f t="shared" si="39"/>
        <v>6.8382001199999998</v>
      </c>
    </row>
    <row r="601" spans="1:14" ht="15.6" x14ac:dyDescent="0.3">
      <c r="A601" s="18" t="s">
        <v>1761</v>
      </c>
      <c r="B601" s="7">
        <v>6</v>
      </c>
      <c r="C601" s="7">
        <v>12</v>
      </c>
      <c r="D601" s="7" t="s">
        <v>2259</v>
      </c>
      <c r="E601" s="7">
        <v>11000000</v>
      </c>
      <c r="F601" s="7">
        <f t="shared" ref="F601:F664" si="40">E601</f>
        <v>11000000</v>
      </c>
      <c r="G601" s="7">
        <f t="shared" ref="G601:G664" si="41">F601/310.404</f>
        <v>35437.687658664196</v>
      </c>
      <c r="H601" s="7" t="s">
        <v>2260</v>
      </c>
      <c r="I601" s="18" t="s">
        <v>1812</v>
      </c>
      <c r="J601" s="18" t="s">
        <v>1802</v>
      </c>
      <c r="K601" s="3">
        <v>22.03</v>
      </c>
      <c r="L601" s="7" t="s">
        <v>2246</v>
      </c>
      <c r="M601" s="7">
        <f t="shared" si="38"/>
        <v>2.2030000000000001E-2</v>
      </c>
      <c r="N601" s="7">
        <f t="shared" si="39"/>
        <v>6.8382001199999998</v>
      </c>
    </row>
    <row r="602" spans="1:14" ht="15.6" x14ac:dyDescent="0.3">
      <c r="A602" s="18" t="s">
        <v>1761</v>
      </c>
      <c r="B602" s="7">
        <v>6</v>
      </c>
      <c r="C602" s="7">
        <v>12</v>
      </c>
      <c r="D602" s="7" t="s">
        <v>2259</v>
      </c>
      <c r="E602" s="7">
        <v>11000000</v>
      </c>
      <c r="F602" s="7">
        <f t="shared" si="40"/>
        <v>11000000</v>
      </c>
      <c r="G602" s="7">
        <f t="shared" si="41"/>
        <v>35437.687658664196</v>
      </c>
      <c r="H602" s="7" t="s">
        <v>2260</v>
      </c>
      <c r="I602" s="18" t="s">
        <v>1812</v>
      </c>
      <c r="J602" s="18" t="s">
        <v>1802</v>
      </c>
      <c r="K602" s="3">
        <v>22.03</v>
      </c>
      <c r="L602" s="7" t="s">
        <v>2246</v>
      </c>
      <c r="M602" s="7">
        <f t="shared" si="38"/>
        <v>2.2030000000000001E-2</v>
      </c>
      <c r="N602" s="7">
        <f t="shared" si="39"/>
        <v>6.8382001199999998</v>
      </c>
    </row>
    <row r="603" spans="1:14" ht="15.6" x14ac:dyDescent="0.3">
      <c r="A603" s="18" t="s">
        <v>1761</v>
      </c>
      <c r="B603" s="7">
        <v>6</v>
      </c>
      <c r="C603" s="7">
        <v>12</v>
      </c>
      <c r="D603" s="7" t="s">
        <v>2259</v>
      </c>
      <c r="E603" s="7">
        <v>11000000</v>
      </c>
      <c r="F603" s="7">
        <f t="shared" si="40"/>
        <v>11000000</v>
      </c>
      <c r="G603" s="7">
        <f t="shared" si="41"/>
        <v>35437.687658664196</v>
      </c>
      <c r="H603" s="7" t="s">
        <v>2260</v>
      </c>
      <c r="I603" s="18" t="s">
        <v>1812</v>
      </c>
      <c r="J603" s="18" t="s">
        <v>1802</v>
      </c>
      <c r="K603" s="3">
        <v>22.03</v>
      </c>
      <c r="L603" s="7" t="s">
        <v>2246</v>
      </c>
      <c r="M603" s="7">
        <f t="shared" si="38"/>
        <v>2.2030000000000001E-2</v>
      </c>
      <c r="N603" s="7">
        <f t="shared" si="39"/>
        <v>6.8382001199999998</v>
      </c>
    </row>
    <row r="604" spans="1:14" ht="15.6" x14ac:dyDescent="0.3">
      <c r="A604" s="18" t="s">
        <v>1761</v>
      </c>
      <c r="B604" s="7">
        <v>6</v>
      </c>
      <c r="C604" s="7">
        <v>12</v>
      </c>
      <c r="D604" s="7" t="s">
        <v>2259</v>
      </c>
      <c r="E604" s="7">
        <v>11000000</v>
      </c>
      <c r="F604" s="7">
        <f t="shared" si="40"/>
        <v>11000000</v>
      </c>
      <c r="G604" s="7">
        <f t="shared" si="41"/>
        <v>35437.687658664196</v>
      </c>
      <c r="H604" s="7" t="s">
        <v>2260</v>
      </c>
      <c r="I604" s="18" t="s">
        <v>1812</v>
      </c>
      <c r="J604" s="18" t="s">
        <v>1802</v>
      </c>
      <c r="K604" s="3">
        <v>22.03</v>
      </c>
      <c r="L604" s="7" t="s">
        <v>2246</v>
      </c>
      <c r="M604" s="7">
        <f t="shared" si="38"/>
        <v>2.2030000000000001E-2</v>
      </c>
      <c r="N604" s="7">
        <f t="shared" si="39"/>
        <v>6.8382001199999998</v>
      </c>
    </row>
    <row r="605" spans="1:14" ht="15.6" x14ac:dyDescent="0.3">
      <c r="A605" s="18" t="s">
        <v>1761</v>
      </c>
      <c r="B605" s="7">
        <v>6</v>
      </c>
      <c r="C605" s="7">
        <v>12</v>
      </c>
      <c r="D605" s="7" t="s">
        <v>2259</v>
      </c>
      <c r="E605" s="7">
        <v>11000000</v>
      </c>
      <c r="F605" s="7">
        <f t="shared" si="40"/>
        <v>11000000</v>
      </c>
      <c r="G605" s="7">
        <f t="shared" si="41"/>
        <v>35437.687658664196</v>
      </c>
      <c r="H605" s="7" t="s">
        <v>2260</v>
      </c>
      <c r="I605" s="18" t="s">
        <v>1812</v>
      </c>
      <c r="J605" s="18" t="s">
        <v>1802</v>
      </c>
      <c r="K605" s="3">
        <v>22.03</v>
      </c>
      <c r="L605" s="7" t="s">
        <v>2246</v>
      </c>
      <c r="M605" s="7">
        <f t="shared" si="38"/>
        <v>2.2030000000000001E-2</v>
      </c>
      <c r="N605" s="7">
        <f t="shared" si="39"/>
        <v>6.8382001199999998</v>
      </c>
    </row>
    <row r="606" spans="1:14" ht="15.6" x14ac:dyDescent="0.3">
      <c r="A606" s="18" t="s">
        <v>1761</v>
      </c>
      <c r="B606" s="7">
        <v>6</v>
      </c>
      <c r="C606" s="7">
        <v>12</v>
      </c>
      <c r="D606" s="7" t="s">
        <v>2259</v>
      </c>
      <c r="E606" s="7">
        <v>11000000</v>
      </c>
      <c r="F606" s="7">
        <f t="shared" si="40"/>
        <v>11000000</v>
      </c>
      <c r="G606" s="7">
        <f t="shared" si="41"/>
        <v>35437.687658664196</v>
      </c>
      <c r="H606" s="7" t="s">
        <v>2260</v>
      </c>
      <c r="I606" s="18" t="s">
        <v>1812</v>
      </c>
      <c r="J606" s="18" t="s">
        <v>1802</v>
      </c>
      <c r="K606" s="3">
        <v>22.03</v>
      </c>
      <c r="L606" s="7" t="s">
        <v>2246</v>
      </c>
      <c r="M606" s="7">
        <f t="shared" si="38"/>
        <v>2.2030000000000001E-2</v>
      </c>
      <c r="N606" s="7">
        <f t="shared" si="39"/>
        <v>6.8382001199999998</v>
      </c>
    </row>
    <row r="607" spans="1:14" ht="15.6" x14ac:dyDescent="0.3">
      <c r="A607" s="18" t="s">
        <v>1761</v>
      </c>
      <c r="B607" s="7">
        <v>6</v>
      </c>
      <c r="C607" s="7">
        <v>12</v>
      </c>
      <c r="D607" s="7" t="s">
        <v>2259</v>
      </c>
      <c r="E607" s="7">
        <v>11000000</v>
      </c>
      <c r="F607" s="7">
        <f t="shared" si="40"/>
        <v>11000000</v>
      </c>
      <c r="G607" s="7">
        <f t="shared" si="41"/>
        <v>35437.687658664196</v>
      </c>
      <c r="H607" s="7" t="s">
        <v>2260</v>
      </c>
      <c r="I607" s="18" t="s">
        <v>1812</v>
      </c>
      <c r="J607" s="18" t="s">
        <v>1802</v>
      </c>
      <c r="K607" s="3">
        <v>22.03</v>
      </c>
      <c r="L607" s="7" t="s">
        <v>2246</v>
      </c>
      <c r="M607" s="7">
        <f t="shared" si="38"/>
        <v>2.2030000000000001E-2</v>
      </c>
      <c r="N607" s="7">
        <f t="shared" si="39"/>
        <v>6.8382001199999998</v>
      </c>
    </row>
    <row r="608" spans="1:14" ht="15.6" x14ac:dyDescent="0.3">
      <c r="A608" s="18" t="s">
        <v>1745</v>
      </c>
      <c r="B608" s="7">
        <v>6</v>
      </c>
      <c r="C608" s="7">
        <v>12</v>
      </c>
      <c r="D608" s="7" t="s">
        <v>2259</v>
      </c>
      <c r="E608" s="7">
        <v>11000000</v>
      </c>
      <c r="F608" s="7">
        <f t="shared" si="40"/>
        <v>11000000</v>
      </c>
      <c r="G608" s="7">
        <f t="shared" si="41"/>
        <v>35437.687658664196</v>
      </c>
      <c r="H608" s="7" t="s">
        <v>2260</v>
      </c>
      <c r="I608" s="18" t="s">
        <v>1812</v>
      </c>
      <c r="J608" s="18" t="s">
        <v>1802</v>
      </c>
      <c r="K608" s="3" t="s">
        <v>1716</v>
      </c>
      <c r="L608" s="7" t="s">
        <v>2246</v>
      </c>
      <c r="M608" s="7" t="str">
        <f t="shared" si="38"/>
        <v>ND</v>
      </c>
      <c r="N608" s="7" t="str">
        <f t="shared" si="39"/>
        <v>ND</v>
      </c>
    </row>
    <row r="609" spans="1:14" ht="15.6" x14ac:dyDescent="0.3">
      <c r="A609" s="18" t="s">
        <v>1745</v>
      </c>
      <c r="B609" s="7">
        <v>6</v>
      </c>
      <c r="C609" s="7">
        <v>12</v>
      </c>
      <c r="D609" s="7" t="s">
        <v>2259</v>
      </c>
      <c r="E609" s="7">
        <v>11000000</v>
      </c>
      <c r="F609" s="7">
        <f t="shared" si="40"/>
        <v>11000000</v>
      </c>
      <c r="G609" s="7">
        <f t="shared" si="41"/>
        <v>35437.687658664196</v>
      </c>
      <c r="H609" s="7" t="s">
        <v>2260</v>
      </c>
      <c r="I609" s="18" t="s">
        <v>1812</v>
      </c>
      <c r="J609" s="18" t="s">
        <v>1802</v>
      </c>
      <c r="K609" s="3" t="s">
        <v>1716</v>
      </c>
      <c r="L609" s="7" t="s">
        <v>2246</v>
      </c>
      <c r="M609" s="7" t="str">
        <f t="shared" si="38"/>
        <v>ND</v>
      </c>
      <c r="N609" s="7" t="str">
        <f t="shared" si="39"/>
        <v>ND</v>
      </c>
    </row>
    <row r="610" spans="1:14" ht="15.6" x14ac:dyDescent="0.3">
      <c r="A610" s="18" t="s">
        <v>1745</v>
      </c>
      <c r="B610" s="7">
        <v>6</v>
      </c>
      <c r="C610" s="7">
        <v>12</v>
      </c>
      <c r="D610" s="7" t="s">
        <v>2259</v>
      </c>
      <c r="E610" s="7">
        <v>11000000</v>
      </c>
      <c r="F610" s="7">
        <f t="shared" si="40"/>
        <v>11000000</v>
      </c>
      <c r="G610" s="7">
        <f t="shared" si="41"/>
        <v>35437.687658664196</v>
      </c>
      <c r="H610" s="7" t="s">
        <v>2260</v>
      </c>
      <c r="I610" s="18" t="s">
        <v>1812</v>
      </c>
      <c r="J610" s="18" t="s">
        <v>1802</v>
      </c>
      <c r="K610" s="3" t="s">
        <v>1716</v>
      </c>
      <c r="L610" s="7" t="s">
        <v>2246</v>
      </c>
      <c r="M610" s="7" t="str">
        <f t="shared" si="38"/>
        <v>ND</v>
      </c>
      <c r="N610" s="7" t="str">
        <f t="shared" si="39"/>
        <v>ND</v>
      </c>
    </row>
    <row r="611" spans="1:14" ht="15.6" x14ac:dyDescent="0.3">
      <c r="A611" s="18" t="s">
        <v>1745</v>
      </c>
      <c r="B611" s="7">
        <v>6</v>
      </c>
      <c r="C611" s="7">
        <v>12</v>
      </c>
      <c r="D611" s="7" t="s">
        <v>2259</v>
      </c>
      <c r="E611" s="7">
        <v>11000000</v>
      </c>
      <c r="F611" s="7">
        <f t="shared" si="40"/>
        <v>11000000</v>
      </c>
      <c r="G611" s="7">
        <f t="shared" si="41"/>
        <v>35437.687658664196</v>
      </c>
      <c r="H611" s="7" t="s">
        <v>2260</v>
      </c>
      <c r="I611" s="18" t="s">
        <v>1812</v>
      </c>
      <c r="J611" s="18" t="s">
        <v>1802</v>
      </c>
      <c r="K611" s="3" t="s">
        <v>1716</v>
      </c>
      <c r="L611" s="7" t="s">
        <v>2246</v>
      </c>
      <c r="M611" s="7" t="str">
        <f t="shared" si="38"/>
        <v>ND</v>
      </c>
      <c r="N611" s="7" t="str">
        <f t="shared" si="39"/>
        <v>ND</v>
      </c>
    </row>
    <row r="612" spans="1:14" ht="15.6" x14ac:dyDescent="0.3">
      <c r="A612" s="18" t="s">
        <v>1745</v>
      </c>
      <c r="B612" s="7">
        <v>6</v>
      </c>
      <c r="C612" s="7">
        <v>12</v>
      </c>
      <c r="D612" s="7" t="s">
        <v>2259</v>
      </c>
      <c r="E612" s="7">
        <v>11000000</v>
      </c>
      <c r="F612" s="7">
        <f t="shared" si="40"/>
        <v>11000000</v>
      </c>
      <c r="G612" s="7">
        <f t="shared" si="41"/>
        <v>35437.687658664196</v>
      </c>
      <c r="H612" s="7" t="s">
        <v>2260</v>
      </c>
      <c r="I612" s="18" t="s">
        <v>1812</v>
      </c>
      <c r="J612" s="18" t="s">
        <v>1802</v>
      </c>
      <c r="K612" s="3" t="s">
        <v>1716</v>
      </c>
      <c r="L612" s="7" t="s">
        <v>2246</v>
      </c>
      <c r="M612" s="7" t="str">
        <f t="shared" si="38"/>
        <v>ND</v>
      </c>
      <c r="N612" s="7" t="str">
        <f t="shared" si="39"/>
        <v>ND</v>
      </c>
    </row>
    <row r="613" spans="1:14" ht="15.6" x14ac:dyDescent="0.3">
      <c r="A613" s="18" t="s">
        <v>1745</v>
      </c>
      <c r="B613" s="7">
        <v>6</v>
      </c>
      <c r="C613" s="7">
        <v>12</v>
      </c>
      <c r="D613" s="7" t="s">
        <v>2259</v>
      </c>
      <c r="E613" s="7">
        <v>11000000</v>
      </c>
      <c r="F613" s="7">
        <f t="shared" si="40"/>
        <v>11000000</v>
      </c>
      <c r="G613" s="7">
        <f t="shared" si="41"/>
        <v>35437.687658664196</v>
      </c>
      <c r="H613" s="7" t="s">
        <v>2260</v>
      </c>
      <c r="I613" s="18" t="s">
        <v>1812</v>
      </c>
      <c r="J613" s="18" t="s">
        <v>1802</v>
      </c>
      <c r="K613" s="3" t="s">
        <v>1716</v>
      </c>
      <c r="L613" s="7" t="s">
        <v>2246</v>
      </c>
      <c r="M613" s="7" t="str">
        <f t="shared" si="38"/>
        <v>ND</v>
      </c>
      <c r="N613" s="7" t="str">
        <f t="shared" si="39"/>
        <v>ND</v>
      </c>
    </row>
    <row r="614" spans="1:14" ht="15.6" x14ac:dyDescent="0.3">
      <c r="A614" s="18" t="s">
        <v>1745</v>
      </c>
      <c r="B614" s="7">
        <v>6</v>
      </c>
      <c r="C614" s="7">
        <v>12</v>
      </c>
      <c r="D614" s="7" t="s">
        <v>2259</v>
      </c>
      <c r="E614" s="7">
        <v>11000000</v>
      </c>
      <c r="F614" s="7">
        <f t="shared" si="40"/>
        <v>11000000</v>
      </c>
      <c r="G614" s="7">
        <f t="shared" si="41"/>
        <v>35437.687658664196</v>
      </c>
      <c r="H614" s="7" t="s">
        <v>2260</v>
      </c>
      <c r="I614" s="18" t="s">
        <v>1812</v>
      </c>
      <c r="J614" s="18" t="s">
        <v>1802</v>
      </c>
      <c r="K614" s="3" t="s">
        <v>1716</v>
      </c>
      <c r="L614" s="7" t="s">
        <v>2246</v>
      </c>
      <c r="M614" s="7" t="str">
        <f t="shared" si="38"/>
        <v>ND</v>
      </c>
      <c r="N614" s="7" t="str">
        <f t="shared" si="39"/>
        <v>ND</v>
      </c>
    </row>
    <row r="615" spans="1:14" ht="15.6" x14ac:dyDescent="0.3">
      <c r="A615" s="18" t="s">
        <v>1745</v>
      </c>
      <c r="B615" s="7">
        <v>6</v>
      </c>
      <c r="C615" s="7">
        <v>12</v>
      </c>
      <c r="D615" s="7" t="s">
        <v>2259</v>
      </c>
      <c r="E615" s="7">
        <v>11000000</v>
      </c>
      <c r="F615" s="7">
        <f t="shared" si="40"/>
        <v>11000000</v>
      </c>
      <c r="G615" s="7">
        <f t="shared" si="41"/>
        <v>35437.687658664196</v>
      </c>
      <c r="H615" s="7" t="s">
        <v>2260</v>
      </c>
      <c r="I615" s="18" t="s">
        <v>1812</v>
      </c>
      <c r="J615" s="18" t="s">
        <v>1802</v>
      </c>
      <c r="K615" s="3" t="s">
        <v>1716</v>
      </c>
      <c r="L615" s="7" t="s">
        <v>2246</v>
      </c>
      <c r="M615" s="7" t="str">
        <f t="shared" si="38"/>
        <v>ND</v>
      </c>
      <c r="N615" s="7" t="str">
        <f t="shared" si="39"/>
        <v>ND</v>
      </c>
    </row>
    <row r="616" spans="1:14" ht="15.6" x14ac:dyDescent="0.3">
      <c r="A616" s="18" t="s">
        <v>1745</v>
      </c>
      <c r="B616" s="7">
        <v>6</v>
      </c>
      <c r="C616" s="7">
        <v>12</v>
      </c>
      <c r="D616" s="7" t="s">
        <v>2259</v>
      </c>
      <c r="E616" s="7">
        <v>11000000</v>
      </c>
      <c r="F616" s="7">
        <f t="shared" si="40"/>
        <v>11000000</v>
      </c>
      <c r="G616" s="7">
        <f t="shared" si="41"/>
        <v>35437.687658664196</v>
      </c>
      <c r="H616" s="7" t="s">
        <v>2260</v>
      </c>
      <c r="I616" s="18" t="s">
        <v>1812</v>
      </c>
      <c r="J616" s="18" t="s">
        <v>1802</v>
      </c>
      <c r="K616" s="3" t="s">
        <v>1716</v>
      </c>
      <c r="L616" s="7" t="s">
        <v>2246</v>
      </c>
      <c r="M616" s="7" t="str">
        <f t="shared" si="38"/>
        <v>ND</v>
      </c>
      <c r="N616" s="7" t="str">
        <f t="shared" si="39"/>
        <v>ND</v>
      </c>
    </row>
    <row r="617" spans="1:14" ht="15.6" x14ac:dyDescent="0.3">
      <c r="A617" s="18" t="s">
        <v>1745</v>
      </c>
      <c r="B617" s="7">
        <v>6</v>
      </c>
      <c r="C617" s="7">
        <v>12</v>
      </c>
      <c r="D617" s="7" t="s">
        <v>2259</v>
      </c>
      <c r="E617" s="7">
        <v>11000000</v>
      </c>
      <c r="F617" s="7">
        <f t="shared" si="40"/>
        <v>11000000</v>
      </c>
      <c r="G617" s="7">
        <f t="shared" si="41"/>
        <v>35437.687658664196</v>
      </c>
      <c r="H617" s="7" t="s">
        <v>2260</v>
      </c>
      <c r="I617" s="18" t="s">
        <v>1812</v>
      </c>
      <c r="J617" s="18" t="s">
        <v>1802</v>
      </c>
      <c r="K617" s="3" t="s">
        <v>1716</v>
      </c>
      <c r="L617" s="7" t="s">
        <v>2246</v>
      </c>
      <c r="M617" s="7" t="str">
        <f t="shared" si="38"/>
        <v>ND</v>
      </c>
      <c r="N617" s="7" t="str">
        <f t="shared" si="39"/>
        <v>ND</v>
      </c>
    </row>
    <row r="618" spans="1:14" ht="15.6" x14ac:dyDescent="0.3">
      <c r="A618" s="18" t="s">
        <v>1745</v>
      </c>
      <c r="B618" s="7">
        <v>6</v>
      </c>
      <c r="C618" s="7">
        <v>12</v>
      </c>
      <c r="D618" s="7" t="s">
        <v>2259</v>
      </c>
      <c r="E618" s="7">
        <v>11000000</v>
      </c>
      <c r="F618" s="7">
        <f t="shared" si="40"/>
        <v>11000000</v>
      </c>
      <c r="G618" s="7">
        <f t="shared" si="41"/>
        <v>35437.687658664196</v>
      </c>
      <c r="H618" s="7" t="s">
        <v>2260</v>
      </c>
      <c r="I618" s="18" t="s">
        <v>1812</v>
      </c>
      <c r="J618" s="18" t="s">
        <v>1802</v>
      </c>
      <c r="K618" s="3" t="s">
        <v>1716</v>
      </c>
      <c r="L618" s="7" t="s">
        <v>2246</v>
      </c>
      <c r="M618" s="7" t="str">
        <f t="shared" ref="M618:M681" si="42">IFERROR(K618/1000,"ND")</f>
        <v>ND</v>
      </c>
      <c r="N618" s="7" t="str">
        <f t="shared" si="39"/>
        <v>ND</v>
      </c>
    </row>
    <row r="619" spans="1:14" ht="15.6" x14ac:dyDescent="0.3">
      <c r="A619" s="18" t="s">
        <v>1745</v>
      </c>
      <c r="B619" s="7">
        <v>6</v>
      </c>
      <c r="C619" s="7">
        <v>12</v>
      </c>
      <c r="D619" s="7" t="s">
        <v>2259</v>
      </c>
      <c r="E619" s="7">
        <v>11000000</v>
      </c>
      <c r="F619" s="7">
        <f t="shared" si="40"/>
        <v>11000000</v>
      </c>
      <c r="G619" s="7">
        <f t="shared" si="41"/>
        <v>35437.687658664196</v>
      </c>
      <c r="H619" s="7" t="s">
        <v>2260</v>
      </c>
      <c r="I619" s="18" t="s">
        <v>1812</v>
      </c>
      <c r="J619" s="18" t="s">
        <v>1802</v>
      </c>
      <c r="K619" s="3" t="s">
        <v>1716</v>
      </c>
      <c r="L619" s="7" t="s">
        <v>2246</v>
      </c>
      <c r="M619" s="7" t="str">
        <f t="shared" si="42"/>
        <v>ND</v>
      </c>
      <c r="N619" s="7" t="str">
        <f t="shared" si="39"/>
        <v>ND</v>
      </c>
    </row>
    <row r="620" spans="1:14" ht="15.6" x14ac:dyDescent="0.3">
      <c r="A620" s="18" t="s">
        <v>1745</v>
      </c>
      <c r="B620" s="7">
        <v>6</v>
      </c>
      <c r="C620" s="7">
        <v>12</v>
      </c>
      <c r="D620" s="7" t="s">
        <v>2259</v>
      </c>
      <c r="E620" s="7">
        <v>11000000</v>
      </c>
      <c r="F620" s="7">
        <f t="shared" si="40"/>
        <v>11000000</v>
      </c>
      <c r="G620" s="7">
        <f t="shared" si="41"/>
        <v>35437.687658664196</v>
      </c>
      <c r="H620" s="7" t="s">
        <v>2260</v>
      </c>
      <c r="I620" s="18" t="s">
        <v>1812</v>
      </c>
      <c r="J620" s="18" t="s">
        <v>1802</v>
      </c>
      <c r="K620" s="3" t="s">
        <v>1716</v>
      </c>
      <c r="L620" s="7" t="s">
        <v>2246</v>
      </c>
      <c r="M620" s="7" t="str">
        <f t="shared" si="42"/>
        <v>ND</v>
      </c>
      <c r="N620" s="7" t="str">
        <f t="shared" si="39"/>
        <v>ND</v>
      </c>
    </row>
    <row r="621" spans="1:14" ht="15.6" x14ac:dyDescent="0.3">
      <c r="A621" s="18" t="s">
        <v>1745</v>
      </c>
      <c r="B621" s="7">
        <v>6</v>
      </c>
      <c r="C621" s="7">
        <v>12</v>
      </c>
      <c r="D621" s="7" t="s">
        <v>2259</v>
      </c>
      <c r="E621" s="7">
        <v>11000000</v>
      </c>
      <c r="F621" s="7">
        <f t="shared" si="40"/>
        <v>11000000</v>
      </c>
      <c r="G621" s="7">
        <f t="shared" si="41"/>
        <v>35437.687658664196</v>
      </c>
      <c r="H621" s="7" t="s">
        <v>2260</v>
      </c>
      <c r="I621" s="18" t="s">
        <v>1812</v>
      </c>
      <c r="J621" s="18" t="s">
        <v>1802</v>
      </c>
      <c r="K621" s="3">
        <v>5.48</v>
      </c>
      <c r="L621" s="7" t="s">
        <v>2246</v>
      </c>
      <c r="M621" s="7">
        <f t="shared" si="42"/>
        <v>5.4800000000000005E-3</v>
      </c>
      <c r="N621" s="7">
        <f t="shared" si="39"/>
        <v>1.7010139200000001</v>
      </c>
    </row>
    <row r="622" spans="1:14" ht="15.6" x14ac:dyDescent="0.3">
      <c r="A622" s="18" t="s">
        <v>1745</v>
      </c>
      <c r="B622" s="7">
        <v>6</v>
      </c>
      <c r="C622" s="7">
        <v>12</v>
      </c>
      <c r="D622" s="7" t="s">
        <v>2259</v>
      </c>
      <c r="E622" s="7">
        <v>11000000</v>
      </c>
      <c r="F622" s="7">
        <f t="shared" si="40"/>
        <v>11000000</v>
      </c>
      <c r="G622" s="7">
        <f t="shared" si="41"/>
        <v>35437.687658664196</v>
      </c>
      <c r="H622" s="7" t="s">
        <v>2260</v>
      </c>
      <c r="I622" s="18" t="s">
        <v>1812</v>
      </c>
      <c r="J622" s="18" t="s">
        <v>1802</v>
      </c>
      <c r="K622" s="3" t="s">
        <v>1716</v>
      </c>
      <c r="L622" s="7" t="s">
        <v>2246</v>
      </c>
      <c r="M622" s="7" t="str">
        <f t="shared" si="42"/>
        <v>ND</v>
      </c>
      <c r="N622" s="7" t="str">
        <f t="shared" si="39"/>
        <v>ND</v>
      </c>
    </row>
    <row r="623" spans="1:14" ht="15.6" x14ac:dyDescent="0.3">
      <c r="A623" s="18" t="s">
        <v>1745</v>
      </c>
      <c r="B623" s="7">
        <v>6</v>
      </c>
      <c r="C623" s="7">
        <v>12</v>
      </c>
      <c r="D623" s="7" t="s">
        <v>2259</v>
      </c>
      <c r="E623" s="7">
        <v>11000000</v>
      </c>
      <c r="F623" s="7">
        <f t="shared" si="40"/>
        <v>11000000</v>
      </c>
      <c r="G623" s="7">
        <f t="shared" si="41"/>
        <v>35437.687658664196</v>
      </c>
      <c r="H623" s="7" t="s">
        <v>2260</v>
      </c>
      <c r="I623" s="18" t="s">
        <v>1812</v>
      </c>
      <c r="J623" s="18" t="s">
        <v>1802</v>
      </c>
      <c r="K623" s="3">
        <v>5.51</v>
      </c>
      <c r="L623" s="7" t="s">
        <v>2246</v>
      </c>
      <c r="M623" s="7">
        <f t="shared" si="42"/>
        <v>5.5100000000000001E-3</v>
      </c>
      <c r="N623" s="7">
        <f t="shared" si="39"/>
        <v>1.7103260399999998</v>
      </c>
    </row>
    <row r="624" spans="1:14" ht="15.6" x14ac:dyDescent="0.3">
      <c r="A624" s="18" t="s">
        <v>1745</v>
      </c>
      <c r="B624" s="7">
        <v>6</v>
      </c>
      <c r="C624" s="7">
        <v>12</v>
      </c>
      <c r="D624" s="7" t="s">
        <v>2259</v>
      </c>
      <c r="E624" s="7">
        <v>11000000</v>
      </c>
      <c r="F624" s="7">
        <f t="shared" si="40"/>
        <v>11000000</v>
      </c>
      <c r="G624" s="7">
        <f t="shared" si="41"/>
        <v>35437.687658664196</v>
      </c>
      <c r="H624" s="7" t="s">
        <v>2260</v>
      </c>
      <c r="I624" s="18" t="s">
        <v>1812</v>
      </c>
      <c r="J624" s="18" t="s">
        <v>1802</v>
      </c>
      <c r="K624" s="3">
        <v>5.99</v>
      </c>
      <c r="L624" s="7" t="s">
        <v>2246</v>
      </c>
      <c r="M624" s="7">
        <f t="shared" si="42"/>
        <v>5.9900000000000005E-3</v>
      </c>
      <c r="N624" s="7">
        <f t="shared" si="39"/>
        <v>1.8593199599999999</v>
      </c>
    </row>
    <row r="625" spans="1:14" ht="15.6" x14ac:dyDescent="0.3">
      <c r="A625" s="18" t="s">
        <v>1745</v>
      </c>
      <c r="B625" s="7">
        <v>6</v>
      </c>
      <c r="C625" s="7">
        <v>12</v>
      </c>
      <c r="D625" s="7" t="s">
        <v>2259</v>
      </c>
      <c r="E625" s="7">
        <v>11000000</v>
      </c>
      <c r="F625" s="7">
        <f t="shared" si="40"/>
        <v>11000000</v>
      </c>
      <c r="G625" s="7">
        <f t="shared" si="41"/>
        <v>35437.687658664196</v>
      </c>
      <c r="H625" s="7" t="s">
        <v>2260</v>
      </c>
      <c r="I625" s="18" t="s">
        <v>1812</v>
      </c>
      <c r="J625" s="18" t="s">
        <v>1802</v>
      </c>
      <c r="K625" s="3" t="s">
        <v>1716</v>
      </c>
      <c r="L625" s="7" t="s">
        <v>2246</v>
      </c>
      <c r="M625" s="7" t="str">
        <f t="shared" si="42"/>
        <v>ND</v>
      </c>
      <c r="N625" s="7" t="str">
        <f t="shared" si="39"/>
        <v>ND</v>
      </c>
    </row>
    <row r="626" spans="1:14" ht="15.6" x14ac:dyDescent="0.3">
      <c r="A626" s="18" t="s">
        <v>1745</v>
      </c>
      <c r="B626" s="7">
        <v>6</v>
      </c>
      <c r="C626" s="7">
        <v>12</v>
      </c>
      <c r="D626" s="7" t="s">
        <v>2259</v>
      </c>
      <c r="E626" s="7">
        <v>11000000</v>
      </c>
      <c r="F626" s="7">
        <f t="shared" si="40"/>
        <v>11000000</v>
      </c>
      <c r="G626" s="7">
        <f t="shared" si="41"/>
        <v>35437.687658664196</v>
      </c>
      <c r="H626" s="7" t="s">
        <v>2260</v>
      </c>
      <c r="I626" s="18" t="s">
        <v>1812</v>
      </c>
      <c r="J626" s="18" t="s">
        <v>1802</v>
      </c>
      <c r="K626" s="3" t="s">
        <v>1716</v>
      </c>
      <c r="L626" s="7" t="s">
        <v>2246</v>
      </c>
      <c r="M626" s="7" t="str">
        <f t="shared" si="42"/>
        <v>ND</v>
      </c>
      <c r="N626" s="7" t="str">
        <f t="shared" si="39"/>
        <v>ND</v>
      </c>
    </row>
    <row r="627" spans="1:14" ht="15.6" x14ac:dyDescent="0.3">
      <c r="A627" s="18" t="s">
        <v>1745</v>
      </c>
      <c r="B627" s="7">
        <v>6</v>
      </c>
      <c r="C627" s="7">
        <v>12</v>
      </c>
      <c r="D627" s="7" t="s">
        <v>2259</v>
      </c>
      <c r="E627" s="7">
        <v>11000000</v>
      </c>
      <c r="F627" s="7">
        <f t="shared" si="40"/>
        <v>11000000</v>
      </c>
      <c r="G627" s="7">
        <f t="shared" si="41"/>
        <v>35437.687658664196</v>
      </c>
      <c r="H627" s="7" t="s">
        <v>2260</v>
      </c>
      <c r="I627" s="18" t="s">
        <v>1812</v>
      </c>
      <c r="J627" s="18" t="s">
        <v>1802</v>
      </c>
      <c r="K627" s="3" t="s">
        <v>1716</v>
      </c>
      <c r="L627" s="7" t="s">
        <v>2246</v>
      </c>
      <c r="M627" s="7" t="str">
        <f t="shared" si="42"/>
        <v>ND</v>
      </c>
      <c r="N627" s="7" t="str">
        <f t="shared" si="39"/>
        <v>ND</v>
      </c>
    </row>
    <row r="628" spans="1:14" ht="15.6" x14ac:dyDescent="0.3">
      <c r="A628" s="18" t="s">
        <v>1745</v>
      </c>
      <c r="B628" s="7">
        <v>6</v>
      </c>
      <c r="C628" s="7">
        <v>12</v>
      </c>
      <c r="D628" s="7" t="s">
        <v>2259</v>
      </c>
      <c r="E628" s="7">
        <v>11000000</v>
      </c>
      <c r="F628" s="7">
        <f t="shared" si="40"/>
        <v>11000000</v>
      </c>
      <c r="G628" s="7">
        <f t="shared" si="41"/>
        <v>35437.687658664196</v>
      </c>
      <c r="H628" s="7" t="s">
        <v>2260</v>
      </c>
      <c r="I628" s="18" t="s">
        <v>1812</v>
      </c>
      <c r="J628" s="18" t="s">
        <v>1802</v>
      </c>
      <c r="K628" s="3" t="s">
        <v>1716</v>
      </c>
      <c r="L628" s="7" t="s">
        <v>2246</v>
      </c>
      <c r="M628" s="7" t="str">
        <f t="shared" si="42"/>
        <v>ND</v>
      </c>
      <c r="N628" s="7" t="str">
        <f t="shared" si="39"/>
        <v>ND</v>
      </c>
    </row>
    <row r="629" spans="1:14" ht="15.6" x14ac:dyDescent="0.3">
      <c r="A629" s="18" t="s">
        <v>1745</v>
      </c>
      <c r="B629" s="7">
        <v>6</v>
      </c>
      <c r="C629" s="7">
        <v>12</v>
      </c>
      <c r="D629" s="7" t="s">
        <v>2259</v>
      </c>
      <c r="E629" s="7">
        <v>11000000</v>
      </c>
      <c r="F629" s="7">
        <f t="shared" si="40"/>
        <v>11000000</v>
      </c>
      <c r="G629" s="7">
        <f t="shared" si="41"/>
        <v>35437.687658664196</v>
      </c>
      <c r="H629" s="7" t="s">
        <v>2260</v>
      </c>
      <c r="I629" s="18" t="s">
        <v>1812</v>
      </c>
      <c r="J629" s="18" t="s">
        <v>1802</v>
      </c>
      <c r="K629" s="3" t="s">
        <v>1716</v>
      </c>
      <c r="L629" s="7" t="s">
        <v>2246</v>
      </c>
      <c r="M629" s="7" t="str">
        <f t="shared" si="42"/>
        <v>ND</v>
      </c>
      <c r="N629" s="7" t="str">
        <f t="shared" si="39"/>
        <v>ND</v>
      </c>
    </row>
    <row r="630" spans="1:14" ht="15.6" x14ac:dyDescent="0.3">
      <c r="A630" s="18" t="s">
        <v>1745</v>
      </c>
      <c r="B630" s="7">
        <v>6</v>
      </c>
      <c r="C630" s="7">
        <v>12</v>
      </c>
      <c r="D630" s="7" t="s">
        <v>2259</v>
      </c>
      <c r="E630" s="7">
        <v>11000000</v>
      </c>
      <c r="F630" s="7">
        <f t="shared" si="40"/>
        <v>11000000</v>
      </c>
      <c r="G630" s="7">
        <f t="shared" si="41"/>
        <v>35437.687658664196</v>
      </c>
      <c r="H630" s="7" t="s">
        <v>2260</v>
      </c>
      <c r="I630" s="18" t="s">
        <v>1812</v>
      </c>
      <c r="J630" s="18" t="s">
        <v>1802</v>
      </c>
      <c r="K630" s="3" t="s">
        <v>1716</v>
      </c>
      <c r="L630" s="7" t="s">
        <v>2246</v>
      </c>
      <c r="M630" s="7" t="str">
        <f t="shared" si="42"/>
        <v>ND</v>
      </c>
      <c r="N630" s="7" t="str">
        <f t="shared" si="39"/>
        <v>ND</v>
      </c>
    </row>
    <row r="631" spans="1:14" ht="15.6" x14ac:dyDescent="0.3">
      <c r="A631" s="18" t="s">
        <v>1745</v>
      </c>
      <c r="B631" s="7">
        <v>6</v>
      </c>
      <c r="C631" s="7">
        <v>12</v>
      </c>
      <c r="D631" s="7" t="s">
        <v>2259</v>
      </c>
      <c r="E631" s="7">
        <v>11000000</v>
      </c>
      <c r="F631" s="7">
        <f t="shared" si="40"/>
        <v>11000000</v>
      </c>
      <c r="G631" s="7">
        <f t="shared" si="41"/>
        <v>35437.687658664196</v>
      </c>
      <c r="H631" s="7" t="s">
        <v>2260</v>
      </c>
      <c r="I631" s="18" t="s">
        <v>1812</v>
      </c>
      <c r="J631" s="18" t="s">
        <v>1802</v>
      </c>
      <c r="K631" s="3" t="s">
        <v>1716</v>
      </c>
      <c r="L631" s="7" t="s">
        <v>2246</v>
      </c>
      <c r="M631" s="7" t="str">
        <f t="shared" si="42"/>
        <v>ND</v>
      </c>
      <c r="N631" s="7" t="str">
        <f t="shared" si="39"/>
        <v>ND</v>
      </c>
    </row>
    <row r="632" spans="1:14" ht="15.6" x14ac:dyDescent="0.3">
      <c r="A632" s="18" t="s">
        <v>1745</v>
      </c>
      <c r="B632" s="7">
        <v>6</v>
      </c>
      <c r="C632" s="7">
        <v>12</v>
      </c>
      <c r="D632" s="7" t="s">
        <v>2259</v>
      </c>
      <c r="E632" s="7">
        <v>11000000</v>
      </c>
      <c r="F632" s="7">
        <f t="shared" si="40"/>
        <v>11000000</v>
      </c>
      <c r="G632" s="7">
        <f t="shared" si="41"/>
        <v>35437.687658664196</v>
      </c>
      <c r="H632" s="7" t="s">
        <v>2260</v>
      </c>
      <c r="I632" s="18" t="s">
        <v>1812</v>
      </c>
      <c r="J632" s="18" t="s">
        <v>1802</v>
      </c>
      <c r="K632" s="3" t="s">
        <v>1716</v>
      </c>
      <c r="L632" s="7" t="s">
        <v>2246</v>
      </c>
      <c r="M632" s="7" t="str">
        <f t="shared" si="42"/>
        <v>ND</v>
      </c>
      <c r="N632" s="7" t="str">
        <f t="shared" si="39"/>
        <v>ND</v>
      </c>
    </row>
    <row r="633" spans="1:14" ht="15.6" x14ac:dyDescent="0.3">
      <c r="A633" s="18" t="s">
        <v>1745</v>
      </c>
      <c r="B633" s="7">
        <v>6</v>
      </c>
      <c r="C633" s="7">
        <v>12</v>
      </c>
      <c r="D633" s="7" t="s">
        <v>2259</v>
      </c>
      <c r="E633" s="7">
        <v>11000000</v>
      </c>
      <c r="F633" s="7">
        <f t="shared" si="40"/>
        <v>11000000</v>
      </c>
      <c r="G633" s="7">
        <f t="shared" si="41"/>
        <v>35437.687658664196</v>
      </c>
      <c r="H633" s="7" t="s">
        <v>2260</v>
      </c>
      <c r="I633" s="18" t="s">
        <v>1812</v>
      </c>
      <c r="J633" s="18" t="s">
        <v>1802</v>
      </c>
      <c r="K633" s="3" t="s">
        <v>1716</v>
      </c>
      <c r="L633" s="7" t="s">
        <v>2246</v>
      </c>
      <c r="M633" s="7" t="str">
        <f t="shared" si="42"/>
        <v>ND</v>
      </c>
      <c r="N633" s="7" t="str">
        <f t="shared" si="39"/>
        <v>ND</v>
      </c>
    </row>
    <row r="634" spans="1:14" ht="15.6" x14ac:dyDescent="0.3">
      <c r="A634" s="18" t="s">
        <v>1745</v>
      </c>
      <c r="B634" s="7">
        <v>6</v>
      </c>
      <c r="C634" s="7">
        <v>12</v>
      </c>
      <c r="D634" s="7" t="s">
        <v>2259</v>
      </c>
      <c r="E634" s="7">
        <v>11000000</v>
      </c>
      <c r="F634" s="7">
        <f t="shared" si="40"/>
        <v>11000000</v>
      </c>
      <c r="G634" s="7">
        <f t="shared" si="41"/>
        <v>35437.687658664196</v>
      </c>
      <c r="H634" s="7" t="s">
        <v>2260</v>
      </c>
      <c r="I634" s="18" t="s">
        <v>1812</v>
      </c>
      <c r="J634" s="18" t="s">
        <v>1802</v>
      </c>
      <c r="K634" s="3" t="s">
        <v>1716</v>
      </c>
      <c r="L634" s="7" t="s">
        <v>2246</v>
      </c>
      <c r="M634" s="7" t="str">
        <f t="shared" si="42"/>
        <v>ND</v>
      </c>
      <c r="N634" s="7" t="str">
        <f t="shared" si="39"/>
        <v>ND</v>
      </c>
    </row>
    <row r="635" spans="1:14" ht="15.6" x14ac:dyDescent="0.3">
      <c r="A635" s="18" t="s">
        <v>1745</v>
      </c>
      <c r="B635" s="7">
        <v>6</v>
      </c>
      <c r="C635" s="7">
        <v>12</v>
      </c>
      <c r="D635" s="7" t="s">
        <v>2259</v>
      </c>
      <c r="E635" s="7">
        <v>11000000</v>
      </c>
      <c r="F635" s="7">
        <f t="shared" si="40"/>
        <v>11000000</v>
      </c>
      <c r="G635" s="7">
        <f t="shared" si="41"/>
        <v>35437.687658664196</v>
      </c>
      <c r="H635" s="7" t="s">
        <v>2260</v>
      </c>
      <c r="I635" s="18" t="s">
        <v>1812</v>
      </c>
      <c r="J635" s="18" t="s">
        <v>1802</v>
      </c>
      <c r="K635" s="3" t="s">
        <v>1716</v>
      </c>
      <c r="L635" s="7" t="s">
        <v>2246</v>
      </c>
      <c r="M635" s="7" t="str">
        <f t="shared" si="42"/>
        <v>ND</v>
      </c>
      <c r="N635" s="7" t="str">
        <f t="shared" si="39"/>
        <v>ND</v>
      </c>
    </row>
    <row r="636" spans="1:14" ht="15.6" x14ac:dyDescent="0.3">
      <c r="A636" s="18" t="s">
        <v>1745</v>
      </c>
      <c r="B636" s="7">
        <v>6</v>
      </c>
      <c r="C636" s="7">
        <v>12</v>
      </c>
      <c r="D636" s="7" t="s">
        <v>2259</v>
      </c>
      <c r="E636" s="7">
        <v>11000000</v>
      </c>
      <c r="F636" s="7">
        <f t="shared" si="40"/>
        <v>11000000</v>
      </c>
      <c r="G636" s="7">
        <f t="shared" si="41"/>
        <v>35437.687658664196</v>
      </c>
      <c r="H636" s="7" t="s">
        <v>2260</v>
      </c>
      <c r="I636" s="18" t="s">
        <v>1812</v>
      </c>
      <c r="J636" s="18" t="s">
        <v>1802</v>
      </c>
      <c r="K636" s="3" t="s">
        <v>1716</v>
      </c>
      <c r="L636" s="7" t="s">
        <v>2246</v>
      </c>
      <c r="M636" s="7" t="str">
        <f t="shared" si="42"/>
        <v>ND</v>
      </c>
      <c r="N636" s="7" t="str">
        <f t="shared" si="39"/>
        <v>ND</v>
      </c>
    </row>
    <row r="637" spans="1:14" ht="15.6" x14ac:dyDescent="0.3">
      <c r="A637" s="18" t="s">
        <v>1745</v>
      </c>
      <c r="B637" s="7">
        <v>6</v>
      </c>
      <c r="C637" s="7">
        <v>12</v>
      </c>
      <c r="D637" s="7" t="s">
        <v>2259</v>
      </c>
      <c r="E637" s="7">
        <v>11000000</v>
      </c>
      <c r="F637" s="7">
        <f t="shared" si="40"/>
        <v>11000000</v>
      </c>
      <c r="G637" s="7">
        <f t="shared" si="41"/>
        <v>35437.687658664196</v>
      </c>
      <c r="H637" s="7" t="s">
        <v>2260</v>
      </c>
      <c r="I637" s="18" t="s">
        <v>1812</v>
      </c>
      <c r="J637" s="18" t="s">
        <v>1802</v>
      </c>
      <c r="K637" s="3" t="s">
        <v>1716</v>
      </c>
      <c r="L637" s="7" t="s">
        <v>2246</v>
      </c>
      <c r="M637" s="7" t="str">
        <f t="shared" si="42"/>
        <v>ND</v>
      </c>
      <c r="N637" s="7" t="str">
        <f t="shared" si="39"/>
        <v>ND</v>
      </c>
    </row>
    <row r="638" spans="1:14" ht="15.6" x14ac:dyDescent="0.3">
      <c r="A638" s="18" t="s">
        <v>1745</v>
      </c>
      <c r="B638" s="7">
        <v>6</v>
      </c>
      <c r="C638" s="7">
        <v>12</v>
      </c>
      <c r="D638" s="7" t="s">
        <v>2259</v>
      </c>
      <c r="E638" s="7">
        <v>11000000</v>
      </c>
      <c r="F638" s="7">
        <f t="shared" si="40"/>
        <v>11000000</v>
      </c>
      <c r="G638" s="7">
        <f t="shared" si="41"/>
        <v>35437.687658664196</v>
      </c>
      <c r="H638" s="7" t="s">
        <v>2260</v>
      </c>
      <c r="I638" s="18" t="s">
        <v>1812</v>
      </c>
      <c r="J638" s="18" t="s">
        <v>1802</v>
      </c>
      <c r="K638" s="3" t="s">
        <v>1716</v>
      </c>
      <c r="L638" s="7" t="s">
        <v>2246</v>
      </c>
      <c r="M638" s="7" t="str">
        <f t="shared" si="42"/>
        <v>ND</v>
      </c>
      <c r="N638" s="7" t="str">
        <f t="shared" si="39"/>
        <v>ND</v>
      </c>
    </row>
    <row r="639" spans="1:14" ht="15.6" x14ac:dyDescent="0.3">
      <c r="A639" s="18" t="s">
        <v>1745</v>
      </c>
      <c r="B639" s="7">
        <v>6</v>
      </c>
      <c r="C639" s="7">
        <v>12</v>
      </c>
      <c r="D639" s="7" t="s">
        <v>2259</v>
      </c>
      <c r="E639" s="7">
        <v>11000000</v>
      </c>
      <c r="F639" s="7">
        <f t="shared" si="40"/>
        <v>11000000</v>
      </c>
      <c r="G639" s="7">
        <f t="shared" si="41"/>
        <v>35437.687658664196</v>
      </c>
      <c r="H639" s="7" t="s">
        <v>2260</v>
      </c>
      <c r="I639" s="18" t="s">
        <v>1812</v>
      </c>
      <c r="J639" s="18" t="s">
        <v>1802</v>
      </c>
      <c r="K639" s="3" t="s">
        <v>1716</v>
      </c>
      <c r="L639" s="7" t="s">
        <v>2246</v>
      </c>
      <c r="M639" s="7" t="str">
        <f t="shared" si="42"/>
        <v>ND</v>
      </c>
      <c r="N639" s="7" t="str">
        <f t="shared" si="39"/>
        <v>ND</v>
      </c>
    </row>
    <row r="640" spans="1:14" ht="15.6" x14ac:dyDescent="0.3">
      <c r="A640" s="18" t="s">
        <v>1745</v>
      </c>
      <c r="B640" s="7">
        <v>6</v>
      </c>
      <c r="C640" s="7">
        <v>12</v>
      </c>
      <c r="D640" s="7" t="s">
        <v>2259</v>
      </c>
      <c r="E640" s="7">
        <v>11000000</v>
      </c>
      <c r="F640" s="7">
        <f t="shared" si="40"/>
        <v>11000000</v>
      </c>
      <c r="G640" s="7">
        <f t="shared" si="41"/>
        <v>35437.687658664196</v>
      </c>
      <c r="H640" s="7" t="s">
        <v>2260</v>
      </c>
      <c r="I640" s="18" t="s">
        <v>1812</v>
      </c>
      <c r="J640" s="18" t="s">
        <v>1802</v>
      </c>
      <c r="K640" s="3" t="s">
        <v>1716</v>
      </c>
      <c r="L640" s="7" t="s">
        <v>2246</v>
      </c>
      <c r="M640" s="7" t="str">
        <f t="shared" si="42"/>
        <v>ND</v>
      </c>
      <c r="N640" s="7" t="str">
        <f t="shared" si="39"/>
        <v>ND</v>
      </c>
    </row>
    <row r="641" spans="1:14" ht="15.6" x14ac:dyDescent="0.3">
      <c r="A641" s="18" t="s">
        <v>1745</v>
      </c>
      <c r="B641" s="7">
        <v>6</v>
      </c>
      <c r="C641" s="7">
        <v>12</v>
      </c>
      <c r="D641" s="7" t="s">
        <v>2259</v>
      </c>
      <c r="E641" s="7">
        <v>11000000</v>
      </c>
      <c r="F641" s="7">
        <f t="shared" si="40"/>
        <v>11000000</v>
      </c>
      <c r="G641" s="7">
        <f t="shared" si="41"/>
        <v>35437.687658664196</v>
      </c>
      <c r="H641" s="7" t="s">
        <v>2260</v>
      </c>
      <c r="I641" s="18" t="s">
        <v>1812</v>
      </c>
      <c r="J641" s="18" t="s">
        <v>1802</v>
      </c>
      <c r="K641" s="3" t="s">
        <v>1716</v>
      </c>
      <c r="L641" s="7" t="s">
        <v>2246</v>
      </c>
      <c r="M641" s="7" t="str">
        <f t="shared" si="42"/>
        <v>ND</v>
      </c>
      <c r="N641" s="7" t="str">
        <f t="shared" si="39"/>
        <v>ND</v>
      </c>
    </row>
    <row r="642" spans="1:14" ht="15.6" x14ac:dyDescent="0.3">
      <c r="A642" s="18" t="s">
        <v>1745</v>
      </c>
      <c r="B642" s="7">
        <v>6</v>
      </c>
      <c r="C642" s="7">
        <v>12</v>
      </c>
      <c r="D642" s="7" t="s">
        <v>2259</v>
      </c>
      <c r="E642" s="7">
        <v>11000000</v>
      </c>
      <c r="F642" s="7">
        <f t="shared" si="40"/>
        <v>11000000</v>
      </c>
      <c r="G642" s="7">
        <f t="shared" si="41"/>
        <v>35437.687658664196</v>
      </c>
      <c r="H642" s="7" t="s">
        <v>2260</v>
      </c>
      <c r="I642" s="18" t="s">
        <v>1812</v>
      </c>
      <c r="J642" s="18" t="s">
        <v>1802</v>
      </c>
      <c r="K642" s="3" t="s">
        <v>1716</v>
      </c>
      <c r="L642" s="7" t="s">
        <v>2246</v>
      </c>
      <c r="M642" s="7" t="str">
        <f t="shared" si="42"/>
        <v>ND</v>
      </c>
      <c r="N642" s="7" t="str">
        <f t="shared" si="39"/>
        <v>ND</v>
      </c>
    </row>
    <row r="643" spans="1:14" ht="15.6" x14ac:dyDescent="0.3">
      <c r="A643" s="18" t="s">
        <v>1745</v>
      </c>
      <c r="B643" s="7">
        <v>6</v>
      </c>
      <c r="C643" s="7">
        <v>12</v>
      </c>
      <c r="D643" s="7" t="s">
        <v>2259</v>
      </c>
      <c r="E643" s="7">
        <v>11000000</v>
      </c>
      <c r="F643" s="7">
        <f t="shared" si="40"/>
        <v>11000000</v>
      </c>
      <c r="G643" s="7">
        <f t="shared" si="41"/>
        <v>35437.687658664196</v>
      </c>
      <c r="H643" s="7" t="s">
        <v>2260</v>
      </c>
      <c r="I643" s="18" t="s">
        <v>1812</v>
      </c>
      <c r="J643" s="18" t="s">
        <v>1802</v>
      </c>
      <c r="K643" s="3">
        <v>152.68</v>
      </c>
      <c r="L643" s="7" t="s">
        <v>2246</v>
      </c>
      <c r="M643" s="7">
        <f t="shared" si="42"/>
        <v>0.15268000000000001</v>
      </c>
      <c r="N643" s="7">
        <f t="shared" ref="N643:N706" si="43">IFERROR((M643*F643)/G643,"ND")</f>
        <v>47.392482719999997</v>
      </c>
    </row>
    <row r="644" spans="1:14" ht="15.6" x14ac:dyDescent="0.3">
      <c r="A644" s="18" t="s">
        <v>1745</v>
      </c>
      <c r="B644" s="7">
        <v>6</v>
      </c>
      <c r="C644" s="7">
        <v>12</v>
      </c>
      <c r="D644" s="7" t="s">
        <v>2259</v>
      </c>
      <c r="E644" s="7">
        <v>11000000</v>
      </c>
      <c r="F644" s="7">
        <f t="shared" si="40"/>
        <v>11000000</v>
      </c>
      <c r="G644" s="7">
        <f t="shared" si="41"/>
        <v>35437.687658664196</v>
      </c>
      <c r="H644" s="7" t="s">
        <v>2260</v>
      </c>
      <c r="I644" s="18" t="s">
        <v>1812</v>
      </c>
      <c r="J644" s="18" t="s">
        <v>1802</v>
      </c>
      <c r="K644" s="3">
        <v>174.83</v>
      </c>
      <c r="L644" s="7" t="s">
        <v>2246</v>
      </c>
      <c r="M644" s="7">
        <f t="shared" si="42"/>
        <v>0.17483000000000001</v>
      </c>
      <c r="N644" s="7">
        <f t="shared" si="43"/>
        <v>54.267931320000002</v>
      </c>
    </row>
    <row r="645" spans="1:14" ht="15.6" x14ac:dyDescent="0.3">
      <c r="A645" s="18" t="s">
        <v>1745</v>
      </c>
      <c r="B645" s="7">
        <v>6</v>
      </c>
      <c r="C645" s="7">
        <v>12</v>
      </c>
      <c r="D645" s="7" t="s">
        <v>2259</v>
      </c>
      <c r="E645" s="7">
        <v>11000000</v>
      </c>
      <c r="F645" s="7">
        <f t="shared" si="40"/>
        <v>11000000</v>
      </c>
      <c r="G645" s="7">
        <f t="shared" si="41"/>
        <v>35437.687658664196</v>
      </c>
      <c r="H645" s="7" t="s">
        <v>2260</v>
      </c>
      <c r="I645" s="18" t="s">
        <v>1812</v>
      </c>
      <c r="J645" s="18" t="s">
        <v>1802</v>
      </c>
      <c r="K645" s="3">
        <v>23.57</v>
      </c>
      <c r="L645" s="7" t="s">
        <v>2246</v>
      </c>
      <c r="M645" s="7">
        <f t="shared" si="42"/>
        <v>2.3570000000000001E-2</v>
      </c>
      <c r="N645" s="7">
        <f t="shared" si="43"/>
        <v>7.316222279999999</v>
      </c>
    </row>
    <row r="646" spans="1:14" ht="15.6" x14ac:dyDescent="0.3">
      <c r="A646" s="18" t="s">
        <v>1745</v>
      </c>
      <c r="B646" s="7">
        <v>6</v>
      </c>
      <c r="C646" s="7">
        <v>12</v>
      </c>
      <c r="D646" s="7" t="s">
        <v>2259</v>
      </c>
      <c r="E646" s="7">
        <v>11000000</v>
      </c>
      <c r="F646" s="7">
        <f t="shared" si="40"/>
        <v>11000000</v>
      </c>
      <c r="G646" s="7">
        <f t="shared" si="41"/>
        <v>35437.687658664196</v>
      </c>
      <c r="H646" s="7" t="s">
        <v>2260</v>
      </c>
      <c r="I646" s="18" t="s">
        <v>1812</v>
      </c>
      <c r="J646" s="18" t="s">
        <v>1802</v>
      </c>
      <c r="K646" s="3">
        <v>199</v>
      </c>
      <c r="L646" s="7" t="s">
        <v>2246</v>
      </c>
      <c r="M646" s="7">
        <f t="shared" si="42"/>
        <v>0.19900000000000001</v>
      </c>
      <c r="N646" s="7">
        <f t="shared" si="43"/>
        <v>61.770395999999991</v>
      </c>
    </row>
    <row r="647" spans="1:14" ht="15.6" x14ac:dyDescent="0.3">
      <c r="A647" s="18" t="s">
        <v>1745</v>
      </c>
      <c r="B647" s="7">
        <v>6</v>
      </c>
      <c r="C647" s="7">
        <v>12</v>
      </c>
      <c r="D647" s="7" t="s">
        <v>2259</v>
      </c>
      <c r="E647" s="7">
        <v>11000000</v>
      </c>
      <c r="F647" s="7">
        <f t="shared" si="40"/>
        <v>11000000</v>
      </c>
      <c r="G647" s="7">
        <f t="shared" si="41"/>
        <v>35437.687658664196</v>
      </c>
      <c r="H647" s="7" t="s">
        <v>2260</v>
      </c>
      <c r="I647" s="18" t="s">
        <v>1812</v>
      </c>
      <c r="J647" s="18" t="s">
        <v>1802</v>
      </c>
      <c r="K647" s="3">
        <v>126</v>
      </c>
      <c r="L647" s="7" t="s">
        <v>2246</v>
      </c>
      <c r="M647" s="7">
        <f t="shared" si="42"/>
        <v>0.126</v>
      </c>
      <c r="N647" s="7">
        <f t="shared" si="43"/>
        <v>39.110903999999998</v>
      </c>
    </row>
    <row r="648" spans="1:14" ht="15.6" x14ac:dyDescent="0.3">
      <c r="A648" s="18" t="s">
        <v>1745</v>
      </c>
      <c r="B648" s="7">
        <v>6</v>
      </c>
      <c r="C648" s="7">
        <v>12</v>
      </c>
      <c r="D648" s="7" t="s">
        <v>2259</v>
      </c>
      <c r="E648" s="7">
        <v>11000000</v>
      </c>
      <c r="F648" s="7">
        <f t="shared" si="40"/>
        <v>11000000</v>
      </c>
      <c r="G648" s="7">
        <f t="shared" si="41"/>
        <v>35437.687658664196</v>
      </c>
      <c r="H648" s="7" t="s">
        <v>2260</v>
      </c>
      <c r="I648" s="18" t="s">
        <v>1812</v>
      </c>
      <c r="J648" s="18" t="s">
        <v>1802</v>
      </c>
      <c r="K648" s="3">
        <v>122</v>
      </c>
      <c r="L648" s="7" t="s">
        <v>2246</v>
      </c>
      <c r="M648" s="7">
        <f t="shared" si="42"/>
        <v>0.122</v>
      </c>
      <c r="N648" s="7">
        <f t="shared" si="43"/>
        <v>37.869287999999997</v>
      </c>
    </row>
    <row r="649" spans="1:14" ht="15.6" x14ac:dyDescent="0.3">
      <c r="A649" s="18" t="s">
        <v>1745</v>
      </c>
      <c r="B649" s="7">
        <v>6</v>
      </c>
      <c r="C649" s="7">
        <v>12</v>
      </c>
      <c r="D649" s="7" t="s">
        <v>2259</v>
      </c>
      <c r="E649" s="7">
        <v>11000000</v>
      </c>
      <c r="F649" s="7">
        <f t="shared" si="40"/>
        <v>11000000</v>
      </c>
      <c r="G649" s="7">
        <f t="shared" si="41"/>
        <v>35437.687658664196</v>
      </c>
      <c r="H649" s="7" t="s">
        <v>2260</v>
      </c>
      <c r="I649" s="18" t="s">
        <v>1812</v>
      </c>
      <c r="J649" s="18" t="s">
        <v>1802</v>
      </c>
      <c r="K649" s="3">
        <v>90.31</v>
      </c>
      <c r="L649" s="7" t="s">
        <v>2246</v>
      </c>
      <c r="M649" s="7">
        <f t="shared" si="42"/>
        <v>9.0310000000000001E-2</v>
      </c>
      <c r="N649" s="7">
        <f t="shared" si="43"/>
        <v>28.032585239999996</v>
      </c>
    </row>
    <row r="650" spans="1:14" ht="15.6" x14ac:dyDescent="0.3">
      <c r="A650" s="18" t="s">
        <v>1745</v>
      </c>
      <c r="B650" s="7">
        <v>6</v>
      </c>
      <c r="C650" s="7">
        <v>12</v>
      </c>
      <c r="D650" s="7" t="s">
        <v>2259</v>
      </c>
      <c r="E650" s="7">
        <v>11000000</v>
      </c>
      <c r="F650" s="7">
        <f t="shared" si="40"/>
        <v>11000000</v>
      </c>
      <c r="G650" s="7">
        <f t="shared" si="41"/>
        <v>35437.687658664196</v>
      </c>
      <c r="H650" s="7" t="s">
        <v>2260</v>
      </c>
      <c r="I650" s="18" t="s">
        <v>1812</v>
      </c>
      <c r="J650" s="18" t="s">
        <v>1802</v>
      </c>
      <c r="K650" s="3">
        <v>21.7</v>
      </c>
      <c r="L650" s="7" t="s">
        <v>2246</v>
      </c>
      <c r="M650" s="7">
        <f t="shared" si="42"/>
        <v>2.1700000000000001E-2</v>
      </c>
      <c r="N650" s="7">
        <f t="shared" si="43"/>
        <v>6.7357667999999995</v>
      </c>
    </row>
    <row r="651" spans="1:14" ht="15.6" x14ac:dyDescent="0.3">
      <c r="A651" s="18" t="s">
        <v>1745</v>
      </c>
      <c r="B651" s="7">
        <v>6</v>
      </c>
      <c r="C651" s="7">
        <v>12</v>
      </c>
      <c r="D651" s="7" t="s">
        <v>2259</v>
      </c>
      <c r="E651" s="7">
        <v>11000000</v>
      </c>
      <c r="F651" s="7">
        <f t="shared" si="40"/>
        <v>11000000</v>
      </c>
      <c r="G651" s="7">
        <f t="shared" si="41"/>
        <v>35437.687658664196</v>
      </c>
      <c r="H651" s="7" t="s">
        <v>2260</v>
      </c>
      <c r="I651" s="18" t="s">
        <v>1812</v>
      </c>
      <c r="J651" s="18" t="s">
        <v>1802</v>
      </c>
      <c r="K651" s="3">
        <v>23.42</v>
      </c>
      <c r="L651" s="7" t="s">
        <v>2246</v>
      </c>
      <c r="M651" s="7">
        <f t="shared" si="42"/>
        <v>2.3420000000000003E-2</v>
      </c>
      <c r="N651" s="7">
        <f t="shared" si="43"/>
        <v>7.2696616800000005</v>
      </c>
    </row>
    <row r="652" spans="1:14" ht="15.6" x14ac:dyDescent="0.3">
      <c r="A652" s="18" t="s">
        <v>1745</v>
      </c>
      <c r="B652" s="7">
        <v>6</v>
      </c>
      <c r="C652" s="7">
        <v>12</v>
      </c>
      <c r="D652" s="7" t="s">
        <v>2259</v>
      </c>
      <c r="E652" s="7">
        <v>11000000</v>
      </c>
      <c r="F652" s="7">
        <f t="shared" si="40"/>
        <v>11000000</v>
      </c>
      <c r="G652" s="7">
        <f t="shared" si="41"/>
        <v>35437.687658664196</v>
      </c>
      <c r="H652" s="7" t="s">
        <v>2260</v>
      </c>
      <c r="I652" s="18" t="s">
        <v>1812</v>
      </c>
      <c r="J652" s="18" t="s">
        <v>1802</v>
      </c>
      <c r="K652" s="3">
        <v>49.77</v>
      </c>
      <c r="L652" s="7" t="s">
        <v>2246</v>
      </c>
      <c r="M652" s="7">
        <f t="shared" si="42"/>
        <v>4.9770000000000002E-2</v>
      </c>
      <c r="N652" s="7">
        <f t="shared" si="43"/>
        <v>15.448807079999998</v>
      </c>
    </row>
    <row r="653" spans="1:14" ht="15.6" x14ac:dyDescent="0.3">
      <c r="A653" s="18" t="s">
        <v>1745</v>
      </c>
      <c r="B653" s="7">
        <v>6</v>
      </c>
      <c r="C653" s="7">
        <v>12</v>
      </c>
      <c r="D653" s="7" t="s">
        <v>2259</v>
      </c>
      <c r="E653" s="7">
        <v>11000000</v>
      </c>
      <c r="F653" s="7">
        <f t="shared" si="40"/>
        <v>11000000</v>
      </c>
      <c r="G653" s="7">
        <f t="shared" si="41"/>
        <v>35437.687658664196</v>
      </c>
      <c r="H653" s="7" t="s">
        <v>2260</v>
      </c>
      <c r="I653" s="18" t="s">
        <v>1812</v>
      </c>
      <c r="J653" s="18" t="s">
        <v>1802</v>
      </c>
      <c r="K653" s="3">
        <v>25.17</v>
      </c>
      <c r="L653" s="7" t="s">
        <v>2246</v>
      </c>
      <c r="M653" s="7">
        <f t="shared" si="42"/>
        <v>2.5170000000000001E-2</v>
      </c>
      <c r="N653" s="7">
        <f t="shared" si="43"/>
        <v>7.8128686799999993</v>
      </c>
    </row>
    <row r="654" spans="1:14" ht="15.6" x14ac:dyDescent="0.3">
      <c r="A654" s="18" t="s">
        <v>1745</v>
      </c>
      <c r="B654" s="7">
        <v>6</v>
      </c>
      <c r="C654" s="7">
        <v>12</v>
      </c>
      <c r="D654" s="7" t="s">
        <v>2259</v>
      </c>
      <c r="E654" s="7">
        <v>11000000</v>
      </c>
      <c r="F654" s="7">
        <f t="shared" si="40"/>
        <v>11000000</v>
      </c>
      <c r="G654" s="7">
        <f t="shared" si="41"/>
        <v>35437.687658664196</v>
      </c>
      <c r="H654" s="7" t="s">
        <v>2260</v>
      </c>
      <c r="I654" s="18" t="s">
        <v>1812</v>
      </c>
      <c r="J654" s="18" t="s">
        <v>1802</v>
      </c>
      <c r="K654" s="3">
        <v>301.14999999999998</v>
      </c>
      <c r="L654" s="7" t="s">
        <v>2246</v>
      </c>
      <c r="M654" s="7">
        <f t="shared" si="42"/>
        <v>0.30114999999999997</v>
      </c>
      <c r="N654" s="7">
        <f t="shared" si="43"/>
        <v>93.478164599999985</v>
      </c>
    </row>
    <row r="655" spans="1:14" ht="15.6" x14ac:dyDescent="0.3">
      <c r="A655" s="18" t="s">
        <v>1745</v>
      </c>
      <c r="B655" s="7">
        <v>6</v>
      </c>
      <c r="C655" s="7">
        <v>12</v>
      </c>
      <c r="D655" s="7" t="s">
        <v>2259</v>
      </c>
      <c r="E655" s="7">
        <v>11000000</v>
      </c>
      <c r="F655" s="7">
        <f t="shared" si="40"/>
        <v>11000000</v>
      </c>
      <c r="G655" s="7">
        <f t="shared" si="41"/>
        <v>35437.687658664196</v>
      </c>
      <c r="H655" s="7" t="s">
        <v>2260</v>
      </c>
      <c r="I655" s="18" t="s">
        <v>1812</v>
      </c>
      <c r="J655" s="18" t="s">
        <v>1802</v>
      </c>
      <c r="K655" s="3">
        <v>23.39</v>
      </c>
      <c r="L655" s="7" t="s">
        <v>2246</v>
      </c>
      <c r="M655" s="7">
        <f t="shared" si="42"/>
        <v>2.3390000000000001E-2</v>
      </c>
      <c r="N655" s="7">
        <f t="shared" si="43"/>
        <v>7.260349559999999</v>
      </c>
    </row>
    <row r="656" spans="1:14" ht="15.6" x14ac:dyDescent="0.3">
      <c r="A656" s="18" t="s">
        <v>1745</v>
      </c>
      <c r="B656" s="7">
        <v>6</v>
      </c>
      <c r="C656" s="7">
        <v>12</v>
      </c>
      <c r="D656" s="7" t="s">
        <v>2259</v>
      </c>
      <c r="E656" s="7">
        <v>11000000</v>
      </c>
      <c r="F656" s="7">
        <f t="shared" si="40"/>
        <v>11000000</v>
      </c>
      <c r="G656" s="7">
        <f t="shared" si="41"/>
        <v>35437.687658664196</v>
      </c>
      <c r="H656" s="7" t="s">
        <v>2260</v>
      </c>
      <c r="I656" s="18" t="s">
        <v>1812</v>
      </c>
      <c r="J656" s="18" t="s">
        <v>1802</v>
      </c>
      <c r="K656" s="3">
        <v>28.72</v>
      </c>
      <c r="L656" s="7" t="s">
        <v>2246</v>
      </c>
      <c r="M656" s="7">
        <f t="shared" si="42"/>
        <v>2.8719999999999999E-2</v>
      </c>
      <c r="N656" s="7">
        <f t="shared" si="43"/>
        <v>8.9148028799999999</v>
      </c>
    </row>
    <row r="657" spans="1:14" ht="15.6" x14ac:dyDescent="0.3">
      <c r="A657" s="18" t="s">
        <v>1745</v>
      </c>
      <c r="B657" s="7">
        <v>6</v>
      </c>
      <c r="C657" s="7">
        <v>12</v>
      </c>
      <c r="D657" s="7" t="s">
        <v>2259</v>
      </c>
      <c r="E657" s="7">
        <v>11000000</v>
      </c>
      <c r="F657" s="7">
        <f t="shared" si="40"/>
        <v>11000000</v>
      </c>
      <c r="G657" s="7">
        <f t="shared" si="41"/>
        <v>35437.687658664196</v>
      </c>
      <c r="H657" s="7" t="s">
        <v>2260</v>
      </c>
      <c r="I657" s="18" t="s">
        <v>1812</v>
      </c>
      <c r="J657" s="18" t="s">
        <v>1802</v>
      </c>
      <c r="K657" s="3">
        <v>13.81</v>
      </c>
      <c r="L657" s="7" t="s">
        <v>2246</v>
      </c>
      <c r="M657" s="7">
        <f t="shared" si="42"/>
        <v>1.3810000000000001E-2</v>
      </c>
      <c r="N657" s="7">
        <f t="shared" si="43"/>
        <v>4.2866792399999998</v>
      </c>
    </row>
    <row r="658" spans="1:14" ht="15.6" x14ac:dyDescent="0.3">
      <c r="A658" s="18" t="s">
        <v>1746</v>
      </c>
      <c r="B658" s="7">
        <v>6</v>
      </c>
      <c r="C658" s="7">
        <v>12</v>
      </c>
      <c r="D658" s="7" t="s">
        <v>2259</v>
      </c>
      <c r="E658" s="7">
        <v>11000000</v>
      </c>
      <c r="F658" s="7">
        <f t="shared" si="40"/>
        <v>11000000</v>
      </c>
      <c r="G658" s="7">
        <f t="shared" si="41"/>
        <v>35437.687658664196</v>
      </c>
      <c r="H658" s="7" t="s">
        <v>2260</v>
      </c>
      <c r="I658" s="18" t="s">
        <v>1812</v>
      </c>
      <c r="J658" s="18" t="s">
        <v>1802</v>
      </c>
      <c r="K658" s="3">
        <v>22.03</v>
      </c>
      <c r="L658" s="7" t="s">
        <v>2246</v>
      </c>
      <c r="M658" s="7">
        <f t="shared" si="42"/>
        <v>2.2030000000000001E-2</v>
      </c>
      <c r="N658" s="7">
        <f t="shared" si="43"/>
        <v>6.8382001199999998</v>
      </c>
    </row>
    <row r="659" spans="1:14" ht="15.6" x14ac:dyDescent="0.3">
      <c r="A659" s="18" t="s">
        <v>1746</v>
      </c>
      <c r="B659" s="7">
        <v>6</v>
      </c>
      <c r="C659" s="7">
        <v>12</v>
      </c>
      <c r="D659" s="7" t="s">
        <v>2259</v>
      </c>
      <c r="E659" s="7">
        <v>11000000</v>
      </c>
      <c r="F659" s="7">
        <f t="shared" si="40"/>
        <v>11000000</v>
      </c>
      <c r="G659" s="7">
        <f t="shared" si="41"/>
        <v>35437.687658664196</v>
      </c>
      <c r="H659" s="7" t="s">
        <v>2260</v>
      </c>
      <c r="I659" s="18" t="s">
        <v>1812</v>
      </c>
      <c r="J659" s="18" t="s">
        <v>1802</v>
      </c>
      <c r="K659" s="3" t="s">
        <v>1716</v>
      </c>
      <c r="L659" s="7" t="s">
        <v>2246</v>
      </c>
      <c r="M659" s="7" t="str">
        <f t="shared" si="42"/>
        <v>ND</v>
      </c>
      <c r="N659" s="7" t="str">
        <f t="shared" si="43"/>
        <v>ND</v>
      </c>
    </row>
    <row r="660" spans="1:14" ht="15.6" x14ac:dyDescent="0.3">
      <c r="A660" s="18" t="s">
        <v>1746</v>
      </c>
      <c r="B660" s="7">
        <v>6</v>
      </c>
      <c r="C660" s="7">
        <v>12</v>
      </c>
      <c r="D660" s="7" t="s">
        <v>2259</v>
      </c>
      <c r="E660" s="7">
        <v>11000000</v>
      </c>
      <c r="F660" s="7">
        <f t="shared" si="40"/>
        <v>11000000</v>
      </c>
      <c r="G660" s="7">
        <f t="shared" si="41"/>
        <v>35437.687658664196</v>
      </c>
      <c r="H660" s="7" t="s">
        <v>2260</v>
      </c>
      <c r="I660" s="18" t="s">
        <v>1812</v>
      </c>
      <c r="J660" s="18" t="s">
        <v>1802</v>
      </c>
      <c r="K660" s="3" t="s">
        <v>1716</v>
      </c>
      <c r="L660" s="7" t="s">
        <v>2246</v>
      </c>
      <c r="M660" s="7" t="str">
        <f t="shared" si="42"/>
        <v>ND</v>
      </c>
      <c r="N660" s="7" t="str">
        <f t="shared" si="43"/>
        <v>ND</v>
      </c>
    </row>
    <row r="661" spans="1:14" ht="15.6" x14ac:dyDescent="0.3">
      <c r="A661" s="18" t="s">
        <v>1746</v>
      </c>
      <c r="B661" s="7">
        <v>6</v>
      </c>
      <c r="C661" s="7">
        <v>12</v>
      </c>
      <c r="D661" s="7" t="s">
        <v>2259</v>
      </c>
      <c r="E661" s="7">
        <v>11000000</v>
      </c>
      <c r="F661" s="7">
        <f t="shared" si="40"/>
        <v>11000000</v>
      </c>
      <c r="G661" s="7">
        <f t="shared" si="41"/>
        <v>35437.687658664196</v>
      </c>
      <c r="H661" s="7" t="s">
        <v>2260</v>
      </c>
      <c r="I661" s="18" t="s">
        <v>1812</v>
      </c>
      <c r="J661" s="18" t="s">
        <v>1802</v>
      </c>
      <c r="K661" s="3" t="s">
        <v>1716</v>
      </c>
      <c r="L661" s="7" t="s">
        <v>2246</v>
      </c>
      <c r="M661" s="7" t="str">
        <f t="shared" si="42"/>
        <v>ND</v>
      </c>
      <c r="N661" s="7" t="str">
        <f t="shared" si="43"/>
        <v>ND</v>
      </c>
    </row>
    <row r="662" spans="1:14" ht="15.6" x14ac:dyDescent="0.3">
      <c r="A662" s="18" t="s">
        <v>1746</v>
      </c>
      <c r="B662" s="7">
        <v>6</v>
      </c>
      <c r="C662" s="7">
        <v>12</v>
      </c>
      <c r="D662" s="7" t="s">
        <v>2259</v>
      </c>
      <c r="E662" s="7">
        <v>11000000</v>
      </c>
      <c r="F662" s="7">
        <f t="shared" si="40"/>
        <v>11000000</v>
      </c>
      <c r="G662" s="7">
        <f t="shared" si="41"/>
        <v>35437.687658664196</v>
      </c>
      <c r="H662" s="7" t="s">
        <v>2260</v>
      </c>
      <c r="I662" s="18" t="s">
        <v>1812</v>
      </c>
      <c r="J662" s="18" t="s">
        <v>1802</v>
      </c>
      <c r="K662" s="3" t="s">
        <v>1716</v>
      </c>
      <c r="L662" s="7" t="s">
        <v>2246</v>
      </c>
      <c r="M662" s="7" t="str">
        <f t="shared" si="42"/>
        <v>ND</v>
      </c>
      <c r="N662" s="7" t="str">
        <f t="shared" si="43"/>
        <v>ND</v>
      </c>
    </row>
    <row r="663" spans="1:14" ht="15.6" x14ac:dyDescent="0.3">
      <c r="A663" s="18" t="s">
        <v>1746</v>
      </c>
      <c r="B663" s="7">
        <v>6</v>
      </c>
      <c r="C663" s="7">
        <v>12</v>
      </c>
      <c r="D663" s="7" t="s">
        <v>2259</v>
      </c>
      <c r="E663" s="7">
        <v>11000000</v>
      </c>
      <c r="F663" s="7">
        <f t="shared" si="40"/>
        <v>11000000</v>
      </c>
      <c r="G663" s="7">
        <f t="shared" si="41"/>
        <v>35437.687658664196</v>
      </c>
      <c r="H663" s="7" t="s">
        <v>2260</v>
      </c>
      <c r="I663" s="18" t="s">
        <v>1812</v>
      </c>
      <c r="J663" s="18" t="s">
        <v>1802</v>
      </c>
      <c r="K663" s="3" t="s">
        <v>1716</v>
      </c>
      <c r="L663" s="7" t="s">
        <v>2246</v>
      </c>
      <c r="M663" s="7" t="str">
        <f t="shared" si="42"/>
        <v>ND</v>
      </c>
      <c r="N663" s="7" t="str">
        <f t="shared" si="43"/>
        <v>ND</v>
      </c>
    </row>
    <row r="664" spans="1:14" ht="15.6" x14ac:dyDescent="0.3">
      <c r="A664" s="18" t="s">
        <v>1746</v>
      </c>
      <c r="B664" s="7">
        <v>6</v>
      </c>
      <c r="C664" s="7">
        <v>12</v>
      </c>
      <c r="D664" s="7" t="s">
        <v>2259</v>
      </c>
      <c r="E664" s="7">
        <v>11000000</v>
      </c>
      <c r="F664" s="7">
        <f t="shared" si="40"/>
        <v>11000000</v>
      </c>
      <c r="G664" s="7">
        <f t="shared" si="41"/>
        <v>35437.687658664196</v>
      </c>
      <c r="H664" s="7" t="s">
        <v>2260</v>
      </c>
      <c r="I664" s="18" t="s">
        <v>1812</v>
      </c>
      <c r="J664" s="18" t="s">
        <v>1802</v>
      </c>
      <c r="K664" s="3" t="s">
        <v>1716</v>
      </c>
      <c r="L664" s="7" t="s">
        <v>2246</v>
      </c>
      <c r="M664" s="7" t="str">
        <f t="shared" si="42"/>
        <v>ND</v>
      </c>
      <c r="N664" s="7" t="str">
        <f t="shared" si="43"/>
        <v>ND</v>
      </c>
    </row>
    <row r="665" spans="1:14" ht="15.6" x14ac:dyDescent="0.3">
      <c r="A665" s="18" t="s">
        <v>1746</v>
      </c>
      <c r="B665" s="7">
        <v>6</v>
      </c>
      <c r="C665" s="7">
        <v>12</v>
      </c>
      <c r="D665" s="7" t="s">
        <v>2259</v>
      </c>
      <c r="E665" s="7">
        <v>11000000</v>
      </c>
      <c r="F665" s="7">
        <f t="shared" ref="F665:F728" si="44">E665</f>
        <v>11000000</v>
      </c>
      <c r="G665" s="7">
        <f t="shared" ref="G665:G728" si="45">F665/310.404</f>
        <v>35437.687658664196</v>
      </c>
      <c r="H665" s="7" t="s">
        <v>2260</v>
      </c>
      <c r="I665" s="18" t="s">
        <v>1812</v>
      </c>
      <c r="J665" s="18" t="s">
        <v>1802</v>
      </c>
      <c r="K665" s="3">
        <v>7.5</v>
      </c>
      <c r="L665" s="7" t="s">
        <v>2246</v>
      </c>
      <c r="M665" s="7">
        <f t="shared" si="42"/>
        <v>7.4999999999999997E-3</v>
      </c>
      <c r="N665" s="7">
        <f t="shared" si="43"/>
        <v>2.3280299999999996</v>
      </c>
    </row>
    <row r="666" spans="1:14" ht="15.6" x14ac:dyDescent="0.3">
      <c r="A666" s="18" t="s">
        <v>1746</v>
      </c>
      <c r="B666" s="7">
        <v>6</v>
      </c>
      <c r="C666" s="7">
        <v>12</v>
      </c>
      <c r="D666" s="7" t="s">
        <v>2259</v>
      </c>
      <c r="E666" s="7">
        <v>11000000</v>
      </c>
      <c r="F666" s="7">
        <f t="shared" si="44"/>
        <v>11000000</v>
      </c>
      <c r="G666" s="7">
        <f t="shared" si="45"/>
        <v>35437.687658664196</v>
      </c>
      <c r="H666" s="7" t="s">
        <v>2260</v>
      </c>
      <c r="I666" s="18" t="s">
        <v>1812</v>
      </c>
      <c r="J666" s="18" t="s">
        <v>1802</v>
      </c>
      <c r="K666" s="3" t="s">
        <v>1716</v>
      </c>
      <c r="L666" s="7" t="s">
        <v>2246</v>
      </c>
      <c r="M666" s="7" t="str">
        <f t="shared" si="42"/>
        <v>ND</v>
      </c>
      <c r="N666" s="7" t="str">
        <f t="shared" si="43"/>
        <v>ND</v>
      </c>
    </row>
    <row r="667" spans="1:14" ht="15.6" x14ac:dyDescent="0.3">
      <c r="A667" s="18" t="s">
        <v>1746</v>
      </c>
      <c r="B667" s="7">
        <v>6</v>
      </c>
      <c r="C667" s="7">
        <v>12</v>
      </c>
      <c r="D667" s="7" t="s">
        <v>2259</v>
      </c>
      <c r="E667" s="7">
        <v>11000000</v>
      </c>
      <c r="F667" s="7">
        <f t="shared" si="44"/>
        <v>11000000</v>
      </c>
      <c r="G667" s="7">
        <f t="shared" si="45"/>
        <v>35437.687658664196</v>
      </c>
      <c r="H667" s="7" t="s">
        <v>2260</v>
      </c>
      <c r="I667" s="18" t="s">
        <v>1812</v>
      </c>
      <c r="J667" s="18" t="s">
        <v>1802</v>
      </c>
      <c r="K667" s="3">
        <v>6.22</v>
      </c>
      <c r="L667" s="7" t="s">
        <v>2246</v>
      </c>
      <c r="M667" s="7">
        <f t="shared" si="42"/>
        <v>6.2199999999999998E-3</v>
      </c>
      <c r="N667" s="7">
        <f t="shared" si="43"/>
        <v>1.9307128799999997</v>
      </c>
    </row>
    <row r="668" spans="1:14" ht="15.6" x14ac:dyDescent="0.3">
      <c r="A668" s="18" t="s">
        <v>1746</v>
      </c>
      <c r="B668" s="7">
        <v>6</v>
      </c>
      <c r="C668" s="7">
        <v>12</v>
      </c>
      <c r="D668" s="7" t="s">
        <v>2259</v>
      </c>
      <c r="E668" s="7">
        <v>11000000</v>
      </c>
      <c r="F668" s="7">
        <f t="shared" si="44"/>
        <v>11000000</v>
      </c>
      <c r="G668" s="7">
        <f t="shared" si="45"/>
        <v>35437.687658664196</v>
      </c>
      <c r="H668" s="7" t="s">
        <v>2260</v>
      </c>
      <c r="I668" s="18" t="s">
        <v>1812</v>
      </c>
      <c r="J668" s="18" t="s">
        <v>1802</v>
      </c>
      <c r="K668" s="3" t="s">
        <v>1716</v>
      </c>
      <c r="L668" s="7" t="s">
        <v>2246</v>
      </c>
      <c r="M668" s="7" t="str">
        <f t="shared" si="42"/>
        <v>ND</v>
      </c>
      <c r="N668" s="7" t="str">
        <f t="shared" si="43"/>
        <v>ND</v>
      </c>
    </row>
    <row r="669" spans="1:14" ht="15.6" x14ac:dyDescent="0.3">
      <c r="A669" s="18" t="s">
        <v>1746</v>
      </c>
      <c r="B669" s="7">
        <v>6</v>
      </c>
      <c r="C669" s="7">
        <v>12</v>
      </c>
      <c r="D669" s="7" t="s">
        <v>2259</v>
      </c>
      <c r="E669" s="7">
        <v>11000000</v>
      </c>
      <c r="F669" s="7">
        <f t="shared" si="44"/>
        <v>11000000</v>
      </c>
      <c r="G669" s="7">
        <f t="shared" si="45"/>
        <v>35437.687658664196</v>
      </c>
      <c r="H669" s="7" t="s">
        <v>2260</v>
      </c>
      <c r="I669" s="18" t="s">
        <v>1812</v>
      </c>
      <c r="J669" s="18" t="s">
        <v>1802</v>
      </c>
      <c r="K669" s="3" t="s">
        <v>1716</v>
      </c>
      <c r="L669" s="7" t="s">
        <v>2246</v>
      </c>
      <c r="M669" s="7" t="str">
        <f t="shared" si="42"/>
        <v>ND</v>
      </c>
      <c r="N669" s="7" t="str">
        <f t="shared" si="43"/>
        <v>ND</v>
      </c>
    </row>
    <row r="670" spans="1:14" ht="15.6" x14ac:dyDescent="0.3">
      <c r="A670" s="18" t="s">
        <v>1746</v>
      </c>
      <c r="B670" s="7">
        <v>6</v>
      </c>
      <c r="C670" s="7">
        <v>12</v>
      </c>
      <c r="D670" s="7" t="s">
        <v>2259</v>
      </c>
      <c r="E670" s="7">
        <v>11000000</v>
      </c>
      <c r="F670" s="7">
        <f t="shared" si="44"/>
        <v>11000000</v>
      </c>
      <c r="G670" s="7">
        <f t="shared" si="45"/>
        <v>35437.687658664196</v>
      </c>
      <c r="H670" s="7" t="s">
        <v>2260</v>
      </c>
      <c r="I670" s="18" t="s">
        <v>1812</v>
      </c>
      <c r="J670" s="18" t="s">
        <v>1802</v>
      </c>
      <c r="K670" s="3">
        <v>40.18</v>
      </c>
      <c r="L670" s="7" t="s">
        <v>2246</v>
      </c>
      <c r="M670" s="7">
        <f t="shared" si="42"/>
        <v>4.018E-2</v>
      </c>
      <c r="N670" s="7">
        <f t="shared" si="43"/>
        <v>12.47203272</v>
      </c>
    </row>
    <row r="671" spans="1:14" ht="15.6" x14ac:dyDescent="0.3">
      <c r="A671" s="18" t="s">
        <v>1746</v>
      </c>
      <c r="B671" s="7">
        <v>6</v>
      </c>
      <c r="C671" s="7">
        <v>12</v>
      </c>
      <c r="D671" s="7" t="s">
        <v>2259</v>
      </c>
      <c r="E671" s="7">
        <v>11000000</v>
      </c>
      <c r="F671" s="7">
        <f t="shared" si="44"/>
        <v>11000000</v>
      </c>
      <c r="G671" s="7">
        <f t="shared" si="45"/>
        <v>35437.687658664196</v>
      </c>
      <c r="H671" s="7" t="s">
        <v>2260</v>
      </c>
      <c r="I671" s="18" t="s">
        <v>1812</v>
      </c>
      <c r="J671" s="18" t="s">
        <v>1802</v>
      </c>
      <c r="K671" s="3">
        <v>27.42</v>
      </c>
      <c r="L671" s="7" t="s">
        <v>2246</v>
      </c>
      <c r="M671" s="7">
        <f t="shared" si="42"/>
        <v>2.7420000000000003E-2</v>
      </c>
      <c r="N671" s="7">
        <f t="shared" si="43"/>
        <v>8.511277680000001</v>
      </c>
    </row>
    <row r="672" spans="1:14" ht="15.6" x14ac:dyDescent="0.3">
      <c r="A672" s="18" t="s">
        <v>1746</v>
      </c>
      <c r="B672" s="7">
        <v>6</v>
      </c>
      <c r="C672" s="7">
        <v>12</v>
      </c>
      <c r="D672" s="7" t="s">
        <v>2259</v>
      </c>
      <c r="E672" s="7">
        <v>11000000</v>
      </c>
      <c r="F672" s="7">
        <f t="shared" si="44"/>
        <v>11000000</v>
      </c>
      <c r="G672" s="7">
        <f t="shared" si="45"/>
        <v>35437.687658664196</v>
      </c>
      <c r="H672" s="7" t="s">
        <v>2260</v>
      </c>
      <c r="I672" s="18" t="s">
        <v>1812</v>
      </c>
      <c r="J672" s="18" t="s">
        <v>1802</v>
      </c>
      <c r="K672" s="3">
        <v>17.46</v>
      </c>
      <c r="L672" s="7" t="s">
        <v>2246</v>
      </c>
      <c r="M672" s="7">
        <f t="shared" si="42"/>
        <v>1.746E-2</v>
      </c>
      <c r="N672" s="7">
        <f t="shared" si="43"/>
        <v>5.4196538399999996</v>
      </c>
    </row>
    <row r="673" spans="1:14" ht="15.6" x14ac:dyDescent="0.3">
      <c r="A673" s="18" t="s">
        <v>1746</v>
      </c>
      <c r="B673" s="7">
        <v>6</v>
      </c>
      <c r="C673" s="7">
        <v>12</v>
      </c>
      <c r="D673" s="7" t="s">
        <v>2259</v>
      </c>
      <c r="E673" s="7">
        <v>11000000</v>
      </c>
      <c r="F673" s="7">
        <f t="shared" si="44"/>
        <v>11000000</v>
      </c>
      <c r="G673" s="7">
        <f t="shared" si="45"/>
        <v>35437.687658664196</v>
      </c>
      <c r="H673" s="7" t="s">
        <v>2260</v>
      </c>
      <c r="I673" s="18" t="s">
        <v>1812</v>
      </c>
      <c r="J673" s="18" t="s">
        <v>1802</v>
      </c>
      <c r="K673" s="3">
        <v>27.56</v>
      </c>
      <c r="L673" s="7" t="s">
        <v>2246</v>
      </c>
      <c r="M673" s="7">
        <f t="shared" si="42"/>
        <v>2.7559999999999998E-2</v>
      </c>
      <c r="N673" s="7">
        <f t="shared" si="43"/>
        <v>8.5547342399999984</v>
      </c>
    </row>
    <row r="674" spans="1:14" ht="15.6" x14ac:dyDescent="0.3">
      <c r="A674" s="18" t="s">
        <v>1746</v>
      </c>
      <c r="B674" s="7">
        <v>6</v>
      </c>
      <c r="C674" s="7">
        <v>12</v>
      </c>
      <c r="D674" s="7" t="s">
        <v>2259</v>
      </c>
      <c r="E674" s="7">
        <v>11000000</v>
      </c>
      <c r="F674" s="7">
        <f t="shared" si="44"/>
        <v>11000000</v>
      </c>
      <c r="G674" s="7">
        <f t="shared" si="45"/>
        <v>35437.687658664196</v>
      </c>
      <c r="H674" s="7" t="s">
        <v>2260</v>
      </c>
      <c r="I674" s="18" t="s">
        <v>1812</v>
      </c>
      <c r="J674" s="18" t="s">
        <v>1802</v>
      </c>
      <c r="K674" s="3">
        <v>71.739999999999995</v>
      </c>
      <c r="L674" s="7" t="s">
        <v>2246</v>
      </c>
      <c r="M674" s="7">
        <f t="shared" si="42"/>
        <v>7.1739999999999998E-2</v>
      </c>
      <c r="N674" s="7">
        <f t="shared" si="43"/>
        <v>22.268382959999997</v>
      </c>
    </row>
    <row r="675" spans="1:14" ht="15.6" x14ac:dyDescent="0.3">
      <c r="A675" s="18" t="s">
        <v>1746</v>
      </c>
      <c r="B675" s="7">
        <v>6</v>
      </c>
      <c r="C675" s="7">
        <v>12</v>
      </c>
      <c r="D675" s="7" t="s">
        <v>2259</v>
      </c>
      <c r="E675" s="7">
        <v>11000000</v>
      </c>
      <c r="F675" s="7">
        <f t="shared" si="44"/>
        <v>11000000</v>
      </c>
      <c r="G675" s="7">
        <f t="shared" si="45"/>
        <v>35437.687658664196</v>
      </c>
      <c r="H675" s="7" t="s">
        <v>2260</v>
      </c>
      <c r="I675" s="18" t="s">
        <v>1812</v>
      </c>
      <c r="J675" s="18" t="s">
        <v>1802</v>
      </c>
      <c r="K675" s="3">
        <v>30.16</v>
      </c>
      <c r="L675" s="7" t="s">
        <v>2246</v>
      </c>
      <c r="M675" s="7">
        <f t="shared" si="42"/>
        <v>3.0159999999999999E-2</v>
      </c>
      <c r="N675" s="7">
        <f t="shared" si="43"/>
        <v>9.3617846399999998</v>
      </c>
    </row>
    <row r="676" spans="1:14" ht="15.6" x14ac:dyDescent="0.3">
      <c r="A676" s="18" t="s">
        <v>1746</v>
      </c>
      <c r="B676" s="7">
        <v>6</v>
      </c>
      <c r="C676" s="7">
        <v>12</v>
      </c>
      <c r="D676" s="7" t="s">
        <v>2259</v>
      </c>
      <c r="E676" s="7">
        <v>11000000</v>
      </c>
      <c r="F676" s="7">
        <f t="shared" si="44"/>
        <v>11000000</v>
      </c>
      <c r="G676" s="7">
        <f t="shared" si="45"/>
        <v>35437.687658664196</v>
      </c>
      <c r="H676" s="7" t="s">
        <v>2260</v>
      </c>
      <c r="I676" s="18" t="s">
        <v>1812</v>
      </c>
      <c r="J676" s="18" t="s">
        <v>1802</v>
      </c>
      <c r="K676" s="3">
        <v>35.119999999999997</v>
      </c>
      <c r="L676" s="7" t="s">
        <v>2246</v>
      </c>
      <c r="M676" s="7">
        <f t="shared" si="42"/>
        <v>3.5119999999999998E-2</v>
      </c>
      <c r="N676" s="7">
        <f t="shared" si="43"/>
        <v>10.90138848</v>
      </c>
    </row>
    <row r="677" spans="1:14" ht="15.6" x14ac:dyDescent="0.3">
      <c r="A677" s="18" t="s">
        <v>1746</v>
      </c>
      <c r="B677" s="7">
        <v>6</v>
      </c>
      <c r="C677" s="7">
        <v>12</v>
      </c>
      <c r="D677" s="7" t="s">
        <v>2259</v>
      </c>
      <c r="E677" s="7">
        <v>11000000</v>
      </c>
      <c r="F677" s="7">
        <f t="shared" si="44"/>
        <v>11000000</v>
      </c>
      <c r="G677" s="7">
        <f t="shared" si="45"/>
        <v>35437.687658664196</v>
      </c>
      <c r="H677" s="7" t="s">
        <v>2260</v>
      </c>
      <c r="I677" s="18" t="s">
        <v>1812</v>
      </c>
      <c r="J677" s="18" t="s">
        <v>1802</v>
      </c>
      <c r="K677" s="3">
        <v>16.54</v>
      </c>
      <c r="L677" s="7" t="s">
        <v>2246</v>
      </c>
      <c r="M677" s="7">
        <f t="shared" si="42"/>
        <v>1.6539999999999999E-2</v>
      </c>
      <c r="N677" s="7">
        <f t="shared" si="43"/>
        <v>5.1340821599999993</v>
      </c>
    </row>
    <row r="678" spans="1:14" ht="15.6" x14ac:dyDescent="0.3">
      <c r="A678" s="18" t="s">
        <v>1746</v>
      </c>
      <c r="B678" s="7">
        <v>6</v>
      </c>
      <c r="C678" s="7">
        <v>12</v>
      </c>
      <c r="D678" s="7" t="s">
        <v>2259</v>
      </c>
      <c r="E678" s="7">
        <v>11000000</v>
      </c>
      <c r="F678" s="7">
        <f t="shared" si="44"/>
        <v>11000000</v>
      </c>
      <c r="G678" s="7">
        <f t="shared" si="45"/>
        <v>35437.687658664196</v>
      </c>
      <c r="H678" s="7" t="s">
        <v>2260</v>
      </c>
      <c r="I678" s="18" t="s">
        <v>1812</v>
      </c>
      <c r="J678" s="18" t="s">
        <v>1802</v>
      </c>
      <c r="K678" s="3">
        <v>19.809999999999999</v>
      </c>
      <c r="L678" s="7" t="s">
        <v>2246</v>
      </c>
      <c r="M678" s="7">
        <f t="shared" si="42"/>
        <v>1.9809999999999998E-2</v>
      </c>
      <c r="N678" s="7">
        <f t="shared" si="43"/>
        <v>6.1491032399999987</v>
      </c>
    </row>
    <row r="679" spans="1:14" ht="15.6" x14ac:dyDescent="0.3">
      <c r="A679" s="18" t="s">
        <v>1746</v>
      </c>
      <c r="B679" s="7">
        <v>6</v>
      </c>
      <c r="C679" s="7">
        <v>12</v>
      </c>
      <c r="D679" s="7" t="s">
        <v>2259</v>
      </c>
      <c r="E679" s="7">
        <v>11000000</v>
      </c>
      <c r="F679" s="7">
        <f t="shared" si="44"/>
        <v>11000000</v>
      </c>
      <c r="G679" s="7">
        <f t="shared" si="45"/>
        <v>35437.687658664196</v>
      </c>
      <c r="H679" s="7" t="s">
        <v>2260</v>
      </c>
      <c r="I679" s="18" t="s">
        <v>1812</v>
      </c>
      <c r="J679" s="18" t="s">
        <v>1802</v>
      </c>
      <c r="K679" s="3">
        <v>14.29</v>
      </c>
      <c r="L679" s="7" t="s">
        <v>2246</v>
      </c>
      <c r="M679" s="7">
        <f t="shared" si="42"/>
        <v>1.4289999999999999E-2</v>
      </c>
      <c r="N679" s="7">
        <f t="shared" si="43"/>
        <v>4.4356731599999994</v>
      </c>
    </row>
    <row r="680" spans="1:14" ht="15.6" x14ac:dyDescent="0.3">
      <c r="A680" s="18" t="s">
        <v>1746</v>
      </c>
      <c r="B680" s="7">
        <v>6</v>
      </c>
      <c r="C680" s="7">
        <v>12</v>
      </c>
      <c r="D680" s="7" t="s">
        <v>2259</v>
      </c>
      <c r="E680" s="7">
        <v>11000000</v>
      </c>
      <c r="F680" s="7">
        <f t="shared" si="44"/>
        <v>11000000</v>
      </c>
      <c r="G680" s="7">
        <f t="shared" si="45"/>
        <v>35437.687658664196</v>
      </c>
      <c r="H680" s="7" t="s">
        <v>2260</v>
      </c>
      <c r="I680" s="18" t="s">
        <v>1812</v>
      </c>
      <c r="J680" s="18" t="s">
        <v>1802</v>
      </c>
      <c r="K680" s="3">
        <v>34.090000000000003</v>
      </c>
      <c r="L680" s="7" t="s">
        <v>2246</v>
      </c>
      <c r="M680" s="7">
        <f t="shared" si="42"/>
        <v>3.4090000000000002E-2</v>
      </c>
      <c r="N680" s="7">
        <f t="shared" si="43"/>
        <v>10.581672359999999</v>
      </c>
    </row>
    <row r="681" spans="1:14" ht="15.6" x14ac:dyDescent="0.3">
      <c r="A681" s="18" t="s">
        <v>1746</v>
      </c>
      <c r="B681" s="7">
        <v>6</v>
      </c>
      <c r="C681" s="7">
        <v>12</v>
      </c>
      <c r="D681" s="7" t="s">
        <v>2259</v>
      </c>
      <c r="E681" s="7">
        <v>11000000</v>
      </c>
      <c r="F681" s="7">
        <f t="shared" si="44"/>
        <v>11000000</v>
      </c>
      <c r="G681" s="7">
        <f t="shared" si="45"/>
        <v>35437.687658664196</v>
      </c>
      <c r="H681" s="7" t="s">
        <v>2260</v>
      </c>
      <c r="I681" s="18" t="s">
        <v>1812</v>
      </c>
      <c r="J681" s="18" t="s">
        <v>1802</v>
      </c>
      <c r="K681" s="3">
        <v>20.07</v>
      </c>
      <c r="L681" s="7" t="s">
        <v>2246</v>
      </c>
      <c r="M681" s="7">
        <f t="shared" si="42"/>
        <v>2.0070000000000001E-2</v>
      </c>
      <c r="N681" s="7">
        <f t="shared" si="43"/>
        <v>6.2298082799999994</v>
      </c>
    </row>
    <row r="682" spans="1:14" ht="15.6" x14ac:dyDescent="0.3">
      <c r="A682" s="18" t="s">
        <v>1746</v>
      </c>
      <c r="B682" s="7">
        <v>6</v>
      </c>
      <c r="C682" s="7">
        <v>12</v>
      </c>
      <c r="D682" s="7" t="s">
        <v>2259</v>
      </c>
      <c r="E682" s="7">
        <v>11000000</v>
      </c>
      <c r="F682" s="7">
        <f t="shared" si="44"/>
        <v>11000000</v>
      </c>
      <c r="G682" s="7">
        <f t="shared" si="45"/>
        <v>35437.687658664196</v>
      </c>
      <c r="H682" s="7" t="s">
        <v>2260</v>
      </c>
      <c r="I682" s="18" t="s">
        <v>1812</v>
      </c>
      <c r="J682" s="18" t="s">
        <v>1802</v>
      </c>
      <c r="K682" s="3">
        <v>57.54</v>
      </c>
      <c r="L682" s="7" t="s">
        <v>2246</v>
      </c>
      <c r="M682" s="7">
        <f t="shared" ref="M682:M745" si="46">IFERROR(K682/1000,"ND")</f>
        <v>5.7540000000000001E-2</v>
      </c>
      <c r="N682" s="7">
        <f t="shared" si="43"/>
        <v>17.860646159999998</v>
      </c>
    </row>
    <row r="683" spans="1:14" ht="15.6" x14ac:dyDescent="0.3">
      <c r="A683" s="18" t="s">
        <v>1746</v>
      </c>
      <c r="B683" s="7">
        <v>6</v>
      </c>
      <c r="C683" s="7">
        <v>12</v>
      </c>
      <c r="D683" s="7" t="s">
        <v>2259</v>
      </c>
      <c r="E683" s="7">
        <v>11000000</v>
      </c>
      <c r="F683" s="7">
        <f t="shared" si="44"/>
        <v>11000000</v>
      </c>
      <c r="G683" s="7">
        <f t="shared" si="45"/>
        <v>35437.687658664196</v>
      </c>
      <c r="H683" s="7" t="s">
        <v>2260</v>
      </c>
      <c r="I683" s="18" t="s">
        <v>1812</v>
      </c>
      <c r="J683" s="18" t="s">
        <v>1802</v>
      </c>
      <c r="K683" s="3">
        <v>69.53</v>
      </c>
      <c r="L683" s="7" t="s">
        <v>2246</v>
      </c>
      <c r="M683" s="7">
        <f t="shared" si="46"/>
        <v>6.9529999999999995E-2</v>
      </c>
      <c r="N683" s="7">
        <f t="shared" si="43"/>
        <v>21.582390119999996</v>
      </c>
    </row>
    <row r="684" spans="1:14" ht="15.6" x14ac:dyDescent="0.3">
      <c r="A684" s="18" t="s">
        <v>1746</v>
      </c>
      <c r="B684" s="7">
        <v>6</v>
      </c>
      <c r="C684" s="7">
        <v>12</v>
      </c>
      <c r="D684" s="7" t="s">
        <v>2259</v>
      </c>
      <c r="E684" s="7">
        <v>11000000</v>
      </c>
      <c r="F684" s="7">
        <f t="shared" si="44"/>
        <v>11000000</v>
      </c>
      <c r="G684" s="7">
        <f t="shared" si="45"/>
        <v>35437.687658664196</v>
      </c>
      <c r="H684" s="7" t="s">
        <v>2260</v>
      </c>
      <c r="I684" s="18" t="s">
        <v>1812</v>
      </c>
      <c r="J684" s="18" t="s">
        <v>1802</v>
      </c>
      <c r="K684" s="3" t="s">
        <v>1716</v>
      </c>
      <c r="L684" s="7" t="s">
        <v>2246</v>
      </c>
      <c r="M684" s="7" t="str">
        <f t="shared" si="46"/>
        <v>ND</v>
      </c>
      <c r="N684" s="7" t="str">
        <f t="shared" si="43"/>
        <v>ND</v>
      </c>
    </row>
    <row r="685" spans="1:14" ht="15.6" x14ac:dyDescent="0.3">
      <c r="A685" s="18" t="s">
        <v>1746</v>
      </c>
      <c r="B685" s="7">
        <v>6</v>
      </c>
      <c r="C685" s="7">
        <v>12</v>
      </c>
      <c r="D685" s="7" t="s">
        <v>2259</v>
      </c>
      <c r="E685" s="7">
        <v>11000000</v>
      </c>
      <c r="F685" s="7">
        <f t="shared" si="44"/>
        <v>11000000</v>
      </c>
      <c r="G685" s="7">
        <f t="shared" si="45"/>
        <v>35437.687658664196</v>
      </c>
      <c r="H685" s="7" t="s">
        <v>2260</v>
      </c>
      <c r="I685" s="18" t="s">
        <v>1812</v>
      </c>
      <c r="J685" s="18" t="s">
        <v>1802</v>
      </c>
      <c r="K685" s="3" t="s">
        <v>1716</v>
      </c>
      <c r="L685" s="7" t="s">
        <v>2246</v>
      </c>
      <c r="M685" s="7" t="str">
        <f t="shared" si="46"/>
        <v>ND</v>
      </c>
      <c r="N685" s="7" t="str">
        <f t="shared" si="43"/>
        <v>ND</v>
      </c>
    </row>
    <row r="686" spans="1:14" ht="15.6" x14ac:dyDescent="0.3">
      <c r="A686" s="18" t="s">
        <v>1746</v>
      </c>
      <c r="B686" s="7">
        <v>6</v>
      </c>
      <c r="C686" s="7">
        <v>12</v>
      </c>
      <c r="D686" s="7" t="s">
        <v>2259</v>
      </c>
      <c r="E686" s="7">
        <v>11000000</v>
      </c>
      <c r="F686" s="7">
        <f t="shared" si="44"/>
        <v>11000000</v>
      </c>
      <c r="G686" s="7">
        <f t="shared" si="45"/>
        <v>35437.687658664196</v>
      </c>
      <c r="H686" s="7" t="s">
        <v>2260</v>
      </c>
      <c r="I686" s="18" t="s">
        <v>1812</v>
      </c>
      <c r="J686" s="18" t="s">
        <v>1802</v>
      </c>
      <c r="K686" s="3" t="s">
        <v>1716</v>
      </c>
      <c r="L686" s="7" t="s">
        <v>2246</v>
      </c>
      <c r="M686" s="7" t="str">
        <f t="shared" si="46"/>
        <v>ND</v>
      </c>
      <c r="N686" s="7" t="str">
        <f t="shared" si="43"/>
        <v>ND</v>
      </c>
    </row>
    <row r="687" spans="1:14" ht="15.6" x14ac:dyDescent="0.3">
      <c r="A687" s="18" t="s">
        <v>1746</v>
      </c>
      <c r="B687" s="7">
        <v>6</v>
      </c>
      <c r="C687" s="7">
        <v>12</v>
      </c>
      <c r="D687" s="7" t="s">
        <v>2259</v>
      </c>
      <c r="E687" s="7">
        <v>11000000</v>
      </c>
      <c r="F687" s="7">
        <f t="shared" si="44"/>
        <v>11000000</v>
      </c>
      <c r="G687" s="7">
        <f t="shared" si="45"/>
        <v>35437.687658664196</v>
      </c>
      <c r="H687" s="7" t="s">
        <v>2260</v>
      </c>
      <c r="I687" s="18" t="s">
        <v>1812</v>
      </c>
      <c r="J687" s="18" t="s">
        <v>1802</v>
      </c>
      <c r="K687" s="3" t="s">
        <v>1716</v>
      </c>
      <c r="L687" s="7" t="s">
        <v>2246</v>
      </c>
      <c r="M687" s="7" t="str">
        <f t="shared" si="46"/>
        <v>ND</v>
      </c>
      <c r="N687" s="7" t="str">
        <f t="shared" si="43"/>
        <v>ND</v>
      </c>
    </row>
    <row r="688" spans="1:14" ht="15.6" x14ac:dyDescent="0.3">
      <c r="A688" s="18" t="s">
        <v>1746</v>
      </c>
      <c r="B688" s="7">
        <v>6</v>
      </c>
      <c r="C688" s="7">
        <v>12</v>
      </c>
      <c r="D688" s="7" t="s">
        <v>2259</v>
      </c>
      <c r="E688" s="7">
        <v>11000000</v>
      </c>
      <c r="F688" s="7">
        <f t="shared" si="44"/>
        <v>11000000</v>
      </c>
      <c r="G688" s="7">
        <f t="shared" si="45"/>
        <v>35437.687658664196</v>
      </c>
      <c r="H688" s="7" t="s">
        <v>2260</v>
      </c>
      <c r="I688" s="18" t="s">
        <v>1812</v>
      </c>
      <c r="J688" s="18" t="s">
        <v>1802</v>
      </c>
      <c r="K688" s="3" t="s">
        <v>1716</v>
      </c>
      <c r="L688" s="7" t="s">
        <v>2246</v>
      </c>
      <c r="M688" s="7" t="str">
        <f t="shared" si="46"/>
        <v>ND</v>
      </c>
      <c r="N688" s="7" t="str">
        <f t="shared" si="43"/>
        <v>ND</v>
      </c>
    </row>
    <row r="689" spans="1:14" ht="15.6" x14ac:dyDescent="0.3">
      <c r="A689" s="18" t="s">
        <v>1746</v>
      </c>
      <c r="B689" s="7">
        <v>6</v>
      </c>
      <c r="C689" s="7">
        <v>12</v>
      </c>
      <c r="D689" s="7" t="s">
        <v>2259</v>
      </c>
      <c r="E689" s="7">
        <v>11000000</v>
      </c>
      <c r="F689" s="7">
        <f t="shared" si="44"/>
        <v>11000000</v>
      </c>
      <c r="G689" s="7">
        <f t="shared" si="45"/>
        <v>35437.687658664196</v>
      </c>
      <c r="H689" s="7" t="s">
        <v>2260</v>
      </c>
      <c r="I689" s="18" t="s">
        <v>1812</v>
      </c>
      <c r="J689" s="18" t="s">
        <v>1802</v>
      </c>
      <c r="K689" s="3" t="s">
        <v>1716</v>
      </c>
      <c r="L689" s="7" t="s">
        <v>2246</v>
      </c>
      <c r="M689" s="7" t="str">
        <f t="shared" si="46"/>
        <v>ND</v>
      </c>
      <c r="N689" s="7" t="str">
        <f t="shared" si="43"/>
        <v>ND</v>
      </c>
    </row>
    <row r="690" spans="1:14" ht="15.6" x14ac:dyDescent="0.3">
      <c r="A690" s="18" t="s">
        <v>1746</v>
      </c>
      <c r="B690" s="7">
        <v>6</v>
      </c>
      <c r="C690" s="7">
        <v>12</v>
      </c>
      <c r="D690" s="7" t="s">
        <v>2259</v>
      </c>
      <c r="E690" s="7">
        <v>11000000</v>
      </c>
      <c r="F690" s="7">
        <f t="shared" si="44"/>
        <v>11000000</v>
      </c>
      <c r="G690" s="7">
        <f t="shared" si="45"/>
        <v>35437.687658664196</v>
      </c>
      <c r="H690" s="7" t="s">
        <v>2260</v>
      </c>
      <c r="I690" s="18" t="s">
        <v>1812</v>
      </c>
      <c r="J690" s="18" t="s">
        <v>1802</v>
      </c>
      <c r="K690" s="3" t="s">
        <v>1716</v>
      </c>
      <c r="L690" s="7" t="s">
        <v>2246</v>
      </c>
      <c r="M690" s="7" t="str">
        <f t="shared" si="46"/>
        <v>ND</v>
      </c>
      <c r="N690" s="7" t="str">
        <f t="shared" si="43"/>
        <v>ND</v>
      </c>
    </row>
    <row r="691" spans="1:14" ht="15.6" x14ac:dyDescent="0.3">
      <c r="A691" s="18" t="s">
        <v>1746</v>
      </c>
      <c r="B691" s="7">
        <v>6</v>
      </c>
      <c r="C691" s="7">
        <v>12</v>
      </c>
      <c r="D691" s="7" t="s">
        <v>2259</v>
      </c>
      <c r="E691" s="7">
        <v>11000000</v>
      </c>
      <c r="F691" s="7">
        <f t="shared" si="44"/>
        <v>11000000</v>
      </c>
      <c r="G691" s="7">
        <f t="shared" si="45"/>
        <v>35437.687658664196</v>
      </c>
      <c r="H691" s="7" t="s">
        <v>2260</v>
      </c>
      <c r="I691" s="18" t="s">
        <v>1812</v>
      </c>
      <c r="J691" s="18" t="s">
        <v>1802</v>
      </c>
      <c r="K691" s="3" t="s">
        <v>1716</v>
      </c>
      <c r="L691" s="7" t="s">
        <v>2246</v>
      </c>
      <c r="M691" s="7" t="str">
        <f t="shared" si="46"/>
        <v>ND</v>
      </c>
      <c r="N691" s="7" t="str">
        <f t="shared" si="43"/>
        <v>ND</v>
      </c>
    </row>
    <row r="692" spans="1:14" ht="15.6" x14ac:dyDescent="0.3">
      <c r="A692" s="18" t="s">
        <v>1746</v>
      </c>
      <c r="B692" s="7">
        <v>6</v>
      </c>
      <c r="C692" s="7">
        <v>12</v>
      </c>
      <c r="D692" s="7" t="s">
        <v>2259</v>
      </c>
      <c r="E692" s="7">
        <v>11000000</v>
      </c>
      <c r="F692" s="7">
        <f t="shared" si="44"/>
        <v>11000000</v>
      </c>
      <c r="G692" s="7">
        <f t="shared" si="45"/>
        <v>35437.687658664196</v>
      </c>
      <c r="H692" s="7" t="s">
        <v>2260</v>
      </c>
      <c r="I692" s="18" t="s">
        <v>1812</v>
      </c>
      <c r="J692" s="18" t="s">
        <v>1802</v>
      </c>
      <c r="K692" s="3" t="s">
        <v>1716</v>
      </c>
      <c r="L692" s="7" t="s">
        <v>2246</v>
      </c>
      <c r="M692" s="7" t="str">
        <f t="shared" si="46"/>
        <v>ND</v>
      </c>
      <c r="N692" s="7" t="str">
        <f t="shared" si="43"/>
        <v>ND</v>
      </c>
    </row>
    <row r="693" spans="1:14" ht="15.6" x14ac:dyDescent="0.3">
      <c r="A693" s="18" t="s">
        <v>1746</v>
      </c>
      <c r="B693" s="7">
        <v>6</v>
      </c>
      <c r="C693" s="7">
        <v>12</v>
      </c>
      <c r="D693" s="7" t="s">
        <v>2259</v>
      </c>
      <c r="E693" s="7">
        <v>11000000</v>
      </c>
      <c r="F693" s="7">
        <f t="shared" si="44"/>
        <v>11000000</v>
      </c>
      <c r="G693" s="7">
        <f t="shared" si="45"/>
        <v>35437.687658664196</v>
      </c>
      <c r="H693" s="7" t="s">
        <v>2260</v>
      </c>
      <c r="I693" s="18" t="s">
        <v>1812</v>
      </c>
      <c r="J693" s="18" t="s">
        <v>1802</v>
      </c>
      <c r="K693" s="3">
        <v>201.68</v>
      </c>
      <c r="L693" s="7" t="s">
        <v>2246</v>
      </c>
      <c r="M693" s="7">
        <f t="shared" si="46"/>
        <v>0.20168</v>
      </c>
      <c r="N693" s="7">
        <f t="shared" si="43"/>
        <v>62.602278719999994</v>
      </c>
    </row>
    <row r="694" spans="1:14" ht="15.6" x14ac:dyDescent="0.3">
      <c r="A694" s="18" t="s">
        <v>1746</v>
      </c>
      <c r="B694" s="7">
        <v>6</v>
      </c>
      <c r="C694" s="7">
        <v>12</v>
      </c>
      <c r="D694" s="7" t="s">
        <v>2259</v>
      </c>
      <c r="E694" s="7">
        <v>11000000</v>
      </c>
      <c r="F694" s="7">
        <f t="shared" si="44"/>
        <v>11000000</v>
      </c>
      <c r="G694" s="7">
        <f t="shared" si="45"/>
        <v>35437.687658664196</v>
      </c>
      <c r="H694" s="7" t="s">
        <v>2260</v>
      </c>
      <c r="I694" s="18" t="s">
        <v>1812</v>
      </c>
      <c r="J694" s="18" t="s">
        <v>1802</v>
      </c>
      <c r="K694" s="3">
        <v>336.83</v>
      </c>
      <c r="L694" s="7" t="s">
        <v>2246</v>
      </c>
      <c r="M694" s="7">
        <f t="shared" si="46"/>
        <v>0.33682999999999996</v>
      </c>
      <c r="N694" s="7">
        <f t="shared" si="43"/>
        <v>104.55337931999998</v>
      </c>
    </row>
    <row r="695" spans="1:14" ht="15.6" x14ac:dyDescent="0.3">
      <c r="A695" s="18" t="s">
        <v>1746</v>
      </c>
      <c r="B695" s="7">
        <v>6</v>
      </c>
      <c r="C695" s="7">
        <v>12</v>
      </c>
      <c r="D695" s="7" t="s">
        <v>2259</v>
      </c>
      <c r="E695" s="7">
        <v>11000000</v>
      </c>
      <c r="F695" s="7">
        <f t="shared" si="44"/>
        <v>11000000</v>
      </c>
      <c r="G695" s="7">
        <f t="shared" si="45"/>
        <v>35437.687658664196</v>
      </c>
      <c r="H695" s="7" t="s">
        <v>2260</v>
      </c>
      <c r="I695" s="18" t="s">
        <v>1812</v>
      </c>
      <c r="J695" s="18" t="s">
        <v>1802</v>
      </c>
      <c r="K695" s="3">
        <v>285.5</v>
      </c>
      <c r="L695" s="7" t="s">
        <v>2246</v>
      </c>
      <c r="M695" s="7">
        <f t="shared" si="46"/>
        <v>0.28549999999999998</v>
      </c>
      <c r="N695" s="7">
        <f t="shared" si="43"/>
        <v>88.62034199999998</v>
      </c>
    </row>
    <row r="696" spans="1:14" ht="15.6" x14ac:dyDescent="0.3">
      <c r="A696" s="18" t="s">
        <v>1746</v>
      </c>
      <c r="B696" s="7">
        <v>6</v>
      </c>
      <c r="C696" s="7">
        <v>12</v>
      </c>
      <c r="D696" s="7" t="s">
        <v>2259</v>
      </c>
      <c r="E696" s="7">
        <v>11000000</v>
      </c>
      <c r="F696" s="7">
        <f t="shared" si="44"/>
        <v>11000000</v>
      </c>
      <c r="G696" s="7">
        <f t="shared" si="45"/>
        <v>35437.687658664196</v>
      </c>
      <c r="H696" s="7" t="s">
        <v>2260</v>
      </c>
      <c r="I696" s="18" t="s">
        <v>1812</v>
      </c>
      <c r="J696" s="18" t="s">
        <v>1802</v>
      </c>
      <c r="K696" s="3">
        <v>171</v>
      </c>
      <c r="L696" s="7" t="s">
        <v>2246</v>
      </c>
      <c r="M696" s="7">
        <f t="shared" si="46"/>
        <v>0.17100000000000001</v>
      </c>
      <c r="N696" s="7">
        <f t="shared" si="43"/>
        <v>53.079084000000002</v>
      </c>
    </row>
    <row r="697" spans="1:14" ht="15.6" x14ac:dyDescent="0.3">
      <c r="A697" s="18" t="s">
        <v>1746</v>
      </c>
      <c r="B697" s="7">
        <v>6</v>
      </c>
      <c r="C697" s="7">
        <v>12</v>
      </c>
      <c r="D697" s="7" t="s">
        <v>2259</v>
      </c>
      <c r="E697" s="7">
        <v>11000000</v>
      </c>
      <c r="F697" s="7">
        <f t="shared" si="44"/>
        <v>11000000</v>
      </c>
      <c r="G697" s="7">
        <f t="shared" si="45"/>
        <v>35437.687658664196</v>
      </c>
      <c r="H697" s="7" t="s">
        <v>2260</v>
      </c>
      <c r="I697" s="18" t="s">
        <v>1812</v>
      </c>
      <c r="J697" s="18" t="s">
        <v>1802</v>
      </c>
      <c r="K697" s="3">
        <v>145</v>
      </c>
      <c r="L697" s="7" t="s">
        <v>2246</v>
      </c>
      <c r="M697" s="7">
        <f t="shared" si="46"/>
        <v>0.14499999999999999</v>
      </c>
      <c r="N697" s="7">
        <f t="shared" si="43"/>
        <v>45.008579999999995</v>
      </c>
    </row>
    <row r="698" spans="1:14" ht="15.6" x14ac:dyDescent="0.3">
      <c r="A698" s="18" t="s">
        <v>1746</v>
      </c>
      <c r="B698" s="7">
        <v>6</v>
      </c>
      <c r="C698" s="7">
        <v>12</v>
      </c>
      <c r="D698" s="7" t="s">
        <v>2259</v>
      </c>
      <c r="E698" s="7">
        <v>11000000</v>
      </c>
      <c r="F698" s="7">
        <f t="shared" si="44"/>
        <v>11000000</v>
      </c>
      <c r="G698" s="7">
        <f t="shared" si="45"/>
        <v>35437.687658664196</v>
      </c>
      <c r="H698" s="7" t="s">
        <v>2260</v>
      </c>
      <c r="I698" s="18" t="s">
        <v>1812</v>
      </c>
      <c r="J698" s="18" t="s">
        <v>1802</v>
      </c>
      <c r="K698" s="3">
        <v>123</v>
      </c>
      <c r="L698" s="7" t="s">
        <v>2246</v>
      </c>
      <c r="M698" s="7">
        <f t="shared" si="46"/>
        <v>0.123</v>
      </c>
      <c r="N698" s="7">
        <f t="shared" si="43"/>
        <v>38.179691999999996</v>
      </c>
    </row>
    <row r="699" spans="1:14" ht="15.6" x14ac:dyDescent="0.3">
      <c r="A699" s="18" t="s">
        <v>1746</v>
      </c>
      <c r="B699" s="7">
        <v>6</v>
      </c>
      <c r="C699" s="7">
        <v>12</v>
      </c>
      <c r="D699" s="7" t="s">
        <v>2259</v>
      </c>
      <c r="E699" s="7">
        <v>11000000</v>
      </c>
      <c r="F699" s="7">
        <f t="shared" si="44"/>
        <v>11000000</v>
      </c>
      <c r="G699" s="7">
        <f t="shared" si="45"/>
        <v>35437.687658664196</v>
      </c>
      <c r="H699" s="7" t="s">
        <v>2260</v>
      </c>
      <c r="I699" s="18" t="s">
        <v>1812</v>
      </c>
      <c r="J699" s="18" t="s">
        <v>1802</v>
      </c>
      <c r="K699" s="3">
        <v>106.37</v>
      </c>
      <c r="L699" s="7" t="s">
        <v>2246</v>
      </c>
      <c r="M699" s="7">
        <f t="shared" si="46"/>
        <v>0.10637000000000001</v>
      </c>
      <c r="N699" s="7">
        <f t="shared" si="43"/>
        <v>33.017673479999999</v>
      </c>
    </row>
    <row r="700" spans="1:14" ht="15.6" x14ac:dyDescent="0.3">
      <c r="A700" s="18" t="s">
        <v>1746</v>
      </c>
      <c r="B700" s="7">
        <v>6</v>
      </c>
      <c r="C700" s="7">
        <v>12</v>
      </c>
      <c r="D700" s="7" t="s">
        <v>2259</v>
      </c>
      <c r="E700" s="7">
        <v>11000000</v>
      </c>
      <c r="F700" s="7">
        <f t="shared" si="44"/>
        <v>11000000</v>
      </c>
      <c r="G700" s="7">
        <f t="shared" si="45"/>
        <v>35437.687658664196</v>
      </c>
      <c r="H700" s="7" t="s">
        <v>2260</v>
      </c>
      <c r="I700" s="18" t="s">
        <v>1812</v>
      </c>
      <c r="J700" s="18" t="s">
        <v>1802</v>
      </c>
      <c r="K700" s="3" t="s">
        <v>1716</v>
      </c>
      <c r="L700" s="7" t="s">
        <v>2246</v>
      </c>
      <c r="M700" s="7" t="str">
        <f t="shared" si="46"/>
        <v>ND</v>
      </c>
      <c r="N700" s="7" t="str">
        <f t="shared" si="43"/>
        <v>ND</v>
      </c>
    </row>
    <row r="701" spans="1:14" ht="15.6" x14ac:dyDescent="0.3">
      <c r="A701" s="18" t="s">
        <v>1746</v>
      </c>
      <c r="B701" s="7">
        <v>6</v>
      </c>
      <c r="C701" s="7">
        <v>12</v>
      </c>
      <c r="D701" s="7" t="s">
        <v>2259</v>
      </c>
      <c r="E701" s="7">
        <v>11000000</v>
      </c>
      <c r="F701" s="7">
        <f t="shared" si="44"/>
        <v>11000000</v>
      </c>
      <c r="G701" s="7">
        <f t="shared" si="45"/>
        <v>35437.687658664196</v>
      </c>
      <c r="H701" s="7" t="s">
        <v>2260</v>
      </c>
      <c r="I701" s="18" t="s">
        <v>1812</v>
      </c>
      <c r="J701" s="18" t="s">
        <v>1802</v>
      </c>
      <c r="K701" s="3">
        <v>9.5</v>
      </c>
      <c r="L701" s="7" t="s">
        <v>2246</v>
      </c>
      <c r="M701" s="7">
        <f t="shared" si="46"/>
        <v>9.4999999999999998E-3</v>
      </c>
      <c r="N701" s="7">
        <f t="shared" si="43"/>
        <v>2.9488379999999998</v>
      </c>
    </row>
    <row r="702" spans="1:14" ht="15.6" x14ac:dyDescent="0.3">
      <c r="A702" s="18" t="s">
        <v>1746</v>
      </c>
      <c r="B702" s="7">
        <v>6</v>
      </c>
      <c r="C702" s="7">
        <v>12</v>
      </c>
      <c r="D702" s="7" t="s">
        <v>2259</v>
      </c>
      <c r="E702" s="7">
        <v>11000000</v>
      </c>
      <c r="F702" s="7">
        <f t="shared" si="44"/>
        <v>11000000</v>
      </c>
      <c r="G702" s="7">
        <f t="shared" si="45"/>
        <v>35437.687658664196</v>
      </c>
      <c r="H702" s="7" t="s">
        <v>2260</v>
      </c>
      <c r="I702" s="18" t="s">
        <v>1812</v>
      </c>
      <c r="J702" s="18" t="s">
        <v>1802</v>
      </c>
      <c r="K702" s="3" t="s">
        <v>1716</v>
      </c>
      <c r="L702" s="7" t="s">
        <v>2246</v>
      </c>
      <c r="M702" s="7" t="str">
        <f t="shared" si="46"/>
        <v>ND</v>
      </c>
      <c r="N702" s="7" t="str">
        <f t="shared" si="43"/>
        <v>ND</v>
      </c>
    </row>
    <row r="703" spans="1:14" ht="15.6" x14ac:dyDescent="0.3">
      <c r="A703" s="18" t="s">
        <v>1746</v>
      </c>
      <c r="B703" s="7">
        <v>6</v>
      </c>
      <c r="C703" s="7">
        <v>12</v>
      </c>
      <c r="D703" s="7" t="s">
        <v>2259</v>
      </c>
      <c r="E703" s="7">
        <v>11000000</v>
      </c>
      <c r="F703" s="7">
        <f t="shared" si="44"/>
        <v>11000000</v>
      </c>
      <c r="G703" s="7">
        <f t="shared" si="45"/>
        <v>35437.687658664196</v>
      </c>
      <c r="H703" s="7" t="s">
        <v>2260</v>
      </c>
      <c r="I703" s="18" t="s">
        <v>1812</v>
      </c>
      <c r="J703" s="18" t="s">
        <v>1802</v>
      </c>
      <c r="K703" s="3" t="s">
        <v>1716</v>
      </c>
      <c r="L703" s="7" t="s">
        <v>2246</v>
      </c>
      <c r="M703" s="7" t="str">
        <f t="shared" si="46"/>
        <v>ND</v>
      </c>
      <c r="N703" s="7" t="str">
        <f t="shared" si="43"/>
        <v>ND</v>
      </c>
    </row>
    <row r="704" spans="1:14" ht="15.6" x14ac:dyDescent="0.3">
      <c r="A704" s="18" t="s">
        <v>1746</v>
      </c>
      <c r="B704" s="7">
        <v>6</v>
      </c>
      <c r="C704" s="7">
        <v>12</v>
      </c>
      <c r="D704" s="7" t="s">
        <v>2259</v>
      </c>
      <c r="E704" s="7">
        <v>11000000</v>
      </c>
      <c r="F704" s="7">
        <f t="shared" si="44"/>
        <v>11000000</v>
      </c>
      <c r="G704" s="7">
        <f t="shared" si="45"/>
        <v>35437.687658664196</v>
      </c>
      <c r="H704" s="7" t="s">
        <v>2260</v>
      </c>
      <c r="I704" s="18" t="s">
        <v>1812</v>
      </c>
      <c r="J704" s="18" t="s">
        <v>1802</v>
      </c>
      <c r="K704" s="3" t="s">
        <v>1716</v>
      </c>
      <c r="L704" s="7" t="s">
        <v>2246</v>
      </c>
      <c r="M704" s="7" t="str">
        <f t="shared" si="46"/>
        <v>ND</v>
      </c>
      <c r="N704" s="7" t="str">
        <f t="shared" si="43"/>
        <v>ND</v>
      </c>
    </row>
    <row r="705" spans="1:14" ht="15.6" x14ac:dyDescent="0.3">
      <c r="A705" s="18" t="s">
        <v>1746</v>
      </c>
      <c r="B705" s="7">
        <v>6</v>
      </c>
      <c r="C705" s="7">
        <v>12</v>
      </c>
      <c r="D705" s="7" t="s">
        <v>2259</v>
      </c>
      <c r="E705" s="7">
        <v>11000000</v>
      </c>
      <c r="F705" s="7">
        <f t="shared" si="44"/>
        <v>11000000</v>
      </c>
      <c r="G705" s="7">
        <f t="shared" si="45"/>
        <v>35437.687658664196</v>
      </c>
      <c r="H705" s="7" t="s">
        <v>2260</v>
      </c>
      <c r="I705" s="18" t="s">
        <v>1812</v>
      </c>
      <c r="J705" s="18" t="s">
        <v>1802</v>
      </c>
      <c r="K705" s="3">
        <v>1.34</v>
      </c>
      <c r="L705" s="7" t="s">
        <v>2246</v>
      </c>
      <c r="M705" s="7">
        <f t="shared" si="46"/>
        <v>1.34E-3</v>
      </c>
      <c r="N705" s="7">
        <f t="shared" si="43"/>
        <v>0.41594135999999998</v>
      </c>
    </row>
    <row r="706" spans="1:14" ht="15.6" x14ac:dyDescent="0.3">
      <c r="A706" s="18" t="s">
        <v>1746</v>
      </c>
      <c r="B706" s="7">
        <v>6</v>
      </c>
      <c r="C706" s="7">
        <v>12</v>
      </c>
      <c r="D706" s="7" t="s">
        <v>2259</v>
      </c>
      <c r="E706" s="7">
        <v>11000000</v>
      </c>
      <c r="F706" s="7">
        <f t="shared" si="44"/>
        <v>11000000</v>
      </c>
      <c r="G706" s="7">
        <f t="shared" si="45"/>
        <v>35437.687658664196</v>
      </c>
      <c r="H706" s="7" t="s">
        <v>2260</v>
      </c>
      <c r="I706" s="18" t="s">
        <v>1812</v>
      </c>
      <c r="J706" s="18" t="s">
        <v>1802</v>
      </c>
      <c r="K706" s="3">
        <v>28.79</v>
      </c>
      <c r="L706" s="7" t="s">
        <v>2246</v>
      </c>
      <c r="M706" s="7">
        <f t="shared" si="46"/>
        <v>2.879E-2</v>
      </c>
      <c r="N706" s="7">
        <f t="shared" si="43"/>
        <v>8.9365311599999995</v>
      </c>
    </row>
    <row r="707" spans="1:14" ht="15.6" x14ac:dyDescent="0.3">
      <c r="A707" s="18" t="s">
        <v>1746</v>
      </c>
      <c r="B707" s="7">
        <v>6</v>
      </c>
      <c r="C707" s="7">
        <v>12</v>
      </c>
      <c r="D707" s="7" t="s">
        <v>2259</v>
      </c>
      <c r="E707" s="7">
        <v>11000000</v>
      </c>
      <c r="F707" s="7">
        <f t="shared" si="44"/>
        <v>11000000</v>
      </c>
      <c r="G707" s="7">
        <f t="shared" si="45"/>
        <v>35437.687658664196</v>
      </c>
      <c r="H707" s="7" t="s">
        <v>2260</v>
      </c>
      <c r="I707" s="18" t="s">
        <v>1812</v>
      </c>
      <c r="J707" s="18" t="s">
        <v>1802</v>
      </c>
      <c r="K707" s="3">
        <v>14.75</v>
      </c>
      <c r="L707" s="7" t="s">
        <v>2246</v>
      </c>
      <c r="M707" s="7">
        <f t="shared" si="46"/>
        <v>1.4749999999999999E-2</v>
      </c>
      <c r="N707" s="7">
        <f t="shared" ref="N707:N770" si="47">IFERROR((M707*F707)/G707,"ND")</f>
        <v>4.5784589999999996</v>
      </c>
    </row>
    <row r="708" spans="1:14" ht="15.6" x14ac:dyDescent="0.3">
      <c r="A708" s="18" t="s">
        <v>1762</v>
      </c>
      <c r="B708" s="7">
        <v>6</v>
      </c>
      <c r="C708" s="7">
        <v>12</v>
      </c>
      <c r="D708" s="7" t="s">
        <v>2259</v>
      </c>
      <c r="E708" s="7">
        <v>11000000</v>
      </c>
      <c r="F708" s="7">
        <f t="shared" si="44"/>
        <v>11000000</v>
      </c>
      <c r="G708" s="7">
        <f t="shared" si="45"/>
        <v>35437.687658664196</v>
      </c>
      <c r="H708" s="7" t="s">
        <v>2260</v>
      </c>
      <c r="I708" s="18" t="s">
        <v>1812</v>
      </c>
      <c r="J708" s="18" t="s">
        <v>1802</v>
      </c>
      <c r="K708" s="3" t="s">
        <v>1716</v>
      </c>
      <c r="L708" s="7" t="s">
        <v>2246</v>
      </c>
      <c r="M708" s="7" t="str">
        <f t="shared" si="46"/>
        <v>ND</v>
      </c>
      <c r="N708" s="7" t="str">
        <f t="shared" si="47"/>
        <v>ND</v>
      </c>
    </row>
    <row r="709" spans="1:14" ht="15.6" x14ac:dyDescent="0.3">
      <c r="A709" s="18" t="s">
        <v>1762</v>
      </c>
      <c r="B709" s="7">
        <v>6</v>
      </c>
      <c r="C709" s="7">
        <v>12</v>
      </c>
      <c r="D709" s="7" t="s">
        <v>2259</v>
      </c>
      <c r="E709" s="7">
        <v>11000000</v>
      </c>
      <c r="F709" s="7">
        <f t="shared" si="44"/>
        <v>11000000</v>
      </c>
      <c r="G709" s="7">
        <f t="shared" si="45"/>
        <v>35437.687658664196</v>
      </c>
      <c r="H709" s="7" t="s">
        <v>2260</v>
      </c>
      <c r="I709" s="18" t="s">
        <v>1812</v>
      </c>
      <c r="J709" s="18" t="s">
        <v>1802</v>
      </c>
      <c r="K709" s="3" t="s">
        <v>1716</v>
      </c>
      <c r="L709" s="7" t="s">
        <v>2246</v>
      </c>
      <c r="M709" s="7" t="str">
        <f t="shared" si="46"/>
        <v>ND</v>
      </c>
      <c r="N709" s="7" t="str">
        <f t="shared" si="47"/>
        <v>ND</v>
      </c>
    </row>
    <row r="710" spans="1:14" ht="15.6" x14ac:dyDescent="0.3">
      <c r="A710" s="18" t="s">
        <v>1762</v>
      </c>
      <c r="B710" s="7">
        <v>6</v>
      </c>
      <c r="C710" s="7">
        <v>12</v>
      </c>
      <c r="D710" s="7" t="s">
        <v>2259</v>
      </c>
      <c r="E710" s="7">
        <v>11000000</v>
      </c>
      <c r="F710" s="7">
        <f t="shared" si="44"/>
        <v>11000000</v>
      </c>
      <c r="G710" s="7">
        <f t="shared" si="45"/>
        <v>35437.687658664196</v>
      </c>
      <c r="H710" s="7" t="s">
        <v>2260</v>
      </c>
      <c r="I710" s="18" t="s">
        <v>1812</v>
      </c>
      <c r="J710" s="18" t="s">
        <v>1802</v>
      </c>
      <c r="K710" s="3" t="s">
        <v>1716</v>
      </c>
      <c r="L710" s="7" t="s">
        <v>2246</v>
      </c>
      <c r="M710" s="7" t="str">
        <f t="shared" si="46"/>
        <v>ND</v>
      </c>
      <c r="N710" s="7" t="str">
        <f t="shared" si="47"/>
        <v>ND</v>
      </c>
    </row>
    <row r="711" spans="1:14" ht="15.6" x14ac:dyDescent="0.3">
      <c r="A711" s="18" t="s">
        <v>1762</v>
      </c>
      <c r="B711" s="7">
        <v>6</v>
      </c>
      <c r="C711" s="7">
        <v>12</v>
      </c>
      <c r="D711" s="7" t="s">
        <v>2259</v>
      </c>
      <c r="E711" s="7">
        <v>11000000</v>
      </c>
      <c r="F711" s="7">
        <f t="shared" si="44"/>
        <v>11000000</v>
      </c>
      <c r="G711" s="7">
        <f t="shared" si="45"/>
        <v>35437.687658664196</v>
      </c>
      <c r="H711" s="7" t="s">
        <v>2260</v>
      </c>
      <c r="I711" s="18" t="s">
        <v>1812</v>
      </c>
      <c r="J711" s="18" t="s">
        <v>1802</v>
      </c>
      <c r="K711" s="3" t="s">
        <v>1716</v>
      </c>
      <c r="L711" s="7" t="s">
        <v>2246</v>
      </c>
      <c r="M711" s="7" t="str">
        <f t="shared" si="46"/>
        <v>ND</v>
      </c>
      <c r="N711" s="7" t="str">
        <f t="shared" si="47"/>
        <v>ND</v>
      </c>
    </row>
    <row r="712" spans="1:14" ht="15.6" x14ac:dyDescent="0.3">
      <c r="A712" s="18" t="s">
        <v>1762</v>
      </c>
      <c r="B712" s="7">
        <v>6</v>
      </c>
      <c r="C712" s="7">
        <v>12</v>
      </c>
      <c r="D712" s="7" t="s">
        <v>2259</v>
      </c>
      <c r="E712" s="7">
        <v>11000000</v>
      </c>
      <c r="F712" s="7">
        <f t="shared" si="44"/>
        <v>11000000</v>
      </c>
      <c r="G712" s="7">
        <f t="shared" si="45"/>
        <v>35437.687658664196</v>
      </c>
      <c r="H712" s="7" t="s">
        <v>2260</v>
      </c>
      <c r="I712" s="18" t="s">
        <v>1812</v>
      </c>
      <c r="J712" s="18" t="s">
        <v>1802</v>
      </c>
      <c r="K712" s="3" t="s">
        <v>1716</v>
      </c>
      <c r="L712" s="7" t="s">
        <v>2246</v>
      </c>
      <c r="M712" s="7" t="str">
        <f t="shared" si="46"/>
        <v>ND</v>
      </c>
      <c r="N712" s="7" t="str">
        <f t="shared" si="47"/>
        <v>ND</v>
      </c>
    </row>
    <row r="713" spans="1:14" ht="15.6" x14ac:dyDescent="0.3">
      <c r="A713" s="18" t="s">
        <v>1762</v>
      </c>
      <c r="B713" s="7">
        <v>6</v>
      </c>
      <c r="C713" s="7">
        <v>12</v>
      </c>
      <c r="D713" s="7" t="s">
        <v>2259</v>
      </c>
      <c r="E713" s="7">
        <v>11000000</v>
      </c>
      <c r="F713" s="7">
        <f t="shared" si="44"/>
        <v>11000000</v>
      </c>
      <c r="G713" s="7">
        <f t="shared" si="45"/>
        <v>35437.687658664196</v>
      </c>
      <c r="H713" s="7" t="s">
        <v>2260</v>
      </c>
      <c r="I713" s="18" t="s">
        <v>1812</v>
      </c>
      <c r="J713" s="18" t="s">
        <v>1802</v>
      </c>
      <c r="K713" s="3" t="s">
        <v>1716</v>
      </c>
      <c r="L713" s="7" t="s">
        <v>2246</v>
      </c>
      <c r="M713" s="7" t="str">
        <f t="shared" si="46"/>
        <v>ND</v>
      </c>
      <c r="N713" s="7" t="str">
        <f t="shared" si="47"/>
        <v>ND</v>
      </c>
    </row>
    <row r="714" spans="1:14" ht="15.6" x14ac:dyDescent="0.3">
      <c r="A714" s="18" t="s">
        <v>1762</v>
      </c>
      <c r="B714" s="7">
        <v>6</v>
      </c>
      <c r="C714" s="7">
        <v>12</v>
      </c>
      <c r="D714" s="7" t="s">
        <v>2259</v>
      </c>
      <c r="E714" s="7">
        <v>11000000</v>
      </c>
      <c r="F714" s="7">
        <f t="shared" si="44"/>
        <v>11000000</v>
      </c>
      <c r="G714" s="7">
        <f t="shared" si="45"/>
        <v>35437.687658664196</v>
      </c>
      <c r="H714" s="7" t="s">
        <v>2260</v>
      </c>
      <c r="I714" s="18" t="s">
        <v>1812</v>
      </c>
      <c r="J714" s="18" t="s">
        <v>1802</v>
      </c>
      <c r="K714" s="3" t="s">
        <v>1716</v>
      </c>
      <c r="L714" s="7" t="s">
        <v>2246</v>
      </c>
      <c r="M714" s="7" t="str">
        <f t="shared" si="46"/>
        <v>ND</v>
      </c>
      <c r="N714" s="7" t="str">
        <f t="shared" si="47"/>
        <v>ND</v>
      </c>
    </row>
    <row r="715" spans="1:14" ht="15.6" x14ac:dyDescent="0.3">
      <c r="A715" s="18" t="s">
        <v>1762</v>
      </c>
      <c r="B715" s="7">
        <v>6</v>
      </c>
      <c r="C715" s="7">
        <v>12</v>
      </c>
      <c r="D715" s="7" t="s">
        <v>2259</v>
      </c>
      <c r="E715" s="7">
        <v>11000000</v>
      </c>
      <c r="F715" s="7">
        <f t="shared" si="44"/>
        <v>11000000</v>
      </c>
      <c r="G715" s="7">
        <f t="shared" si="45"/>
        <v>35437.687658664196</v>
      </c>
      <c r="H715" s="7" t="s">
        <v>2260</v>
      </c>
      <c r="I715" s="18" t="s">
        <v>1812</v>
      </c>
      <c r="J715" s="18" t="s">
        <v>1802</v>
      </c>
      <c r="K715" s="3" t="s">
        <v>1716</v>
      </c>
      <c r="L715" s="7" t="s">
        <v>2246</v>
      </c>
      <c r="M715" s="7" t="str">
        <f t="shared" si="46"/>
        <v>ND</v>
      </c>
      <c r="N715" s="7" t="str">
        <f t="shared" si="47"/>
        <v>ND</v>
      </c>
    </row>
    <row r="716" spans="1:14" ht="15.6" x14ac:dyDescent="0.3">
      <c r="A716" s="18" t="s">
        <v>1762</v>
      </c>
      <c r="B716" s="7">
        <v>6</v>
      </c>
      <c r="C716" s="7">
        <v>12</v>
      </c>
      <c r="D716" s="7" t="s">
        <v>2259</v>
      </c>
      <c r="E716" s="7">
        <v>11000000</v>
      </c>
      <c r="F716" s="7">
        <f t="shared" si="44"/>
        <v>11000000</v>
      </c>
      <c r="G716" s="7">
        <f t="shared" si="45"/>
        <v>35437.687658664196</v>
      </c>
      <c r="H716" s="7" t="s">
        <v>2260</v>
      </c>
      <c r="I716" s="18" t="s">
        <v>1812</v>
      </c>
      <c r="J716" s="18" t="s">
        <v>1802</v>
      </c>
      <c r="K716" s="3" t="s">
        <v>1716</v>
      </c>
      <c r="L716" s="7" t="s">
        <v>2246</v>
      </c>
      <c r="M716" s="7" t="str">
        <f t="shared" si="46"/>
        <v>ND</v>
      </c>
      <c r="N716" s="7" t="str">
        <f t="shared" si="47"/>
        <v>ND</v>
      </c>
    </row>
    <row r="717" spans="1:14" ht="15.6" x14ac:dyDescent="0.3">
      <c r="A717" s="18" t="s">
        <v>1762</v>
      </c>
      <c r="B717" s="7">
        <v>6</v>
      </c>
      <c r="C717" s="7">
        <v>12</v>
      </c>
      <c r="D717" s="7" t="s">
        <v>2259</v>
      </c>
      <c r="E717" s="7">
        <v>11000000</v>
      </c>
      <c r="F717" s="7">
        <f t="shared" si="44"/>
        <v>11000000</v>
      </c>
      <c r="G717" s="7">
        <f t="shared" si="45"/>
        <v>35437.687658664196</v>
      </c>
      <c r="H717" s="7" t="s">
        <v>2260</v>
      </c>
      <c r="I717" s="18" t="s">
        <v>1812</v>
      </c>
      <c r="J717" s="18" t="s">
        <v>1802</v>
      </c>
      <c r="K717" s="3" t="s">
        <v>1716</v>
      </c>
      <c r="L717" s="7" t="s">
        <v>2246</v>
      </c>
      <c r="M717" s="7" t="str">
        <f t="shared" si="46"/>
        <v>ND</v>
      </c>
      <c r="N717" s="7" t="str">
        <f t="shared" si="47"/>
        <v>ND</v>
      </c>
    </row>
    <row r="718" spans="1:14" ht="15.6" x14ac:dyDescent="0.3">
      <c r="A718" s="18" t="s">
        <v>1762</v>
      </c>
      <c r="B718" s="7">
        <v>6</v>
      </c>
      <c r="C718" s="7">
        <v>12</v>
      </c>
      <c r="D718" s="7" t="s">
        <v>2259</v>
      </c>
      <c r="E718" s="7">
        <v>11000000</v>
      </c>
      <c r="F718" s="7">
        <f t="shared" si="44"/>
        <v>11000000</v>
      </c>
      <c r="G718" s="7">
        <f t="shared" si="45"/>
        <v>35437.687658664196</v>
      </c>
      <c r="H718" s="7" t="s">
        <v>2260</v>
      </c>
      <c r="I718" s="18" t="s">
        <v>1812</v>
      </c>
      <c r="J718" s="18" t="s">
        <v>1802</v>
      </c>
      <c r="K718" s="3" t="s">
        <v>1716</v>
      </c>
      <c r="L718" s="7" t="s">
        <v>2246</v>
      </c>
      <c r="M718" s="7" t="str">
        <f t="shared" si="46"/>
        <v>ND</v>
      </c>
      <c r="N718" s="7" t="str">
        <f t="shared" si="47"/>
        <v>ND</v>
      </c>
    </row>
    <row r="719" spans="1:14" ht="15.6" x14ac:dyDescent="0.3">
      <c r="A719" s="18" t="s">
        <v>1762</v>
      </c>
      <c r="B719" s="7">
        <v>6</v>
      </c>
      <c r="C719" s="7">
        <v>12</v>
      </c>
      <c r="D719" s="7" t="s">
        <v>2259</v>
      </c>
      <c r="E719" s="7">
        <v>11000000</v>
      </c>
      <c r="F719" s="7">
        <f t="shared" si="44"/>
        <v>11000000</v>
      </c>
      <c r="G719" s="7">
        <f t="shared" si="45"/>
        <v>35437.687658664196</v>
      </c>
      <c r="H719" s="7" t="s">
        <v>2260</v>
      </c>
      <c r="I719" s="18" t="s">
        <v>1812</v>
      </c>
      <c r="J719" s="18" t="s">
        <v>1802</v>
      </c>
      <c r="K719" s="3" t="s">
        <v>1716</v>
      </c>
      <c r="L719" s="7" t="s">
        <v>2246</v>
      </c>
      <c r="M719" s="7" t="str">
        <f t="shared" si="46"/>
        <v>ND</v>
      </c>
      <c r="N719" s="7" t="str">
        <f t="shared" si="47"/>
        <v>ND</v>
      </c>
    </row>
    <row r="720" spans="1:14" ht="15.6" x14ac:dyDescent="0.3">
      <c r="A720" s="18" t="s">
        <v>1762</v>
      </c>
      <c r="B720" s="7">
        <v>6</v>
      </c>
      <c r="C720" s="7">
        <v>12</v>
      </c>
      <c r="D720" s="7" t="s">
        <v>2259</v>
      </c>
      <c r="E720" s="7">
        <v>11000000</v>
      </c>
      <c r="F720" s="7">
        <f t="shared" si="44"/>
        <v>11000000</v>
      </c>
      <c r="G720" s="7">
        <f t="shared" si="45"/>
        <v>35437.687658664196</v>
      </c>
      <c r="H720" s="7" t="s">
        <v>2260</v>
      </c>
      <c r="I720" s="18" t="s">
        <v>1812</v>
      </c>
      <c r="J720" s="18" t="s">
        <v>1802</v>
      </c>
      <c r="K720" s="3" t="s">
        <v>1716</v>
      </c>
      <c r="L720" s="7" t="s">
        <v>2246</v>
      </c>
      <c r="M720" s="7" t="str">
        <f t="shared" si="46"/>
        <v>ND</v>
      </c>
      <c r="N720" s="7" t="str">
        <f t="shared" si="47"/>
        <v>ND</v>
      </c>
    </row>
    <row r="721" spans="1:14" ht="15.6" x14ac:dyDescent="0.3">
      <c r="A721" s="18" t="s">
        <v>1762</v>
      </c>
      <c r="B721" s="7">
        <v>6</v>
      </c>
      <c r="C721" s="7">
        <v>12</v>
      </c>
      <c r="D721" s="7" t="s">
        <v>2259</v>
      </c>
      <c r="E721" s="7">
        <v>11000000</v>
      </c>
      <c r="F721" s="7">
        <f t="shared" si="44"/>
        <v>11000000</v>
      </c>
      <c r="G721" s="7">
        <f t="shared" si="45"/>
        <v>35437.687658664196</v>
      </c>
      <c r="H721" s="7" t="s">
        <v>2260</v>
      </c>
      <c r="I721" s="18" t="s">
        <v>1812</v>
      </c>
      <c r="J721" s="18" t="s">
        <v>1802</v>
      </c>
      <c r="K721" s="3" t="s">
        <v>1716</v>
      </c>
      <c r="L721" s="7" t="s">
        <v>2246</v>
      </c>
      <c r="M721" s="7" t="str">
        <f t="shared" si="46"/>
        <v>ND</v>
      </c>
      <c r="N721" s="7" t="str">
        <f t="shared" si="47"/>
        <v>ND</v>
      </c>
    </row>
    <row r="722" spans="1:14" ht="15.6" x14ac:dyDescent="0.3">
      <c r="A722" s="18" t="s">
        <v>1762</v>
      </c>
      <c r="B722" s="7">
        <v>6</v>
      </c>
      <c r="C722" s="7">
        <v>12</v>
      </c>
      <c r="D722" s="7" t="s">
        <v>2259</v>
      </c>
      <c r="E722" s="7">
        <v>11000000</v>
      </c>
      <c r="F722" s="7">
        <f t="shared" si="44"/>
        <v>11000000</v>
      </c>
      <c r="G722" s="7">
        <f t="shared" si="45"/>
        <v>35437.687658664196</v>
      </c>
      <c r="H722" s="7" t="s">
        <v>2260</v>
      </c>
      <c r="I722" s="18" t="s">
        <v>1812</v>
      </c>
      <c r="J722" s="18" t="s">
        <v>1802</v>
      </c>
      <c r="K722" s="3" t="s">
        <v>1716</v>
      </c>
      <c r="L722" s="7" t="s">
        <v>2246</v>
      </c>
      <c r="M722" s="7" t="str">
        <f t="shared" si="46"/>
        <v>ND</v>
      </c>
      <c r="N722" s="7" t="str">
        <f t="shared" si="47"/>
        <v>ND</v>
      </c>
    </row>
    <row r="723" spans="1:14" ht="15.6" x14ac:dyDescent="0.3">
      <c r="A723" s="18" t="s">
        <v>1762</v>
      </c>
      <c r="B723" s="7">
        <v>6</v>
      </c>
      <c r="C723" s="7">
        <v>12</v>
      </c>
      <c r="D723" s="7" t="s">
        <v>2259</v>
      </c>
      <c r="E723" s="7">
        <v>11000000</v>
      </c>
      <c r="F723" s="7">
        <f t="shared" si="44"/>
        <v>11000000</v>
      </c>
      <c r="G723" s="7">
        <f t="shared" si="45"/>
        <v>35437.687658664196</v>
      </c>
      <c r="H723" s="7" t="s">
        <v>2260</v>
      </c>
      <c r="I723" s="18" t="s">
        <v>1812</v>
      </c>
      <c r="J723" s="18" t="s">
        <v>1802</v>
      </c>
      <c r="K723" s="3" t="s">
        <v>1716</v>
      </c>
      <c r="L723" s="7" t="s">
        <v>2246</v>
      </c>
      <c r="M723" s="7" t="str">
        <f t="shared" si="46"/>
        <v>ND</v>
      </c>
      <c r="N723" s="7" t="str">
        <f t="shared" si="47"/>
        <v>ND</v>
      </c>
    </row>
    <row r="724" spans="1:14" ht="15.6" x14ac:dyDescent="0.3">
      <c r="A724" s="18" t="s">
        <v>1762</v>
      </c>
      <c r="B724" s="7">
        <v>6</v>
      </c>
      <c r="C724" s="7">
        <v>12</v>
      </c>
      <c r="D724" s="7" t="s">
        <v>2259</v>
      </c>
      <c r="E724" s="7">
        <v>11000000</v>
      </c>
      <c r="F724" s="7">
        <f t="shared" si="44"/>
        <v>11000000</v>
      </c>
      <c r="G724" s="7">
        <f t="shared" si="45"/>
        <v>35437.687658664196</v>
      </c>
      <c r="H724" s="7" t="s">
        <v>2260</v>
      </c>
      <c r="I724" s="18" t="s">
        <v>1812</v>
      </c>
      <c r="J724" s="18" t="s">
        <v>1802</v>
      </c>
      <c r="K724" s="3" t="s">
        <v>1716</v>
      </c>
      <c r="L724" s="7" t="s">
        <v>2246</v>
      </c>
      <c r="M724" s="7" t="str">
        <f t="shared" si="46"/>
        <v>ND</v>
      </c>
      <c r="N724" s="7" t="str">
        <f t="shared" si="47"/>
        <v>ND</v>
      </c>
    </row>
    <row r="725" spans="1:14" ht="15.6" x14ac:dyDescent="0.3">
      <c r="A725" s="18" t="s">
        <v>1762</v>
      </c>
      <c r="B725" s="7">
        <v>6</v>
      </c>
      <c r="C725" s="7">
        <v>12</v>
      </c>
      <c r="D725" s="7" t="s">
        <v>2259</v>
      </c>
      <c r="E725" s="7">
        <v>11000000</v>
      </c>
      <c r="F725" s="7">
        <f t="shared" si="44"/>
        <v>11000000</v>
      </c>
      <c r="G725" s="7">
        <f t="shared" si="45"/>
        <v>35437.687658664196</v>
      </c>
      <c r="H725" s="7" t="s">
        <v>2260</v>
      </c>
      <c r="I725" s="18" t="s">
        <v>1812</v>
      </c>
      <c r="J725" s="18" t="s">
        <v>1802</v>
      </c>
      <c r="K725" s="3" t="s">
        <v>1716</v>
      </c>
      <c r="L725" s="7" t="s">
        <v>2246</v>
      </c>
      <c r="M725" s="7" t="str">
        <f t="shared" si="46"/>
        <v>ND</v>
      </c>
      <c r="N725" s="7" t="str">
        <f t="shared" si="47"/>
        <v>ND</v>
      </c>
    </row>
    <row r="726" spans="1:14" ht="15.6" x14ac:dyDescent="0.3">
      <c r="A726" s="18" t="s">
        <v>1762</v>
      </c>
      <c r="B726" s="7">
        <v>6</v>
      </c>
      <c r="C726" s="7">
        <v>12</v>
      </c>
      <c r="D726" s="7" t="s">
        <v>2259</v>
      </c>
      <c r="E726" s="7">
        <v>11000000</v>
      </c>
      <c r="F726" s="7">
        <f t="shared" si="44"/>
        <v>11000000</v>
      </c>
      <c r="G726" s="7">
        <f t="shared" si="45"/>
        <v>35437.687658664196</v>
      </c>
      <c r="H726" s="7" t="s">
        <v>2260</v>
      </c>
      <c r="I726" s="18" t="s">
        <v>1812</v>
      </c>
      <c r="J726" s="18" t="s">
        <v>1802</v>
      </c>
      <c r="K726" s="3" t="s">
        <v>1716</v>
      </c>
      <c r="L726" s="7" t="s">
        <v>2246</v>
      </c>
      <c r="M726" s="7" t="str">
        <f t="shared" si="46"/>
        <v>ND</v>
      </c>
      <c r="N726" s="7" t="str">
        <f t="shared" si="47"/>
        <v>ND</v>
      </c>
    </row>
    <row r="727" spans="1:14" ht="15.6" x14ac:dyDescent="0.3">
      <c r="A727" s="18" t="s">
        <v>1762</v>
      </c>
      <c r="B727" s="7">
        <v>6</v>
      </c>
      <c r="C727" s="7">
        <v>12</v>
      </c>
      <c r="D727" s="7" t="s">
        <v>2259</v>
      </c>
      <c r="E727" s="7">
        <v>11000000</v>
      </c>
      <c r="F727" s="7">
        <f t="shared" si="44"/>
        <v>11000000</v>
      </c>
      <c r="G727" s="7">
        <f t="shared" si="45"/>
        <v>35437.687658664196</v>
      </c>
      <c r="H727" s="7" t="s">
        <v>2260</v>
      </c>
      <c r="I727" s="18" t="s">
        <v>1812</v>
      </c>
      <c r="J727" s="18" t="s">
        <v>1802</v>
      </c>
      <c r="K727" s="3" t="s">
        <v>1716</v>
      </c>
      <c r="L727" s="7" t="s">
        <v>2246</v>
      </c>
      <c r="M727" s="7" t="str">
        <f t="shared" si="46"/>
        <v>ND</v>
      </c>
      <c r="N727" s="7" t="str">
        <f t="shared" si="47"/>
        <v>ND</v>
      </c>
    </row>
    <row r="728" spans="1:14" ht="15.6" x14ac:dyDescent="0.3">
      <c r="A728" s="18" t="s">
        <v>1762</v>
      </c>
      <c r="B728" s="7">
        <v>6</v>
      </c>
      <c r="C728" s="7">
        <v>12</v>
      </c>
      <c r="D728" s="7" t="s">
        <v>2259</v>
      </c>
      <c r="E728" s="7">
        <v>11000000</v>
      </c>
      <c r="F728" s="7">
        <f t="shared" si="44"/>
        <v>11000000</v>
      </c>
      <c r="G728" s="7">
        <f t="shared" si="45"/>
        <v>35437.687658664196</v>
      </c>
      <c r="H728" s="7" t="s">
        <v>2260</v>
      </c>
      <c r="I728" s="18" t="s">
        <v>1812</v>
      </c>
      <c r="J728" s="18" t="s">
        <v>1802</v>
      </c>
      <c r="K728" s="3" t="s">
        <v>1716</v>
      </c>
      <c r="L728" s="7" t="s">
        <v>2246</v>
      </c>
      <c r="M728" s="7" t="str">
        <f t="shared" si="46"/>
        <v>ND</v>
      </c>
      <c r="N728" s="7" t="str">
        <f t="shared" si="47"/>
        <v>ND</v>
      </c>
    </row>
    <row r="729" spans="1:14" ht="15.6" x14ac:dyDescent="0.3">
      <c r="A729" s="18" t="s">
        <v>1762</v>
      </c>
      <c r="B729" s="7">
        <v>6</v>
      </c>
      <c r="C729" s="7">
        <v>12</v>
      </c>
      <c r="D729" s="7" t="s">
        <v>2259</v>
      </c>
      <c r="E729" s="7">
        <v>11000000</v>
      </c>
      <c r="F729" s="7">
        <f t="shared" ref="F729:F757" si="48">E729</f>
        <v>11000000</v>
      </c>
      <c r="G729" s="7">
        <f t="shared" ref="G729:G792" si="49">F729/310.404</f>
        <v>35437.687658664196</v>
      </c>
      <c r="H729" s="7" t="s">
        <v>2260</v>
      </c>
      <c r="I729" s="18" t="s">
        <v>1812</v>
      </c>
      <c r="J729" s="18" t="s">
        <v>1802</v>
      </c>
      <c r="K729" s="3" t="s">
        <v>1716</v>
      </c>
      <c r="L729" s="7" t="s">
        <v>2246</v>
      </c>
      <c r="M729" s="7" t="str">
        <f t="shared" si="46"/>
        <v>ND</v>
      </c>
      <c r="N729" s="7" t="str">
        <f t="shared" si="47"/>
        <v>ND</v>
      </c>
    </row>
    <row r="730" spans="1:14" ht="15.6" x14ac:dyDescent="0.3">
      <c r="A730" s="18" t="s">
        <v>1762</v>
      </c>
      <c r="B730" s="7">
        <v>6</v>
      </c>
      <c r="C730" s="7">
        <v>12</v>
      </c>
      <c r="D730" s="7" t="s">
        <v>2259</v>
      </c>
      <c r="E730" s="7">
        <v>11000000</v>
      </c>
      <c r="F730" s="7">
        <f t="shared" si="48"/>
        <v>11000000</v>
      </c>
      <c r="G730" s="7">
        <f t="shared" si="49"/>
        <v>35437.687658664196</v>
      </c>
      <c r="H730" s="7" t="s">
        <v>2260</v>
      </c>
      <c r="I730" s="18" t="s">
        <v>1812</v>
      </c>
      <c r="J730" s="18" t="s">
        <v>1802</v>
      </c>
      <c r="K730" s="3" t="s">
        <v>1716</v>
      </c>
      <c r="L730" s="7" t="s">
        <v>2246</v>
      </c>
      <c r="M730" s="7" t="str">
        <f t="shared" si="46"/>
        <v>ND</v>
      </c>
      <c r="N730" s="7" t="str">
        <f t="shared" si="47"/>
        <v>ND</v>
      </c>
    </row>
    <row r="731" spans="1:14" ht="15.6" x14ac:dyDescent="0.3">
      <c r="A731" s="18" t="s">
        <v>1762</v>
      </c>
      <c r="B731" s="7">
        <v>6</v>
      </c>
      <c r="C731" s="7">
        <v>12</v>
      </c>
      <c r="D731" s="7" t="s">
        <v>2259</v>
      </c>
      <c r="E731" s="7">
        <v>11000000</v>
      </c>
      <c r="F731" s="7">
        <f t="shared" si="48"/>
        <v>11000000</v>
      </c>
      <c r="G731" s="7">
        <f t="shared" si="49"/>
        <v>35437.687658664196</v>
      </c>
      <c r="H731" s="7" t="s">
        <v>2260</v>
      </c>
      <c r="I731" s="18" t="s">
        <v>1812</v>
      </c>
      <c r="J731" s="18" t="s">
        <v>1802</v>
      </c>
      <c r="K731" s="3" t="s">
        <v>1716</v>
      </c>
      <c r="L731" s="7" t="s">
        <v>2246</v>
      </c>
      <c r="M731" s="7" t="str">
        <f t="shared" si="46"/>
        <v>ND</v>
      </c>
      <c r="N731" s="7" t="str">
        <f t="shared" si="47"/>
        <v>ND</v>
      </c>
    </row>
    <row r="732" spans="1:14" ht="15.6" x14ac:dyDescent="0.3">
      <c r="A732" s="18" t="s">
        <v>1762</v>
      </c>
      <c r="B732" s="7">
        <v>6</v>
      </c>
      <c r="C732" s="7">
        <v>12</v>
      </c>
      <c r="D732" s="7" t="s">
        <v>2259</v>
      </c>
      <c r="E732" s="7">
        <v>11000000</v>
      </c>
      <c r="F732" s="7">
        <f t="shared" si="48"/>
        <v>11000000</v>
      </c>
      <c r="G732" s="7">
        <f t="shared" si="49"/>
        <v>35437.687658664196</v>
      </c>
      <c r="H732" s="7" t="s">
        <v>2260</v>
      </c>
      <c r="I732" s="18" t="s">
        <v>1812</v>
      </c>
      <c r="J732" s="18" t="s">
        <v>1802</v>
      </c>
      <c r="K732" s="3" t="s">
        <v>1716</v>
      </c>
      <c r="L732" s="7" t="s">
        <v>2246</v>
      </c>
      <c r="M732" s="7" t="str">
        <f t="shared" si="46"/>
        <v>ND</v>
      </c>
      <c r="N732" s="7" t="str">
        <f t="shared" si="47"/>
        <v>ND</v>
      </c>
    </row>
    <row r="733" spans="1:14" ht="15.6" x14ac:dyDescent="0.3">
      <c r="A733" s="18" t="s">
        <v>1762</v>
      </c>
      <c r="B733" s="7">
        <v>6</v>
      </c>
      <c r="C733" s="7">
        <v>12</v>
      </c>
      <c r="D733" s="7" t="s">
        <v>2259</v>
      </c>
      <c r="E733" s="7">
        <v>11000000</v>
      </c>
      <c r="F733" s="7">
        <f t="shared" si="48"/>
        <v>11000000</v>
      </c>
      <c r="G733" s="7">
        <f t="shared" si="49"/>
        <v>35437.687658664196</v>
      </c>
      <c r="H733" s="7" t="s">
        <v>2260</v>
      </c>
      <c r="I733" s="18" t="s">
        <v>1812</v>
      </c>
      <c r="J733" s="18" t="s">
        <v>1802</v>
      </c>
      <c r="K733" s="3" t="s">
        <v>1716</v>
      </c>
      <c r="L733" s="7" t="s">
        <v>2246</v>
      </c>
      <c r="M733" s="7" t="str">
        <f t="shared" si="46"/>
        <v>ND</v>
      </c>
      <c r="N733" s="7" t="str">
        <f t="shared" si="47"/>
        <v>ND</v>
      </c>
    </row>
    <row r="734" spans="1:14" ht="15.6" x14ac:dyDescent="0.3">
      <c r="A734" s="18" t="s">
        <v>1762</v>
      </c>
      <c r="B734" s="7">
        <v>6</v>
      </c>
      <c r="C734" s="7">
        <v>12</v>
      </c>
      <c r="D734" s="7" t="s">
        <v>2259</v>
      </c>
      <c r="E734" s="7">
        <v>11000000</v>
      </c>
      <c r="F734" s="7">
        <f t="shared" si="48"/>
        <v>11000000</v>
      </c>
      <c r="G734" s="7">
        <f t="shared" si="49"/>
        <v>35437.687658664196</v>
      </c>
      <c r="H734" s="7" t="s">
        <v>2260</v>
      </c>
      <c r="I734" s="18" t="s">
        <v>1812</v>
      </c>
      <c r="J734" s="18" t="s">
        <v>1802</v>
      </c>
      <c r="K734" s="3" t="s">
        <v>1716</v>
      </c>
      <c r="L734" s="7" t="s">
        <v>2246</v>
      </c>
      <c r="M734" s="7" t="str">
        <f t="shared" si="46"/>
        <v>ND</v>
      </c>
      <c r="N734" s="7" t="str">
        <f t="shared" si="47"/>
        <v>ND</v>
      </c>
    </row>
    <row r="735" spans="1:14" ht="15.6" x14ac:dyDescent="0.3">
      <c r="A735" s="18" t="s">
        <v>1762</v>
      </c>
      <c r="B735" s="7">
        <v>6</v>
      </c>
      <c r="C735" s="7">
        <v>12</v>
      </c>
      <c r="D735" s="7" t="s">
        <v>2259</v>
      </c>
      <c r="E735" s="7">
        <v>11000000</v>
      </c>
      <c r="F735" s="7">
        <f t="shared" si="48"/>
        <v>11000000</v>
      </c>
      <c r="G735" s="7">
        <f t="shared" si="49"/>
        <v>35437.687658664196</v>
      </c>
      <c r="H735" s="7" t="s">
        <v>2260</v>
      </c>
      <c r="I735" s="18" t="s">
        <v>1812</v>
      </c>
      <c r="J735" s="18" t="s">
        <v>1802</v>
      </c>
      <c r="K735" s="3" t="s">
        <v>1716</v>
      </c>
      <c r="L735" s="7" t="s">
        <v>2246</v>
      </c>
      <c r="M735" s="7" t="str">
        <f t="shared" si="46"/>
        <v>ND</v>
      </c>
      <c r="N735" s="7" t="str">
        <f t="shared" si="47"/>
        <v>ND</v>
      </c>
    </row>
    <row r="736" spans="1:14" ht="15.6" x14ac:dyDescent="0.3">
      <c r="A736" s="18" t="s">
        <v>1762</v>
      </c>
      <c r="B736" s="7">
        <v>6</v>
      </c>
      <c r="C736" s="7">
        <v>12</v>
      </c>
      <c r="D736" s="7" t="s">
        <v>2259</v>
      </c>
      <c r="E736" s="7">
        <v>11000000</v>
      </c>
      <c r="F736" s="7">
        <f t="shared" si="48"/>
        <v>11000000</v>
      </c>
      <c r="G736" s="7">
        <f t="shared" si="49"/>
        <v>35437.687658664196</v>
      </c>
      <c r="H736" s="7" t="s">
        <v>2260</v>
      </c>
      <c r="I736" s="18" t="s">
        <v>1812</v>
      </c>
      <c r="J736" s="18" t="s">
        <v>1802</v>
      </c>
      <c r="K736" s="3" t="s">
        <v>1716</v>
      </c>
      <c r="L736" s="7" t="s">
        <v>2246</v>
      </c>
      <c r="M736" s="7" t="str">
        <f t="shared" si="46"/>
        <v>ND</v>
      </c>
      <c r="N736" s="7" t="str">
        <f t="shared" si="47"/>
        <v>ND</v>
      </c>
    </row>
    <row r="737" spans="1:14" ht="15.6" x14ac:dyDescent="0.3">
      <c r="A737" s="18" t="s">
        <v>1762</v>
      </c>
      <c r="B737" s="7">
        <v>6</v>
      </c>
      <c r="C737" s="7">
        <v>12</v>
      </c>
      <c r="D737" s="7" t="s">
        <v>2259</v>
      </c>
      <c r="E737" s="7">
        <v>11000000</v>
      </c>
      <c r="F737" s="7">
        <f t="shared" si="48"/>
        <v>11000000</v>
      </c>
      <c r="G737" s="7">
        <f t="shared" si="49"/>
        <v>35437.687658664196</v>
      </c>
      <c r="H737" s="7" t="s">
        <v>2260</v>
      </c>
      <c r="I737" s="18" t="s">
        <v>1812</v>
      </c>
      <c r="J737" s="18" t="s">
        <v>1802</v>
      </c>
      <c r="K737" s="3" t="s">
        <v>1716</v>
      </c>
      <c r="L737" s="7" t="s">
        <v>2246</v>
      </c>
      <c r="M737" s="7" t="str">
        <f t="shared" si="46"/>
        <v>ND</v>
      </c>
      <c r="N737" s="7" t="str">
        <f t="shared" si="47"/>
        <v>ND</v>
      </c>
    </row>
    <row r="738" spans="1:14" ht="15.6" x14ac:dyDescent="0.3">
      <c r="A738" s="18" t="s">
        <v>1762</v>
      </c>
      <c r="B738" s="7">
        <v>6</v>
      </c>
      <c r="C738" s="7">
        <v>12</v>
      </c>
      <c r="D738" s="7" t="s">
        <v>2259</v>
      </c>
      <c r="E738" s="7">
        <v>11000000</v>
      </c>
      <c r="F738" s="7">
        <f t="shared" si="48"/>
        <v>11000000</v>
      </c>
      <c r="G738" s="7">
        <f t="shared" si="49"/>
        <v>35437.687658664196</v>
      </c>
      <c r="H738" s="7" t="s">
        <v>2260</v>
      </c>
      <c r="I738" s="18" t="s">
        <v>1812</v>
      </c>
      <c r="J738" s="18" t="s">
        <v>1802</v>
      </c>
      <c r="K738" s="3" t="s">
        <v>1716</v>
      </c>
      <c r="L738" s="7" t="s">
        <v>2246</v>
      </c>
      <c r="M738" s="7" t="str">
        <f t="shared" si="46"/>
        <v>ND</v>
      </c>
      <c r="N738" s="7" t="str">
        <f t="shared" si="47"/>
        <v>ND</v>
      </c>
    </row>
    <row r="739" spans="1:14" ht="15.6" x14ac:dyDescent="0.3">
      <c r="A739" s="18" t="s">
        <v>1762</v>
      </c>
      <c r="B739" s="7">
        <v>6</v>
      </c>
      <c r="C739" s="7">
        <v>12</v>
      </c>
      <c r="D739" s="7" t="s">
        <v>2259</v>
      </c>
      <c r="E739" s="7">
        <v>11000000</v>
      </c>
      <c r="F739" s="7">
        <f t="shared" si="48"/>
        <v>11000000</v>
      </c>
      <c r="G739" s="7">
        <f t="shared" si="49"/>
        <v>35437.687658664196</v>
      </c>
      <c r="H739" s="7" t="s">
        <v>2260</v>
      </c>
      <c r="I739" s="18" t="s">
        <v>1812</v>
      </c>
      <c r="J739" s="18" t="s">
        <v>1802</v>
      </c>
      <c r="K739" s="3" t="s">
        <v>1716</v>
      </c>
      <c r="L739" s="7" t="s">
        <v>2246</v>
      </c>
      <c r="M739" s="7" t="str">
        <f t="shared" si="46"/>
        <v>ND</v>
      </c>
      <c r="N739" s="7" t="str">
        <f t="shared" si="47"/>
        <v>ND</v>
      </c>
    </row>
    <row r="740" spans="1:14" ht="15.6" x14ac:dyDescent="0.3">
      <c r="A740" s="18" t="s">
        <v>1762</v>
      </c>
      <c r="B740" s="7">
        <v>6</v>
      </c>
      <c r="C740" s="7">
        <v>12</v>
      </c>
      <c r="D740" s="7" t="s">
        <v>2259</v>
      </c>
      <c r="E740" s="7">
        <v>11000000</v>
      </c>
      <c r="F740" s="7">
        <f t="shared" si="48"/>
        <v>11000000</v>
      </c>
      <c r="G740" s="7">
        <f t="shared" si="49"/>
        <v>35437.687658664196</v>
      </c>
      <c r="H740" s="7" t="s">
        <v>2260</v>
      </c>
      <c r="I740" s="18" t="s">
        <v>1812</v>
      </c>
      <c r="J740" s="18" t="s">
        <v>1802</v>
      </c>
      <c r="K740" s="3" t="s">
        <v>1716</v>
      </c>
      <c r="L740" s="7" t="s">
        <v>2246</v>
      </c>
      <c r="M740" s="7" t="str">
        <f t="shared" si="46"/>
        <v>ND</v>
      </c>
      <c r="N740" s="7" t="str">
        <f t="shared" si="47"/>
        <v>ND</v>
      </c>
    </row>
    <row r="741" spans="1:14" ht="15.6" x14ac:dyDescent="0.3">
      <c r="A741" s="18" t="s">
        <v>1762</v>
      </c>
      <c r="B741" s="7">
        <v>6</v>
      </c>
      <c r="C741" s="7">
        <v>12</v>
      </c>
      <c r="D741" s="7" t="s">
        <v>2259</v>
      </c>
      <c r="E741" s="7">
        <v>11000000</v>
      </c>
      <c r="F741" s="7">
        <f t="shared" si="48"/>
        <v>11000000</v>
      </c>
      <c r="G741" s="7">
        <f t="shared" si="49"/>
        <v>35437.687658664196</v>
      </c>
      <c r="H741" s="7" t="s">
        <v>2260</v>
      </c>
      <c r="I741" s="18" t="s">
        <v>1812</v>
      </c>
      <c r="J741" s="18" t="s">
        <v>1802</v>
      </c>
      <c r="K741" s="3" t="s">
        <v>1716</v>
      </c>
      <c r="L741" s="7" t="s">
        <v>2246</v>
      </c>
      <c r="M741" s="7" t="str">
        <f t="shared" si="46"/>
        <v>ND</v>
      </c>
      <c r="N741" s="7" t="str">
        <f t="shared" si="47"/>
        <v>ND</v>
      </c>
    </row>
    <row r="742" spans="1:14" ht="15.6" x14ac:dyDescent="0.3">
      <c r="A742" s="18" t="s">
        <v>1762</v>
      </c>
      <c r="B742" s="7">
        <v>6</v>
      </c>
      <c r="C742" s="7">
        <v>12</v>
      </c>
      <c r="D742" s="7" t="s">
        <v>2259</v>
      </c>
      <c r="E742" s="7">
        <v>11000000</v>
      </c>
      <c r="F742" s="7">
        <f t="shared" si="48"/>
        <v>11000000</v>
      </c>
      <c r="G742" s="7">
        <f t="shared" si="49"/>
        <v>35437.687658664196</v>
      </c>
      <c r="H742" s="7" t="s">
        <v>2260</v>
      </c>
      <c r="I742" s="18" t="s">
        <v>1812</v>
      </c>
      <c r="J742" s="18" t="s">
        <v>1802</v>
      </c>
      <c r="K742" s="3" t="s">
        <v>1716</v>
      </c>
      <c r="L742" s="7" t="s">
        <v>2246</v>
      </c>
      <c r="M742" s="7" t="str">
        <f t="shared" si="46"/>
        <v>ND</v>
      </c>
      <c r="N742" s="7" t="str">
        <f t="shared" si="47"/>
        <v>ND</v>
      </c>
    </row>
    <row r="743" spans="1:14" ht="15.6" x14ac:dyDescent="0.3">
      <c r="A743" s="18" t="s">
        <v>1762</v>
      </c>
      <c r="B743" s="7">
        <v>6</v>
      </c>
      <c r="C743" s="7">
        <v>12</v>
      </c>
      <c r="D743" s="7" t="s">
        <v>2259</v>
      </c>
      <c r="E743" s="7">
        <v>11000000</v>
      </c>
      <c r="F743" s="7">
        <f t="shared" si="48"/>
        <v>11000000</v>
      </c>
      <c r="G743" s="7">
        <f t="shared" si="49"/>
        <v>35437.687658664196</v>
      </c>
      <c r="H743" s="7" t="s">
        <v>2260</v>
      </c>
      <c r="I743" s="18" t="s">
        <v>1812</v>
      </c>
      <c r="J743" s="18" t="s">
        <v>1802</v>
      </c>
      <c r="K743" s="3" t="s">
        <v>1716</v>
      </c>
      <c r="L743" s="7" t="s">
        <v>2246</v>
      </c>
      <c r="M743" s="7" t="str">
        <f t="shared" si="46"/>
        <v>ND</v>
      </c>
      <c r="N743" s="7" t="str">
        <f t="shared" si="47"/>
        <v>ND</v>
      </c>
    </row>
    <row r="744" spans="1:14" ht="15.6" x14ac:dyDescent="0.3">
      <c r="A744" s="18" t="s">
        <v>1762</v>
      </c>
      <c r="B744" s="7">
        <v>6</v>
      </c>
      <c r="C744" s="7">
        <v>12</v>
      </c>
      <c r="D744" s="7" t="s">
        <v>2259</v>
      </c>
      <c r="E744" s="7">
        <v>11000000</v>
      </c>
      <c r="F744" s="7">
        <f t="shared" si="48"/>
        <v>11000000</v>
      </c>
      <c r="G744" s="7">
        <f t="shared" si="49"/>
        <v>35437.687658664196</v>
      </c>
      <c r="H744" s="7" t="s">
        <v>2260</v>
      </c>
      <c r="I744" s="18" t="s">
        <v>1812</v>
      </c>
      <c r="J744" s="18" t="s">
        <v>1802</v>
      </c>
      <c r="K744" s="3" t="s">
        <v>1716</v>
      </c>
      <c r="L744" s="7" t="s">
        <v>2246</v>
      </c>
      <c r="M744" s="7" t="str">
        <f t="shared" si="46"/>
        <v>ND</v>
      </c>
      <c r="N744" s="7" t="str">
        <f t="shared" si="47"/>
        <v>ND</v>
      </c>
    </row>
    <row r="745" spans="1:14" ht="15.6" x14ac:dyDescent="0.3">
      <c r="A745" s="18" t="s">
        <v>1762</v>
      </c>
      <c r="B745" s="7">
        <v>6</v>
      </c>
      <c r="C745" s="7">
        <v>12</v>
      </c>
      <c r="D745" s="7" t="s">
        <v>2259</v>
      </c>
      <c r="E745" s="7">
        <v>11000000</v>
      </c>
      <c r="F745" s="7">
        <f t="shared" si="48"/>
        <v>11000000</v>
      </c>
      <c r="G745" s="7">
        <f t="shared" si="49"/>
        <v>35437.687658664196</v>
      </c>
      <c r="H745" s="7" t="s">
        <v>2260</v>
      </c>
      <c r="I745" s="18" t="s">
        <v>1812</v>
      </c>
      <c r="J745" s="18" t="s">
        <v>1802</v>
      </c>
      <c r="K745" s="3" t="s">
        <v>1716</v>
      </c>
      <c r="L745" s="7" t="s">
        <v>2246</v>
      </c>
      <c r="M745" s="7" t="str">
        <f t="shared" si="46"/>
        <v>ND</v>
      </c>
      <c r="N745" s="7" t="str">
        <f t="shared" si="47"/>
        <v>ND</v>
      </c>
    </row>
    <row r="746" spans="1:14" ht="15.6" x14ac:dyDescent="0.3">
      <c r="A746" s="18" t="s">
        <v>1762</v>
      </c>
      <c r="B746" s="7">
        <v>6</v>
      </c>
      <c r="C746" s="7">
        <v>12</v>
      </c>
      <c r="D746" s="7" t="s">
        <v>2259</v>
      </c>
      <c r="E746" s="7">
        <v>11000000</v>
      </c>
      <c r="F746" s="7">
        <f t="shared" si="48"/>
        <v>11000000</v>
      </c>
      <c r="G746" s="7">
        <f t="shared" si="49"/>
        <v>35437.687658664196</v>
      </c>
      <c r="H746" s="7" t="s">
        <v>2260</v>
      </c>
      <c r="I746" s="18" t="s">
        <v>1812</v>
      </c>
      <c r="J746" s="18" t="s">
        <v>1802</v>
      </c>
      <c r="K746" s="3" t="s">
        <v>1716</v>
      </c>
      <c r="L746" s="7" t="s">
        <v>2246</v>
      </c>
      <c r="M746" s="7" t="str">
        <f t="shared" ref="M746:M809" si="50">IFERROR(K746/1000,"ND")</f>
        <v>ND</v>
      </c>
      <c r="N746" s="7" t="str">
        <f t="shared" si="47"/>
        <v>ND</v>
      </c>
    </row>
    <row r="747" spans="1:14" ht="15.6" x14ac:dyDescent="0.3">
      <c r="A747" s="18" t="s">
        <v>1762</v>
      </c>
      <c r="B747" s="7">
        <v>6</v>
      </c>
      <c r="C747" s="7">
        <v>12</v>
      </c>
      <c r="D747" s="7" t="s">
        <v>2259</v>
      </c>
      <c r="E747" s="7">
        <v>11000000</v>
      </c>
      <c r="F747" s="7">
        <f t="shared" si="48"/>
        <v>11000000</v>
      </c>
      <c r="G747" s="7">
        <f t="shared" si="49"/>
        <v>35437.687658664196</v>
      </c>
      <c r="H747" s="7" t="s">
        <v>2260</v>
      </c>
      <c r="I747" s="18" t="s">
        <v>1812</v>
      </c>
      <c r="J747" s="18" t="s">
        <v>1802</v>
      </c>
      <c r="K747" s="3" t="s">
        <v>1716</v>
      </c>
      <c r="L747" s="7" t="s">
        <v>2246</v>
      </c>
      <c r="M747" s="7" t="str">
        <f t="shared" si="50"/>
        <v>ND</v>
      </c>
      <c r="N747" s="7" t="str">
        <f t="shared" si="47"/>
        <v>ND</v>
      </c>
    </row>
    <row r="748" spans="1:14" ht="15.6" x14ac:dyDescent="0.3">
      <c r="A748" s="18" t="s">
        <v>1762</v>
      </c>
      <c r="B748" s="7">
        <v>6</v>
      </c>
      <c r="C748" s="7">
        <v>12</v>
      </c>
      <c r="D748" s="7" t="s">
        <v>2259</v>
      </c>
      <c r="E748" s="7">
        <v>11000000</v>
      </c>
      <c r="F748" s="7">
        <f t="shared" si="48"/>
        <v>11000000</v>
      </c>
      <c r="G748" s="7">
        <f t="shared" si="49"/>
        <v>35437.687658664196</v>
      </c>
      <c r="H748" s="7" t="s">
        <v>2260</v>
      </c>
      <c r="I748" s="18" t="s">
        <v>1812</v>
      </c>
      <c r="J748" s="18" t="s">
        <v>1802</v>
      </c>
      <c r="K748" s="3" t="s">
        <v>1716</v>
      </c>
      <c r="L748" s="7" t="s">
        <v>2246</v>
      </c>
      <c r="M748" s="7" t="str">
        <f t="shared" si="50"/>
        <v>ND</v>
      </c>
      <c r="N748" s="7" t="str">
        <f t="shared" si="47"/>
        <v>ND</v>
      </c>
    </row>
    <row r="749" spans="1:14" ht="15.6" x14ac:dyDescent="0.3">
      <c r="A749" s="18" t="s">
        <v>1762</v>
      </c>
      <c r="B749" s="7">
        <v>6</v>
      </c>
      <c r="C749" s="7">
        <v>12</v>
      </c>
      <c r="D749" s="7" t="s">
        <v>2259</v>
      </c>
      <c r="E749" s="7">
        <v>11000000</v>
      </c>
      <c r="F749" s="7">
        <f t="shared" si="48"/>
        <v>11000000</v>
      </c>
      <c r="G749" s="7">
        <f t="shared" si="49"/>
        <v>35437.687658664196</v>
      </c>
      <c r="H749" s="7" t="s">
        <v>2260</v>
      </c>
      <c r="I749" s="18" t="s">
        <v>1812</v>
      </c>
      <c r="J749" s="18" t="s">
        <v>1802</v>
      </c>
      <c r="K749" s="3" t="s">
        <v>1716</v>
      </c>
      <c r="L749" s="7" t="s">
        <v>2246</v>
      </c>
      <c r="M749" s="7" t="str">
        <f t="shared" si="50"/>
        <v>ND</v>
      </c>
      <c r="N749" s="7" t="str">
        <f t="shared" si="47"/>
        <v>ND</v>
      </c>
    </row>
    <row r="750" spans="1:14" ht="15.6" x14ac:dyDescent="0.3">
      <c r="A750" s="18" t="s">
        <v>1762</v>
      </c>
      <c r="B750" s="7">
        <v>6</v>
      </c>
      <c r="C750" s="7">
        <v>12</v>
      </c>
      <c r="D750" s="7" t="s">
        <v>2259</v>
      </c>
      <c r="E750" s="7">
        <v>11000000</v>
      </c>
      <c r="F750" s="7">
        <f t="shared" si="48"/>
        <v>11000000</v>
      </c>
      <c r="G750" s="7">
        <f t="shared" si="49"/>
        <v>35437.687658664196</v>
      </c>
      <c r="H750" s="7" t="s">
        <v>2260</v>
      </c>
      <c r="I750" s="18" t="s">
        <v>1812</v>
      </c>
      <c r="J750" s="18" t="s">
        <v>1802</v>
      </c>
      <c r="K750" s="3" t="s">
        <v>1716</v>
      </c>
      <c r="L750" s="7" t="s">
        <v>2246</v>
      </c>
      <c r="M750" s="7" t="str">
        <f t="shared" si="50"/>
        <v>ND</v>
      </c>
      <c r="N750" s="7" t="str">
        <f t="shared" si="47"/>
        <v>ND</v>
      </c>
    </row>
    <row r="751" spans="1:14" ht="15.6" x14ac:dyDescent="0.3">
      <c r="A751" s="18" t="s">
        <v>1762</v>
      </c>
      <c r="B751" s="7">
        <v>6</v>
      </c>
      <c r="C751" s="7">
        <v>12</v>
      </c>
      <c r="D751" s="7" t="s">
        <v>2259</v>
      </c>
      <c r="E751" s="7">
        <v>11000000</v>
      </c>
      <c r="F751" s="7">
        <f t="shared" si="48"/>
        <v>11000000</v>
      </c>
      <c r="G751" s="7">
        <f t="shared" si="49"/>
        <v>35437.687658664196</v>
      </c>
      <c r="H751" s="7" t="s">
        <v>2260</v>
      </c>
      <c r="I751" s="18" t="s">
        <v>1812</v>
      </c>
      <c r="J751" s="18" t="s">
        <v>1802</v>
      </c>
      <c r="K751" s="3" t="s">
        <v>1716</v>
      </c>
      <c r="L751" s="7" t="s">
        <v>2246</v>
      </c>
      <c r="M751" s="7" t="str">
        <f t="shared" si="50"/>
        <v>ND</v>
      </c>
      <c r="N751" s="7" t="str">
        <f t="shared" si="47"/>
        <v>ND</v>
      </c>
    </row>
    <row r="752" spans="1:14" ht="15.6" x14ac:dyDescent="0.3">
      <c r="A752" s="18" t="s">
        <v>1762</v>
      </c>
      <c r="B752" s="7">
        <v>6</v>
      </c>
      <c r="C752" s="7">
        <v>12</v>
      </c>
      <c r="D752" s="7" t="s">
        <v>2259</v>
      </c>
      <c r="E752" s="7">
        <v>11000000</v>
      </c>
      <c r="F752" s="7">
        <f t="shared" si="48"/>
        <v>11000000</v>
      </c>
      <c r="G752" s="7">
        <f t="shared" si="49"/>
        <v>35437.687658664196</v>
      </c>
      <c r="H752" s="7" t="s">
        <v>2260</v>
      </c>
      <c r="I752" s="18" t="s">
        <v>1812</v>
      </c>
      <c r="J752" s="18" t="s">
        <v>1802</v>
      </c>
      <c r="K752" s="3" t="s">
        <v>1716</v>
      </c>
      <c r="L752" s="7" t="s">
        <v>2246</v>
      </c>
      <c r="M752" s="7" t="str">
        <f t="shared" si="50"/>
        <v>ND</v>
      </c>
      <c r="N752" s="7" t="str">
        <f t="shared" si="47"/>
        <v>ND</v>
      </c>
    </row>
    <row r="753" spans="1:14" ht="15.6" x14ac:dyDescent="0.3">
      <c r="A753" s="18" t="s">
        <v>1762</v>
      </c>
      <c r="B753" s="7">
        <v>6</v>
      </c>
      <c r="C753" s="7">
        <v>12</v>
      </c>
      <c r="D753" s="7" t="s">
        <v>2259</v>
      </c>
      <c r="E753" s="7">
        <v>11000000</v>
      </c>
      <c r="F753" s="7">
        <f t="shared" si="48"/>
        <v>11000000</v>
      </c>
      <c r="G753" s="7">
        <f t="shared" si="49"/>
        <v>35437.687658664196</v>
      </c>
      <c r="H753" s="7" t="s">
        <v>2260</v>
      </c>
      <c r="I753" s="18" t="s">
        <v>1812</v>
      </c>
      <c r="J753" s="18" t="s">
        <v>1802</v>
      </c>
      <c r="K753" s="3" t="s">
        <v>1716</v>
      </c>
      <c r="L753" s="7" t="s">
        <v>2246</v>
      </c>
      <c r="M753" s="7" t="str">
        <f t="shared" si="50"/>
        <v>ND</v>
      </c>
      <c r="N753" s="7" t="str">
        <f t="shared" si="47"/>
        <v>ND</v>
      </c>
    </row>
    <row r="754" spans="1:14" ht="15.6" x14ac:dyDescent="0.3">
      <c r="A754" s="18" t="s">
        <v>1762</v>
      </c>
      <c r="B754" s="7">
        <v>6</v>
      </c>
      <c r="C754" s="7">
        <v>12</v>
      </c>
      <c r="D754" s="7" t="s">
        <v>2259</v>
      </c>
      <c r="E754" s="7">
        <v>11000000</v>
      </c>
      <c r="F754" s="7">
        <f t="shared" si="48"/>
        <v>11000000</v>
      </c>
      <c r="G754" s="7">
        <f t="shared" si="49"/>
        <v>35437.687658664196</v>
      </c>
      <c r="H754" s="7" t="s">
        <v>2260</v>
      </c>
      <c r="I754" s="18" t="s">
        <v>1812</v>
      </c>
      <c r="J754" s="18" t="s">
        <v>1802</v>
      </c>
      <c r="K754" s="3" t="s">
        <v>1716</v>
      </c>
      <c r="L754" s="7" t="s">
        <v>2246</v>
      </c>
      <c r="M754" s="7" t="str">
        <f t="shared" si="50"/>
        <v>ND</v>
      </c>
      <c r="N754" s="7" t="str">
        <f t="shared" si="47"/>
        <v>ND</v>
      </c>
    </row>
    <row r="755" spans="1:14" ht="15.6" x14ac:dyDescent="0.3">
      <c r="A755" s="18" t="s">
        <v>1762</v>
      </c>
      <c r="B755" s="7">
        <v>6</v>
      </c>
      <c r="C755" s="7">
        <v>12</v>
      </c>
      <c r="D755" s="7" t="s">
        <v>2259</v>
      </c>
      <c r="E755" s="7">
        <v>11000000</v>
      </c>
      <c r="F755" s="7">
        <f t="shared" si="48"/>
        <v>11000000</v>
      </c>
      <c r="G755" s="7">
        <f t="shared" si="49"/>
        <v>35437.687658664196</v>
      </c>
      <c r="H755" s="7" t="s">
        <v>2260</v>
      </c>
      <c r="I755" s="18" t="s">
        <v>1812</v>
      </c>
      <c r="J755" s="18" t="s">
        <v>1802</v>
      </c>
      <c r="K755" s="3" t="s">
        <v>1716</v>
      </c>
      <c r="L755" s="7" t="s">
        <v>2246</v>
      </c>
      <c r="M755" s="7" t="str">
        <f t="shared" si="50"/>
        <v>ND</v>
      </c>
      <c r="N755" s="7" t="str">
        <f t="shared" si="47"/>
        <v>ND</v>
      </c>
    </row>
    <row r="756" spans="1:14" ht="15.6" x14ac:dyDescent="0.3">
      <c r="A756" s="18" t="s">
        <v>1762</v>
      </c>
      <c r="B756" s="7">
        <v>6</v>
      </c>
      <c r="C756" s="7">
        <v>12</v>
      </c>
      <c r="D756" s="7" t="s">
        <v>2259</v>
      </c>
      <c r="E756" s="7">
        <v>11000000</v>
      </c>
      <c r="F756" s="7">
        <f t="shared" si="48"/>
        <v>11000000</v>
      </c>
      <c r="G756" s="7">
        <f t="shared" si="49"/>
        <v>35437.687658664196</v>
      </c>
      <c r="H756" s="7" t="s">
        <v>2260</v>
      </c>
      <c r="I756" s="18" t="s">
        <v>1812</v>
      </c>
      <c r="J756" s="18" t="s">
        <v>1802</v>
      </c>
      <c r="K756" s="3" t="s">
        <v>1716</v>
      </c>
      <c r="L756" s="7" t="s">
        <v>2246</v>
      </c>
      <c r="M756" s="7" t="str">
        <f t="shared" si="50"/>
        <v>ND</v>
      </c>
      <c r="N756" s="7" t="str">
        <f t="shared" si="47"/>
        <v>ND</v>
      </c>
    </row>
    <row r="757" spans="1:14" ht="15.6" x14ac:dyDescent="0.3">
      <c r="A757" s="18" t="s">
        <v>1762</v>
      </c>
      <c r="B757" s="7">
        <v>6</v>
      </c>
      <c r="C757" s="7">
        <v>12</v>
      </c>
      <c r="D757" s="7" t="s">
        <v>2259</v>
      </c>
      <c r="E757" s="7">
        <v>11000000</v>
      </c>
      <c r="F757" s="7">
        <f t="shared" si="48"/>
        <v>11000000</v>
      </c>
      <c r="G757" s="7">
        <f t="shared" si="49"/>
        <v>35437.687658664196</v>
      </c>
      <c r="H757" s="7" t="s">
        <v>2260</v>
      </c>
      <c r="I757" s="18" t="s">
        <v>1812</v>
      </c>
      <c r="J757" s="18" t="s">
        <v>1802</v>
      </c>
      <c r="K757" s="3" t="s">
        <v>1716</v>
      </c>
      <c r="L757" s="7" t="s">
        <v>2246</v>
      </c>
      <c r="M757" s="7" t="str">
        <f t="shared" si="50"/>
        <v>ND</v>
      </c>
      <c r="N757" s="7" t="str">
        <f t="shared" si="47"/>
        <v>ND</v>
      </c>
    </row>
    <row r="758" spans="1:14" ht="15.6" x14ac:dyDescent="0.3">
      <c r="A758" s="18" t="s">
        <v>1729</v>
      </c>
      <c r="B758" s="7">
        <v>6</v>
      </c>
      <c r="C758" s="7">
        <v>13</v>
      </c>
      <c r="D758" s="7" t="s">
        <v>2261</v>
      </c>
      <c r="E758" s="7">
        <v>23000000</v>
      </c>
      <c r="F758" s="7">
        <f>E758</f>
        <v>23000000</v>
      </c>
      <c r="G758" s="7">
        <f t="shared" si="49"/>
        <v>74096.983286297851</v>
      </c>
      <c r="H758" s="7" t="s">
        <v>2260</v>
      </c>
      <c r="I758" s="18" t="s">
        <v>1812</v>
      </c>
      <c r="J758" s="18" t="s">
        <v>1802</v>
      </c>
      <c r="K758" s="3">
        <v>0.52</v>
      </c>
      <c r="L758" s="7" t="s">
        <v>2246</v>
      </c>
      <c r="M758" s="7">
        <f t="shared" si="50"/>
        <v>5.2000000000000006E-4</v>
      </c>
      <c r="N758" s="7">
        <f t="shared" si="47"/>
        <v>0.16141008000000004</v>
      </c>
    </row>
    <row r="759" spans="1:14" ht="15.6" x14ac:dyDescent="0.3">
      <c r="A759" s="18" t="s">
        <v>1729</v>
      </c>
      <c r="B759" s="7">
        <v>6</v>
      </c>
      <c r="C759" s="7">
        <v>13</v>
      </c>
      <c r="D759" s="7" t="s">
        <v>2261</v>
      </c>
      <c r="E759" s="7">
        <v>23000000</v>
      </c>
      <c r="F759" s="7">
        <f t="shared" ref="F759:F822" si="51">E759</f>
        <v>23000000</v>
      </c>
      <c r="G759" s="7">
        <f t="shared" si="49"/>
        <v>74096.983286297851</v>
      </c>
      <c r="H759" s="7" t="s">
        <v>2260</v>
      </c>
      <c r="I759" s="18" t="s">
        <v>1812</v>
      </c>
      <c r="J759" s="18" t="s">
        <v>1802</v>
      </c>
      <c r="K759" s="3">
        <v>76.84</v>
      </c>
      <c r="L759" s="7" t="s">
        <v>2246</v>
      </c>
      <c r="M759" s="7">
        <f t="shared" si="50"/>
        <v>7.6840000000000006E-2</v>
      </c>
      <c r="N759" s="7">
        <f t="shared" si="47"/>
        <v>23.851443360000005</v>
      </c>
    </row>
    <row r="760" spans="1:14" ht="15.6" x14ac:dyDescent="0.3">
      <c r="A760" s="18" t="s">
        <v>1729</v>
      </c>
      <c r="B760" s="7">
        <v>6</v>
      </c>
      <c r="C760" s="7">
        <v>13</v>
      </c>
      <c r="D760" s="7" t="s">
        <v>2261</v>
      </c>
      <c r="E760" s="7">
        <v>23000000</v>
      </c>
      <c r="F760" s="7">
        <f t="shared" si="51"/>
        <v>23000000</v>
      </c>
      <c r="G760" s="7">
        <f t="shared" si="49"/>
        <v>74096.983286297851</v>
      </c>
      <c r="H760" s="7" t="s">
        <v>2260</v>
      </c>
      <c r="I760" s="18" t="s">
        <v>1812</v>
      </c>
      <c r="J760" s="18" t="s">
        <v>1802</v>
      </c>
      <c r="K760" s="3">
        <v>63.49</v>
      </c>
      <c r="L760" s="7" t="s">
        <v>2246</v>
      </c>
      <c r="M760" s="7">
        <f t="shared" si="50"/>
        <v>6.3490000000000005E-2</v>
      </c>
      <c r="N760" s="7">
        <f t="shared" si="47"/>
        <v>19.707549960000001</v>
      </c>
    </row>
    <row r="761" spans="1:14" ht="15.6" x14ac:dyDescent="0.3">
      <c r="A761" s="18" t="s">
        <v>1729</v>
      </c>
      <c r="B761" s="7">
        <v>6</v>
      </c>
      <c r="C761" s="7">
        <v>13</v>
      </c>
      <c r="D761" s="7" t="s">
        <v>2261</v>
      </c>
      <c r="E761" s="7">
        <v>23000000</v>
      </c>
      <c r="F761" s="7">
        <f t="shared" si="51"/>
        <v>23000000</v>
      </c>
      <c r="G761" s="7">
        <f t="shared" si="49"/>
        <v>74096.983286297851</v>
      </c>
      <c r="H761" s="7" t="s">
        <v>2260</v>
      </c>
      <c r="I761" s="18" t="s">
        <v>1812</v>
      </c>
      <c r="J761" s="18" t="s">
        <v>1802</v>
      </c>
      <c r="K761" s="3">
        <v>82.14</v>
      </c>
      <c r="L761" s="7" t="s">
        <v>2246</v>
      </c>
      <c r="M761" s="7">
        <f t="shared" si="50"/>
        <v>8.2140000000000005E-2</v>
      </c>
      <c r="N761" s="7">
        <f t="shared" si="47"/>
        <v>25.496584560000002</v>
      </c>
    </row>
    <row r="762" spans="1:14" ht="15.6" x14ac:dyDescent="0.3">
      <c r="A762" s="18" t="s">
        <v>1729</v>
      </c>
      <c r="B762" s="7">
        <v>6</v>
      </c>
      <c r="C762" s="7">
        <v>13</v>
      </c>
      <c r="D762" s="7" t="s">
        <v>2261</v>
      </c>
      <c r="E762" s="7">
        <v>23000000</v>
      </c>
      <c r="F762" s="7">
        <f t="shared" si="51"/>
        <v>23000000</v>
      </c>
      <c r="G762" s="7">
        <f t="shared" si="49"/>
        <v>74096.983286297851</v>
      </c>
      <c r="H762" s="7" t="s">
        <v>2260</v>
      </c>
      <c r="I762" s="18" t="s">
        <v>1812</v>
      </c>
      <c r="J762" s="18" t="s">
        <v>1802</v>
      </c>
      <c r="K762" s="3">
        <v>87.09</v>
      </c>
      <c r="L762" s="7" t="s">
        <v>2246</v>
      </c>
      <c r="M762" s="7">
        <f t="shared" si="50"/>
        <v>8.7090000000000001E-2</v>
      </c>
      <c r="N762" s="7">
        <f t="shared" si="47"/>
        <v>27.033084360000004</v>
      </c>
    </row>
    <row r="763" spans="1:14" ht="15.6" x14ac:dyDescent="0.3">
      <c r="A763" s="18" t="s">
        <v>1729</v>
      </c>
      <c r="B763" s="7">
        <v>6</v>
      </c>
      <c r="C763" s="7">
        <v>13</v>
      </c>
      <c r="D763" s="7" t="s">
        <v>2261</v>
      </c>
      <c r="E763" s="7">
        <v>23000000</v>
      </c>
      <c r="F763" s="7">
        <f t="shared" si="51"/>
        <v>23000000</v>
      </c>
      <c r="G763" s="7">
        <f t="shared" si="49"/>
        <v>74096.983286297851</v>
      </c>
      <c r="H763" s="7" t="s">
        <v>2260</v>
      </c>
      <c r="I763" s="18" t="s">
        <v>1812</v>
      </c>
      <c r="J763" s="18" t="s">
        <v>1802</v>
      </c>
      <c r="K763" s="3">
        <v>168.88</v>
      </c>
      <c r="L763" s="7" t="s">
        <v>2246</v>
      </c>
      <c r="M763" s="7">
        <f t="shared" si="50"/>
        <v>0.16888</v>
      </c>
      <c r="N763" s="7">
        <f t="shared" si="47"/>
        <v>52.421027520000003</v>
      </c>
    </row>
    <row r="764" spans="1:14" ht="15.6" x14ac:dyDescent="0.3">
      <c r="A764" s="18" t="s">
        <v>1729</v>
      </c>
      <c r="B764" s="7">
        <v>6</v>
      </c>
      <c r="C764" s="7">
        <v>13</v>
      </c>
      <c r="D764" s="7" t="s">
        <v>2261</v>
      </c>
      <c r="E764" s="7">
        <v>23000000</v>
      </c>
      <c r="F764" s="7">
        <f t="shared" si="51"/>
        <v>23000000</v>
      </c>
      <c r="G764" s="7">
        <f t="shared" si="49"/>
        <v>74096.983286297851</v>
      </c>
      <c r="H764" s="7" t="s">
        <v>2260</v>
      </c>
      <c r="I764" s="18" t="s">
        <v>1812</v>
      </c>
      <c r="J764" s="18" t="s">
        <v>1802</v>
      </c>
      <c r="K764" s="3">
        <v>65.59</v>
      </c>
      <c r="L764" s="7" t="s">
        <v>2246</v>
      </c>
      <c r="M764" s="7">
        <f t="shared" si="50"/>
        <v>6.5590000000000009E-2</v>
      </c>
      <c r="N764" s="7">
        <f t="shared" si="47"/>
        <v>20.359398360000004</v>
      </c>
    </row>
    <row r="765" spans="1:14" ht="15.6" x14ac:dyDescent="0.3">
      <c r="A765" s="18" t="s">
        <v>1729</v>
      </c>
      <c r="B765" s="7">
        <v>6</v>
      </c>
      <c r="C765" s="7">
        <v>13</v>
      </c>
      <c r="D765" s="7" t="s">
        <v>2261</v>
      </c>
      <c r="E765" s="7">
        <v>23000000</v>
      </c>
      <c r="F765" s="7">
        <f t="shared" si="51"/>
        <v>23000000</v>
      </c>
      <c r="G765" s="7">
        <f t="shared" si="49"/>
        <v>74096.983286297851</v>
      </c>
      <c r="H765" s="7" t="s">
        <v>2260</v>
      </c>
      <c r="I765" s="18" t="s">
        <v>1812</v>
      </c>
      <c r="J765" s="18" t="s">
        <v>1802</v>
      </c>
      <c r="K765" s="3">
        <v>108.16</v>
      </c>
      <c r="L765" s="7" t="s">
        <v>2246</v>
      </c>
      <c r="M765" s="7">
        <f t="shared" si="50"/>
        <v>0.10815999999999999</v>
      </c>
      <c r="N765" s="7">
        <f t="shared" si="47"/>
        <v>33.573296640000002</v>
      </c>
    </row>
    <row r="766" spans="1:14" ht="15.6" x14ac:dyDescent="0.3">
      <c r="A766" s="18" t="s">
        <v>1729</v>
      </c>
      <c r="B766" s="7">
        <v>6</v>
      </c>
      <c r="C766" s="7">
        <v>13</v>
      </c>
      <c r="D766" s="7" t="s">
        <v>2261</v>
      </c>
      <c r="E766" s="7">
        <v>23000000</v>
      </c>
      <c r="F766" s="7">
        <f t="shared" si="51"/>
        <v>23000000</v>
      </c>
      <c r="G766" s="7">
        <f t="shared" si="49"/>
        <v>74096.983286297851</v>
      </c>
      <c r="H766" s="7" t="s">
        <v>2260</v>
      </c>
      <c r="I766" s="18" t="s">
        <v>1812</v>
      </c>
      <c r="J766" s="18" t="s">
        <v>1802</v>
      </c>
      <c r="K766" s="3">
        <v>77.260000000000005</v>
      </c>
      <c r="L766" s="7" t="s">
        <v>2246</v>
      </c>
      <c r="M766" s="7">
        <f t="shared" si="50"/>
        <v>7.7260000000000009E-2</v>
      </c>
      <c r="N766" s="7">
        <f t="shared" si="47"/>
        <v>23.981813040000006</v>
      </c>
    </row>
    <row r="767" spans="1:14" ht="15.6" x14ac:dyDescent="0.3">
      <c r="A767" s="18" t="s">
        <v>1729</v>
      </c>
      <c r="B767" s="7">
        <v>6</v>
      </c>
      <c r="C767" s="7">
        <v>13</v>
      </c>
      <c r="D767" s="7" t="s">
        <v>2261</v>
      </c>
      <c r="E767" s="7">
        <v>23000000</v>
      </c>
      <c r="F767" s="7">
        <f t="shared" si="51"/>
        <v>23000000</v>
      </c>
      <c r="G767" s="7">
        <f t="shared" si="49"/>
        <v>74096.983286297851</v>
      </c>
      <c r="H767" s="7" t="s">
        <v>2260</v>
      </c>
      <c r="I767" s="18" t="s">
        <v>1812</v>
      </c>
      <c r="J767" s="18" t="s">
        <v>1802</v>
      </c>
      <c r="K767" s="3">
        <v>179.18</v>
      </c>
      <c r="L767" s="7" t="s">
        <v>2246</v>
      </c>
      <c r="M767" s="7">
        <f t="shared" si="50"/>
        <v>0.17918000000000001</v>
      </c>
      <c r="N767" s="7">
        <f t="shared" si="47"/>
        <v>55.618188720000006</v>
      </c>
    </row>
    <row r="768" spans="1:14" ht="15.6" x14ac:dyDescent="0.3">
      <c r="A768" s="18" t="s">
        <v>1729</v>
      </c>
      <c r="B768" s="7">
        <v>6</v>
      </c>
      <c r="C768" s="7">
        <v>13</v>
      </c>
      <c r="D768" s="7" t="s">
        <v>2261</v>
      </c>
      <c r="E768" s="7">
        <v>23000000</v>
      </c>
      <c r="F768" s="7">
        <f t="shared" si="51"/>
        <v>23000000</v>
      </c>
      <c r="G768" s="7">
        <f t="shared" si="49"/>
        <v>74096.983286297851</v>
      </c>
      <c r="H768" s="7" t="s">
        <v>2260</v>
      </c>
      <c r="I768" s="18" t="s">
        <v>1812</v>
      </c>
      <c r="J768" s="18" t="s">
        <v>1802</v>
      </c>
      <c r="K768" s="3">
        <v>211.9</v>
      </c>
      <c r="L768" s="7" t="s">
        <v>2246</v>
      </c>
      <c r="M768" s="7">
        <f t="shared" si="50"/>
        <v>0.21190000000000001</v>
      </c>
      <c r="N768" s="7">
        <f t="shared" si="47"/>
        <v>65.77460760000001</v>
      </c>
    </row>
    <row r="769" spans="1:14" ht="15.6" x14ac:dyDescent="0.3">
      <c r="A769" s="18" t="s">
        <v>1729</v>
      </c>
      <c r="B769" s="7">
        <v>6</v>
      </c>
      <c r="C769" s="7">
        <v>13</v>
      </c>
      <c r="D769" s="7" t="s">
        <v>2261</v>
      </c>
      <c r="E769" s="7">
        <v>23000000</v>
      </c>
      <c r="F769" s="7">
        <f t="shared" si="51"/>
        <v>23000000</v>
      </c>
      <c r="G769" s="7">
        <f t="shared" si="49"/>
        <v>74096.983286297851</v>
      </c>
      <c r="H769" s="7" t="s">
        <v>2260</v>
      </c>
      <c r="I769" s="18" t="s">
        <v>1812</v>
      </c>
      <c r="J769" s="18" t="s">
        <v>1802</v>
      </c>
      <c r="K769" s="3">
        <v>188.78</v>
      </c>
      <c r="L769" s="7" t="s">
        <v>2246</v>
      </c>
      <c r="M769" s="7">
        <f t="shared" si="50"/>
        <v>0.18878</v>
      </c>
      <c r="N769" s="7">
        <f t="shared" si="47"/>
        <v>58.598067120000003</v>
      </c>
    </row>
    <row r="770" spans="1:14" ht="15.6" x14ac:dyDescent="0.3">
      <c r="A770" s="18" t="s">
        <v>1729</v>
      </c>
      <c r="B770" s="7">
        <v>6</v>
      </c>
      <c r="C770" s="7">
        <v>13</v>
      </c>
      <c r="D770" s="7" t="s">
        <v>2261</v>
      </c>
      <c r="E770" s="7">
        <v>23000000</v>
      </c>
      <c r="F770" s="7">
        <f t="shared" si="51"/>
        <v>23000000</v>
      </c>
      <c r="G770" s="7">
        <f t="shared" si="49"/>
        <v>74096.983286297851</v>
      </c>
      <c r="H770" s="7" t="s">
        <v>2260</v>
      </c>
      <c r="I770" s="18" t="s">
        <v>1812</v>
      </c>
      <c r="J770" s="18" t="s">
        <v>1802</v>
      </c>
      <c r="K770" s="3">
        <v>189.32</v>
      </c>
      <c r="L770" s="7" t="s">
        <v>2246</v>
      </c>
      <c r="M770" s="7">
        <f t="shared" si="50"/>
        <v>0.18931999999999999</v>
      </c>
      <c r="N770" s="7">
        <f t="shared" si="47"/>
        <v>58.765685280000007</v>
      </c>
    </row>
    <row r="771" spans="1:14" ht="15.6" x14ac:dyDescent="0.3">
      <c r="A771" s="18" t="s">
        <v>1729</v>
      </c>
      <c r="B771" s="7">
        <v>6</v>
      </c>
      <c r="C771" s="7">
        <v>13</v>
      </c>
      <c r="D771" s="7" t="s">
        <v>2261</v>
      </c>
      <c r="E771" s="7">
        <v>23000000</v>
      </c>
      <c r="F771" s="7">
        <f t="shared" si="51"/>
        <v>23000000</v>
      </c>
      <c r="G771" s="7">
        <f t="shared" si="49"/>
        <v>74096.983286297851</v>
      </c>
      <c r="H771" s="7" t="s">
        <v>2260</v>
      </c>
      <c r="I771" s="18" t="s">
        <v>1812</v>
      </c>
      <c r="J771" s="18" t="s">
        <v>1802</v>
      </c>
      <c r="K771" s="3">
        <v>203.68</v>
      </c>
      <c r="L771" s="7" t="s">
        <v>2246</v>
      </c>
      <c r="M771" s="7">
        <f t="shared" si="50"/>
        <v>0.20368</v>
      </c>
      <c r="N771" s="7">
        <f t="shared" ref="N771:N834" si="52">IFERROR((M771*F771)/G771,"ND")</f>
        <v>63.223086720000005</v>
      </c>
    </row>
    <row r="772" spans="1:14" ht="15.6" x14ac:dyDescent="0.3">
      <c r="A772" s="18" t="s">
        <v>1729</v>
      </c>
      <c r="B772" s="7">
        <v>6</v>
      </c>
      <c r="C772" s="7">
        <v>13</v>
      </c>
      <c r="D772" s="7" t="s">
        <v>2261</v>
      </c>
      <c r="E772" s="7">
        <v>23000000</v>
      </c>
      <c r="F772" s="7">
        <f t="shared" si="51"/>
        <v>23000000</v>
      </c>
      <c r="G772" s="7">
        <f t="shared" si="49"/>
        <v>74096.983286297851</v>
      </c>
      <c r="H772" s="7" t="s">
        <v>2260</v>
      </c>
      <c r="I772" s="18" t="s">
        <v>1812</v>
      </c>
      <c r="J772" s="18" t="s">
        <v>1802</v>
      </c>
      <c r="K772" s="3">
        <v>201.86</v>
      </c>
      <c r="L772" s="7" t="s">
        <v>2246</v>
      </c>
      <c r="M772" s="7">
        <f t="shared" si="50"/>
        <v>0.20186000000000001</v>
      </c>
      <c r="N772" s="7">
        <f t="shared" si="52"/>
        <v>62.658151440000005</v>
      </c>
    </row>
    <row r="773" spans="1:14" ht="15.6" x14ac:dyDescent="0.3">
      <c r="A773" s="18" t="s">
        <v>1729</v>
      </c>
      <c r="B773" s="7">
        <v>6</v>
      </c>
      <c r="C773" s="7">
        <v>13</v>
      </c>
      <c r="D773" s="7" t="s">
        <v>2261</v>
      </c>
      <c r="E773" s="7">
        <v>23000000</v>
      </c>
      <c r="F773" s="7">
        <f t="shared" si="51"/>
        <v>23000000</v>
      </c>
      <c r="G773" s="7">
        <f t="shared" si="49"/>
        <v>74096.983286297851</v>
      </c>
      <c r="H773" s="7" t="s">
        <v>2260</v>
      </c>
      <c r="I773" s="18" t="s">
        <v>1812</v>
      </c>
      <c r="J773" s="18" t="s">
        <v>1802</v>
      </c>
      <c r="K773" s="3">
        <v>1.31</v>
      </c>
      <c r="L773" s="7" t="s">
        <v>2246</v>
      </c>
      <c r="M773" s="7">
        <f t="shared" si="50"/>
        <v>1.31E-3</v>
      </c>
      <c r="N773" s="7">
        <f t="shared" si="52"/>
        <v>0.40662924000000006</v>
      </c>
    </row>
    <row r="774" spans="1:14" ht="15.6" x14ac:dyDescent="0.3">
      <c r="A774" s="18" t="s">
        <v>1729</v>
      </c>
      <c r="B774" s="7">
        <v>6</v>
      </c>
      <c r="C774" s="7">
        <v>13</v>
      </c>
      <c r="D774" s="7" t="s">
        <v>2261</v>
      </c>
      <c r="E774" s="7">
        <v>23000000</v>
      </c>
      <c r="F774" s="7">
        <f t="shared" si="51"/>
        <v>23000000</v>
      </c>
      <c r="G774" s="7">
        <f t="shared" si="49"/>
        <v>74096.983286297851</v>
      </c>
      <c r="H774" s="7" t="s">
        <v>2260</v>
      </c>
      <c r="I774" s="18" t="s">
        <v>1812</v>
      </c>
      <c r="J774" s="18" t="s">
        <v>1802</v>
      </c>
      <c r="K774" s="3">
        <v>248.35</v>
      </c>
      <c r="L774" s="7" t="s">
        <v>2246</v>
      </c>
      <c r="M774" s="7">
        <f t="shared" si="50"/>
        <v>0.24834999999999999</v>
      </c>
      <c r="N774" s="7">
        <f t="shared" si="52"/>
        <v>77.088833400000013</v>
      </c>
    </row>
    <row r="775" spans="1:14" ht="15.6" x14ac:dyDescent="0.3">
      <c r="A775" s="18" t="s">
        <v>1729</v>
      </c>
      <c r="B775" s="7">
        <v>6</v>
      </c>
      <c r="C775" s="7">
        <v>13</v>
      </c>
      <c r="D775" s="7" t="s">
        <v>2261</v>
      </c>
      <c r="E775" s="7">
        <v>23000000</v>
      </c>
      <c r="F775" s="7">
        <f t="shared" si="51"/>
        <v>23000000</v>
      </c>
      <c r="G775" s="7">
        <f t="shared" si="49"/>
        <v>74096.983286297851</v>
      </c>
      <c r="H775" s="7" t="s">
        <v>2260</v>
      </c>
      <c r="I775" s="18" t="s">
        <v>1812</v>
      </c>
      <c r="J775" s="18" t="s">
        <v>1802</v>
      </c>
      <c r="K775" s="3">
        <v>69.290000000000006</v>
      </c>
      <c r="L775" s="7" t="s">
        <v>2246</v>
      </c>
      <c r="M775" s="7">
        <f t="shared" si="50"/>
        <v>6.9290000000000004E-2</v>
      </c>
      <c r="N775" s="7">
        <f t="shared" si="52"/>
        <v>21.507893160000002</v>
      </c>
    </row>
    <row r="776" spans="1:14" ht="15.6" x14ac:dyDescent="0.3">
      <c r="A776" s="18" t="s">
        <v>1729</v>
      </c>
      <c r="B776" s="7">
        <v>6</v>
      </c>
      <c r="C776" s="7">
        <v>13</v>
      </c>
      <c r="D776" s="7" t="s">
        <v>2261</v>
      </c>
      <c r="E776" s="7">
        <v>23000000</v>
      </c>
      <c r="F776" s="7">
        <f t="shared" si="51"/>
        <v>23000000</v>
      </c>
      <c r="G776" s="7">
        <f t="shared" si="49"/>
        <v>74096.983286297851</v>
      </c>
      <c r="H776" s="7" t="s">
        <v>2260</v>
      </c>
      <c r="I776" s="18" t="s">
        <v>1812</v>
      </c>
      <c r="J776" s="18" t="s">
        <v>1802</v>
      </c>
      <c r="K776" s="3">
        <v>77.19</v>
      </c>
      <c r="L776" s="7" t="s">
        <v>2246</v>
      </c>
      <c r="M776" s="7">
        <f t="shared" si="50"/>
        <v>7.7189999999999995E-2</v>
      </c>
      <c r="N776" s="7">
        <f t="shared" si="52"/>
        <v>23.960084759999997</v>
      </c>
    </row>
    <row r="777" spans="1:14" ht="15.6" x14ac:dyDescent="0.3">
      <c r="A777" s="18" t="s">
        <v>1729</v>
      </c>
      <c r="B777" s="7">
        <v>6</v>
      </c>
      <c r="C777" s="7">
        <v>13</v>
      </c>
      <c r="D777" s="7" t="s">
        <v>2261</v>
      </c>
      <c r="E777" s="7">
        <v>23000000</v>
      </c>
      <c r="F777" s="7">
        <f t="shared" si="51"/>
        <v>23000000</v>
      </c>
      <c r="G777" s="7">
        <f t="shared" si="49"/>
        <v>74096.983286297851</v>
      </c>
      <c r="H777" s="7" t="s">
        <v>2260</v>
      </c>
      <c r="I777" s="18" t="s">
        <v>1812</v>
      </c>
      <c r="J777" s="18" t="s">
        <v>1802</v>
      </c>
      <c r="K777" s="3">
        <v>93.41</v>
      </c>
      <c r="L777" s="7" t="s">
        <v>2246</v>
      </c>
      <c r="M777" s="7">
        <f t="shared" si="50"/>
        <v>9.3409999999999993E-2</v>
      </c>
      <c r="N777" s="7">
        <f t="shared" si="52"/>
        <v>28.994837640000004</v>
      </c>
    </row>
    <row r="778" spans="1:14" ht="15.6" x14ac:dyDescent="0.3">
      <c r="A778" s="18" t="s">
        <v>1729</v>
      </c>
      <c r="B778" s="7">
        <v>6</v>
      </c>
      <c r="C778" s="7">
        <v>13</v>
      </c>
      <c r="D778" s="7" t="s">
        <v>2261</v>
      </c>
      <c r="E778" s="7">
        <v>23000000</v>
      </c>
      <c r="F778" s="7">
        <f t="shared" si="51"/>
        <v>23000000</v>
      </c>
      <c r="G778" s="7">
        <f t="shared" si="49"/>
        <v>74096.983286297851</v>
      </c>
      <c r="H778" s="7" t="s">
        <v>2260</v>
      </c>
      <c r="I778" s="18" t="s">
        <v>1812</v>
      </c>
      <c r="J778" s="18" t="s">
        <v>1802</v>
      </c>
      <c r="K778" s="3">
        <v>21.29</v>
      </c>
      <c r="L778" s="7" t="s">
        <v>2246</v>
      </c>
      <c r="M778" s="7">
        <f t="shared" si="50"/>
        <v>2.129E-2</v>
      </c>
      <c r="N778" s="7">
        <f t="shared" si="52"/>
        <v>6.6085011600000003</v>
      </c>
    </row>
    <row r="779" spans="1:14" ht="15.6" x14ac:dyDescent="0.3">
      <c r="A779" s="18" t="s">
        <v>1729</v>
      </c>
      <c r="B779" s="7">
        <v>6</v>
      </c>
      <c r="C779" s="7">
        <v>13</v>
      </c>
      <c r="D779" s="7" t="s">
        <v>2261</v>
      </c>
      <c r="E779" s="7">
        <v>23000000</v>
      </c>
      <c r="F779" s="7">
        <f t="shared" si="51"/>
        <v>23000000</v>
      </c>
      <c r="G779" s="7">
        <f t="shared" si="49"/>
        <v>74096.983286297851</v>
      </c>
      <c r="H779" s="7" t="s">
        <v>2260</v>
      </c>
      <c r="I779" s="18" t="s">
        <v>1812</v>
      </c>
      <c r="J779" s="18" t="s">
        <v>1802</v>
      </c>
      <c r="K779" s="3">
        <v>75.790000000000006</v>
      </c>
      <c r="L779" s="7" t="s">
        <v>2246</v>
      </c>
      <c r="M779" s="7">
        <f t="shared" si="50"/>
        <v>7.579000000000001E-2</v>
      </c>
      <c r="N779" s="7">
        <f t="shared" si="52"/>
        <v>23.525519160000005</v>
      </c>
    </row>
    <row r="780" spans="1:14" ht="15.6" x14ac:dyDescent="0.3">
      <c r="A780" s="18" t="s">
        <v>1729</v>
      </c>
      <c r="B780" s="7">
        <v>6</v>
      </c>
      <c r="C780" s="7">
        <v>13</v>
      </c>
      <c r="D780" s="7" t="s">
        <v>2261</v>
      </c>
      <c r="E780" s="7">
        <v>23000000</v>
      </c>
      <c r="F780" s="7">
        <f t="shared" si="51"/>
        <v>23000000</v>
      </c>
      <c r="G780" s="7">
        <f t="shared" si="49"/>
        <v>74096.983286297851</v>
      </c>
      <c r="H780" s="7" t="s">
        <v>2260</v>
      </c>
      <c r="I780" s="18" t="s">
        <v>1812</v>
      </c>
      <c r="J780" s="18" t="s">
        <v>1802</v>
      </c>
      <c r="K780" s="3">
        <v>11.72</v>
      </c>
      <c r="L780" s="7" t="s">
        <v>2246</v>
      </c>
      <c r="M780" s="7">
        <f t="shared" si="50"/>
        <v>1.1720000000000001E-2</v>
      </c>
      <c r="N780" s="7">
        <f t="shared" si="52"/>
        <v>3.6379348800000004</v>
      </c>
    </row>
    <row r="781" spans="1:14" ht="15.6" x14ac:dyDescent="0.3">
      <c r="A781" s="18" t="s">
        <v>1729</v>
      </c>
      <c r="B781" s="7">
        <v>6</v>
      </c>
      <c r="C781" s="7">
        <v>13</v>
      </c>
      <c r="D781" s="7" t="s">
        <v>2261</v>
      </c>
      <c r="E781" s="7">
        <v>23000000</v>
      </c>
      <c r="F781" s="7">
        <f t="shared" si="51"/>
        <v>23000000</v>
      </c>
      <c r="G781" s="7">
        <f t="shared" si="49"/>
        <v>74096.983286297851</v>
      </c>
      <c r="H781" s="7" t="s">
        <v>2260</v>
      </c>
      <c r="I781" s="18" t="s">
        <v>1812</v>
      </c>
      <c r="J781" s="18" t="s">
        <v>1802</v>
      </c>
      <c r="K781" s="3">
        <v>15.41</v>
      </c>
      <c r="L781" s="7" t="s">
        <v>2246</v>
      </c>
      <c r="M781" s="7">
        <f t="shared" si="50"/>
        <v>1.541E-2</v>
      </c>
      <c r="N781" s="7">
        <f t="shared" si="52"/>
        <v>4.7833256400000002</v>
      </c>
    </row>
    <row r="782" spans="1:14" ht="15.6" x14ac:dyDescent="0.3">
      <c r="A782" s="18" t="s">
        <v>1729</v>
      </c>
      <c r="B782" s="7">
        <v>6</v>
      </c>
      <c r="C782" s="7">
        <v>13</v>
      </c>
      <c r="D782" s="7" t="s">
        <v>2261</v>
      </c>
      <c r="E782" s="7">
        <v>23000000</v>
      </c>
      <c r="F782" s="7">
        <f t="shared" si="51"/>
        <v>23000000</v>
      </c>
      <c r="G782" s="7">
        <f t="shared" si="49"/>
        <v>74096.983286297851</v>
      </c>
      <c r="H782" s="7" t="s">
        <v>2260</v>
      </c>
      <c r="I782" s="18" t="s">
        <v>1812</v>
      </c>
      <c r="J782" s="18" t="s">
        <v>1802</v>
      </c>
      <c r="K782" s="3">
        <v>254.19</v>
      </c>
      <c r="L782" s="7" t="s">
        <v>2246</v>
      </c>
      <c r="M782" s="7">
        <f t="shared" si="50"/>
        <v>0.25418999999999997</v>
      </c>
      <c r="N782" s="7">
        <f t="shared" si="52"/>
        <v>78.90159276</v>
      </c>
    </row>
    <row r="783" spans="1:14" ht="15.6" x14ac:dyDescent="0.3">
      <c r="A783" s="18" t="s">
        <v>1729</v>
      </c>
      <c r="B783" s="7">
        <v>6</v>
      </c>
      <c r="C783" s="7">
        <v>13</v>
      </c>
      <c r="D783" s="7" t="s">
        <v>2261</v>
      </c>
      <c r="E783" s="7">
        <v>23000000</v>
      </c>
      <c r="F783" s="7">
        <f t="shared" si="51"/>
        <v>23000000</v>
      </c>
      <c r="G783" s="7">
        <f t="shared" si="49"/>
        <v>74096.983286297851</v>
      </c>
      <c r="H783" s="7" t="s">
        <v>2260</v>
      </c>
      <c r="I783" s="18" t="s">
        <v>1812</v>
      </c>
      <c r="J783" s="18" t="s">
        <v>1802</v>
      </c>
      <c r="K783" s="3">
        <v>75.3</v>
      </c>
      <c r="L783" s="7" t="s">
        <v>2246</v>
      </c>
      <c r="M783" s="7">
        <f t="shared" si="50"/>
        <v>7.5299999999999992E-2</v>
      </c>
      <c r="N783" s="7">
        <f t="shared" si="52"/>
        <v>23.373421199999999</v>
      </c>
    </row>
    <row r="784" spans="1:14" ht="15.6" x14ac:dyDescent="0.3">
      <c r="A784" s="18" t="s">
        <v>1729</v>
      </c>
      <c r="B784" s="7">
        <v>6</v>
      </c>
      <c r="C784" s="7">
        <v>13</v>
      </c>
      <c r="D784" s="7" t="s">
        <v>2261</v>
      </c>
      <c r="E784" s="7">
        <v>23000000</v>
      </c>
      <c r="F784" s="7">
        <f t="shared" si="51"/>
        <v>23000000</v>
      </c>
      <c r="G784" s="7">
        <f t="shared" si="49"/>
        <v>74096.983286297851</v>
      </c>
      <c r="H784" s="7" t="s">
        <v>2260</v>
      </c>
      <c r="I784" s="18" t="s">
        <v>1812</v>
      </c>
      <c r="J784" s="18" t="s">
        <v>1802</v>
      </c>
      <c r="K784" s="3">
        <v>65.290000000000006</v>
      </c>
      <c r="L784" s="7" t="s">
        <v>2246</v>
      </c>
      <c r="M784" s="7">
        <f t="shared" si="50"/>
        <v>6.5290000000000001E-2</v>
      </c>
      <c r="N784" s="7">
        <f t="shared" si="52"/>
        <v>20.266277160000001</v>
      </c>
    </row>
    <row r="785" spans="1:14" ht="15.6" x14ac:dyDescent="0.3">
      <c r="A785" s="18" t="s">
        <v>1729</v>
      </c>
      <c r="B785" s="7">
        <v>6</v>
      </c>
      <c r="C785" s="7">
        <v>13</v>
      </c>
      <c r="D785" s="7" t="s">
        <v>2261</v>
      </c>
      <c r="E785" s="7">
        <v>23000000</v>
      </c>
      <c r="F785" s="7">
        <f t="shared" si="51"/>
        <v>23000000</v>
      </c>
      <c r="G785" s="7">
        <f t="shared" si="49"/>
        <v>74096.983286297851</v>
      </c>
      <c r="H785" s="7" t="s">
        <v>2260</v>
      </c>
      <c r="I785" s="18" t="s">
        <v>1812</v>
      </c>
      <c r="J785" s="18" t="s">
        <v>1802</v>
      </c>
      <c r="K785" s="3">
        <v>68.7</v>
      </c>
      <c r="L785" s="7" t="s">
        <v>2246</v>
      </c>
      <c r="M785" s="7">
        <f t="shared" si="50"/>
        <v>6.8699999999999997E-2</v>
      </c>
      <c r="N785" s="7">
        <f t="shared" si="52"/>
        <v>21.324754800000001</v>
      </c>
    </row>
    <row r="786" spans="1:14" ht="15.6" x14ac:dyDescent="0.3">
      <c r="A786" s="18" t="s">
        <v>1729</v>
      </c>
      <c r="B786" s="7">
        <v>6</v>
      </c>
      <c r="C786" s="7">
        <v>13</v>
      </c>
      <c r="D786" s="7" t="s">
        <v>2261</v>
      </c>
      <c r="E786" s="7">
        <v>23000000</v>
      </c>
      <c r="F786" s="7">
        <f t="shared" si="51"/>
        <v>23000000</v>
      </c>
      <c r="G786" s="7">
        <f t="shared" si="49"/>
        <v>74096.983286297851</v>
      </c>
      <c r="H786" s="7" t="s">
        <v>2260</v>
      </c>
      <c r="I786" s="18" t="s">
        <v>1812</v>
      </c>
      <c r="J786" s="18" t="s">
        <v>1802</v>
      </c>
      <c r="K786" s="3">
        <v>2927.23</v>
      </c>
      <c r="L786" s="7" t="s">
        <v>2246</v>
      </c>
      <c r="M786" s="7">
        <f t="shared" si="50"/>
        <v>2.9272300000000002</v>
      </c>
      <c r="N786" s="7">
        <f t="shared" si="52"/>
        <v>908.6239009200001</v>
      </c>
    </row>
    <row r="787" spans="1:14" ht="15.6" x14ac:dyDescent="0.3">
      <c r="A787" s="18" t="s">
        <v>1729</v>
      </c>
      <c r="B787" s="7">
        <v>6</v>
      </c>
      <c r="C787" s="7">
        <v>13</v>
      </c>
      <c r="D787" s="7" t="s">
        <v>2261</v>
      </c>
      <c r="E787" s="7">
        <v>23000000</v>
      </c>
      <c r="F787" s="7">
        <f t="shared" si="51"/>
        <v>23000000</v>
      </c>
      <c r="G787" s="7">
        <f t="shared" si="49"/>
        <v>74096.983286297851</v>
      </c>
      <c r="H787" s="7" t="s">
        <v>2260</v>
      </c>
      <c r="I787" s="18" t="s">
        <v>1812</v>
      </c>
      <c r="J787" s="18" t="s">
        <v>1802</v>
      </c>
      <c r="K787" s="3">
        <v>8652.92</v>
      </c>
      <c r="L787" s="7" t="s">
        <v>2246</v>
      </c>
      <c r="M787" s="7">
        <f t="shared" si="50"/>
        <v>8.6529199999999999</v>
      </c>
      <c r="N787" s="7">
        <f t="shared" si="52"/>
        <v>2685.9009796800001</v>
      </c>
    </row>
    <row r="788" spans="1:14" ht="15.6" x14ac:dyDescent="0.3">
      <c r="A788" s="18" t="s">
        <v>1729</v>
      </c>
      <c r="B788" s="7">
        <v>6</v>
      </c>
      <c r="C788" s="7">
        <v>13</v>
      </c>
      <c r="D788" s="7" t="s">
        <v>2261</v>
      </c>
      <c r="E788" s="7">
        <v>23000000</v>
      </c>
      <c r="F788" s="7">
        <f t="shared" si="51"/>
        <v>23000000</v>
      </c>
      <c r="G788" s="7">
        <f t="shared" si="49"/>
        <v>74096.983286297851</v>
      </c>
      <c r="H788" s="7" t="s">
        <v>2260</v>
      </c>
      <c r="I788" s="18" t="s">
        <v>1812</v>
      </c>
      <c r="J788" s="18" t="s">
        <v>1802</v>
      </c>
      <c r="K788" s="3">
        <v>2744.9</v>
      </c>
      <c r="L788" s="7" t="s">
        <v>2246</v>
      </c>
      <c r="M788" s="7">
        <f t="shared" si="50"/>
        <v>2.7448999999999999</v>
      </c>
      <c r="N788" s="7">
        <f t="shared" si="52"/>
        <v>852.02793960000008</v>
      </c>
    </row>
    <row r="789" spans="1:14" ht="15.6" x14ac:dyDescent="0.3">
      <c r="A789" s="18" t="s">
        <v>1729</v>
      </c>
      <c r="B789" s="7">
        <v>6</v>
      </c>
      <c r="C789" s="7">
        <v>13</v>
      </c>
      <c r="D789" s="7" t="s">
        <v>2261</v>
      </c>
      <c r="E789" s="7">
        <v>23000000</v>
      </c>
      <c r="F789" s="7">
        <f t="shared" si="51"/>
        <v>23000000</v>
      </c>
      <c r="G789" s="7">
        <f t="shared" si="49"/>
        <v>74096.983286297851</v>
      </c>
      <c r="H789" s="7" t="s">
        <v>2260</v>
      </c>
      <c r="I789" s="18" t="s">
        <v>1812</v>
      </c>
      <c r="J789" s="18" t="s">
        <v>1802</v>
      </c>
      <c r="K789" s="3">
        <v>1612.63</v>
      </c>
      <c r="L789" s="7" t="s">
        <v>2246</v>
      </c>
      <c r="M789" s="7">
        <f t="shared" si="50"/>
        <v>1.61263</v>
      </c>
      <c r="N789" s="7">
        <f t="shared" si="52"/>
        <v>500.56680252000007</v>
      </c>
    </row>
    <row r="790" spans="1:14" ht="15.6" x14ac:dyDescent="0.3">
      <c r="A790" s="18" t="s">
        <v>1729</v>
      </c>
      <c r="B790" s="7">
        <v>6</v>
      </c>
      <c r="C790" s="7">
        <v>13</v>
      </c>
      <c r="D790" s="7" t="s">
        <v>2261</v>
      </c>
      <c r="E790" s="7">
        <v>23000000</v>
      </c>
      <c r="F790" s="7">
        <f t="shared" si="51"/>
        <v>23000000</v>
      </c>
      <c r="G790" s="7">
        <f t="shared" si="49"/>
        <v>74096.983286297851</v>
      </c>
      <c r="H790" s="7" t="s">
        <v>2260</v>
      </c>
      <c r="I790" s="18" t="s">
        <v>1812</v>
      </c>
      <c r="J790" s="18" t="s">
        <v>1802</v>
      </c>
      <c r="K790" s="3">
        <v>7325.93</v>
      </c>
      <c r="L790" s="7" t="s">
        <v>2246</v>
      </c>
      <c r="M790" s="7">
        <f t="shared" si="50"/>
        <v>7.3259300000000005</v>
      </c>
      <c r="N790" s="7">
        <f t="shared" si="52"/>
        <v>2273.9979757200003</v>
      </c>
    </row>
    <row r="791" spans="1:14" ht="15.6" x14ac:dyDescent="0.3">
      <c r="A791" s="18" t="s">
        <v>1729</v>
      </c>
      <c r="B791" s="7">
        <v>6</v>
      </c>
      <c r="C791" s="7">
        <v>13</v>
      </c>
      <c r="D791" s="7" t="s">
        <v>2261</v>
      </c>
      <c r="E791" s="7">
        <v>23000000</v>
      </c>
      <c r="F791" s="7">
        <f t="shared" si="51"/>
        <v>23000000</v>
      </c>
      <c r="G791" s="7">
        <f t="shared" si="49"/>
        <v>74096.983286297851</v>
      </c>
      <c r="H791" s="7" t="s">
        <v>2260</v>
      </c>
      <c r="I791" s="18" t="s">
        <v>1812</v>
      </c>
      <c r="J791" s="18" t="s">
        <v>1802</v>
      </c>
      <c r="K791" s="3">
        <v>7494.88</v>
      </c>
      <c r="L791" s="7" t="s">
        <v>2246</v>
      </c>
      <c r="M791" s="7">
        <f t="shared" si="50"/>
        <v>7.4948800000000002</v>
      </c>
      <c r="N791" s="7">
        <f t="shared" si="52"/>
        <v>2326.4407315200001</v>
      </c>
    </row>
    <row r="792" spans="1:14" ht="15.6" x14ac:dyDescent="0.3">
      <c r="A792" s="18" t="s">
        <v>1729</v>
      </c>
      <c r="B792" s="7">
        <v>6</v>
      </c>
      <c r="C792" s="7">
        <v>13</v>
      </c>
      <c r="D792" s="7" t="s">
        <v>2261</v>
      </c>
      <c r="E792" s="7">
        <v>23000000</v>
      </c>
      <c r="F792" s="7">
        <f t="shared" si="51"/>
        <v>23000000</v>
      </c>
      <c r="G792" s="7">
        <f t="shared" si="49"/>
        <v>74096.983286297851</v>
      </c>
      <c r="H792" s="7" t="s">
        <v>2260</v>
      </c>
      <c r="I792" s="18" t="s">
        <v>1812</v>
      </c>
      <c r="J792" s="18" t="s">
        <v>1802</v>
      </c>
      <c r="K792" s="3">
        <v>3130.45</v>
      </c>
      <c r="L792" s="7" t="s">
        <v>2246</v>
      </c>
      <c r="M792" s="7">
        <f t="shared" si="50"/>
        <v>3.1304499999999997</v>
      </c>
      <c r="N792" s="7">
        <f t="shared" si="52"/>
        <v>971.70420180000008</v>
      </c>
    </row>
    <row r="793" spans="1:14" ht="15.6" x14ac:dyDescent="0.3">
      <c r="A793" s="18" t="s">
        <v>1729</v>
      </c>
      <c r="B793" s="7">
        <v>6</v>
      </c>
      <c r="C793" s="7">
        <v>13</v>
      </c>
      <c r="D793" s="7" t="s">
        <v>2261</v>
      </c>
      <c r="E793" s="7">
        <v>23000000</v>
      </c>
      <c r="F793" s="7">
        <f t="shared" si="51"/>
        <v>23000000</v>
      </c>
      <c r="G793" s="7">
        <f t="shared" ref="G793:G856" si="53">F793/310.404</f>
        <v>74096.983286297851</v>
      </c>
      <c r="H793" s="7" t="s">
        <v>2260</v>
      </c>
      <c r="I793" s="18" t="s">
        <v>1812</v>
      </c>
      <c r="J793" s="18" t="s">
        <v>1802</v>
      </c>
      <c r="K793" s="3">
        <v>20054.509999999998</v>
      </c>
      <c r="L793" s="7" t="s">
        <v>2246</v>
      </c>
      <c r="M793" s="7">
        <f t="shared" si="50"/>
        <v>20.054509999999997</v>
      </c>
      <c r="N793" s="7">
        <f t="shared" si="52"/>
        <v>6225.00012204</v>
      </c>
    </row>
    <row r="794" spans="1:14" ht="15.6" x14ac:dyDescent="0.3">
      <c r="A794" s="18" t="s">
        <v>1729</v>
      </c>
      <c r="B794" s="7">
        <v>6</v>
      </c>
      <c r="C794" s="7">
        <v>13</v>
      </c>
      <c r="D794" s="7" t="s">
        <v>2261</v>
      </c>
      <c r="E794" s="7">
        <v>23000000</v>
      </c>
      <c r="F794" s="7">
        <f t="shared" si="51"/>
        <v>23000000</v>
      </c>
      <c r="G794" s="7">
        <f t="shared" si="53"/>
        <v>74096.983286297851</v>
      </c>
      <c r="H794" s="7" t="s">
        <v>2260</v>
      </c>
      <c r="I794" s="18" t="s">
        <v>1812</v>
      </c>
      <c r="J794" s="18" t="s">
        <v>1802</v>
      </c>
      <c r="K794" s="3">
        <v>5677.46</v>
      </c>
      <c r="L794" s="7" t="s">
        <v>2246</v>
      </c>
      <c r="M794" s="7">
        <f t="shared" si="50"/>
        <v>5.67746</v>
      </c>
      <c r="N794" s="7">
        <f t="shared" si="52"/>
        <v>1762.3062938400001</v>
      </c>
    </row>
    <row r="795" spans="1:14" ht="15.6" x14ac:dyDescent="0.3">
      <c r="A795" s="18" t="s">
        <v>1729</v>
      </c>
      <c r="B795" s="7">
        <v>6</v>
      </c>
      <c r="C795" s="7">
        <v>13</v>
      </c>
      <c r="D795" s="7" t="s">
        <v>2261</v>
      </c>
      <c r="E795" s="7">
        <v>23000000</v>
      </c>
      <c r="F795" s="7">
        <f t="shared" si="51"/>
        <v>23000000</v>
      </c>
      <c r="G795" s="7">
        <f t="shared" si="53"/>
        <v>74096.983286297851</v>
      </c>
      <c r="H795" s="7" t="s">
        <v>2260</v>
      </c>
      <c r="I795" s="18" t="s">
        <v>1812</v>
      </c>
      <c r="J795" s="18" t="s">
        <v>1802</v>
      </c>
      <c r="K795" s="3">
        <v>13215.26</v>
      </c>
      <c r="L795" s="7" t="s">
        <v>2246</v>
      </c>
      <c r="M795" s="7">
        <f t="shared" si="50"/>
        <v>13.215260000000001</v>
      </c>
      <c r="N795" s="7">
        <f t="shared" si="52"/>
        <v>4102.0695650400003</v>
      </c>
    </row>
    <row r="796" spans="1:14" ht="15.6" x14ac:dyDescent="0.3">
      <c r="A796" s="18" t="s">
        <v>1729</v>
      </c>
      <c r="B796" s="7">
        <v>6</v>
      </c>
      <c r="C796" s="7">
        <v>13</v>
      </c>
      <c r="D796" s="7" t="s">
        <v>2261</v>
      </c>
      <c r="E796" s="7">
        <v>23000000</v>
      </c>
      <c r="F796" s="7">
        <f t="shared" si="51"/>
        <v>23000000</v>
      </c>
      <c r="G796" s="7">
        <f t="shared" si="53"/>
        <v>74096.983286297851</v>
      </c>
      <c r="H796" s="7" t="s">
        <v>2260</v>
      </c>
      <c r="I796" s="18" t="s">
        <v>1812</v>
      </c>
      <c r="J796" s="18" t="s">
        <v>1802</v>
      </c>
      <c r="K796" s="3">
        <v>12739.38</v>
      </c>
      <c r="L796" s="7" t="s">
        <v>2246</v>
      </c>
      <c r="M796" s="7">
        <f t="shared" si="50"/>
        <v>12.739379999999999</v>
      </c>
      <c r="N796" s="7">
        <f t="shared" si="52"/>
        <v>3954.3545095200002</v>
      </c>
    </row>
    <row r="797" spans="1:14" ht="15.6" x14ac:dyDescent="0.3">
      <c r="A797" s="18" t="s">
        <v>1729</v>
      </c>
      <c r="B797" s="7">
        <v>6</v>
      </c>
      <c r="C797" s="7">
        <v>13</v>
      </c>
      <c r="D797" s="7" t="s">
        <v>2261</v>
      </c>
      <c r="E797" s="7">
        <v>23000000</v>
      </c>
      <c r="F797" s="7">
        <f t="shared" si="51"/>
        <v>23000000</v>
      </c>
      <c r="G797" s="7">
        <f t="shared" si="53"/>
        <v>74096.983286297851</v>
      </c>
      <c r="H797" s="7" t="s">
        <v>2260</v>
      </c>
      <c r="I797" s="18" t="s">
        <v>1812</v>
      </c>
      <c r="J797" s="18" t="s">
        <v>1802</v>
      </c>
      <c r="K797" s="3">
        <v>19316.490000000002</v>
      </c>
      <c r="L797" s="7" t="s">
        <v>2246</v>
      </c>
      <c r="M797" s="7">
        <f t="shared" si="50"/>
        <v>19.316490000000002</v>
      </c>
      <c r="N797" s="7">
        <f t="shared" si="52"/>
        <v>5995.915761960001</v>
      </c>
    </row>
    <row r="798" spans="1:14" ht="15.6" x14ac:dyDescent="0.3">
      <c r="A798" s="18" t="s">
        <v>1729</v>
      </c>
      <c r="B798" s="7">
        <v>6</v>
      </c>
      <c r="C798" s="7">
        <v>13</v>
      </c>
      <c r="D798" s="7" t="s">
        <v>2261</v>
      </c>
      <c r="E798" s="7">
        <v>23000000</v>
      </c>
      <c r="F798" s="7">
        <f t="shared" si="51"/>
        <v>23000000</v>
      </c>
      <c r="G798" s="7">
        <f t="shared" si="53"/>
        <v>74096.983286297851</v>
      </c>
      <c r="H798" s="7" t="s">
        <v>2260</v>
      </c>
      <c r="I798" s="18" t="s">
        <v>1812</v>
      </c>
      <c r="J798" s="18" t="s">
        <v>1802</v>
      </c>
      <c r="K798" s="3">
        <v>13153.98</v>
      </c>
      <c r="L798" s="7" t="s">
        <v>2246</v>
      </c>
      <c r="M798" s="7">
        <f t="shared" si="50"/>
        <v>13.153979999999999</v>
      </c>
      <c r="N798" s="7">
        <f t="shared" si="52"/>
        <v>4083.0480079200001</v>
      </c>
    </row>
    <row r="799" spans="1:14" ht="15.6" x14ac:dyDescent="0.3">
      <c r="A799" s="18" t="s">
        <v>1729</v>
      </c>
      <c r="B799" s="7">
        <v>6</v>
      </c>
      <c r="C799" s="7">
        <v>13</v>
      </c>
      <c r="D799" s="7" t="s">
        <v>2261</v>
      </c>
      <c r="E799" s="7">
        <v>23000000</v>
      </c>
      <c r="F799" s="7">
        <f t="shared" si="51"/>
        <v>23000000</v>
      </c>
      <c r="G799" s="7">
        <f t="shared" si="53"/>
        <v>74096.983286297851</v>
      </c>
      <c r="H799" s="7" t="s">
        <v>2260</v>
      </c>
      <c r="I799" s="18" t="s">
        <v>1812</v>
      </c>
      <c r="J799" s="18" t="s">
        <v>1802</v>
      </c>
      <c r="K799" s="3">
        <v>24633.39</v>
      </c>
      <c r="L799" s="7" t="s">
        <v>2246</v>
      </c>
      <c r="M799" s="7">
        <f t="shared" si="50"/>
        <v>24.633389999999999</v>
      </c>
      <c r="N799" s="7">
        <f t="shared" si="52"/>
        <v>7646.3027895600007</v>
      </c>
    </row>
    <row r="800" spans="1:14" ht="15.6" x14ac:dyDescent="0.3">
      <c r="A800" s="18" t="s">
        <v>1729</v>
      </c>
      <c r="B800" s="7">
        <v>6</v>
      </c>
      <c r="C800" s="7">
        <v>13</v>
      </c>
      <c r="D800" s="7" t="s">
        <v>2261</v>
      </c>
      <c r="E800" s="7">
        <v>23000000</v>
      </c>
      <c r="F800" s="7">
        <f t="shared" si="51"/>
        <v>23000000</v>
      </c>
      <c r="G800" s="7">
        <f t="shared" si="53"/>
        <v>74096.983286297851</v>
      </c>
      <c r="H800" s="7" t="s">
        <v>2260</v>
      </c>
      <c r="I800" s="18" t="s">
        <v>1812</v>
      </c>
      <c r="J800" s="18" t="s">
        <v>1802</v>
      </c>
      <c r="K800" s="3">
        <v>6074.74</v>
      </c>
      <c r="L800" s="7" t="s">
        <v>2246</v>
      </c>
      <c r="M800" s="7">
        <f t="shared" si="50"/>
        <v>6.0747399999999994</v>
      </c>
      <c r="N800" s="7">
        <f t="shared" si="52"/>
        <v>1885.6235949600002</v>
      </c>
    </row>
    <row r="801" spans="1:14" ht="15.6" x14ac:dyDescent="0.3">
      <c r="A801" s="18" t="s">
        <v>1729</v>
      </c>
      <c r="B801" s="7">
        <v>6</v>
      </c>
      <c r="C801" s="7">
        <v>13</v>
      </c>
      <c r="D801" s="7" t="s">
        <v>2261</v>
      </c>
      <c r="E801" s="7">
        <v>23000000</v>
      </c>
      <c r="F801" s="7">
        <f t="shared" si="51"/>
        <v>23000000</v>
      </c>
      <c r="G801" s="7">
        <f t="shared" si="53"/>
        <v>74096.983286297851</v>
      </c>
      <c r="H801" s="7" t="s">
        <v>2260</v>
      </c>
      <c r="I801" s="18" t="s">
        <v>1812</v>
      </c>
      <c r="J801" s="18" t="s">
        <v>1802</v>
      </c>
      <c r="K801" s="3">
        <v>5510.52</v>
      </c>
      <c r="L801" s="7" t="s">
        <v>2246</v>
      </c>
      <c r="M801" s="7">
        <f t="shared" si="50"/>
        <v>5.5105200000000005</v>
      </c>
      <c r="N801" s="7">
        <f t="shared" si="52"/>
        <v>1710.4874500800004</v>
      </c>
    </row>
    <row r="802" spans="1:14" ht="15.6" x14ac:dyDescent="0.3">
      <c r="A802" s="18" t="s">
        <v>1729</v>
      </c>
      <c r="B802" s="7">
        <v>6</v>
      </c>
      <c r="C802" s="7">
        <v>13</v>
      </c>
      <c r="D802" s="7" t="s">
        <v>2261</v>
      </c>
      <c r="E802" s="7">
        <v>23000000</v>
      </c>
      <c r="F802" s="7">
        <f t="shared" si="51"/>
        <v>23000000</v>
      </c>
      <c r="G802" s="7">
        <f t="shared" si="53"/>
        <v>74096.983286297851</v>
      </c>
      <c r="H802" s="7" t="s">
        <v>2260</v>
      </c>
      <c r="I802" s="18" t="s">
        <v>1812</v>
      </c>
      <c r="J802" s="18" t="s">
        <v>1802</v>
      </c>
      <c r="K802" s="3">
        <v>6414.84</v>
      </c>
      <c r="L802" s="7" t="s">
        <v>2246</v>
      </c>
      <c r="M802" s="7">
        <f t="shared" si="50"/>
        <v>6.4148399999999999</v>
      </c>
      <c r="N802" s="7">
        <f t="shared" si="52"/>
        <v>1991.1919953600002</v>
      </c>
    </row>
    <row r="803" spans="1:14" ht="15.6" x14ac:dyDescent="0.3">
      <c r="A803" s="18" t="s">
        <v>1729</v>
      </c>
      <c r="B803" s="7">
        <v>6</v>
      </c>
      <c r="C803" s="7">
        <v>13</v>
      </c>
      <c r="D803" s="7" t="s">
        <v>2261</v>
      </c>
      <c r="E803" s="7">
        <v>23000000</v>
      </c>
      <c r="F803" s="7">
        <f t="shared" si="51"/>
        <v>23000000</v>
      </c>
      <c r="G803" s="7">
        <f t="shared" si="53"/>
        <v>74096.983286297851</v>
      </c>
      <c r="H803" s="7" t="s">
        <v>2260</v>
      </c>
      <c r="I803" s="18" t="s">
        <v>1812</v>
      </c>
      <c r="J803" s="18" t="s">
        <v>1802</v>
      </c>
      <c r="K803" s="3">
        <v>6069.82</v>
      </c>
      <c r="L803" s="7" t="s">
        <v>2246</v>
      </c>
      <c r="M803" s="7">
        <f t="shared" si="50"/>
        <v>6.06982</v>
      </c>
      <c r="N803" s="7">
        <f t="shared" si="52"/>
        <v>1884.0964072800002</v>
      </c>
    </row>
    <row r="804" spans="1:14" ht="15.6" x14ac:dyDescent="0.3">
      <c r="A804" s="18" t="s">
        <v>1729</v>
      </c>
      <c r="B804" s="7">
        <v>6</v>
      </c>
      <c r="C804" s="7">
        <v>13</v>
      </c>
      <c r="D804" s="7" t="s">
        <v>2261</v>
      </c>
      <c r="E804" s="7">
        <v>23000000</v>
      </c>
      <c r="F804" s="7">
        <f t="shared" si="51"/>
        <v>23000000</v>
      </c>
      <c r="G804" s="7">
        <f t="shared" si="53"/>
        <v>74096.983286297851</v>
      </c>
      <c r="H804" s="7" t="s">
        <v>2260</v>
      </c>
      <c r="I804" s="18" t="s">
        <v>1812</v>
      </c>
      <c r="J804" s="18" t="s">
        <v>1802</v>
      </c>
      <c r="K804" s="3">
        <v>5638.97</v>
      </c>
      <c r="L804" s="7" t="s">
        <v>2246</v>
      </c>
      <c r="M804" s="7">
        <f t="shared" si="50"/>
        <v>5.6389700000000005</v>
      </c>
      <c r="N804" s="7">
        <f t="shared" si="52"/>
        <v>1750.3588438800004</v>
      </c>
    </row>
    <row r="805" spans="1:14" ht="15.6" x14ac:dyDescent="0.3">
      <c r="A805" s="18" t="s">
        <v>1729</v>
      </c>
      <c r="B805" s="7">
        <v>6</v>
      </c>
      <c r="C805" s="7">
        <v>13</v>
      </c>
      <c r="D805" s="7" t="s">
        <v>2261</v>
      </c>
      <c r="E805" s="7">
        <v>23000000</v>
      </c>
      <c r="F805" s="7">
        <f t="shared" si="51"/>
        <v>23000000</v>
      </c>
      <c r="G805" s="7">
        <f t="shared" si="53"/>
        <v>74096.983286297851</v>
      </c>
      <c r="H805" s="7" t="s">
        <v>2260</v>
      </c>
      <c r="I805" s="18" t="s">
        <v>1812</v>
      </c>
      <c r="J805" s="18" t="s">
        <v>1802</v>
      </c>
      <c r="K805" s="3" t="s">
        <v>1716</v>
      </c>
      <c r="L805" s="7" t="s">
        <v>2246</v>
      </c>
      <c r="M805" s="7" t="str">
        <f t="shared" si="50"/>
        <v>ND</v>
      </c>
      <c r="N805" s="7" t="str">
        <f t="shared" si="52"/>
        <v>ND</v>
      </c>
    </row>
    <row r="806" spans="1:14" ht="15.6" x14ac:dyDescent="0.3">
      <c r="A806" s="18" t="s">
        <v>1729</v>
      </c>
      <c r="B806" s="7">
        <v>6</v>
      </c>
      <c r="C806" s="7">
        <v>13</v>
      </c>
      <c r="D806" s="7" t="s">
        <v>2261</v>
      </c>
      <c r="E806" s="7">
        <v>23000000</v>
      </c>
      <c r="F806" s="7">
        <f t="shared" si="51"/>
        <v>23000000</v>
      </c>
      <c r="G806" s="7">
        <f t="shared" si="53"/>
        <v>74096.983286297851</v>
      </c>
      <c r="H806" s="7" t="s">
        <v>2260</v>
      </c>
      <c r="I806" s="18" t="s">
        <v>1812</v>
      </c>
      <c r="J806" s="18" t="s">
        <v>1802</v>
      </c>
      <c r="K806" s="3">
        <v>20563.2</v>
      </c>
      <c r="L806" s="7" t="s">
        <v>2246</v>
      </c>
      <c r="M806" s="7">
        <f t="shared" si="50"/>
        <v>20.563200000000002</v>
      </c>
      <c r="N806" s="7">
        <f t="shared" si="52"/>
        <v>6382.899532800001</v>
      </c>
    </row>
    <row r="807" spans="1:14" ht="15.6" x14ac:dyDescent="0.3">
      <c r="A807" s="18" t="s">
        <v>1729</v>
      </c>
      <c r="B807" s="7">
        <v>6</v>
      </c>
      <c r="C807" s="7">
        <v>13</v>
      </c>
      <c r="D807" s="7" t="s">
        <v>2261</v>
      </c>
      <c r="E807" s="7">
        <v>23000000</v>
      </c>
      <c r="F807" s="7">
        <f t="shared" si="51"/>
        <v>23000000</v>
      </c>
      <c r="G807" s="7">
        <f t="shared" si="53"/>
        <v>74096.983286297851</v>
      </c>
      <c r="H807" s="7" t="s">
        <v>2260</v>
      </c>
      <c r="I807" s="18" t="s">
        <v>1812</v>
      </c>
      <c r="J807" s="18" t="s">
        <v>1802</v>
      </c>
      <c r="K807" s="3">
        <v>7257.39</v>
      </c>
      <c r="L807" s="7" t="s">
        <v>2246</v>
      </c>
      <c r="M807" s="7">
        <f t="shared" si="50"/>
        <v>7.25739</v>
      </c>
      <c r="N807" s="7">
        <f t="shared" si="52"/>
        <v>2252.7228855600001</v>
      </c>
    </row>
    <row r="808" spans="1:14" ht="15.6" x14ac:dyDescent="0.3">
      <c r="A808" s="18" t="s">
        <v>1741</v>
      </c>
      <c r="B808" s="7">
        <v>6</v>
      </c>
      <c r="C808" s="7">
        <v>13</v>
      </c>
      <c r="D808" s="7" t="s">
        <v>2261</v>
      </c>
      <c r="E808" s="7">
        <v>23000000</v>
      </c>
      <c r="F808" s="7">
        <f t="shared" si="51"/>
        <v>23000000</v>
      </c>
      <c r="G808" s="7">
        <f t="shared" si="53"/>
        <v>74096.983286297851</v>
      </c>
      <c r="H808" s="7" t="s">
        <v>2260</v>
      </c>
      <c r="I808" s="18" t="s">
        <v>1812</v>
      </c>
      <c r="J808" s="18" t="s">
        <v>1802</v>
      </c>
      <c r="K808" s="3">
        <v>1183.8499999999999</v>
      </c>
      <c r="L808" s="7" t="s">
        <v>2246</v>
      </c>
      <c r="M808" s="7">
        <f t="shared" si="50"/>
        <v>1.1838499999999998</v>
      </c>
      <c r="N808" s="7">
        <f t="shared" si="52"/>
        <v>367.47177539999996</v>
      </c>
    </row>
    <row r="809" spans="1:14" ht="15.6" x14ac:dyDescent="0.3">
      <c r="A809" s="18" t="s">
        <v>1741</v>
      </c>
      <c r="B809" s="7">
        <v>6</v>
      </c>
      <c r="C809" s="7">
        <v>13</v>
      </c>
      <c r="D809" s="7" t="s">
        <v>2261</v>
      </c>
      <c r="E809" s="7">
        <v>23000000</v>
      </c>
      <c r="F809" s="7">
        <f t="shared" si="51"/>
        <v>23000000</v>
      </c>
      <c r="G809" s="7">
        <f t="shared" si="53"/>
        <v>74096.983286297851</v>
      </c>
      <c r="H809" s="7" t="s">
        <v>2260</v>
      </c>
      <c r="I809" s="18" t="s">
        <v>1812</v>
      </c>
      <c r="J809" s="18" t="s">
        <v>1802</v>
      </c>
      <c r="K809" s="3">
        <v>768.91</v>
      </c>
      <c r="L809" s="7" t="s">
        <v>2246</v>
      </c>
      <c r="M809" s="7">
        <f t="shared" si="50"/>
        <v>0.76890999999999998</v>
      </c>
      <c r="N809" s="7">
        <f t="shared" si="52"/>
        <v>238.67273964000003</v>
      </c>
    </row>
    <row r="810" spans="1:14" ht="15.6" x14ac:dyDescent="0.3">
      <c r="A810" s="18" t="s">
        <v>1741</v>
      </c>
      <c r="B810" s="7">
        <v>6</v>
      </c>
      <c r="C810" s="7">
        <v>13</v>
      </c>
      <c r="D810" s="7" t="s">
        <v>2261</v>
      </c>
      <c r="E810" s="7">
        <v>23000000</v>
      </c>
      <c r="F810" s="7">
        <f t="shared" si="51"/>
        <v>23000000</v>
      </c>
      <c r="G810" s="7">
        <f t="shared" si="53"/>
        <v>74096.983286297851</v>
      </c>
      <c r="H810" s="7" t="s">
        <v>2260</v>
      </c>
      <c r="I810" s="18" t="s">
        <v>1812</v>
      </c>
      <c r="J810" s="18" t="s">
        <v>1802</v>
      </c>
      <c r="K810" s="3">
        <v>289.26</v>
      </c>
      <c r="L810" s="7" t="s">
        <v>2246</v>
      </c>
      <c r="M810" s="7">
        <f t="shared" ref="M810:M873" si="54">IFERROR(K810/1000,"ND")</f>
        <v>0.28926000000000002</v>
      </c>
      <c r="N810" s="7">
        <f t="shared" si="52"/>
        <v>89.787461040000011</v>
      </c>
    </row>
    <row r="811" spans="1:14" ht="15.6" x14ac:dyDescent="0.3">
      <c r="A811" s="18" t="s">
        <v>1741</v>
      </c>
      <c r="B811" s="7">
        <v>6</v>
      </c>
      <c r="C811" s="7">
        <v>13</v>
      </c>
      <c r="D811" s="7" t="s">
        <v>2261</v>
      </c>
      <c r="E811" s="7">
        <v>23000000</v>
      </c>
      <c r="F811" s="7">
        <f t="shared" si="51"/>
        <v>23000000</v>
      </c>
      <c r="G811" s="7">
        <f t="shared" si="53"/>
        <v>74096.983286297851</v>
      </c>
      <c r="H811" s="7" t="s">
        <v>2260</v>
      </c>
      <c r="I811" s="18" t="s">
        <v>1812</v>
      </c>
      <c r="J811" s="18" t="s">
        <v>1802</v>
      </c>
      <c r="K811" s="3">
        <v>787.75</v>
      </c>
      <c r="L811" s="7" t="s">
        <v>2246</v>
      </c>
      <c r="M811" s="7">
        <f t="shared" si="54"/>
        <v>0.78774999999999995</v>
      </c>
      <c r="N811" s="7">
        <f t="shared" si="52"/>
        <v>244.52075100000002</v>
      </c>
    </row>
    <row r="812" spans="1:14" ht="15.6" x14ac:dyDescent="0.3">
      <c r="A812" s="18" t="s">
        <v>1741</v>
      </c>
      <c r="B812" s="7">
        <v>6</v>
      </c>
      <c r="C812" s="7">
        <v>13</v>
      </c>
      <c r="D812" s="7" t="s">
        <v>2261</v>
      </c>
      <c r="E812" s="7">
        <v>23000000</v>
      </c>
      <c r="F812" s="7">
        <f t="shared" si="51"/>
        <v>23000000</v>
      </c>
      <c r="G812" s="7">
        <f t="shared" si="53"/>
        <v>74096.983286297851</v>
      </c>
      <c r="H812" s="7" t="s">
        <v>2260</v>
      </c>
      <c r="I812" s="18" t="s">
        <v>1812</v>
      </c>
      <c r="J812" s="18" t="s">
        <v>1802</v>
      </c>
      <c r="K812" s="3">
        <v>656.99</v>
      </c>
      <c r="L812" s="7" t="s">
        <v>2246</v>
      </c>
      <c r="M812" s="7">
        <f t="shared" si="54"/>
        <v>0.65698999999999996</v>
      </c>
      <c r="N812" s="7">
        <f t="shared" si="52"/>
        <v>203.93232396000002</v>
      </c>
    </row>
    <row r="813" spans="1:14" ht="15.6" x14ac:dyDescent="0.3">
      <c r="A813" s="18" t="s">
        <v>1741</v>
      </c>
      <c r="B813" s="7">
        <v>6</v>
      </c>
      <c r="C813" s="7">
        <v>13</v>
      </c>
      <c r="D813" s="7" t="s">
        <v>2261</v>
      </c>
      <c r="E813" s="7">
        <v>23000000</v>
      </c>
      <c r="F813" s="7">
        <f t="shared" si="51"/>
        <v>23000000</v>
      </c>
      <c r="G813" s="7">
        <f t="shared" si="53"/>
        <v>74096.983286297851</v>
      </c>
      <c r="H813" s="7" t="s">
        <v>2260</v>
      </c>
      <c r="I813" s="18" t="s">
        <v>1812</v>
      </c>
      <c r="J813" s="18" t="s">
        <v>1802</v>
      </c>
      <c r="K813" s="3">
        <v>1013.35</v>
      </c>
      <c r="L813" s="7" t="s">
        <v>2246</v>
      </c>
      <c r="M813" s="7">
        <f t="shared" si="54"/>
        <v>1.01335</v>
      </c>
      <c r="N813" s="7">
        <f t="shared" si="52"/>
        <v>314.54789340000002</v>
      </c>
    </row>
    <row r="814" spans="1:14" ht="15.6" x14ac:dyDescent="0.3">
      <c r="A814" s="18" t="s">
        <v>1741</v>
      </c>
      <c r="B814" s="7">
        <v>6</v>
      </c>
      <c r="C814" s="7">
        <v>13</v>
      </c>
      <c r="D814" s="7" t="s">
        <v>2261</v>
      </c>
      <c r="E814" s="7">
        <v>23000000</v>
      </c>
      <c r="F814" s="7">
        <f t="shared" si="51"/>
        <v>23000000</v>
      </c>
      <c r="G814" s="7">
        <f t="shared" si="53"/>
        <v>74096.983286297851</v>
      </c>
      <c r="H814" s="7" t="s">
        <v>2260</v>
      </c>
      <c r="I814" s="18" t="s">
        <v>1812</v>
      </c>
      <c r="J814" s="18" t="s">
        <v>1802</v>
      </c>
      <c r="K814" s="3">
        <v>660.37</v>
      </c>
      <c r="L814" s="7" t="s">
        <v>2246</v>
      </c>
      <c r="M814" s="7">
        <f t="shared" si="54"/>
        <v>0.66037000000000001</v>
      </c>
      <c r="N814" s="7">
        <f t="shared" si="52"/>
        <v>204.98148948000002</v>
      </c>
    </row>
    <row r="815" spans="1:14" ht="15.6" x14ac:dyDescent="0.3">
      <c r="A815" s="18" t="s">
        <v>1741</v>
      </c>
      <c r="B815" s="7">
        <v>6</v>
      </c>
      <c r="C815" s="7">
        <v>13</v>
      </c>
      <c r="D815" s="7" t="s">
        <v>2261</v>
      </c>
      <c r="E815" s="7">
        <v>23000000</v>
      </c>
      <c r="F815" s="7">
        <f t="shared" si="51"/>
        <v>23000000</v>
      </c>
      <c r="G815" s="7">
        <f t="shared" si="53"/>
        <v>74096.983286297851</v>
      </c>
      <c r="H815" s="7" t="s">
        <v>2260</v>
      </c>
      <c r="I815" s="18" t="s">
        <v>1812</v>
      </c>
      <c r="J815" s="18" t="s">
        <v>1802</v>
      </c>
      <c r="K815" s="3">
        <v>1285.67</v>
      </c>
      <c r="L815" s="7" t="s">
        <v>2246</v>
      </c>
      <c r="M815" s="7">
        <f t="shared" si="54"/>
        <v>1.2856700000000001</v>
      </c>
      <c r="N815" s="7">
        <f t="shared" si="52"/>
        <v>399.07711068000009</v>
      </c>
    </row>
    <row r="816" spans="1:14" ht="15.6" x14ac:dyDescent="0.3">
      <c r="A816" s="18" t="s">
        <v>1741</v>
      </c>
      <c r="B816" s="7">
        <v>6</v>
      </c>
      <c r="C816" s="7">
        <v>13</v>
      </c>
      <c r="D816" s="7" t="s">
        <v>2261</v>
      </c>
      <c r="E816" s="7">
        <v>23000000</v>
      </c>
      <c r="F816" s="7">
        <f t="shared" si="51"/>
        <v>23000000</v>
      </c>
      <c r="G816" s="7">
        <f t="shared" si="53"/>
        <v>74096.983286297851</v>
      </c>
      <c r="H816" s="7" t="s">
        <v>2260</v>
      </c>
      <c r="I816" s="18" t="s">
        <v>1812</v>
      </c>
      <c r="J816" s="18" t="s">
        <v>1802</v>
      </c>
      <c r="K816" s="3">
        <v>939.39</v>
      </c>
      <c r="L816" s="7" t="s">
        <v>2246</v>
      </c>
      <c r="M816" s="7">
        <f t="shared" si="54"/>
        <v>0.93938999999999995</v>
      </c>
      <c r="N816" s="7">
        <f t="shared" si="52"/>
        <v>291.59041356</v>
      </c>
    </row>
    <row r="817" spans="1:14" ht="15.6" x14ac:dyDescent="0.3">
      <c r="A817" s="18" t="s">
        <v>1741</v>
      </c>
      <c r="B817" s="7">
        <v>6</v>
      </c>
      <c r="C817" s="7">
        <v>13</v>
      </c>
      <c r="D817" s="7" t="s">
        <v>2261</v>
      </c>
      <c r="E817" s="7">
        <v>23000000</v>
      </c>
      <c r="F817" s="7">
        <f t="shared" si="51"/>
        <v>23000000</v>
      </c>
      <c r="G817" s="7">
        <f t="shared" si="53"/>
        <v>74096.983286297851</v>
      </c>
      <c r="H817" s="7" t="s">
        <v>2260</v>
      </c>
      <c r="I817" s="18" t="s">
        <v>1812</v>
      </c>
      <c r="J817" s="18" t="s">
        <v>1802</v>
      </c>
      <c r="K817" s="3">
        <v>1320.17</v>
      </c>
      <c r="L817" s="7" t="s">
        <v>2246</v>
      </c>
      <c r="M817" s="7">
        <f t="shared" si="54"/>
        <v>1.3201700000000001</v>
      </c>
      <c r="N817" s="7">
        <f t="shared" si="52"/>
        <v>409.78604868000002</v>
      </c>
    </row>
    <row r="818" spans="1:14" ht="15.6" x14ac:dyDescent="0.3">
      <c r="A818" s="18" t="s">
        <v>1741</v>
      </c>
      <c r="B818" s="7">
        <v>6</v>
      </c>
      <c r="C818" s="7">
        <v>13</v>
      </c>
      <c r="D818" s="7" t="s">
        <v>2261</v>
      </c>
      <c r="E818" s="7">
        <v>23000000</v>
      </c>
      <c r="F818" s="7">
        <f t="shared" si="51"/>
        <v>23000000</v>
      </c>
      <c r="G818" s="7">
        <f t="shared" si="53"/>
        <v>74096.983286297851</v>
      </c>
      <c r="H818" s="7" t="s">
        <v>2260</v>
      </c>
      <c r="I818" s="18" t="s">
        <v>1812</v>
      </c>
      <c r="J818" s="18" t="s">
        <v>1802</v>
      </c>
      <c r="K818" s="3">
        <v>1155.6400000000001</v>
      </c>
      <c r="L818" s="7" t="s">
        <v>2246</v>
      </c>
      <c r="M818" s="7">
        <f t="shared" si="54"/>
        <v>1.15564</v>
      </c>
      <c r="N818" s="7">
        <f t="shared" si="52"/>
        <v>358.71527856</v>
      </c>
    </row>
    <row r="819" spans="1:14" ht="15.6" x14ac:dyDescent="0.3">
      <c r="A819" s="18" t="s">
        <v>1741</v>
      </c>
      <c r="B819" s="7">
        <v>6</v>
      </c>
      <c r="C819" s="7">
        <v>13</v>
      </c>
      <c r="D819" s="7" t="s">
        <v>2261</v>
      </c>
      <c r="E819" s="7">
        <v>23000000</v>
      </c>
      <c r="F819" s="7">
        <f t="shared" si="51"/>
        <v>23000000</v>
      </c>
      <c r="G819" s="7">
        <f t="shared" si="53"/>
        <v>74096.983286297851</v>
      </c>
      <c r="H819" s="7" t="s">
        <v>2260</v>
      </c>
      <c r="I819" s="18" t="s">
        <v>1812</v>
      </c>
      <c r="J819" s="18" t="s">
        <v>1802</v>
      </c>
      <c r="K819" s="3">
        <v>778.6</v>
      </c>
      <c r="L819" s="7" t="s">
        <v>2246</v>
      </c>
      <c r="M819" s="7">
        <f t="shared" si="54"/>
        <v>0.77860000000000007</v>
      </c>
      <c r="N819" s="7">
        <f t="shared" si="52"/>
        <v>241.68055440000001</v>
      </c>
    </row>
    <row r="820" spans="1:14" ht="15.6" x14ac:dyDescent="0.3">
      <c r="A820" s="18" t="s">
        <v>1741</v>
      </c>
      <c r="B820" s="7">
        <v>6</v>
      </c>
      <c r="C820" s="7">
        <v>13</v>
      </c>
      <c r="D820" s="7" t="s">
        <v>2261</v>
      </c>
      <c r="E820" s="7">
        <v>23000000</v>
      </c>
      <c r="F820" s="7">
        <f t="shared" si="51"/>
        <v>23000000</v>
      </c>
      <c r="G820" s="7">
        <f t="shared" si="53"/>
        <v>74096.983286297851</v>
      </c>
      <c r="H820" s="7" t="s">
        <v>2260</v>
      </c>
      <c r="I820" s="18" t="s">
        <v>1812</v>
      </c>
      <c r="J820" s="18" t="s">
        <v>1802</v>
      </c>
      <c r="K820" s="3">
        <v>928.22</v>
      </c>
      <c r="L820" s="7" t="s">
        <v>2246</v>
      </c>
      <c r="M820" s="7">
        <f t="shared" si="54"/>
        <v>0.92822000000000005</v>
      </c>
      <c r="N820" s="7">
        <f t="shared" si="52"/>
        <v>288.12320088000001</v>
      </c>
    </row>
    <row r="821" spans="1:14" ht="15.6" x14ac:dyDescent="0.3">
      <c r="A821" s="18" t="s">
        <v>1741</v>
      </c>
      <c r="B821" s="7">
        <v>6</v>
      </c>
      <c r="C821" s="7">
        <v>13</v>
      </c>
      <c r="D821" s="7" t="s">
        <v>2261</v>
      </c>
      <c r="E821" s="7">
        <v>23000000</v>
      </c>
      <c r="F821" s="7">
        <f t="shared" si="51"/>
        <v>23000000</v>
      </c>
      <c r="G821" s="7">
        <f t="shared" si="53"/>
        <v>74096.983286297851</v>
      </c>
      <c r="H821" s="7" t="s">
        <v>2260</v>
      </c>
      <c r="I821" s="18" t="s">
        <v>1812</v>
      </c>
      <c r="J821" s="18" t="s">
        <v>1802</v>
      </c>
      <c r="K821" s="3">
        <v>958.69</v>
      </c>
      <c r="L821" s="7" t="s">
        <v>2246</v>
      </c>
      <c r="M821" s="7">
        <f t="shared" si="54"/>
        <v>0.95869000000000004</v>
      </c>
      <c r="N821" s="7">
        <f t="shared" si="52"/>
        <v>297.58121076000003</v>
      </c>
    </row>
    <row r="822" spans="1:14" ht="15.6" x14ac:dyDescent="0.3">
      <c r="A822" s="18" t="s">
        <v>1741</v>
      </c>
      <c r="B822" s="7">
        <v>6</v>
      </c>
      <c r="C822" s="7">
        <v>13</v>
      </c>
      <c r="D822" s="7" t="s">
        <v>2261</v>
      </c>
      <c r="E822" s="7">
        <v>23000000</v>
      </c>
      <c r="F822" s="7">
        <f t="shared" si="51"/>
        <v>23000000</v>
      </c>
      <c r="G822" s="7">
        <f t="shared" si="53"/>
        <v>74096.983286297851</v>
      </c>
      <c r="H822" s="7" t="s">
        <v>2260</v>
      </c>
      <c r="I822" s="18" t="s">
        <v>1812</v>
      </c>
      <c r="J822" s="18" t="s">
        <v>1802</v>
      </c>
      <c r="K822" s="3">
        <v>982.73</v>
      </c>
      <c r="L822" s="7" t="s">
        <v>2246</v>
      </c>
      <c r="M822" s="7">
        <f t="shared" si="54"/>
        <v>0.98272999999999999</v>
      </c>
      <c r="N822" s="7">
        <f t="shared" si="52"/>
        <v>305.04332292000004</v>
      </c>
    </row>
    <row r="823" spans="1:14" ht="15.6" x14ac:dyDescent="0.3">
      <c r="A823" s="18" t="s">
        <v>1741</v>
      </c>
      <c r="B823" s="7">
        <v>6</v>
      </c>
      <c r="C823" s="7">
        <v>13</v>
      </c>
      <c r="D823" s="7" t="s">
        <v>2261</v>
      </c>
      <c r="E823" s="7">
        <v>23000000</v>
      </c>
      <c r="F823" s="7">
        <f t="shared" ref="F823:F886" si="55">E823</f>
        <v>23000000</v>
      </c>
      <c r="G823" s="7">
        <f t="shared" si="53"/>
        <v>74096.983286297851</v>
      </c>
      <c r="H823" s="7" t="s">
        <v>2260</v>
      </c>
      <c r="I823" s="18" t="s">
        <v>1812</v>
      </c>
      <c r="J823" s="18" t="s">
        <v>1802</v>
      </c>
      <c r="K823" s="3">
        <v>19.649999999999999</v>
      </c>
      <c r="L823" s="7" t="s">
        <v>2246</v>
      </c>
      <c r="M823" s="7">
        <f t="shared" si="54"/>
        <v>1.9649999999999997E-2</v>
      </c>
      <c r="N823" s="7">
        <f t="shared" si="52"/>
        <v>6.0994386</v>
      </c>
    </row>
    <row r="824" spans="1:14" ht="15.6" x14ac:dyDescent="0.3">
      <c r="A824" s="18" t="s">
        <v>1741</v>
      </c>
      <c r="B824" s="7">
        <v>6</v>
      </c>
      <c r="C824" s="7">
        <v>13</v>
      </c>
      <c r="D824" s="7" t="s">
        <v>2261</v>
      </c>
      <c r="E824" s="7">
        <v>23000000</v>
      </c>
      <c r="F824" s="7">
        <f t="shared" si="55"/>
        <v>23000000</v>
      </c>
      <c r="G824" s="7">
        <f t="shared" si="53"/>
        <v>74096.983286297851</v>
      </c>
      <c r="H824" s="7" t="s">
        <v>2260</v>
      </c>
      <c r="I824" s="18" t="s">
        <v>1812</v>
      </c>
      <c r="J824" s="18" t="s">
        <v>1802</v>
      </c>
      <c r="K824" s="3">
        <v>916.49</v>
      </c>
      <c r="L824" s="7" t="s">
        <v>2246</v>
      </c>
      <c r="M824" s="7">
        <f t="shared" si="54"/>
        <v>0.91649000000000003</v>
      </c>
      <c r="N824" s="7">
        <f t="shared" si="52"/>
        <v>284.48216196000004</v>
      </c>
    </row>
    <row r="825" spans="1:14" ht="15.6" x14ac:dyDescent="0.3">
      <c r="A825" s="18" t="s">
        <v>1741</v>
      </c>
      <c r="B825" s="7">
        <v>6</v>
      </c>
      <c r="C825" s="7">
        <v>13</v>
      </c>
      <c r="D825" s="7" t="s">
        <v>2261</v>
      </c>
      <c r="E825" s="7">
        <v>23000000</v>
      </c>
      <c r="F825" s="7">
        <f t="shared" si="55"/>
        <v>23000000</v>
      </c>
      <c r="G825" s="7">
        <f t="shared" si="53"/>
        <v>74096.983286297851</v>
      </c>
      <c r="H825" s="7" t="s">
        <v>2260</v>
      </c>
      <c r="I825" s="18" t="s">
        <v>1812</v>
      </c>
      <c r="J825" s="18" t="s">
        <v>1802</v>
      </c>
      <c r="K825" s="3">
        <v>918.52</v>
      </c>
      <c r="L825" s="7" t="s">
        <v>2246</v>
      </c>
      <c r="M825" s="7">
        <f t="shared" si="54"/>
        <v>0.91852</v>
      </c>
      <c r="N825" s="7">
        <f t="shared" si="52"/>
        <v>285.11228208</v>
      </c>
    </row>
    <row r="826" spans="1:14" ht="15.6" x14ac:dyDescent="0.3">
      <c r="A826" s="18" t="s">
        <v>1741</v>
      </c>
      <c r="B826" s="7">
        <v>6</v>
      </c>
      <c r="C826" s="7">
        <v>13</v>
      </c>
      <c r="D826" s="7" t="s">
        <v>2261</v>
      </c>
      <c r="E826" s="7">
        <v>23000000</v>
      </c>
      <c r="F826" s="7">
        <f t="shared" si="55"/>
        <v>23000000</v>
      </c>
      <c r="G826" s="7">
        <f t="shared" si="53"/>
        <v>74096.983286297851</v>
      </c>
      <c r="H826" s="7" t="s">
        <v>2260</v>
      </c>
      <c r="I826" s="18" t="s">
        <v>1812</v>
      </c>
      <c r="J826" s="18" t="s">
        <v>1802</v>
      </c>
      <c r="K826" s="3">
        <v>684.7</v>
      </c>
      <c r="L826" s="7" t="s">
        <v>2246</v>
      </c>
      <c r="M826" s="7">
        <f t="shared" si="54"/>
        <v>0.68470000000000009</v>
      </c>
      <c r="N826" s="7">
        <f t="shared" si="52"/>
        <v>212.53361880000006</v>
      </c>
    </row>
    <row r="827" spans="1:14" ht="15.6" x14ac:dyDescent="0.3">
      <c r="A827" s="18" t="s">
        <v>1741</v>
      </c>
      <c r="B827" s="7">
        <v>6</v>
      </c>
      <c r="C827" s="7">
        <v>13</v>
      </c>
      <c r="D827" s="7" t="s">
        <v>2261</v>
      </c>
      <c r="E827" s="7">
        <v>23000000</v>
      </c>
      <c r="F827" s="7">
        <f t="shared" si="55"/>
        <v>23000000</v>
      </c>
      <c r="G827" s="7">
        <f t="shared" si="53"/>
        <v>74096.983286297851</v>
      </c>
      <c r="H827" s="7" t="s">
        <v>2260</v>
      </c>
      <c r="I827" s="18" t="s">
        <v>1812</v>
      </c>
      <c r="J827" s="18" t="s">
        <v>1802</v>
      </c>
      <c r="K827" s="3">
        <v>343.4</v>
      </c>
      <c r="L827" s="7" t="s">
        <v>2246</v>
      </c>
      <c r="M827" s="7">
        <f t="shared" si="54"/>
        <v>0.34339999999999998</v>
      </c>
      <c r="N827" s="7">
        <f t="shared" si="52"/>
        <v>106.5927336</v>
      </c>
    </row>
    <row r="828" spans="1:14" ht="15.6" x14ac:dyDescent="0.3">
      <c r="A828" s="18" t="s">
        <v>1741</v>
      </c>
      <c r="B828" s="7">
        <v>6</v>
      </c>
      <c r="C828" s="7">
        <v>13</v>
      </c>
      <c r="D828" s="7" t="s">
        <v>2261</v>
      </c>
      <c r="E828" s="7">
        <v>23000000</v>
      </c>
      <c r="F828" s="7">
        <f t="shared" si="55"/>
        <v>23000000</v>
      </c>
      <c r="G828" s="7">
        <f t="shared" si="53"/>
        <v>74096.983286297851</v>
      </c>
      <c r="H828" s="7" t="s">
        <v>2260</v>
      </c>
      <c r="I828" s="18" t="s">
        <v>1812</v>
      </c>
      <c r="J828" s="18" t="s">
        <v>1802</v>
      </c>
      <c r="K828" s="3">
        <v>208.82</v>
      </c>
      <c r="L828" s="7" t="s">
        <v>2246</v>
      </c>
      <c r="M828" s="7">
        <f t="shared" si="54"/>
        <v>0.20882000000000001</v>
      </c>
      <c r="N828" s="7">
        <f t="shared" si="52"/>
        <v>64.818563280000006</v>
      </c>
    </row>
    <row r="829" spans="1:14" ht="15.6" x14ac:dyDescent="0.3">
      <c r="A829" s="18" t="s">
        <v>1741</v>
      </c>
      <c r="B829" s="7">
        <v>6</v>
      </c>
      <c r="C829" s="7">
        <v>13</v>
      </c>
      <c r="D829" s="7" t="s">
        <v>2261</v>
      </c>
      <c r="E829" s="7">
        <v>23000000</v>
      </c>
      <c r="F829" s="7">
        <f t="shared" si="55"/>
        <v>23000000</v>
      </c>
      <c r="G829" s="7">
        <f t="shared" si="53"/>
        <v>74096.983286297851</v>
      </c>
      <c r="H829" s="7" t="s">
        <v>2260</v>
      </c>
      <c r="I829" s="18" t="s">
        <v>1812</v>
      </c>
      <c r="J829" s="18" t="s">
        <v>1802</v>
      </c>
      <c r="K829" s="3">
        <v>341.86</v>
      </c>
      <c r="L829" s="7" t="s">
        <v>2246</v>
      </c>
      <c r="M829" s="7">
        <f t="shared" si="54"/>
        <v>0.34186</v>
      </c>
      <c r="N829" s="7">
        <f t="shared" si="52"/>
        <v>106.11471144000001</v>
      </c>
    </row>
    <row r="830" spans="1:14" ht="15.6" x14ac:dyDescent="0.3">
      <c r="A830" s="18" t="s">
        <v>1741</v>
      </c>
      <c r="B830" s="7">
        <v>6</v>
      </c>
      <c r="C830" s="7">
        <v>13</v>
      </c>
      <c r="D830" s="7" t="s">
        <v>2261</v>
      </c>
      <c r="E830" s="7">
        <v>23000000</v>
      </c>
      <c r="F830" s="7">
        <f t="shared" si="55"/>
        <v>23000000</v>
      </c>
      <c r="G830" s="7">
        <f t="shared" si="53"/>
        <v>74096.983286297851</v>
      </c>
      <c r="H830" s="7" t="s">
        <v>2260</v>
      </c>
      <c r="I830" s="18" t="s">
        <v>1812</v>
      </c>
      <c r="J830" s="18" t="s">
        <v>1802</v>
      </c>
      <c r="K830" s="3">
        <v>223.37</v>
      </c>
      <c r="L830" s="7" t="s">
        <v>2246</v>
      </c>
      <c r="M830" s="7">
        <f t="shared" si="54"/>
        <v>0.22337000000000001</v>
      </c>
      <c r="N830" s="7">
        <f t="shared" si="52"/>
        <v>69.334941480000012</v>
      </c>
    </row>
    <row r="831" spans="1:14" ht="15.6" x14ac:dyDescent="0.3">
      <c r="A831" s="18" t="s">
        <v>1741</v>
      </c>
      <c r="B831" s="7">
        <v>6</v>
      </c>
      <c r="C831" s="7">
        <v>13</v>
      </c>
      <c r="D831" s="7" t="s">
        <v>2261</v>
      </c>
      <c r="E831" s="7">
        <v>23000000</v>
      </c>
      <c r="F831" s="7">
        <f t="shared" si="55"/>
        <v>23000000</v>
      </c>
      <c r="G831" s="7">
        <f t="shared" si="53"/>
        <v>74096.983286297851</v>
      </c>
      <c r="H831" s="7" t="s">
        <v>2260</v>
      </c>
      <c r="I831" s="18" t="s">
        <v>1812</v>
      </c>
      <c r="J831" s="18" t="s">
        <v>1802</v>
      </c>
      <c r="K831" s="3">
        <v>256.83</v>
      </c>
      <c r="L831" s="7" t="s">
        <v>2246</v>
      </c>
      <c r="M831" s="7">
        <f t="shared" si="54"/>
        <v>0.25683</v>
      </c>
      <c r="N831" s="7">
        <f t="shared" si="52"/>
        <v>79.721059320000009</v>
      </c>
    </row>
    <row r="832" spans="1:14" ht="15.6" x14ac:dyDescent="0.3">
      <c r="A832" s="18" t="s">
        <v>1741</v>
      </c>
      <c r="B832" s="7">
        <v>6</v>
      </c>
      <c r="C832" s="7">
        <v>13</v>
      </c>
      <c r="D832" s="7" t="s">
        <v>2261</v>
      </c>
      <c r="E832" s="7">
        <v>23000000</v>
      </c>
      <c r="F832" s="7">
        <f t="shared" si="55"/>
        <v>23000000</v>
      </c>
      <c r="G832" s="7">
        <f t="shared" si="53"/>
        <v>74096.983286297851</v>
      </c>
      <c r="H832" s="7" t="s">
        <v>2260</v>
      </c>
      <c r="I832" s="18" t="s">
        <v>1812</v>
      </c>
      <c r="J832" s="18" t="s">
        <v>1802</v>
      </c>
      <c r="K832" s="3">
        <v>1038.95</v>
      </c>
      <c r="L832" s="7" t="s">
        <v>2246</v>
      </c>
      <c r="M832" s="7">
        <f t="shared" si="54"/>
        <v>1.03895</v>
      </c>
      <c r="N832" s="7">
        <f t="shared" si="52"/>
        <v>322.49423580000001</v>
      </c>
    </row>
    <row r="833" spans="1:14" ht="15.6" x14ac:dyDescent="0.3">
      <c r="A833" s="18" t="s">
        <v>1741</v>
      </c>
      <c r="B833" s="7">
        <v>6</v>
      </c>
      <c r="C833" s="7">
        <v>13</v>
      </c>
      <c r="D833" s="7" t="s">
        <v>2261</v>
      </c>
      <c r="E833" s="7">
        <v>23000000</v>
      </c>
      <c r="F833" s="7">
        <f t="shared" si="55"/>
        <v>23000000</v>
      </c>
      <c r="G833" s="7">
        <f t="shared" si="53"/>
        <v>74096.983286297851</v>
      </c>
      <c r="H833" s="7" t="s">
        <v>2260</v>
      </c>
      <c r="I833" s="18" t="s">
        <v>1812</v>
      </c>
      <c r="J833" s="18" t="s">
        <v>1802</v>
      </c>
      <c r="K833" s="3">
        <v>623.77</v>
      </c>
      <c r="L833" s="7" t="s">
        <v>2246</v>
      </c>
      <c r="M833" s="7">
        <f t="shared" si="54"/>
        <v>0.62376999999999994</v>
      </c>
      <c r="N833" s="7">
        <f t="shared" si="52"/>
        <v>193.62070308</v>
      </c>
    </row>
    <row r="834" spans="1:14" ht="15.6" x14ac:dyDescent="0.3">
      <c r="A834" s="18" t="s">
        <v>1741</v>
      </c>
      <c r="B834" s="7">
        <v>6</v>
      </c>
      <c r="C834" s="7">
        <v>13</v>
      </c>
      <c r="D834" s="7" t="s">
        <v>2261</v>
      </c>
      <c r="E834" s="7">
        <v>23000000</v>
      </c>
      <c r="F834" s="7">
        <f t="shared" si="55"/>
        <v>23000000</v>
      </c>
      <c r="G834" s="7">
        <f t="shared" si="53"/>
        <v>74096.983286297851</v>
      </c>
      <c r="H834" s="7" t="s">
        <v>2260</v>
      </c>
      <c r="I834" s="18" t="s">
        <v>1812</v>
      </c>
      <c r="J834" s="18" t="s">
        <v>1802</v>
      </c>
      <c r="K834" s="3">
        <v>532.29</v>
      </c>
      <c r="L834" s="7" t="s">
        <v>2246</v>
      </c>
      <c r="M834" s="7">
        <f t="shared" si="54"/>
        <v>0.53228999999999993</v>
      </c>
      <c r="N834" s="7">
        <f t="shared" si="52"/>
        <v>165.22494515999998</v>
      </c>
    </row>
    <row r="835" spans="1:14" ht="15.6" x14ac:dyDescent="0.3">
      <c r="A835" s="18" t="s">
        <v>1741</v>
      </c>
      <c r="B835" s="7">
        <v>6</v>
      </c>
      <c r="C835" s="7">
        <v>13</v>
      </c>
      <c r="D835" s="7" t="s">
        <v>2261</v>
      </c>
      <c r="E835" s="7">
        <v>23000000</v>
      </c>
      <c r="F835" s="7">
        <f t="shared" si="55"/>
        <v>23000000</v>
      </c>
      <c r="G835" s="7">
        <f t="shared" si="53"/>
        <v>74096.983286297851</v>
      </c>
      <c r="H835" s="7" t="s">
        <v>2260</v>
      </c>
      <c r="I835" s="18" t="s">
        <v>1812</v>
      </c>
      <c r="J835" s="18" t="s">
        <v>1802</v>
      </c>
      <c r="K835" s="3">
        <v>660.17</v>
      </c>
      <c r="L835" s="7" t="s">
        <v>2246</v>
      </c>
      <c r="M835" s="7">
        <f t="shared" si="54"/>
        <v>0.66016999999999992</v>
      </c>
      <c r="N835" s="7">
        <f t="shared" ref="N835:N898" si="56">IFERROR((M835*F835)/G835,"ND")</f>
        <v>204.91940868</v>
      </c>
    </row>
    <row r="836" spans="1:14" ht="15.6" x14ac:dyDescent="0.3">
      <c r="A836" s="18" t="s">
        <v>1741</v>
      </c>
      <c r="B836" s="7">
        <v>6</v>
      </c>
      <c r="C836" s="7">
        <v>13</v>
      </c>
      <c r="D836" s="7" t="s">
        <v>2261</v>
      </c>
      <c r="E836" s="7">
        <v>23000000</v>
      </c>
      <c r="F836" s="7">
        <f t="shared" si="55"/>
        <v>23000000</v>
      </c>
      <c r="G836" s="7">
        <f t="shared" si="53"/>
        <v>74096.983286297851</v>
      </c>
      <c r="H836" s="7" t="s">
        <v>2260</v>
      </c>
      <c r="I836" s="18" t="s">
        <v>1812</v>
      </c>
      <c r="J836" s="18" t="s">
        <v>1802</v>
      </c>
      <c r="K836" s="3">
        <v>7579.08</v>
      </c>
      <c r="L836" s="7" t="s">
        <v>2246</v>
      </c>
      <c r="M836" s="7">
        <f t="shared" si="54"/>
        <v>7.5790800000000003</v>
      </c>
      <c r="N836" s="7">
        <f t="shared" si="56"/>
        <v>2352.5767483200002</v>
      </c>
    </row>
    <row r="837" spans="1:14" ht="15.6" x14ac:dyDescent="0.3">
      <c r="A837" s="18" t="s">
        <v>1741</v>
      </c>
      <c r="B837" s="7">
        <v>6</v>
      </c>
      <c r="C837" s="7">
        <v>13</v>
      </c>
      <c r="D837" s="7" t="s">
        <v>2261</v>
      </c>
      <c r="E837" s="7">
        <v>23000000</v>
      </c>
      <c r="F837" s="7">
        <f t="shared" si="55"/>
        <v>23000000</v>
      </c>
      <c r="G837" s="7">
        <f t="shared" si="53"/>
        <v>74096.983286297851</v>
      </c>
      <c r="H837" s="7" t="s">
        <v>2260</v>
      </c>
      <c r="I837" s="18" t="s">
        <v>1812</v>
      </c>
      <c r="J837" s="18" t="s">
        <v>1802</v>
      </c>
      <c r="K837" s="3">
        <v>8383.0300000000007</v>
      </c>
      <c r="L837" s="7" t="s">
        <v>2246</v>
      </c>
      <c r="M837" s="7">
        <f t="shared" si="54"/>
        <v>8.3830300000000015</v>
      </c>
      <c r="N837" s="7">
        <f t="shared" si="56"/>
        <v>2602.1260441200006</v>
      </c>
    </row>
    <row r="838" spans="1:14" ht="15.6" x14ac:dyDescent="0.3">
      <c r="A838" s="18" t="s">
        <v>1741</v>
      </c>
      <c r="B838" s="7">
        <v>6</v>
      </c>
      <c r="C838" s="7">
        <v>13</v>
      </c>
      <c r="D838" s="7" t="s">
        <v>2261</v>
      </c>
      <c r="E838" s="7">
        <v>23000000</v>
      </c>
      <c r="F838" s="7">
        <f t="shared" si="55"/>
        <v>23000000</v>
      </c>
      <c r="G838" s="7">
        <f t="shared" si="53"/>
        <v>74096.983286297851</v>
      </c>
      <c r="H838" s="7" t="s">
        <v>2260</v>
      </c>
      <c r="I838" s="18" t="s">
        <v>1812</v>
      </c>
      <c r="J838" s="18" t="s">
        <v>1802</v>
      </c>
      <c r="K838" s="3">
        <v>6769.93</v>
      </c>
      <c r="L838" s="7" t="s">
        <v>2246</v>
      </c>
      <c r="M838" s="7">
        <f t="shared" si="54"/>
        <v>6.7699300000000004</v>
      </c>
      <c r="N838" s="7">
        <f t="shared" si="56"/>
        <v>2101.4133517200003</v>
      </c>
    </row>
    <row r="839" spans="1:14" ht="15.6" x14ac:dyDescent="0.3">
      <c r="A839" s="18" t="s">
        <v>1741</v>
      </c>
      <c r="B839" s="7">
        <v>6</v>
      </c>
      <c r="C839" s="7">
        <v>13</v>
      </c>
      <c r="D839" s="7" t="s">
        <v>2261</v>
      </c>
      <c r="E839" s="7">
        <v>23000000</v>
      </c>
      <c r="F839" s="7">
        <f t="shared" si="55"/>
        <v>23000000</v>
      </c>
      <c r="G839" s="7">
        <f t="shared" si="53"/>
        <v>74096.983286297851</v>
      </c>
      <c r="H839" s="7" t="s">
        <v>2260</v>
      </c>
      <c r="I839" s="18" t="s">
        <v>1812</v>
      </c>
      <c r="J839" s="18" t="s">
        <v>1802</v>
      </c>
      <c r="K839" s="3">
        <v>5478.52</v>
      </c>
      <c r="L839" s="7" t="s">
        <v>2246</v>
      </c>
      <c r="M839" s="7">
        <f t="shared" si="54"/>
        <v>5.4785200000000005</v>
      </c>
      <c r="N839" s="7">
        <f t="shared" si="56"/>
        <v>1700.5545220800004</v>
      </c>
    </row>
    <row r="840" spans="1:14" ht="15.6" x14ac:dyDescent="0.3">
      <c r="A840" s="18" t="s">
        <v>1741</v>
      </c>
      <c r="B840" s="7">
        <v>6</v>
      </c>
      <c r="C840" s="7">
        <v>13</v>
      </c>
      <c r="D840" s="7" t="s">
        <v>2261</v>
      </c>
      <c r="E840" s="7">
        <v>23000000</v>
      </c>
      <c r="F840" s="7">
        <f t="shared" si="55"/>
        <v>23000000</v>
      </c>
      <c r="G840" s="7">
        <f t="shared" si="53"/>
        <v>74096.983286297851</v>
      </c>
      <c r="H840" s="7" t="s">
        <v>2260</v>
      </c>
      <c r="I840" s="18" t="s">
        <v>1812</v>
      </c>
      <c r="J840" s="18" t="s">
        <v>1802</v>
      </c>
      <c r="K840" s="3">
        <v>5921.38</v>
      </c>
      <c r="L840" s="7" t="s">
        <v>2246</v>
      </c>
      <c r="M840" s="7">
        <f t="shared" si="54"/>
        <v>5.9213800000000001</v>
      </c>
      <c r="N840" s="7">
        <f t="shared" si="56"/>
        <v>1838.0200375200002</v>
      </c>
    </row>
    <row r="841" spans="1:14" ht="15.6" x14ac:dyDescent="0.3">
      <c r="A841" s="18" t="s">
        <v>1741</v>
      </c>
      <c r="B841" s="7">
        <v>6</v>
      </c>
      <c r="C841" s="7">
        <v>13</v>
      </c>
      <c r="D841" s="7" t="s">
        <v>2261</v>
      </c>
      <c r="E841" s="7">
        <v>23000000</v>
      </c>
      <c r="F841" s="7">
        <f t="shared" si="55"/>
        <v>23000000</v>
      </c>
      <c r="G841" s="7">
        <f t="shared" si="53"/>
        <v>74096.983286297851</v>
      </c>
      <c r="H841" s="7" t="s">
        <v>2260</v>
      </c>
      <c r="I841" s="18" t="s">
        <v>1812</v>
      </c>
      <c r="J841" s="18" t="s">
        <v>1802</v>
      </c>
      <c r="K841" s="3">
        <v>7827.77</v>
      </c>
      <c r="L841" s="7" t="s">
        <v>2246</v>
      </c>
      <c r="M841" s="7">
        <f t="shared" si="54"/>
        <v>7.8277700000000001</v>
      </c>
      <c r="N841" s="7">
        <f t="shared" si="56"/>
        <v>2429.7711190800001</v>
      </c>
    </row>
    <row r="842" spans="1:14" ht="15.6" x14ac:dyDescent="0.3">
      <c r="A842" s="18" t="s">
        <v>1741</v>
      </c>
      <c r="B842" s="7">
        <v>6</v>
      </c>
      <c r="C842" s="7">
        <v>13</v>
      </c>
      <c r="D842" s="7" t="s">
        <v>2261</v>
      </c>
      <c r="E842" s="7">
        <v>23000000</v>
      </c>
      <c r="F842" s="7">
        <f t="shared" si="55"/>
        <v>23000000</v>
      </c>
      <c r="G842" s="7">
        <f t="shared" si="53"/>
        <v>74096.983286297851</v>
      </c>
      <c r="H842" s="7" t="s">
        <v>2260</v>
      </c>
      <c r="I842" s="18" t="s">
        <v>1812</v>
      </c>
      <c r="J842" s="18" t="s">
        <v>1802</v>
      </c>
      <c r="K842" s="3">
        <v>5599.6</v>
      </c>
      <c r="L842" s="7" t="s">
        <v>2246</v>
      </c>
      <c r="M842" s="7">
        <f t="shared" si="54"/>
        <v>5.5996000000000006</v>
      </c>
      <c r="N842" s="7">
        <f t="shared" si="56"/>
        <v>1738.1382384000003</v>
      </c>
    </row>
    <row r="843" spans="1:14" ht="15.6" x14ac:dyDescent="0.3">
      <c r="A843" s="18" t="s">
        <v>1741</v>
      </c>
      <c r="B843" s="7">
        <v>6</v>
      </c>
      <c r="C843" s="7">
        <v>13</v>
      </c>
      <c r="D843" s="7" t="s">
        <v>2261</v>
      </c>
      <c r="E843" s="7">
        <v>23000000</v>
      </c>
      <c r="F843" s="7">
        <f t="shared" si="55"/>
        <v>23000000</v>
      </c>
      <c r="G843" s="7">
        <f t="shared" si="53"/>
        <v>74096.983286297851</v>
      </c>
      <c r="H843" s="7" t="s">
        <v>2260</v>
      </c>
      <c r="I843" s="18" t="s">
        <v>1812</v>
      </c>
      <c r="J843" s="18" t="s">
        <v>1802</v>
      </c>
      <c r="K843" s="3">
        <v>12838.74</v>
      </c>
      <c r="L843" s="7" t="s">
        <v>2246</v>
      </c>
      <c r="M843" s="7">
        <f t="shared" si="54"/>
        <v>12.83874</v>
      </c>
      <c r="N843" s="7">
        <f t="shared" si="56"/>
        <v>3985.1962509600003</v>
      </c>
    </row>
    <row r="844" spans="1:14" ht="15.6" x14ac:dyDescent="0.3">
      <c r="A844" s="18" t="s">
        <v>1741</v>
      </c>
      <c r="B844" s="7">
        <v>6</v>
      </c>
      <c r="C844" s="7">
        <v>13</v>
      </c>
      <c r="D844" s="7" t="s">
        <v>2261</v>
      </c>
      <c r="E844" s="7">
        <v>23000000</v>
      </c>
      <c r="F844" s="7">
        <f t="shared" si="55"/>
        <v>23000000</v>
      </c>
      <c r="G844" s="7">
        <f t="shared" si="53"/>
        <v>74096.983286297851</v>
      </c>
      <c r="H844" s="7" t="s">
        <v>2260</v>
      </c>
      <c r="I844" s="18" t="s">
        <v>1812</v>
      </c>
      <c r="J844" s="18" t="s">
        <v>1802</v>
      </c>
      <c r="K844" s="3">
        <v>11291.08</v>
      </c>
      <c r="L844" s="7" t="s">
        <v>2246</v>
      </c>
      <c r="M844" s="7">
        <f t="shared" si="54"/>
        <v>11.291079999999999</v>
      </c>
      <c r="N844" s="7">
        <f t="shared" si="56"/>
        <v>3504.79639632</v>
      </c>
    </row>
    <row r="845" spans="1:14" ht="15.6" x14ac:dyDescent="0.3">
      <c r="A845" s="18" t="s">
        <v>1741</v>
      </c>
      <c r="B845" s="7">
        <v>6</v>
      </c>
      <c r="C845" s="7">
        <v>13</v>
      </c>
      <c r="D845" s="7" t="s">
        <v>2261</v>
      </c>
      <c r="E845" s="7">
        <v>23000000</v>
      </c>
      <c r="F845" s="7">
        <f t="shared" si="55"/>
        <v>23000000</v>
      </c>
      <c r="G845" s="7">
        <f t="shared" si="53"/>
        <v>74096.983286297851</v>
      </c>
      <c r="H845" s="7" t="s">
        <v>2260</v>
      </c>
      <c r="I845" s="18" t="s">
        <v>1812</v>
      </c>
      <c r="J845" s="18" t="s">
        <v>1802</v>
      </c>
      <c r="K845" s="3">
        <v>7931</v>
      </c>
      <c r="L845" s="7" t="s">
        <v>2246</v>
      </c>
      <c r="M845" s="7">
        <f t="shared" si="54"/>
        <v>7.931</v>
      </c>
      <c r="N845" s="7">
        <f t="shared" si="56"/>
        <v>2461.814124</v>
      </c>
    </row>
    <row r="846" spans="1:14" ht="15.6" x14ac:dyDescent="0.3">
      <c r="A846" s="18" t="s">
        <v>1741</v>
      </c>
      <c r="B846" s="7">
        <v>6</v>
      </c>
      <c r="C846" s="7">
        <v>13</v>
      </c>
      <c r="D846" s="7" t="s">
        <v>2261</v>
      </c>
      <c r="E846" s="7">
        <v>23000000</v>
      </c>
      <c r="F846" s="7">
        <f t="shared" si="55"/>
        <v>23000000</v>
      </c>
      <c r="G846" s="7">
        <f t="shared" si="53"/>
        <v>74096.983286297851</v>
      </c>
      <c r="H846" s="7" t="s">
        <v>2260</v>
      </c>
      <c r="I846" s="18" t="s">
        <v>1812</v>
      </c>
      <c r="J846" s="18" t="s">
        <v>1802</v>
      </c>
      <c r="K846" s="3">
        <v>11362.87</v>
      </c>
      <c r="L846" s="7" t="s">
        <v>2246</v>
      </c>
      <c r="M846" s="7">
        <f t="shared" si="54"/>
        <v>11.362870000000001</v>
      </c>
      <c r="N846" s="7">
        <f t="shared" si="56"/>
        <v>3527.0802994800006</v>
      </c>
    </row>
    <row r="847" spans="1:14" ht="15.6" x14ac:dyDescent="0.3">
      <c r="A847" s="18" t="s">
        <v>1741</v>
      </c>
      <c r="B847" s="7">
        <v>6</v>
      </c>
      <c r="C847" s="7">
        <v>13</v>
      </c>
      <c r="D847" s="7" t="s">
        <v>2261</v>
      </c>
      <c r="E847" s="7">
        <v>23000000</v>
      </c>
      <c r="F847" s="7">
        <f t="shared" si="55"/>
        <v>23000000</v>
      </c>
      <c r="G847" s="7">
        <f t="shared" si="53"/>
        <v>74096.983286297851</v>
      </c>
      <c r="H847" s="7" t="s">
        <v>2260</v>
      </c>
      <c r="I847" s="18" t="s">
        <v>1812</v>
      </c>
      <c r="J847" s="18" t="s">
        <v>1802</v>
      </c>
      <c r="K847" s="3">
        <v>12471.09</v>
      </c>
      <c r="L847" s="7" t="s">
        <v>2246</v>
      </c>
      <c r="M847" s="7">
        <f t="shared" si="54"/>
        <v>12.47109</v>
      </c>
      <c r="N847" s="7">
        <f t="shared" si="56"/>
        <v>3871.0762203600002</v>
      </c>
    </row>
    <row r="848" spans="1:14" ht="15.6" x14ac:dyDescent="0.3">
      <c r="A848" s="18" t="s">
        <v>1741</v>
      </c>
      <c r="B848" s="7">
        <v>6</v>
      </c>
      <c r="C848" s="7">
        <v>13</v>
      </c>
      <c r="D848" s="7" t="s">
        <v>2261</v>
      </c>
      <c r="E848" s="7">
        <v>23000000</v>
      </c>
      <c r="F848" s="7">
        <f t="shared" si="55"/>
        <v>23000000</v>
      </c>
      <c r="G848" s="7">
        <f t="shared" si="53"/>
        <v>74096.983286297851</v>
      </c>
      <c r="H848" s="7" t="s">
        <v>2260</v>
      </c>
      <c r="I848" s="18" t="s">
        <v>1812</v>
      </c>
      <c r="J848" s="18" t="s">
        <v>1802</v>
      </c>
      <c r="K848" s="3">
        <v>9254.35</v>
      </c>
      <c r="L848" s="7" t="s">
        <v>2246</v>
      </c>
      <c r="M848" s="7">
        <f t="shared" si="54"/>
        <v>9.2543500000000005</v>
      </c>
      <c r="N848" s="7">
        <f t="shared" si="56"/>
        <v>2872.5872574000005</v>
      </c>
    </row>
    <row r="849" spans="1:14" ht="15.6" x14ac:dyDescent="0.3">
      <c r="A849" s="18" t="s">
        <v>1741</v>
      </c>
      <c r="B849" s="7">
        <v>6</v>
      </c>
      <c r="C849" s="7">
        <v>13</v>
      </c>
      <c r="D849" s="7" t="s">
        <v>2261</v>
      </c>
      <c r="E849" s="7">
        <v>23000000</v>
      </c>
      <c r="F849" s="7">
        <f t="shared" si="55"/>
        <v>23000000</v>
      </c>
      <c r="G849" s="7">
        <f t="shared" si="53"/>
        <v>74096.983286297851</v>
      </c>
      <c r="H849" s="7" t="s">
        <v>2260</v>
      </c>
      <c r="I849" s="18" t="s">
        <v>1812</v>
      </c>
      <c r="J849" s="18" t="s">
        <v>1802</v>
      </c>
      <c r="K849" s="3">
        <v>13077.4</v>
      </c>
      <c r="L849" s="7" t="s">
        <v>2246</v>
      </c>
      <c r="M849" s="7">
        <f t="shared" si="54"/>
        <v>13.077399999999999</v>
      </c>
      <c r="N849" s="7">
        <f t="shared" si="56"/>
        <v>4059.2772696000002</v>
      </c>
    </row>
    <row r="850" spans="1:14" ht="15.6" x14ac:dyDescent="0.3">
      <c r="A850" s="18" t="s">
        <v>1741</v>
      </c>
      <c r="B850" s="7">
        <v>6</v>
      </c>
      <c r="C850" s="7">
        <v>13</v>
      </c>
      <c r="D850" s="7" t="s">
        <v>2261</v>
      </c>
      <c r="E850" s="7">
        <v>23000000</v>
      </c>
      <c r="F850" s="7">
        <f t="shared" si="55"/>
        <v>23000000</v>
      </c>
      <c r="G850" s="7">
        <f t="shared" si="53"/>
        <v>74096.983286297851</v>
      </c>
      <c r="H850" s="7" t="s">
        <v>2260</v>
      </c>
      <c r="I850" s="18" t="s">
        <v>1812</v>
      </c>
      <c r="J850" s="18" t="s">
        <v>1802</v>
      </c>
      <c r="K850" s="3">
        <v>10738.56</v>
      </c>
      <c r="L850" s="7" t="s">
        <v>2246</v>
      </c>
      <c r="M850" s="7">
        <f t="shared" si="54"/>
        <v>10.73856</v>
      </c>
      <c r="N850" s="7">
        <f t="shared" si="56"/>
        <v>3333.2919782400004</v>
      </c>
    </row>
    <row r="851" spans="1:14" ht="15.6" x14ac:dyDescent="0.3">
      <c r="A851" s="18" t="s">
        <v>1741</v>
      </c>
      <c r="B851" s="7">
        <v>6</v>
      </c>
      <c r="C851" s="7">
        <v>13</v>
      </c>
      <c r="D851" s="7" t="s">
        <v>2261</v>
      </c>
      <c r="E851" s="7">
        <v>23000000</v>
      </c>
      <c r="F851" s="7">
        <f t="shared" si="55"/>
        <v>23000000</v>
      </c>
      <c r="G851" s="7">
        <f t="shared" si="53"/>
        <v>74096.983286297851</v>
      </c>
      <c r="H851" s="7" t="s">
        <v>2260</v>
      </c>
      <c r="I851" s="18" t="s">
        <v>1812</v>
      </c>
      <c r="J851" s="18" t="s">
        <v>1802</v>
      </c>
      <c r="K851" s="3">
        <v>10417.77</v>
      </c>
      <c r="L851" s="7" t="s">
        <v>2246</v>
      </c>
      <c r="M851" s="7">
        <f t="shared" si="54"/>
        <v>10.417770000000001</v>
      </c>
      <c r="N851" s="7">
        <f t="shared" si="56"/>
        <v>3233.7174790800009</v>
      </c>
    </row>
    <row r="852" spans="1:14" ht="15.6" x14ac:dyDescent="0.3">
      <c r="A852" s="18" t="s">
        <v>1741</v>
      </c>
      <c r="B852" s="7">
        <v>6</v>
      </c>
      <c r="C852" s="7">
        <v>13</v>
      </c>
      <c r="D852" s="7" t="s">
        <v>2261</v>
      </c>
      <c r="E852" s="7">
        <v>23000000</v>
      </c>
      <c r="F852" s="7">
        <f t="shared" si="55"/>
        <v>23000000</v>
      </c>
      <c r="G852" s="7">
        <f t="shared" si="53"/>
        <v>74096.983286297851</v>
      </c>
      <c r="H852" s="7" t="s">
        <v>2260</v>
      </c>
      <c r="I852" s="18" t="s">
        <v>1812</v>
      </c>
      <c r="J852" s="18" t="s">
        <v>1802</v>
      </c>
      <c r="K852" s="3">
        <v>10799.05</v>
      </c>
      <c r="L852" s="7" t="s">
        <v>2246</v>
      </c>
      <c r="M852" s="7">
        <f t="shared" si="54"/>
        <v>10.799049999999999</v>
      </c>
      <c r="N852" s="7">
        <f t="shared" si="56"/>
        <v>3352.0683162000005</v>
      </c>
    </row>
    <row r="853" spans="1:14" ht="15.6" x14ac:dyDescent="0.3">
      <c r="A853" s="18" t="s">
        <v>1741</v>
      </c>
      <c r="B853" s="7">
        <v>6</v>
      </c>
      <c r="C853" s="7">
        <v>13</v>
      </c>
      <c r="D853" s="7" t="s">
        <v>2261</v>
      </c>
      <c r="E853" s="7">
        <v>23000000</v>
      </c>
      <c r="F853" s="7">
        <f t="shared" si="55"/>
        <v>23000000</v>
      </c>
      <c r="G853" s="7">
        <f t="shared" si="53"/>
        <v>74096.983286297851</v>
      </c>
      <c r="H853" s="7" t="s">
        <v>2260</v>
      </c>
      <c r="I853" s="18" t="s">
        <v>1812</v>
      </c>
      <c r="J853" s="18" t="s">
        <v>1802</v>
      </c>
      <c r="K853" s="3">
        <v>11118.82</v>
      </c>
      <c r="L853" s="7" t="s">
        <v>2246</v>
      </c>
      <c r="M853" s="7">
        <f t="shared" si="54"/>
        <v>11.118819999999999</v>
      </c>
      <c r="N853" s="7">
        <f t="shared" si="56"/>
        <v>3451.3262032800003</v>
      </c>
    </row>
    <row r="854" spans="1:14" ht="15.6" x14ac:dyDescent="0.3">
      <c r="A854" s="18" t="s">
        <v>1741</v>
      </c>
      <c r="B854" s="7">
        <v>6</v>
      </c>
      <c r="C854" s="7">
        <v>13</v>
      </c>
      <c r="D854" s="7" t="s">
        <v>2261</v>
      </c>
      <c r="E854" s="7">
        <v>23000000</v>
      </c>
      <c r="F854" s="7">
        <f t="shared" si="55"/>
        <v>23000000</v>
      </c>
      <c r="G854" s="7">
        <f t="shared" si="53"/>
        <v>74096.983286297851</v>
      </c>
      <c r="H854" s="7" t="s">
        <v>2260</v>
      </c>
      <c r="I854" s="18" t="s">
        <v>1812</v>
      </c>
      <c r="J854" s="18" t="s">
        <v>1802</v>
      </c>
      <c r="K854" s="3">
        <v>6651.38</v>
      </c>
      <c r="L854" s="7" t="s">
        <v>2246</v>
      </c>
      <c r="M854" s="7">
        <f t="shared" si="54"/>
        <v>6.6513800000000005</v>
      </c>
      <c r="N854" s="7">
        <f t="shared" si="56"/>
        <v>2064.6149575200002</v>
      </c>
    </row>
    <row r="855" spans="1:14" ht="15.6" x14ac:dyDescent="0.3">
      <c r="A855" s="18" t="s">
        <v>1741</v>
      </c>
      <c r="B855" s="7">
        <v>6</v>
      </c>
      <c r="C855" s="7">
        <v>13</v>
      </c>
      <c r="D855" s="7" t="s">
        <v>2261</v>
      </c>
      <c r="E855" s="7">
        <v>23000000</v>
      </c>
      <c r="F855" s="7">
        <f t="shared" si="55"/>
        <v>23000000</v>
      </c>
      <c r="G855" s="7">
        <f t="shared" si="53"/>
        <v>74096.983286297851</v>
      </c>
      <c r="H855" s="7" t="s">
        <v>2260</v>
      </c>
      <c r="I855" s="18" t="s">
        <v>1812</v>
      </c>
      <c r="J855" s="18" t="s">
        <v>1802</v>
      </c>
      <c r="K855" s="3">
        <v>11127.44</v>
      </c>
      <c r="L855" s="7" t="s">
        <v>2246</v>
      </c>
      <c r="M855" s="7">
        <f t="shared" si="54"/>
        <v>11.12744</v>
      </c>
      <c r="N855" s="7">
        <f t="shared" si="56"/>
        <v>3454.0018857600003</v>
      </c>
    </row>
    <row r="856" spans="1:14" ht="15.6" x14ac:dyDescent="0.3">
      <c r="A856" s="18" t="s">
        <v>1741</v>
      </c>
      <c r="B856" s="7">
        <v>6</v>
      </c>
      <c r="C856" s="7">
        <v>13</v>
      </c>
      <c r="D856" s="7" t="s">
        <v>2261</v>
      </c>
      <c r="E856" s="7">
        <v>23000000</v>
      </c>
      <c r="F856" s="7">
        <f t="shared" si="55"/>
        <v>23000000</v>
      </c>
      <c r="G856" s="7">
        <f t="shared" si="53"/>
        <v>74096.983286297851</v>
      </c>
      <c r="H856" s="7" t="s">
        <v>2260</v>
      </c>
      <c r="I856" s="18" t="s">
        <v>1812</v>
      </c>
      <c r="J856" s="18" t="s">
        <v>1802</v>
      </c>
      <c r="K856" s="3">
        <v>18190.349999999999</v>
      </c>
      <c r="L856" s="7" t="s">
        <v>2246</v>
      </c>
      <c r="M856" s="7">
        <f t="shared" si="54"/>
        <v>18.190349999999999</v>
      </c>
      <c r="N856" s="7">
        <f t="shared" si="56"/>
        <v>5646.3574013999996</v>
      </c>
    </row>
    <row r="857" spans="1:14" ht="15.6" x14ac:dyDescent="0.3">
      <c r="A857" s="18" t="s">
        <v>1741</v>
      </c>
      <c r="B857" s="7">
        <v>6</v>
      </c>
      <c r="C857" s="7">
        <v>13</v>
      </c>
      <c r="D857" s="7" t="s">
        <v>2261</v>
      </c>
      <c r="E857" s="7">
        <v>23000000</v>
      </c>
      <c r="F857" s="7">
        <f t="shared" si="55"/>
        <v>23000000</v>
      </c>
      <c r="G857" s="7">
        <f t="shared" ref="G857:G920" si="57">F857/310.404</f>
        <v>74096.983286297851</v>
      </c>
      <c r="H857" s="7" t="s">
        <v>2260</v>
      </c>
      <c r="I857" s="18" t="s">
        <v>1812</v>
      </c>
      <c r="J857" s="18" t="s">
        <v>1802</v>
      </c>
      <c r="K857" s="3">
        <v>16972.52</v>
      </c>
      <c r="L857" s="7" t="s">
        <v>2246</v>
      </c>
      <c r="M857" s="7">
        <f t="shared" si="54"/>
        <v>16.972519999999999</v>
      </c>
      <c r="N857" s="7">
        <f t="shared" si="56"/>
        <v>5268.3380980800002</v>
      </c>
    </row>
    <row r="858" spans="1:14" ht="15.6" x14ac:dyDescent="0.3">
      <c r="A858" s="18" t="s">
        <v>1760</v>
      </c>
      <c r="B858" s="7">
        <v>6</v>
      </c>
      <c r="C858" s="7">
        <v>13</v>
      </c>
      <c r="D858" s="7" t="s">
        <v>2261</v>
      </c>
      <c r="E858" s="7">
        <v>23000000</v>
      </c>
      <c r="F858" s="7">
        <f t="shared" si="55"/>
        <v>23000000</v>
      </c>
      <c r="G858" s="7">
        <f t="shared" si="57"/>
        <v>74096.983286297851</v>
      </c>
      <c r="H858" s="7" t="s">
        <v>2260</v>
      </c>
      <c r="I858" s="18" t="s">
        <v>1812</v>
      </c>
      <c r="J858" s="18" t="s">
        <v>1802</v>
      </c>
      <c r="K858" s="3">
        <v>8.56</v>
      </c>
      <c r="L858" s="7" t="s">
        <v>2246</v>
      </c>
      <c r="M858" s="7">
        <f t="shared" si="54"/>
        <v>8.5599999999999999E-3</v>
      </c>
      <c r="N858" s="7">
        <f t="shared" si="56"/>
        <v>2.65705824</v>
      </c>
    </row>
    <row r="859" spans="1:14" ht="15.6" x14ac:dyDescent="0.3">
      <c r="A859" s="18" t="s">
        <v>1760</v>
      </c>
      <c r="B859" s="7">
        <v>6</v>
      </c>
      <c r="C859" s="7">
        <v>13</v>
      </c>
      <c r="D859" s="7" t="s">
        <v>2261</v>
      </c>
      <c r="E859" s="7">
        <v>23000000</v>
      </c>
      <c r="F859" s="7">
        <f t="shared" si="55"/>
        <v>23000000</v>
      </c>
      <c r="G859" s="7">
        <f t="shared" si="57"/>
        <v>74096.983286297851</v>
      </c>
      <c r="H859" s="7" t="s">
        <v>2260</v>
      </c>
      <c r="I859" s="18" t="s">
        <v>1812</v>
      </c>
      <c r="J859" s="18" t="s">
        <v>1802</v>
      </c>
      <c r="K859" s="3">
        <v>5.27</v>
      </c>
      <c r="L859" s="7" t="s">
        <v>2246</v>
      </c>
      <c r="M859" s="7">
        <f t="shared" si="54"/>
        <v>5.2699999999999995E-3</v>
      </c>
      <c r="N859" s="7">
        <f t="shared" si="56"/>
        <v>1.6358290799999999</v>
      </c>
    </row>
    <row r="860" spans="1:14" ht="15.6" x14ac:dyDescent="0.3">
      <c r="A860" s="18" t="s">
        <v>1760</v>
      </c>
      <c r="B860" s="7">
        <v>6</v>
      </c>
      <c r="C860" s="7">
        <v>13</v>
      </c>
      <c r="D860" s="7" t="s">
        <v>2261</v>
      </c>
      <c r="E860" s="7">
        <v>23000000</v>
      </c>
      <c r="F860" s="7">
        <f t="shared" si="55"/>
        <v>23000000</v>
      </c>
      <c r="G860" s="7">
        <f t="shared" si="57"/>
        <v>74096.983286297851</v>
      </c>
      <c r="H860" s="7" t="s">
        <v>2260</v>
      </c>
      <c r="I860" s="18" t="s">
        <v>1812</v>
      </c>
      <c r="J860" s="18" t="s">
        <v>1802</v>
      </c>
      <c r="K860" s="3">
        <v>5.05</v>
      </c>
      <c r="L860" s="7" t="s">
        <v>2246</v>
      </c>
      <c r="M860" s="7">
        <f t="shared" si="54"/>
        <v>5.0499999999999998E-3</v>
      </c>
      <c r="N860" s="7">
        <f t="shared" si="56"/>
        <v>1.5675402000000001</v>
      </c>
    </row>
    <row r="861" spans="1:14" ht="15.6" x14ac:dyDescent="0.3">
      <c r="A861" s="18" t="s">
        <v>1760</v>
      </c>
      <c r="B861" s="7">
        <v>6</v>
      </c>
      <c r="C861" s="7">
        <v>13</v>
      </c>
      <c r="D861" s="7" t="s">
        <v>2261</v>
      </c>
      <c r="E861" s="7">
        <v>23000000</v>
      </c>
      <c r="F861" s="7">
        <f t="shared" si="55"/>
        <v>23000000</v>
      </c>
      <c r="G861" s="7">
        <f t="shared" si="57"/>
        <v>74096.983286297851</v>
      </c>
      <c r="H861" s="7" t="s">
        <v>2260</v>
      </c>
      <c r="I861" s="18" t="s">
        <v>1812</v>
      </c>
      <c r="J861" s="18" t="s">
        <v>1802</v>
      </c>
      <c r="K861" s="3">
        <v>7.44</v>
      </c>
      <c r="L861" s="7" t="s">
        <v>2246</v>
      </c>
      <c r="M861" s="7">
        <f t="shared" si="54"/>
        <v>7.4400000000000004E-3</v>
      </c>
      <c r="N861" s="7">
        <f t="shared" si="56"/>
        <v>2.3094057600000002</v>
      </c>
    </row>
    <row r="862" spans="1:14" ht="15.6" x14ac:dyDescent="0.3">
      <c r="A862" s="18" t="s">
        <v>1760</v>
      </c>
      <c r="B862" s="7">
        <v>6</v>
      </c>
      <c r="C862" s="7">
        <v>13</v>
      </c>
      <c r="D862" s="7" t="s">
        <v>2261</v>
      </c>
      <c r="E862" s="7">
        <v>23000000</v>
      </c>
      <c r="F862" s="7">
        <f t="shared" si="55"/>
        <v>23000000</v>
      </c>
      <c r="G862" s="7">
        <f t="shared" si="57"/>
        <v>74096.983286297851</v>
      </c>
      <c r="H862" s="7" t="s">
        <v>2260</v>
      </c>
      <c r="I862" s="18" t="s">
        <v>1812</v>
      </c>
      <c r="J862" s="18" t="s">
        <v>1802</v>
      </c>
      <c r="K862" s="3">
        <v>7.01</v>
      </c>
      <c r="L862" s="7" t="s">
        <v>2246</v>
      </c>
      <c r="M862" s="7">
        <f t="shared" si="54"/>
        <v>7.0099999999999997E-3</v>
      </c>
      <c r="N862" s="7">
        <f t="shared" si="56"/>
        <v>2.1759320400000002</v>
      </c>
    </row>
    <row r="863" spans="1:14" ht="15.6" x14ac:dyDescent="0.3">
      <c r="A863" s="18" t="s">
        <v>1760</v>
      </c>
      <c r="B863" s="7">
        <v>6</v>
      </c>
      <c r="C863" s="7">
        <v>13</v>
      </c>
      <c r="D863" s="7" t="s">
        <v>2261</v>
      </c>
      <c r="E863" s="7">
        <v>23000000</v>
      </c>
      <c r="F863" s="7">
        <f t="shared" si="55"/>
        <v>23000000</v>
      </c>
      <c r="G863" s="7">
        <f t="shared" si="57"/>
        <v>74096.983286297851</v>
      </c>
      <c r="H863" s="7" t="s">
        <v>2260</v>
      </c>
      <c r="I863" s="18" t="s">
        <v>1812</v>
      </c>
      <c r="J863" s="18" t="s">
        <v>1802</v>
      </c>
      <c r="K863" s="3" t="s">
        <v>1716</v>
      </c>
      <c r="L863" s="7" t="s">
        <v>2246</v>
      </c>
      <c r="M863" s="7" t="str">
        <f t="shared" si="54"/>
        <v>ND</v>
      </c>
      <c r="N863" s="7" t="str">
        <f t="shared" si="56"/>
        <v>ND</v>
      </c>
    </row>
    <row r="864" spans="1:14" ht="15.6" x14ac:dyDescent="0.3">
      <c r="A864" s="18" t="s">
        <v>1760</v>
      </c>
      <c r="B864" s="7">
        <v>6</v>
      </c>
      <c r="C864" s="7">
        <v>13</v>
      </c>
      <c r="D864" s="7" t="s">
        <v>2261</v>
      </c>
      <c r="E864" s="7">
        <v>23000000</v>
      </c>
      <c r="F864" s="7">
        <f t="shared" si="55"/>
        <v>23000000</v>
      </c>
      <c r="G864" s="7">
        <f t="shared" si="57"/>
        <v>74096.983286297851</v>
      </c>
      <c r="H864" s="7" t="s">
        <v>2260</v>
      </c>
      <c r="I864" s="18" t="s">
        <v>1812</v>
      </c>
      <c r="J864" s="18" t="s">
        <v>1802</v>
      </c>
      <c r="K864" s="3" t="s">
        <v>1716</v>
      </c>
      <c r="L864" s="7" t="s">
        <v>2246</v>
      </c>
      <c r="M864" s="7" t="str">
        <f t="shared" si="54"/>
        <v>ND</v>
      </c>
      <c r="N864" s="7" t="str">
        <f t="shared" si="56"/>
        <v>ND</v>
      </c>
    </row>
    <row r="865" spans="1:14" ht="15.6" x14ac:dyDescent="0.3">
      <c r="A865" s="18" t="s">
        <v>1760</v>
      </c>
      <c r="B865" s="7">
        <v>6</v>
      </c>
      <c r="C865" s="7">
        <v>13</v>
      </c>
      <c r="D865" s="7" t="s">
        <v>2261</v>
      </c>
      <c r="E865" s="7">
        <v>23000000</v>
      </c>
      <c r="F865" s="7">
        <f t="shared" si="55"/>
        <v>23000000</v>
      </c>
      <c r="G865" s="7">
        <f t="shared" si="57"/>
        <v>74096.983286297851</v>
      </c>
      <c r="H865" s="7" t="s">
        <v>2260</v>
      </c>
      <c r="I865" s="18" t="s">
        <v>1812</v>
      </c>
      <c r="J865" s="18" t="s">
        <v>1802</v>
      </c>
      <c r="K865" s="3" t="s">
        <v>1716</v>
      </c>
      <c r="L865" s="7" t="s">
        <v>2246</v>
      </c>
      <c r="M865" s="7" t="str">
        <f t="shared" si="54"/>
        <v>ND</v>
      </c>
      <c r="N865" s="7" t="str">
        <f t="shared" si="56"/>
        <v>ND</v>
      </c>
    </row>
    <row r="866" spans="1:14" ht="15.6" x14ac:dyDescent="0.3">
      <c r="A866" s="18" t="s">
        <v>1760</v>
      </c>
      <c r="B866" s="7">
        <v>6</v>
      </c>
      <c r="C866" s="7">
        <v>13</v>
      </c>
      <c r="D866" s="7" t="s">
        <v>2261</v>
      </c>
      <c r="E866" s="7">
        <v>23000000</v>
      </c>
      <c r="F866" s="7">
        <f t="shared" si="55"/>
        <v>23000000</v>
      </c>
      <c r="G866" s="7">
        <f t="shared" si="57"/>
        <v>74096.983286297851</v>
      </c>
      <c r="H866" s="7" t="s">
        <v>2260</v>
      </c>
      <c r="I866" s="18" t="s">
        <v>1812</v>
      </c>
      <c r="J866" s="18" t="s">
        <v>1802</v>
      </c>
      <c r="K866" s="3">
        <v>5.1100000000000003</v>
      </c>
      <c r="L866" s="7" t="s">
        <v>2246</v>
      </c>
      <c r="M866" s="7">
        <f t="shared" si="54"/>
        <v>5.11E-3</v>
      </c>
      <c r="N866" s="7">
        <f t="shared" si="56"/>
        <v>1.5861644400000001</v>
      </c>
    </row>
    <row r="867" spans="1:14" ht="15.6" x14ac:dyDescent="0.3">
      <c r="A867" s="18" t="s">
        <v>1760</v>
      </c>
      <c r="B867" s="7">
        <v>6</v>
      </c>
      <c r="C867" s="7">
        <v>13</v>
      </c>
      <c r="D867" s="7" t="s">
        <v>2261</v>
      </c>
      <c r="E867" s="7">
        <v>23000000</v>
      </c>
      <c r="F867" s="7">
        <f t="shared" si="55"/>
        <v>23000000</v>
      </c>
      <c r="G867" s="7">
        <f t="shared" si="57"/>
        <v>74096.983286297851</v>
      </c>
      <c r="H867" s="7" t="s">
        <v>2260</v>
      </c>
      <c r="I867" s="18" t="s">
        <v>1812</v>
      </c>
      <c r="J867" s="18" t="s">
        <v>1802</v>
      </c>
      <c r="K867" s="3" t="s">
        <v>1716</v>
      </c>
      <c r="L867" s="7" t="s">
        <v>2246</v>
      </c>
      <c r="M867" s="7" t="str">
        <f t="shared" si="54"/>
        <v>ND</v>
      </c>
      <c r="N867" s="7" t="str">
        <f t="shared" si="56"/>
        <v>ND</v>
      </c>
    </row>
    <row r="868" spans="1:14" ht="15.6" x14ac:dyDescent="0.3">
      <c r="A868" s="18" t="s">
        <v>1760</v>
      </c>
      <c r="B868" s="7">
        <v>6</v>
      </c>
      <c r="C868" s="7">
        <v>13</v>
      </c>
      <c r="D868" s="7" t="s">
        <v>2261</v>
      </c>
      <c r="E868" s="7">
        <v>23000000</v>
      </c>
      <c r="F868" s="7">
        <f t="shared" si="55"/>
        <v>23000000</v>
      </c>
      <c r="G868" s="7">
        <f t="shared" si="57"/>
        <v>74096.983286297851</v>
      </c>
      <c r="H868" s="7" t="s">
        <v>2260</v>
      </c>
      <c r="I868" s="18" t="s">
        <v>1812</v>
      </c>
      <c r="J868" s="18" t="s">
        <v>1802</v>
      </c>
      <c r="K868" s="3" t="s">
        <v>1716</v>
      </c>
      <c r="L868" s="7" t="s">
        <v>2246</v>
      </c>
      <c r="M868" s="7" t="str">
        <f t="shared" si="54"/>
        <v>ND</v>
      </c>
      <c r="N868" s="7" t="str">
        <f t="shared" si="56"/>
        <v>ND</v>
      </c>
    </row>
    <row r="869" spans="1:14" ht="15.6" x14ac:dyDescent="0.3">
      <c r="A869" s="18" t="s">
        <v>1760</v>
      </c>
      <c r="B869" s="7">
        <v>6</v>
      </c>
      <c r="C869" s="7">
        <v>13</v>
      </c>
      <c r="D869" s="7" t="s">
        <v>2261</v>
      </c>
      <c r="E869" s="7">
        <v>23000000</v>
      </c>
      <c r="F869" s="7">
        <f t="shared" si="55"/>
        <v>23000000</v>
      </c>
      <c r="G869" s="7">
        <f t="shared" si="57"/>
        <v>74096.983286297851</v>
      </c>
      <c r="H869" s="7" t="s">
        <v>2260</v>
      </c>
      <c r="I869" s="18" t="s">
        <v>1812</v>
      </c>
      <c r="J869" s="18" t="s">
        <v>1802</v>
      </c>
      <c r="K869" s="3" t="s">
        <v>1716</v>
      </c>
      <c r="L869" s="7" t="s">
        <v>2246</v>
      </c>
      <c r="M869" s="7" t="str">
        <f t="shared" si="54"/>
        <v>ND</v>
      </c>
      <c r="N869" s="7" t="str">
        <f t="shared" si="56"/>
        <v>ND</v>
      </c>
    </row>
    <row r="870" spans="1:14" ht="15.6" x14ac:dyDescent="0.3">
      <c r="A870" s="18" t="s">
        <v>1760</v>
      </c>
      <c r="B870" s="7">
        <v>6</v>
      </c>
      <c r="C870" s="7">
        <v>13</v>
      </c>
      <c r="D870" s="7" t="s">
        <v>2261</v>
      </c>
      <c r="E870" s="7">
        <v>23000000</v>
      </c>
      <c r="F870" s="7">
        <f t="shared" si="55"/>
        <v>23000000</v>
      </c>
      <c r="G870" s="7">
        <f t="shared" si="57"/>
        <v>74096.983286297851</v>
      </c>
      <c r="H870" s="7" t="s">
        <v>2260</v>
      </c>
      <c r="I870" s="18" t="s">
        <v>1812</v>
      </c>
      <c r="J870" s="18" t="s">
        <v>1802</v>
      </c>
      <c r="K870" s="3">
        <v>5.65</v>
      </c>
      <c r="L870" s="7" t="s">
        <v>2246</v>
      </c>
      <c r="M870" s="7">
        <f t="shared" si="54"/>
        <v>5.6500000000000005E-3</v>
      </c>
      <c r="N870" s="7">
        <f t="shared" si="56"/>
        <v>1.7537826000000003</v>
      </c>
    </row>
    <row r="871" spans="1:14" ht="15.6" x14ac:dyDescent="0.3">
      <c r="A871" s="18" t="s">
        <v>1760</v>
      </c>
      <c r="B871" s="7">
        <v>6</v>
      </c>
      <c r="C871" s="7">
        <v>13</v>
      </c>
      <c r="D871" s="7" t="s">
        <v>2261</v>
      </c>
      <c r="E871" s="7">
        <v>23000000</v>
      </c>
      <c r="F871" s="7">
        <f t="shared" si="55"/>
        <v>23000000</v>
      </c>
      <c r="G871" s="7">
        <f t="shared" si="57"/>
        <v>74096.983286297851</v>
      </c>
      <c r="H871" s="7" t="s">
        <v>2260</v>
      </c>
      <c r="I871" s="18" t="s">
        <v>1812</v>
      </c>
      <c r="J871" s="18" t="s">
        <v>1802</v>
      </c>
      <c r="K871" s="3">
        <v>7.09</v>
      </c>
      <c r="L871" s="7" t="s">
        <v>2246</v>
      </c>
      <c r="M871" s="7">
        <f t="shared" si="54"/>
        <v>7.0899999999999999E-3</v>
      </c>
      <c r="N871" s="7">
        <f t="shared" si="56"/>
        <v>2.20076436</v>
      </c>
    </row>
    <row r="872" spans="1:14" ht="15.6" x14ac:dyDescent="0.3">
      <c r="A872" s="18" t="s">
        <v>1760</v>
      </c>
      <c r="B872" s="7">
        <v>6</v>
      </c>
      <c r="C872" s="7">
        <v>13</v>
      </c>
      <c r="D872" s="7" t="s">
        <v>2261</v>
      </c>
      <c r="E872" s="7">
        <v>23000000</v>
      </c>
      <c r="F872" s="7">
        <f t="shared" si="55"/>
        <v>23000000</v>
      </c>
      <c r="G872" s="7">
        <f t="shared" si="57"/>
        <v>74096.983286297851</v>
      </c>
      <c r="H872" s="7" t="s">
        <v>2260</v>
      </c>
      <c r="I872" s="18" t="s">
        <v>1812</v>
      </c>
      <c r="J872" s="18" t="s">
        <v>1802</v>
      </c>
      <c r="K872" s="3" t="s">
        <v>1716</v>
      </c>
      <c r="L872" s="7" t="s">
        <v>2246</v>
      </c>
      <c r="M872" s="7" t="str">
        <f t="shared" si="54"/>
        <v>ND</v>
      </c>
      <c r="N872" s="7" t="str">
        <f t="shared" si="56"/>
        <v>ND</v>
      </c>
    </row>
    <row r="873" spans="1:14" ht="15.6" x14ac:dyDescent="0.3">
      <c r="A873" s="18" t="s">
        <v>1760</v>
      </c>
      <c r="B873" s="7">
        <v>6</v>
      </c>
      <c r="C873" s="7">
        <v>13</v>
      </c>
      <c r="D873" s="7" t="s">
        <v>2261</v>
      </c>
      <c r="E873" s="7">
        <v>23000000</v>
      </c>
      <c r="F873" s="7">
        <f t="shared" si="55"/>
        <v>23000000</v>
      </c>
      <c r="G873" s="7">
        <f t="shared" si="57"/>
        <v>74096.983286297851</v>
      </c>
      <c r="H873" s="7" t="s">
        <v>2260</v>
      </c>
      <c r="I873" s="18" t="s">
        <v>1812</v>
      </c>
      <c r="J873" s="18" t="s">
        <v>1802</v>
      </c>
      <c r="K873" s="3" t="s">
        <v>1716</v>
      </c>
      <c r="L873" s="7" t="s">
        <v>2246</v>
      </c>
      <c r="M873" s="7" t="str">
        <f t="shared" si="54"/>
        <v>ND</v>
      </c>
      <c r="N873" s="7" t="str">
        <f t="shared" si="56"/>
        <v>ND</v>
      </c>
    </row>
    <row r="874" spans="1:14" ht="15.6" x14ac:dyDescent="0.3">
      <c r="A874" s="18" t="s">
        <v>1760</v>
      </c>
      <c r="B874" s="7">
        <v>6</v>
      </c>
      <c r="C874" s="7">
        <v>13</v>
      </c>
      <c r="D874" s="7" t="s">
        <v>2261</v>
      </c>
      <c r="E874" s="7">
        <v>23000000</v>
      </c>
      <c r="F874" s="7">
        <f t="shared" si="55"/>
        <v>23000000</v>
      </c>
      <c r="G874" s="7">
        <f t="shared" si="57"/>
        <v>74096.983286297851</v>
      </c>
      <c r="H874" s="7" t="s">
        <v>2260</v>
      </c>
      <c r="I874" s="18" t="s">
        <v>1812</v>
      </c>
      <c r="J874" s="18" t="s">
        <v>1802</v>
      </c>
      <c r="K874" s="3" t="s">
        <v>1716</v>
      </c>
      <c r="L874" s="7" t="s">
        <v>2246</v>
      </c>
      <c r="M874" s="7" t="str">
        <f t="shared" ref="M874:M937" si="58">IFERROR(K874/1000,"ND")</f>
        <v>ND</v>
      </c>
      <c r="N874" s="7" t="str">
        <f t="shared" si="56"/>
        <v>ND</v>
      </c>
    </row>
    <row r="875" spans="1:14" ht="15.6" x14ac:dyDescent="0.3">
      <c r="A875" s="18" t="s">
        <v>1760</v>
      </c>
      <c r="B875" s="7">
        <v>6</v>
      </c>
      <c r="C875" s="7">
        <v>13</v>
      </c>
      <c r="D875" s="7" t="s">
        <v>2261</v>
      </c>
      <c r="E875" s="7">
        <v>23000000</v>
      </c>
      <c r="F875" s="7">
        <f t="shared" si="55"/>
        <v>23000000</v>
      </c>
      <c r="G875" s="7">
        <f t="shared" si="57"/>
        <v>74096.983286297851</v>
      </c>
      <c r="H875" s="7" t="s">
        <v>2260</v>
      </c>
      <c r="I875" s="18" t="s">
        <v>1812</v>
      </c>
      <c r="J875" s="18" t="s">
        <v>1802</v>
      </c>
      <c r="K875" s="3">
        <v>5.53</v>
      </c>
      <c r="L875" s="7" t="s">
        <v>2246</v>
      </c>
      <c r="M875" s="7">
        <f t="shared" si="58"/>
        <v>5.5300000000000002E-3</v>
      </c>
      <c r="N875" s="7">
        <f t="shared" si="56"/>
        <v>1.7165341200000002</v>
      </c>
    </row>
    <row r="876" spans="1:14" ht="15.6" x14ac:dyDescent="0.3">
      <c r="A876" s="18" t="s">
        <v>1760</v>
      </c>
      <c r="B876" s="7">
        <v>6</v>
      </c>
      <c r="C876" s="7">
        <v>13</v>
      </c>
      <c r="D876" s="7" t="s">
        <v>2261</v>
      </c>
      <c r="E876" s="7">
        <v>23000000</v>
      </c>
      <c r="F876" s="7">
        <f t="shared" si="55"/>
        <v>23000000</v>
      </c>
      <c r="G876" s="7">
        <f t="shared" si="57"/>
        <v>74096.983286297851</v>
      </c>
      <c r="H876" s="7" t="s">
        <v>2260</v>
      </c>
      <c r="I876" s="18" t="s">
        <v>1812</v>
      </c>
      <c r="J876" s="18" t="s">
        <v>1802</v>
      </c>
      <c r="K876" s="3">
        <v>8.44</v>
      </c>
      <c r="L876" s="7" t="s">
        <v>2246</v>
      </c>
      <c r="M876" s="7">
        <f t="shared" si="58"/>
        <v>8.4399999999999996E-3</v>
      </c>
      <c r="N876" s="7">
        <f t="shared" si="56"/>
        <v>2.6198097600000003</v>
      </c>
    </row>
    <row r="877" spans="1:14" ht="15.6" x14ac:dyDescent="0.3">
      <c r="A877" s="18" t="s">
        <v>1760</v>
      </c>
      <c r="B877" s="7">
        <v>6</v>
      </c>
      <c r="C877" s="7">
        <v>13</v>
      </c>
      <c r="D877" s="7" t="s">
        <v>2261</v>
      </c>
      <c r="E877" s="7">
        <v>23000000</v>
      </c>
      <c r="F877" s="7">
        <f t="shared" si="55"/>
        <v>23000000</v>
      </c>
      <c r="G877" s="7">
        <f t="shared" si="57"/>
        <v>74096.983286297851</v>
      </c>
      <c r="H877" s="7" t="s">
        <v>2260</v>
      </c>
      <c r="I877" s="18" t="s">
        <v>1812</v>
      </c>
      <c r="J877" s="18" t="s">
        <v>1802</v>
      </c>
      <c r="K877" s="3" t="s">
        <v>1716</v>
      </c>
      <c r="L877" s="7" t="s">
        <v>2246</v>
      </c>
      <c r="M877" s="7" t="str">
        <f t="shared" si="58"/>
        <v>ND</v>
      </c>
      <c r="N877" s="7" t="str">
        <f t="shared" si="56"/>
        <v>ND</v>
      </c>
    </row>
    <row r="878" spans="1:14" ht="15.6" x14ac:dyDescent="0.3">
      <c r="A878" s="18" t="s">
        <v>1760</v>
      </c>
      <c r="B878" s="7">
        <v>6</v>
      </c>
      <c r="C878" s="7">
        <v>13</v>
      </c>
      <c r="D878" s="7" t="s">
        <v>2261</v>
      </c>
      <c r="E878" s="7">
        <v>23000000</v>
      </c>
      <c r="F878" s="7">
        <f t="shared" si="55"/>
        <v>23000000</v>
      </c>
      <c r="G878" s="7">
        <f t="shared" si="57"/>
        <v>74096.983286297851</v>
      </c>
      <c r="H878" s="7" t="s">
        <v>2260</v>
      </c>
      <c r="I878" s="18" t="s">
        <v>1812</v>
      </c>
      <c r="J878" s="18" t="s">
        <v>1802</v>
      </c>
      <c r="K878" s="3" t="s">
        <v>1716</v>
      </c>
      <c r="L878" s="7" t="s">
        <v>2246</v>
      </c>
      <c r="M878" s="7" t="str">
        <f t="shared" si="58"/>
        <v>ND</v>
      </c>
      <c r="N878" s="7" t="str">
        <f t="shared" si="56"/>
        <v>ND</v>
      </c>
    </row>
    <row r="879" spans="1:14" ht="15.6" x14ac:dyDescent="0.3">
      <c r="A879" s="18" t="s">
        <v>1760</v>
      </c>
      <c r="B879" s="7">
        <v>6</v>
      </c>
      <c r="C879" s="7">
        <v>13</v>
      </c>
      <c r="D879" s="7" t="s">
        <v>2261</v>
      </c>
      <c r="E879" s="7">
        <v>23000000</v>
      </c>
      <c r="F879" s="7">
        <f t="shared" si="55"/>
        <v>23000000</v>
      </c>
      <c r="G879" s="7">
        <f t="shared" si="57"/>
        <v>74096.983286297851</v>
      </c>
      <c r="H879" s="7" t="s">
        <v>2260</v>
      </c>
      <c r="I879" s="18" t="s">
        <v>1812</v>
      </c>
      <c r="J879" s="18" t="s">
        <v>1802</v>
      </c>
      <c r="K879" s="3" t="s">
        <v>1716</v>
      </c>
      <c r="L879" s="7" t="s">
        <v>2246</v>
      </c>
      <c r="M879" s="7" t="str">
        <f t="shared" si="58"/>
        <v>ND</v>
      </c>
      <c r="N879" s="7" t="str">
        <f t="shared" si="56"/>
        <v>ND</v>
      </c>
    </row>
    <row r="880" spans="1:14" ht="15.6" x14ac:dyDescent="0.3">
      <c r="A880" s="18" t="s">
        <v>1760</v>
      </c>
      <c r="B880" s="7">
        <v>6</v>
      </c>
      <c r="C880" s="7">
        <v>13</v>
      </c>
      <c r="D880" s="7" t="s">
        <v>2261</v>
      </c>
      <c r="E880" s="7">
        <v>23000000</v>
      </c>
      <c r="F880" s="7">
        <f t="shared" si="55"/>
        <v>23000000</v>
      </c>
      <c r="G880" s="7">
        <f t="shared" si="57"/>
        <v>74096.983286297851</v>
      </c>
      <c r="H880" s="7" t="s">
        <v>2260</v>
      </c>
      <c r="I880" s="18" t="s">
        <v>1812</v>
      </c>
      <c r="J880" s="18" t="s">
        <v>1802</v>
      </c>
      <c r="K880" s="3" t="s">
        <v>1716</v>
      </c>
      <c r="L880" s="7" t="s">
        <v>2246</v>
      </c>
      <c r="M880" s="7" t="str">
        <f t="shared" si="58"/>
        <v>ND</v>
      </c>
      <c r="N880" s="7" t="str">
        <f t="shared" si="56"/>
        <v>ND</v>
      </c>
    </row>
    <row r="881" spans="1:14" ht="15.6" x14ac:dyDescent="0.3">
      <c r="A881" s="18" t="s">
        <v>1760</v>
      </c>
      <c r="B881" s="7">
        <v>6</v>
      </c>
      <c r="C881" s="7">
        <v>13</v>
      </c>
      <c r="D881" s="7" t="s">
        <v>2261</v>
      </c>
      <c r="E881" s="7">
        <v>23000000</v>
      </c>
      <c r="F881" s="7">
        <f t="shared" si="55"/>
        <v>23000000</v>
      </c>
      <c r="G881" s="7">
        <f t="shared" si="57"/>
        <v>74096.983286297851</v>
      </c>
      <c r="H881" s="7" t="s">
        <v>2260</v>
      </c>
      <c r="I881" s="18" t="s">
        <v>1812</v>
      </c>
      <c r="J881" s="18" t="s">
        <v>1802</v>
      </c>
      <c r="K881" s="3" t="s">
        <v>1716</v>
      </c>
      <c r="L881" s="7" t="s">
        <v>2246</v>
      </c>
      <c r="M881" s="7" t="str">
        <f t="shared" si="58"/>
        <v>ND</v>
      </c>
      <c r="N881" s="7" t="str">
        <f t="shared" si="56"/>
        <v>ND</v>
      </c>
    </row>
    <row r="882" spans="1:14" ht="15.6" x14ac:dyDescent="0.3">
      <c r="A882" s="18" t="s">
        <v>1760</v>
      </c>
      <c r="B882" s="7">
        <v>6</v>
      </c>
      <c r="C882" s="7">
        <v>13</v>
      </c>
      <c r="D882" s="7" t="s">
        <v>2261</v>
      </c>
      <c r="E882" s="7">
        <v>23000000</v>
      </c>
      <c r="F882" s="7">
        <f t="shared" si="55"/>
        <v>23000000</v>
      </c>
      <c r="G882" s="7">
        <f t="shared" si="57"/>
        <v>74096.983286297851</v>
      </c>
      <c r="H882" s="7" t="s">
        <v>2260</v>
      </c>
      <c r="I882" s="18" t="s">
        <v>1812</v>
      </c>
      <c r="J882" s="18" t="s">
        <v>1802</v>
      </c>
      <c r="K882" s="3" t="s">
        <v>1716</v>
      </c>
      <c r="L882" s="7" t="s">
        <v>2246</v>
      </c>
      <c r="M882" s="7" t="str">
        <f t="shared" si="58"/>
        <v>ND</v>
      </c>
      <c r="N882" s="7" t="str">
        <f t="shared" si="56"/>
        <v>ND</v>
      </c>
    </row>
    <row r="883" spans="1:14" ht="15.6" x14ac:dyDescent="0.3">
      <c r="A883" s="18" t="s">
        <v>1760</v>
      </c>
      <c r="B883" s="7">
        <v>6</v>
      </c>
      <c r="C883" s="7">
        <v>13</v>
      </c>
      <c r="D883" s="7" t="s">
        <v>2261</v>
      </c>
      <c r="E883" s="7">
        <v>23000000</v>
      </c>
      <c r="F883" s="7">
        <f t="shared" si="55"/>
        <v>23000000</v>
      </c>
      <c r="G883" s="7">
        <f t="shared" si="57"/>
        <v>74096.983286297851</v>
      </c>
      <c r="H883" s="7" t="s">
        <v>2260</v>
      </c>
      <c r="I883" s="18" t="s">
        <v>1812</v>
      </c>
      <c r="J883" s="18" t="s">
        <v>1802</v>
      </c>
      <c r="K883" s="3" t="s">
        <v>1716</v>
      </c>
      <c r="L883" s="7" t="s">
        <v>2246</v>
      </c>
      <c r="M883" s="7" t="str">
        <f t="shared" si="58"/>
        <v>ND</v>
      </c>
      <c r="N883" s="7" t="str">
        <f t="shared" si="56"/>
        <v>ND</v>
      </c>
    </row>
    <row r="884" spans="1:14" ht="15.6" x14ac:dyDescent="0.3">
      <c r="A884" s="18" t="s">
        <v>1760</v>
      </c>
      <c r="B884" s="7">
        <v>6</v>
      </c>
      <c r="C884" s="7">
        <v>13</v>
      </c>
      <c r="D884" s="7" t="s">
        <v>2261</v>
      </c>
      <c r="E884" s="7">
        <v>23000000</v>
      </c>
      <c r="F884" s="7">
        <f t="shared" si="55"/>
        <v>23000000</v>
      </c>
      <c r="G884" s="7">
        <f t="shared" si="57"/>
        <v>74096.983286297851</v>
      </c>
      <c r="H884" s="7" t="s">
        <v>2260</v>
      </c>
      <c r="I884" s="18" t="s">
        <v>1812</v>
      </c>
      <c r="J884" s="18" t="s">
        <v>1802</v>
      </c>
      <c r="K884" s="3" t="s">
        <v>1716</v>
      </c>
      <c r="L884" s="7" t="s">
        <v>2246</v>
      </c>
      <c r="M884" s="7" t="str">
        <f t="shared" si="58"/>
        <v>ND</v>
      </c>
      <c r="N884" s="7" t="str">
        <f t="shared" si="56"/>
        <v>ND</v>
      </c>
    </row>
    <row r="885" spans="1:14" ht="15.6" x14ac:dyDescent="0.3">
      <c r="A885" s="18" t="s">
        <v>1760</v>
      </c>
      <c r="B885" s="7">
        <v>6</v>
      </c>
      <c r="C885" s="7">
        <v>13</v>
      </c>
      <c r="D885" s="7" t="s">
        <v>2261</v>
      </c>
      <c r="E885" s="7">
        <v>23000000</v>
      </c>
      <c r="F885" s="7">
        <f t="shared" si="55"/>
        <v>23000000</v>
      </c>
      <c r="G885" s="7">
        <f t="shared" si="57"/>
        <v>74096.983286297851</v>
      </c>
      <c r="H885" s="7" t="s">
        <v>2260</v>
      </c>
      <c r="I885" s="18" t="s">
        <v>1812</v>
      </c>
      <c r="J885" s="18" t="s">
        <v>1802</v>
      </c>
      <c r="K885" s="3" t="s">
        <v>1716</v>
      </c>
      <c r="L885" s="7" t="s">
        <v>2246</v>
      </c>
      <c r="M885" s="7" t="str">
        <f t="shared" si="58"/>
        <v>ND</v>
      </c>
      <c r="N885" s="7" t="str">
        <f t="shared" si="56"/>
        <v>ND</v>
      </c>
    </row>
    <row r="886" spans="1:14" ht="15.6" x14ac:dyDescent="0.3">
      <c r="A886" s="18" t="s">
        <v>1760</v>
      </c>
      <c r="B886" s="7">
        <v>6</v>
      </c>
      <c r="C886" s="7">
        <v>13</v>
      </c>
      <c r="D886" s="7" t="s">
        <v>2261</v>
      </c>
      <c r="E886" s="7">
        <v>23000000</v>
      </c>
      <c r="F886" s="7">
        <f t="shared" si="55"/>
        <v>23000000</v>
      </c>
      <c r="G886" s="7">
        <f t="shared" si="57"/>
        <v>74096.983286297851</v>
      </c>
      <c r="H886" s="7" t="s">
        <v>2260</v>
      </c>
      <c r="I886" s="18" t="s">
        <v>1812</v>
      </c>
      <c r="J886" s="18" t="s">
        <v>1802</v>
      </c>
      <c r="K886" s="3" t="s">
        <v>1716</v>
      </c>
      <c r="L886" s="7" t="s">
        <v>2246</v>
      </c>
      <c r="M886" s="7" t="str">
        <f t="shared" si="58"/>
        <v>ND</v>
      </c>
      <c r="N886" s="7" t="str">
        <f t="shared" si="56"/>
        <v>ND</v>
      </c>
    </row>
    <row r="887" spans="1:14" ht="15.6" x14ac:dyDescent="0.3">
      <c r="A887" s="18" t="s">
        <v>1760</v>
      </c>
      <c r="B887" s="7">
        <v>6</v>
      </c>
      <c r="C887" s="7">
        <v>13</v>
      </c>
      <c r="D887" s="7" t="s">
        <v>2261</v>
      </c>
      <c r="E887" s="7">
        <v>23000000</v>
      </c>
      <c r="F887" s="7">
        <f t="shared" ref="F887:F950" si="59">E887</f>
        <v>23000000</v>
      </c>
      <c r="G887" s="7">
        <f t="shared" si="57"/>
        <v>74096.983286297851</v>
      </c>
      <c r="H887" s="7" t="s">
        <v>2260</v>
      </c>
      <c r="I887" s="18" t="s">
        <v>1812</v>
      </c>
      <c r="J887" s="18" t="s">
        <v>1802</v>
      </c>
      <c r="K887" s="3" t="s">
        <v>1716</v>
      </c>
      <c r="L887" s="7" t="s">
        <v>2246</v>
      </c>
      <c r="M887" s="7" t="str">
        <f t="shared" si="58"/>
        <v>ND</v>
      </c>
      <c r="N887" s="7" t="str">
        <f t="shared" si="56"/>
        <v>ND</v>
      </c>
    </row>
    <row r="888" spans="1:14" ht="15.6" x14ac:dyDescent="0.3">
      <c r="A888" s="18" t="s">
        <v>1760</v>
      </c>
      <c r="B888" s="7">
        <v>6</v>
      </c>
      <c r="C888" s="7">
        <v>13</v>
      </c>
      <c r="D888" s="7" t="s">
        <v>2261</v>
      </c>
      <c r="E888" s="7">
        <v>23000000</v>
      </c>
      <c r="F888" s="7">
        <f t="shared" si="59"/>
        <v>23000000</v>
      </c>
      <c r="G888" s="7">
        <f t="shared" si="57"/>
        <v>74096.983286297851</v>
      </c>
      <c r="H888" s="7" t="s">
        <v>2260</v>
      </c>
      <c r="I888" s="18" t="s">
        <v>1812</v>
      </c>
      <c r="J888" s="18" t="s">
        <v>1802</v>
      </c>
      <c r="K888" s="3">
        <v>20.72</v>
      </c>
      <c r="L888" s="7" t="s">
        <v>2246</v>
      </c>
      <c r="M888" s="7">
        <f t="shared" si="58"/>
        <v>2.0719999999999999E-2</v>
      </c>
      <c r="N888" s="7">
        <f t="shared" si="56"/>
        <v>6.4315708800000007</v>
      </c>
    </row>
    <row r="889" spans="1:14" ht="15.6" x14ac:dyDescent="0.3">
      <c r="A889" s="18" t="s">
        <v>1760</v>
      </c>
      <c r="B889" s="7">
        <v>6</v>
      </c>
      <c r="C889" s="7">
        <v>13</v>
      </c>
      <c r="D889" s="7" t="s">
        <v>2261</v>
      </c>
      <c r="E889" s="7">
        <v>23000000</v>
      </c>
      <c r="F889" s="7">
        <f t="shared" si="59"/>
        <v>23000000</v>
      </c>
      <c r="G889" s="7">
        <f t="shared" si="57"/>
        <v>74096.983286297851</v>
      </c>
      <c r="H889" s="7" t="s">
        <v>2260</v>
      </c>
      <c r="I889" s="18" t="s">
        <v>1812</v>
      </c>
      <c r="J889" s="18" t="s">
        <v>1802</v>
      </c>
      <c r="K889" s="3">
        <v>16.97</v>
      </c>
      <c r="L889" s="7" t="s">
        <v>2246</v>
      </c>
      <c r="M889" s="7">
        <f t="shared" si="58"/>
        <v>1.6969999999999999E-2</v>
      </c>
      <c r="N889" s="7">
        <f t="shared" si="56"/>
        <v>5.2675558800000006</v>
      </c>
    </row>
    <row r="890" spans="1:14" ht="15.6" x14ac:dyDescent="0.3">
      <c r="A890" s="18" t="s">
        <v>1760</v>
      </c>
      <c r="B890" s="7">
        <v>6</v>
      </c>
      <c r="C890" s="7">
        <v>13</v>
      </c>
      <c r="D890" s="7" t="s">
        <v>2261</v>
      </c>
      <c r="E890" s="7">
        <v>23000000</v>
      </c>
      <c r="F890" s="7">
        <f t="shared" si="59"/>
        <v>23000000</v>
      </c>
      <c r="G890" s="7">
        <f t="shared" si="57"/>
        <v>74096.983286297851</v>
      </c>
      <c r="H890" s="7" t="s">
        <v>2260</v>
      </c>
      <c r="I890" s="18" t="s">
        <v>1812</v>
      </c>
      <c r="J890" s="18" t="s">
        <v>1802</v>
      </c>
      <c r="K890" s="3">
        <v>18.61</v>
      </c>
      <c r="L890" s="7" t="s">
        <v>2246</v>
      </c>
      <c r="M890" s="7">
        <f t="shared" si="58"/>
        <v>1.8609999999999998E-2</v>
      </c>
      <c r="N890" s="7">
        <f t="shared" si="56"/>
        <v>5.77661844</v>
      </c>
    </row>
    <row r="891" spans="1:14" ht="15.6" x14ac:dyDescent="0.3">
      <c r="A891" s="18" t="s">
        <v>1760</v>
      </c>
      <c r="B891" s="7">
        <v>6</v>
      </c>
      <c r="C891" s="7">
        <v>13</v>
      </c>
      <c r="D891" s="7" t="s">
        <v>2261</v>
      </c>
      <c r="E891" s="7">
        <v>23000000</v>
      </c>
      <c r="F891" s="7">
        <f t="shared" si="59"/>
        <v>23000000</v>
      </c>
      <c r="G891" s="7">
        <f t="shared" si="57"/>
        <v>74096.983286297851</v>
      </c>
      <c r="H891" s="7" t="s">
        <v>2260</v>
      </c>
      <c r="I891" s="18" t="s">
        <v>1812</v>
      </c>
      <c r="J891" s="18" t="s">
        <v>1802</v>
      </c>
      <c r="K891" s="3">
        <v>16.11</v>
      </c>
      <c r="L891" s="7" t="s">
        <v>2246</v>
      </c>
      <c r="M891" s="7">
        <f t="shared" si="58"/>
        <v>1.6109999999999999E-2</v>
      </c>
      <c r="N891" s="7">
        <f t="shared" si="56"/>
        <v>5.0006084400000006</v>
      </c>
    </row>
    <row r="892" spans="1:14" ht="15.6" x14ac:dyDescent="0.3">
      <c r="A892" s="18" t="s">
        <v>1760</v>
      </c>
      <c r="B892" s="7">
        <v>6</v>
      </c>
      <c r="C892" s="7">
        <v>13</v>
      </c>
      <c r="D892" s="7" t="s">
        <v>2261</v>
      </c>
      <c r="E892" s="7">
        <v>23000000</v>
      </c>
      <c r="F892" s="7">
        <f t="shared" si="59"/>
        <v>23000000</v>
      </c>
      <c r="G892" s="7">
        <f t="shared" si="57"/>
        <v>74096.983286297851</v>
      </c>
      <c r="H892" s="7" t="s">
        <v>2260</v>
      </c>
      <c r="I892" s="18" t="s">
        <v>1812</v>
      </c>
      <c r="J892" s="18" t="s">
        <v>1802</v>
      </c>
      <c r="K892" s="3" t="s">
        <v>1716</v>
      </c>
      <c r="L892" s="7" t="s">
        <v>2246</v>
      </c>
      <c r="M892" s="7" t="str">
        <f t="shared" si="58"/>
        <v>ND</v>
      </c>
      <c r="N892" s="7" t="str">
        <f t="shared" si="56"/>
        <v>ND</v>
      </c>
    </row>
    <row r="893" spans="1:14" ht="15.6" x14ac:dyDescent="0.3">
      <c r="A893" s="18" t="s">
        <v>1760</v>
      </c>
      <c r="B893" s="7">
        <v>6</v>
      </c>
      <c r="C893" s="7">
        <v>13</v>
      </c>
      <c r="D893" s="7" t="s">
        <v>2261</v>
      </c>
      <c r="E893" s="7">
        <v>23000000</v>
      </c>
      <c r="F893" s="7">
        <f t="shared" si="59"/>
        <v>23000000</v>
      </c>
      <c r="G893" s="7">
        <f t="shared" si="57"/>
        <v>74096.983286297851</v>
      </c>
      <c r="H893" s="7" t="s">
        <v>2260</v>
      </c>
      <c r="I893" s="18" t="s">
        <v>1812</v>
      </c>
      <c r="J893" s="18" t="s">
        <v>1802</v>
      </c>
      <c r="K893" s="3">
        <v>5.97</v>
      </c>
      <c r="L893" s="7" t="s">
        <v>2246</v>
      </c>
      <c r="M893" s="7">
        <f t="shared" si="58"/>
        <v>5.9699999999999996E-3</v>
      </c>
      <c r="N893" s="7">
        <f t="shared" si="56"/>
        <v>1.8531118800000002</v>
      </c>
    </row>
    <row r="894" spans="1:14" ht="15.6" x14ac:dyDescent="0.3">
      <c r="A894" s="18" t="s">
        <v>1760</v>
      </c>
      <c r="B894" s="7">
        <v>6</v>
      </c>
      <c r="C894" s="7">
        <v>13</v>
      </c>
      <c r="D894" s="7" t="s">
        <v>2261</v>
      </c>
      <c r="E894" s="7">
        <v>23000000</v>
      </c>
      <c r="F894" s="7">
        <f t="shared" si="59"/>
        <v>23000000</v>
      </c>
      <c r="G894" s="7">
        <f t="shared" si="57"/>
        <v>74096.983286297851</v>
      </c>
      <c r="H894" s="7" t="s">
        <v>2260</v>
      </c>
      <c r="I894" s="18" t="s">
        <v>1812</v>
      </c>
      <c r="J894" s="18" t="s">
        <v>1802</v>
      </c>
      <c r="K894" s="3">
        <v>5.36</v>
      </c>
      <c r="L894" s="7" t="s">
        <v>2246</v>
      </c>
      <c r="M894" s="7">
        <f t="shared" si="58"/>
        <v>5.3600000000000002E-3</v>
      </c>
      <c r="N894" s="7">
        <f t="shared" si="56"/>
        <v>1.6637654400000002</v>
      </c>
    </row>
    <row r="895" spans="1:14" ht="15.6" x14ac:dyDescent="0.3">
      <c r="A895" s="18" t="s">
        <v>1760</v>
      </c>
      <c r="B895" s="7">
        <v>6</v>
      </c>
      <c r="C895" s="7">
        <v>13</v>
      </c>
      <c r="D895" s="7" t="s">
        <v>2261</v>
      </c>
      <c r="E895" s="7">
        <v>23000000</v>
      </c>
      <c r="F895" s="7">
        <f t="shared" si="59"/>
        <v>23000000</v>
      </c>
      <c r="G895" s="7">
        <f t="shared" si="57"/>
        <v>74096.983286297851</v>
      </c>
      <c r="H895" s="7" t="s">
        <v>2260</v>
      </c>
      <c r="I895" s="18" t="s">
        <v>1812</v>
      </c>
      <c r="J895" s="18" t="s">
        <v>1802</v>
      </c>
      <c r="K895" s="3">
        <v>6.49</v>
      </c>
      <c r="L895" s="7" t="s">
        <v>2246</v>
      </c>
      <c r="M895" s="7">
        <f t="shared" si="58"/>
        <v>6.4900000000000001E-3</v>
      </c>
      <c r="N895" s="7">
        <f t="shared" si="56"/>
        <v>2.0145219600000002</v>
      </c>
    </row>
    <row r="896" spans="1:14" ht="15.6" x14ac:dyDescent="0.3">
      <c r="A896" s="18" t="s">
        <v>1760</v>
      </c>
      <c r="B896" s="7">
        <v>6</v>
      </c>
      <c r="C896" s="7">
        <v>13</v>
      </c>
      <c r="D896" s="7" t="s">
        <v>2261</v>
      </c>
      <c r="E896" s="7">
        <v>23000000</v>
      </c>
      <c r="F896" s="7">
        <f t="shared" si="59"/>
        <v>23000000</v>
      </c>
      <c r="G896" s="7">
        <f t="shared" si="57"/>
        <v>74096.983286297851</v>
      </c>
      <c r="H896" s="7" t="s">
        <v>2260</v>
      </c>
      <c r="I896" s="18" t="s">
        <v>1812</v>
      </c>
      <c r="J896" s="18" t="s">
        <v>1802</v>
      </c>
      <c r="K896" s="3">
        <v>5.9</v>
      </c>
      <c r="L896" s="7" t="s">
        <v>2246</v>
      </c>
      <c r="M896" s="7">
        <f t="shared" si="58"/>
        <v>5.9000000000000007E-3</v>
      </c>
      <c r="N896" s="7">
        <f t="shared" si="56"/>
        <v>1.8313836000000006</v>
      </c>
    </row>
    <row r="897" spans="1:14" ht="15.6" x14ac:dyDescent="0.3">
      <c r="A897" s="18" t="s">
        <v>1760</v>
      </c>
      <c r="B897" s="7">
        <v>6</v>
      </c>
      <c r="C897" s="7">
        <v>13</v>
      </c>
      <c r="D897" s="7" t="s">
        <v>2261</v>
      </c>
      <c r="E897" s="7">
        <v>23000000</v>
      </c>
      <c r="F897" s="7">
        <f t="shared" si="59"/>
        <v>23000000</v>
      </c>
      <c r="G897" s="7">
        <f t="shared" si="57"/>
        <v>74096.983286297851</v>
      </c>
      <c r="H897" s="7" t="s">
        <v>2260</v>
      </c>
      <c r="I897" s="18" t="s">
        <v>1812</v>
      </c>
      <c r="J897" s="18" t="s">
        <v>1802</v>
      </c>
      <c r="K897" s="3">
        <v>20.7</v>
      </c>
      <c r="L897" s="7" t="s">
        <v>2246</v>
      </c>
      <c r="M897" s="7">
        <f t="shared" si="58"/>
        <v>2.07E-2</v>
      </c>
      <c r="N897" s="7">
        <f t="shared" si="56"/>
        <v>6.4253628000000003</v>
      </c>
    </row>
    <row r="898" spans="1:14" ht="15.6" x14ac:dyDescent="0.3">
      <c r="A898" s="18" t="s">
        <v>1760</v>
      </c>
      <c r="B898" s="7">
        <v>6</v>
      </c>
      <c r="C898" s="7">
        <v>13</v>
      </c>
      <c r="D898" s="7" t="s">
        <v>2261</v>
      </c>
      <c r="E898" s="7">
        <v>23000000</v>
      </c>
      <c r="F898" s="7">
        <f t="shared" si="59"/>
        <v>23000000</v>
      </c>
      <c r="G898" s="7">
        <f t="shared" si="57"/>
        <v>74096.983286297851</v>
      </c>
      <c r="H898" s="7" t="s">
        <v>2260</v>
      </c>
      <c r="I898" s="18" t="s">
        <v>1812</v>
      </c>
      <c r="J898" s="18" t="s">
        <v>1802</v>
      </c>
      <c r="K898" s="3">
        <v>5.25</v>
      </c>
      <c r="L898" s="7" t="s">
        <v>2246</v>
      </c>
      <c r="M898" s="7">
        <f t="shared" si="58"/>
        <v>5.2500000000000003E-3</v>
      </c>
      <c r="N898" s="7">
        <f t="shared" si="56"/>
        <v>1.6296210000000004</v>
      </c>
    </row>
    <row r="899" spans="1:14" ht="15.6" x14ac:dyDescent="0.3">
      <c r="A899" s="18" t="s">
        <v>1760</v>
      </c>
      <c r="B899" s="7">
        <v>6</v>
      </c>
      <c r="C899" s="7">
        <v>13</v>
      </c>
      <c r="D899" s="7" t="s">
        <v>2261</v>
      </c>
      <c r="E899" s="7">
        <v>23000000</v>
      </c>
      <c r="F899" s="7">
        <f t="shared" si="59"/>
        <v>23000000</v>
      </c>
      <c r="G899" s="7">
        <f t="shared" si="57"/>
        <v>74096.983286297851</v>
      </c>
      <c r="H899" s="7" t="s">
        <v>2260</v>
      </c>
      <c r="I899" s="18" t="s">
        <v>1812</v>
      </c>
      <c r="J899" s="18" t="s">
        <v>1802</v>
      </c>
      <c r="K899" s="3">
        <v>2.23</v>
      </c>
      <c r="L899" s="7" t="s">
        <v>2246</v>
      </c>
      <c r="M899" s="7">
        <f t="shared" si="58"/>
        <v>2.2299999999999998E-3</v>
      </c>
      <c r="N899" s="7">
        <f t="shared" ref="N899:N962" si="60">IFERROR((M899*F899)/G899,"ND")</f>
        <v>0.69220092</v>
      </c>
    </row>
    <row r="900" spans="1:14" ht="15.6" x14ac:dyDescent="0.3">
      <c r="A900" s="18" t="s">
        <v>1760</v>
      </c>
      <c r="B900" s="7">
        <v>6</v>
      </c>
      <c r="C900" s="7">
        <v>13</v>
      </c>
      <c r="D900" s="7" t="s">
        <v>2261</v>
      </c>
      <c r="E900" s="7">
        <v>23000000</v>
      </c>
      <c r="F900" s="7">
        <f t="shared" si="59"/>
        <v>23000000</v>
      </c>
      <c r="G900" s="7">
        <f t="shared" si="57"/>
        <v>74096.983286297851</v>
      </c>
      <c r="H900" s="7" t="s">
        <v>2260</v>
      </c>
      <c r="I900" s="18" t="s">
        <v>1812</v>
      </c>
      <c r="J900" s="18" t="s">
        <v>1802</v>
      </c>
      <c r="K900" s="3">
        <v>6.23</v>
      </c>
      <c r="L900" s="7" t="s">
        <v>2246</v>
      </c>
      <c r="M900" s="7">
        <f t="shared" si="58"/>
        <v>6.2300000000000003E-3</v>
      </c>
      <c r="N900" s="7">
        <f t="shared" si="60"/>
        <v>1.9338169200000002</v>
      </c>
    </row>
    <row r="901" spans="1:14" ht="15.6" x14ac:dyDescent="0.3">
      <c r="A901" s="18" t="s">
        <v>1760</v>
      </c>
      <c r="B901" s="7">
        <v>6</v>
      </c>
      <c r="C901" s="7">
        <v>13</v>
      </c>
      <c r="D901" s="7" t="s">
        <v>2261</v>
      </c>
      <c r="E901" s="7">
        <v>23000000</v>
      </c>
      <c r="F901" s="7">
        <f t="shared" si="59"/>
        <v>23000000</v>
      </c>
      <c r="G901" s="7">
        <f t="shared" si="57"/>
        <v>74096.983286297851</v>
      </c>
      <c r="H901" s="7" t="s">
        <v>2260</v>
      </c>
      <c r="I901" s="18" t="s">
        <v>1812</v>
      </c>
      <c r="J901" s="18" t="s">
        <v>1802</v>
      </c>
      <c r="K901" s="3" t="s">
        <v>1716</v>
      </c>
      <c r="L901" s="7" t="s">
        <v>2246</v>
      </c>
      <c r="M901" s="7" t="str">
        <f t="shared" si="58"/>
        <v>ND</v>
      </c>
      <c r="N901" s="7" t="str">
        <f t="shared" si="60"/>
        <v>ND</v>
      </c>
    </row>
    <row r="902" spans="1:14" ht="15.6" x14ac:dyDescent="0.3">
      <c r="A902" s="18" t="s">
        <v>1760</v>
      </c>
      <c r="B902" s="7">
        <v>6</v>
      </c>
      <c r="C902" s="7">
        <v>13</v>
      </c>
      <c r="D902" s="7" t="s">
        <v>2261</v>
      </c>
      <c r="E902" s="7">
        <v>23000000</v>
      </c>
      <c r="F902" s="7">
        <f t="shared" si="59"/>
        <v>23000000</v>
      </c>
      <c r="G902" s="7">
        <f t="shared" si="57"/>
        <v>74096.983286297851</v>
      </c>
      <c r="H902" s="7" t="s">
        <v>2260</v>
      </c>
      <c r="I902" s="18" t="s">
        <v>1812</v>
      </c>
      <c r="J902" s="18" t="s">
        <v>1802</v>
      </c>
      <c r="K902" s="3" t="s">
        <v>1716</v>
      </c>
      <c r="L902" s="7" t="s">
        <v>2246</v>
      </c>
      <c r="M902" s="7" t="str">
        <f t="shared" si="58"/>
        <v>ND</v>
      </c>
      <c r="N902" s="7" t="str">
        <f t="shared" si="60"/>
        <v>ND</v>
      </c>
    </row>
    <row r="903" spans="1:14" ht="15.6" x14ac:dyDescent="0.3">
      <c r="A903" s="18" t="s">
        <v>1760</v>
      </c>
      <c r="B903" s="7">
        <v>6</v>
      </c>
      <c r="C903" s="7">
        <v>13</v>
      </c>
      <c r="D903" s="7" t="s">
        <v>2261</v>
      </c>
      <c r="E903" s="7">
        <v>23000000</v>
      </c>
      <c r="F903" s="7">
        <f t="shared" si="59"/>
        <v>23000000</v>
      </c>
      <c r="G903" s="7">
        <f t="shared" si="57"/>
        <v>74096.983286297851</v>
      </c>
      <c r="H903" s="7" t="s">
        <v>2260</v>
      </c>
      <c r="I903" s="18" t="s">
        <v>1812</v>
      </c>
      <c r="J903" s="18" t="s">
        <v>1802</v>
      </c>
      <c r="K903" s="3" t="s">
        <v>1716</v>
      </c>
      <c r="L903" s="7" t="s">
        <v>2246</v>
      </c>
      <c r="M903" s="7" t="str">
        <f t="shared" si="58"/>
        <v>ND</v>
      </c>
      <c r="N903" s="7" t="str">
        <f t="shared" si="60"/>
        <v>ND</v>
      </c>
    </row>
    <row r="904" spans="1:14" ht="15.6" x14ac:dyDescent="0.3">
      <c r="A904" s="18" t="s">
        <v>1760</v>
      </c>
      <c r="B904" s="7">
        <v>6</v>
      </c>
      <c r="C904" s="7">
        <v>13</v>
      </c>
      <c r="D904" s="7" t="s">
        <v>2261</v>
      </c>
      <c r="E904" s="7">
        <v>23000000</v>
      </c>
      <c r="F904" s="7">
        <f t="shared" si="59"/>
        <v>23000000</v>
      </c>
      <c r="G904" s="7">
        <f t="shared" si="57"/>
        <v>74096.983286297851</v>
      </c>
      <c r="H904" s="7" t="s">
        <v>2260</v>
      </c>
      <c r="I904" s="18" t="s">
        <v>1812</v>
      </c>
      <c r="J904" s="18" t="s">
        <v>1802</v>
      </c>
      <c r="K904" s="3" t="s">
        <v>1716</v>
      </c>
      <c r="L904" s="7" t="s">
        <v>2246</v>
      </c>
      <c r="M904" s="7" t="str">
        <f t="shared" si="58"/>
        <v>ND</v>
      </c>
      <c r="N904" s="7" t="str">
        <f t="shared" si="60"/>
        <v>ND</v>
      </c>
    </row>
    <row r="905" spans="1:14" ht="15.6" x14ac:dyDescent="0.3">
      <c r="A905" s="18" t="s">
        <v>1760</v>
      </c>
      <c r="B905" s="7">
        <v>6</v>
      </c>
      <c r="C905" s="7">
        <v>13</v>
      </c>
      <c r="D905" s="7" t="s">
        <v>2261</v>
      </c>
      <c r="E905" s="7">
        <v>23000000</v>
      </c>
      <c r="F905" s="7">
        <f t="shared" si="59"/>
        <v>23000000</v>
      </c>
      <c r="G905" s="7">
        <f t="shared" si="57"/>
        <v>74096.983286297851</v>
      </c>
      <c r="H905" s="7" t="s">
        <v>2260</v>
      </c>
      <c r="I905" s="18" t="s">
        <v>1812</v>
      </c>
      <c r="J905" s="18" t="s">
        <v>1802</v>
      </c>
      <c r="K905" s="3" t="s">
        <v>1716</v>
      </c>
      <c r="L905" s="7" t="s">
        <v>2246</v>
      </c>
      <c r="M905" s="7" t="str">
        <f t="shared" si="58"/>
        <v>ND</v>
      </c>
      <c r="N905" s="7" t="str">
        <f t="shared" si="60"/>
        <v>ND</v>
      </c>
    </row>
    <row r="906" spans="1:14" ht="15.6" x14ac:dyDescent="0.3">
      <c r="A906" s="18" t="s">
        <v>1760</v>
      </c>
      <c r="B906" s="7">
        <v>6</v>
      </c>
      <c r="C906" s="7">
        <v>13</v>
      </c>
      <c r="D906" s="7" t="s">
        <v>2261</v>
      </c>
      <c r="E906" s="7">
        <v>23000000</v>
      </c>
      <c r="F906" s="7">
        <f t="shared" si="59"/>
        <v>23000000</v>
      </c>
      <c r="G906" s="7">
        <f t="shared" si="57"/>
        <v>74096.983286297851</v>
      </c>
      <c r="H906" s="7" t="s">
        <v>2260</v>
      </c>
      <c r="I906" s="18" t="s">
        <v>1812</v>
      </c>
      <c r="J906" s="18" t="s">
        <v>1802</v>
      </c>
      <c r="K906" s="3" t="s">
        <v>1716</v>
      </c>
      <c r="L906" s="7" t="s">
        <v>2246</v>
      </c>
      <c r="M906" s="7" t="str">
        <f t="shared" si="58"/>
        <v>ND</v>
      </c>
      <c r="N906" s="7" t="str">
        <f t="shared" si="60"/>
        <v>ND</v>
      </c>
    </row>
    <row r="907" spans="1:14" ht="15.6" x14ac:dyDescent="0.3">
      <c r="A907" s="18" t="s">
        <v>1760</v>
      </c>
      <c r="B907" s="7">
        <v>6</v>
      </c>
      <c r="C907" s="7">
        <v>13</v>
      </c>
      <c r="D907" s="7" t="s">
        <v>2261</v>
      </c>
      <c r="E907" s="7">
        <v>23000000</v>
      </c>
      <c r="F907" s="7">
        <f t="shared" si="59"/>
        <v>23000000</v>
      </c>
      <c r="G907" s="7">
        <f t="shared" si="57"/>
        <v>74096.983286297851</v>
      </c>
      <c r="H907" s="7" t="s">
        <v>2260</v>
      </c>
      <c r="I907" s="18" t="s">
        <v>1812</v>
      </c>
      <c r="J907" s="18" t="s">
        <v>1802</v>
      </c>
      <c r="K907" s="3" t="s">
        <v>1716</v>
      </c>
      <c r="L907" s="7" t="s">
        <v>2246</v>
      </c>
      <c r="M907" s="7" t="str">
        <f t="shared" si="58"/>
        <v>ND</v>
      </c>
      <c r="N907" s="7" t="str">
        <f t="shared" si="60"/>
        <v>ND</v>
      </c>
    </row>
    <row r="908" spans="1:14" ht="15.6" x14ac:dyDescent="0.3">
      <c r="A908" s="18" t="s">
        <v>1761</v>
      </c>
      <c r="B908" s="7">
        <v>6</v>
      </c>
      <c r="C908" s="7">
        <v>13</v>
      </c>
      <c r="D908" s="7" t="s">
        <v>2261</v>
      </c>
      <c r="E908" s="7">
        <v>23000000</v>
      </c>
      <c r="F908" s="7">
        <f t="shared" si="59"/>
        <v>23000000</v>
      </c>
      <c r="G908" s="7">
        <f t="shared" si="57"/>
        <v>74096.983286297851</v>
      </c>
      <c r="H908" s="7" t="s">
        <v>2260</v>
      </c>
      <c r="I908" s="18" t="s">
        <v>1812</v>
      </c>
      <c r="J908" s="18" t="s">
        <v>1802</v>
      </c>
      <c r="K908" s="3" t="s">
        <v>1716</v>
      </c>
      <c r="L908" s="7" t="s">
        <v>2246</v>
      </c>
      <c r="M908" s="7" t="str">
        <f t="shared" si="58"/>
        <v>ND</v>
      </c>
      <c r="N908" s="7" t="str">
        <f t="shared" si="60"/>
        <v>ND</v>
      </c>
    </row>
    <row r="909" spans="1:14" ht="15.6" x14ac:dyDescent="0.3">
      <c r="A909" s="18" t="s">
        <v>1761</v>
      </c>
      <c r="B909" s="7">
        <v>6</v>
      </c>
      <c r="C909" s="7">
        <v>13</v>
      </c>
      <c r="D909" s="7" t="s">
        <v>2261</v>
      </c>
      <c r="E909" s="7">
        <v>23000000</v>
      </c>
      <c r="F909" s="7">
        <f t="shared" si="59"/>
        <v>23000000</v>
      </c>
      <c r="G909" s="7">
        <f t="shared" si="57"/>
        <v>74096.983286297851</v>
      </c>
      <c r="H909" s="7" t="s">
        <v>2260</v>
      </c>
      <c r="I909" s="18" t="s">
        <v>1812</v>
      </c>
      <c r="J909" s="18" t="s">
        <v>1802</v>
      </c>
      <c r="K909" s="3" t="s">
        <v>1716</v>
      </c>
      <c r="L909" s="7" t="s">
        <v>2246</v>
      </c>
      <c r="M909" s="7" t="str">
        <f t="shared" si="58"/>
        <v>ND</v>
      </c>
      <c r="N909" s="7" t="str">
        <f t="shared" si="60"/>
        <v>ND</v>
      </c>
    </row>
    <row r="910" spans="1:14" ht="15.6" x14ac:dyDescent="0.3">
      <c r="A910" s="18" t="s">
        <v>1761</v>
      </c>
      <c r="B910" s="7">
        <v>6</v>
      </c>
      <c r="C910" s="7">
        <v>13</v>
      </c>
      <c r="D910" s="7" t="s">
        <v>2261</v>
      </c>
      <c r="E910" s="7">
        <v>23000000</v>
      </c>
      <c r="F910" s="7">
        <f t="shared" si="59"/>
        <v>23000000</v>
      </c>
      <c r="G910" s="7">
        <f t="shared" si="57"/>
        <v>74096.983286297851</v>
      </c>
      <c r="H910" s="7" t="s">
        <v>2260</v>
      </c>
      <c r="I910" s="18" t="s">
        <v>1812</v>
      </c>
      <c r="J910" s="18" t="s">
        <v>1802</v>
      </c>
      <c r="K910" s="3" t="s">
        <v>1716</v>
      </c>
      <c r="L910" s="7" t="s">
        <v>2246</v>
      </c>
      <c r="M910" s="7" t="str">
        <f t="shared" si="58"/>
        <v>ND</v>
      </c>
      <c r="N910" s="7" t="str">
        <f t="shared" si="60"/>
        <v>ND</v>
      </c>
    </row>
    <row r="911" spans="1:14" ht="15.6" x14ac:dyDescent="0.3">
      <c r="A911" s="18" t="s">
        <v>1761</v>
      </c>
      <c r="B911" s="7">
        <v>6</v>
      </c>
      <c r="C911" s="7">
        <v>13</v>
      </c>
      <c r="D911" s="7" t="s">
        <v>2261</v>
      </c>
      <c r="E911" s="7">
        <v>23000000</v>
      </c>
      <c r="F911" s="7">
        <f t="shared" si="59"/>
        <v>23000000</v>
      </c>
      <c r="G911" s="7">
        <f t="shared" si="57"/>
        <v>74096.983286297851</v>
      </c>
      <c r="H911" s="7" t="s">
        <v>2260</v>
      </c>
      <c r="I911" s="18" t="s">
        <v>1812</v>
      </c>
      <c r="J911" s="18" t="s">
        <v>1802</v>
      </c>
      <c r="K911" s="3" t="s">
        <v>1716</v>
      </c>
      <c r="L911" s="7" t="s">
        <v>2246</v>
      </c>
      <c r="M911" s="7" t="str">
        <f t="shared" si="58"/>
        <v>ND</v>
      </c>
      <c r="N911" s="7" t="str">
        <f t="shared" si="60"/>
        <v>ND</v>
      </c>
    </row>
    <row r="912" spans="1:14" ht="15.6" x14ac:dyDescent="0.3">
      <c r="A912" s="18" t="s">
        <v>1761</v>
      </c>
      <c r="B912" s="7">
        <v>6</v>
      </c>
      <c r="C912" s="7">
        <v>13</v>
      </c>
      <c r="D912" s="7" t="s">
        <v>2261</v>
      </c>
      <c r="E912" s="7">
        <v>23000000</v>
      </c>
      <c r="F912" s="7">
        <f t="shared" si="59"/>
        <v>23000000</v>
      </c>
      <c r="G912" s="7">
        <f t="shared" si="57"/>
        <v>74096.983286297851</v>
      </c>
      <c r="H912" s="7" t="s">
        <v>2260</v>
      </c>
      <c r="I912" s="18" t="s">
        <v>1812</v>
      </c>
      <c r="J912" s="18" t="s">
        <v>1802</v>
      </c>
      <c r="K912" s="3" t="s">
        <v>1716</v>
      </c>
      <c r="L912" s="7" t="s">
        <v>2246</v>
      </c>
      <c r="M912" s="7" t="str">
        <f t="shared" si="58"/>
        <v>ND</v>
      </c>
      <c r="N912" s="7" t="str">
        <f t="shared" si="60"/>
        <v>ND</v>
      </c>
    </row>
    <row r="913" spans="1:14" ht="15.6" x14ac:dyDescent="0.3">
      <c r="A913" s="18" t="s">
        <v>1761</v>
      </c>
      <c r="B913" s="7">
        <v>6</v>
      </c>
      <c r="C913" s="7">
        <v>13</v>
      </c>
      <c r="D913" s="7" t="s">
        <v>2261</v>
      </c>
      <c r="E913" s="7">
        <v>23000000</v>
      </c>
      <c r="F913" s="7">
        <f t="shared" si="59"/>
        <v>23000000</v>
      </c>
      <c r="G913" s="7">
        <f t="shared" si="57"/>
        <v>74096.983286297851</v>
      </c>
      <c r="H913" s="7" t="s">
        <v>2260</v>
      </c>
      <c r="I913" s="18" t="s">
        <v>1812</v>
      </c>
      <c r="J913" s="18" t="s">
        <v>1802</v>
      </c>
      <c r="K913" s="3" t="s">
        <v>1716</v>
      </c>
      <c r="L913" s="7" t="s">
        <v>2246</v>
      </c>
      <c r="M913" s="7" t="str">
        <f t="shared" si="58"/>
        <v>ND</v>
      </c>
      <c r="N913" s="7" t="str">
        <f t="shared" si="60"/>
        <v>ND</v>
      </c>
    </row>
    <row r="914" spans="1:14" ht="15.6" x14ac:dyDescent="0.3">
      <c r="A914" s="18" t="s">
        <v>1761</v>
      </c>
      <c r="B914" s="7">
        <v>6</v>
      </c>
      <c r="C914" s="7">
        <v>13</v>
      </c>
      <c r="D914" s="7" t="s">
        <v>2261</v>
      </c>
      <c r="E914" s="7">
        <v>23000000</v>
      </c>
      <c r="F914" s="7">
        <f t="shared" si="59"/>
        <v>23000000</v>
      </c>
      <c r="G914" s="7">
        <f t="shared" si="57"/>
        <v>74096.983286297851</v>
      </c>
      <c r="H914" s="7" t="s">
        <v>2260</v>
      </c>
      <c r="I914" s="18" t="s">
        <v>1812</v>
      </c>
      <c r="J914" s="18" t="s">
        <v>1802</v>
      </c>
      <c r="K914" s="3" t="s">
        <v>1716</v>
      </c>
      <c r="L914" s="7" t="s">
        <v>2246</v>
      </c>
      <c r="M914" s="7" t="str">
        <f t="shared" si="58"/>
        <v>ND</v>
      </c>
      <c r="N914" s="7" t="str">
        <f t="shared" si="60"/>
        <v>ND</v>
      </c>
    </row>
    <row r="915" spans="1:14" ht="15.6" x14ac:dyDescent="0.3">
      <c r="A915" s="18" t="s">
        <v>1761</v>
      </c>
      <c r="B915" s="7">
        <v>6</v>
      </c>
      <c r="C915" s="7">
        <v>13</v>
      </c>
      <c r="D915" s="7" t="s">
        <v>2261</v>
      </c>
      <c r="E915" s="7">
        <v>23000000</v>
      </c>
      <c r="F915" s="7">
        <f t="shared" si="59"/>
        <v>23000000</v>
      </c>
      <c r="G915" s="7">
        <f t="shared" si="57"/>
        <v>74096.983286297851</v>
      </c>
      <c r="H915" s="7" t="s">
        <v>2260</v>
      </c>
      <c r="I915" s="18" t="s">
        <v>1812</v>
      </c>
      <c r="J915" s="18" t="s">
        <v>1802</v>
      </c>
      <c r="K915" s="3" t="s">
        <v>1716</v>
      </c>
      <c r="L915" s="7" t="s">
        <v>2246</v>
      </c>
      <c r="M915" s="7" t="str">
        <f t="shared" si="58"/>
        <v>ND</v>
      </c>
      <c r="N915" s="7" t="str">
        <f t="shared" si="60"/>
        <v>ND</v>
      </c>
    </row>
    <row r="916" spans="1:14" ht="15.6" x14ac:dyDescent="0.3">
      <c r="A916" s="18" t="s">
        <v>1761</v>
      </c>
      <c r="B916" s="7">
        <v>6</v>
      </c>
      <c r="C916" s="7">
        <v>13</v>
      </c>
      <c r="D916" s="7" t="s">
        <v>2261</v>
      </c>
      <c r="E916" s="7">
        <v>23000000</v>
      </c>
      <c r="F916" s="7">
        <f t="shared" si="59"/>
        <v>23000000</v>
      </c>
      <c r="G916" s="7">
        <f t="shared" si="57"/>
        <v>74096.983286297851</v>
      </c>
      <c r="H916" s="7" t="s">
        <v>2260</v>
      </c>
      <c r="I916" s="18" t="s">
        <v>1812</v>
      </c>
      <c r="J916" s="18" t="s">
        <v>1802</v>
      </c>
      <c r="K916" s="3" t="s">
        <v>1716</v>
      </c>
      <c r="L916" s="7" t="s">
        <v>2246</v>
      </c>
      <c r="M916" s="7" t="str">
        <f t="shared" si="58"/>
        <v>ND</v>
      </c>
      <c r="N916" s="7" t="str">
        <f t="shared" si="60"/>
        <v>ND</v>
      </c>
    </row>
    <row r="917" spans="1:14" ht="15.6" x14ac:dyDescent="0.3">
      <c r="A917" s="18" t="s">
        <v>1761</v>
      </c>
      <c r="B917" s="7">
        <v>6</v>
      </c>
      <c r="C917" s="7">
        <v>13</v>
      </c>
      <c r="D917" s="7" t="s">
        <v>2261</v>
      </c>
      <c r="E917" s="7">
        <v>23000000</v>
      </c>
      <c r="F917" s="7">
        <f t="shared" si="59"/>
        <v>23000000</v>
      </c>
      <c r="G917" s="7">
        <f t="shared" si="57"/>
        <v>74096.983286297851</v>
      </c>
      <c r="H917" s="7" t="s">
        <v>2260</v>
      </c>
      <c r="I917" s="18" t="s">
        <v>1812</v>
      </c>
      <c r="J917" s="18" t="s">
        <v>1802</v>
      </c>
      <c r="K917" s="3" t="s">
        <v>1716</v>
      </c>
      <c r="L917" s="7" t="s">
        <v>2246</v>
      </c>
      <c r="M917" s="7" t="str">
        <f t="shared" si="58"/>
        <v>ND</v>
      </c>
      <c r="N917" s="7" t="str">
        <f t="shared" si="60"/>
        <v>ND</v>
      </c>
    </row>
    <row r="918" spans="1:14" ht="15.6" x14ac:dyDescent="0.3">
      <c r="A918" s="18" t="s">
        <v>1761</v>
      </c>
      <c r="B918" s="7">
        <v>6</v>
      </c>
      <c r="C918" s="7">
        <v>13</v>
      </c>
      <c r="D918" s="7" t="s">
        <v>2261</v>
      </c>
      <c r="E918" s="7">
        <v>23000000</v>
      </c>
      <c r="F918" s="7">
        <f t="shared" si="59"/>
        <v>23000000</v>
      </c>
      <c r="G918" s="7">
        <f t="shared" si="57"/>
        <v>74096.983286297851</v>
      </c>
      <c r="H918" s="7" t="s">
        <v>2260</v>
      </c>
      <c r="I918" s="18" t="s">
        <v>1812</v>
      </c>
      <c r="J918" s="18" t="s">
        <v>1802</v>
      </c>
      <c r="K918" s="3" t="s">
        <v>1716</v>
      </c>
      <c r="L918" s="7" t="s">
        <v>2246</v>
      </c>
      <c r="M918" s="7" t="str">
        <f t="shared" si="58"/>
        <v>ND</v>
      </c>
      <c r="N918" s="7" t="str">
        <f t="shared" si="60"/>
        <v>ND</v>
      </c>
    </row>
    <row r="919" spans="1:14" ht="15.6" x14ac:dyDescent="0.3">
      <c r="A919" s="18" t="s">
        <v>1761</v>
      </c>
      <c r="B919" s="7">
        <v>6</v>
      </c>
      <c r="C919" s="7">
        <v>13</v>
      </c>
      <c r="D919" s="7" t="s">
        <v>2261</v>
      </c>
      <c r="E919" s="7">
        <v>23000000</v>
      </c>
      <c r="F919" s="7">
        <f t="shared" si="59"/>
        <v>23000000</v>
      </c>
      <c r="G919" s="7">
        <f t="shared" si="57"/>
        <v>74096.983286297851</v>
      </c>
      <c r="H919" s="7" t="s">
        <v>2260</v>
      </c>
      <c r="I919" s="18" t="s">
        <v>1812</v>
      </c>
      <c r="J919" s="18" t="s">
        <v>1802</v>
      </c>
      <c r="K919" s="3" t="s">
        <v>1716</v>
      </c>
      <c r="L919" s="7" t="s">
        <v>2246</v>
      </c>
      <c r="M919" s="7" t="str">
        <f t="shared" si="58"/>
        <v>ND</v>
      </c>
      <c r="N919" s="7" t="str">
        <f t="shared" si="60"/>
        <v>ND</v>
      </c>
    </row>
    <row r="920" spans="1:14" ht="15.6" x14ac:dyDescent="0.3">
      <c r="A920" s="18" t="s">
        <v>1761</v>
      </c>
      <c r="B920" s="7">
        <v>6</v>
      </c>
      <c r="C920" s="7">
        <v>13</v>
      </c>
      <c r="D920" s="7" t="s">
        <v>2261</v>
      </c>
      <c r="E920" s="7">
        <v>23000000</v>
      </c>
      <c r="F920" s="7">
        <f t="shared" si="59"/>
        <v>23000000</v>
      </c>
      <c r="G920" s="7">
        <f t="shared" si="57"/>
        <v>74096.983286297851</v>
      </c>
      <c r="H920" s="7" t="s">
        <v>2260</v>
      </c>
      <c r="I920" s="18" t="s">
        <v>1812</v>
      </c>
      <c r="J920" s="18" t="s">
        <v>1802</v>
      </c>
      <c r="K920" s="3" t="s">
        <v>1716</v>
      </c>
      <c r="L920" s="7" t="s">
        <v>2246</v>
      </c>
      <c r="M920" s="7" t="str">
        <f t="shared" si="58"/>
        <v>ND</v>
      </c>
      <c r="N920" s="7" t="str">
        <f t="shared" si="60"/>
        <v>ND</v>
      </c>
    </row>
    <row r="921" spans="1:14" ht="15.6" x14ac:dyDescent="0.3">
      <c r="A921" s="18" t="s">
        <v>1761</v>
      </c>
      <c r="B921" s="7">
        <v>6</v>
      </c>
      <c r="C921" s="7">
        <v>13</v>
      </c>
      <c r="D921" s="7" t="s">
        <v>2261</v>
      </c>
      <c r="E921" s="7">
        <v>23000000</v>
      </c>
      <c r="F921" s="7">
        <f t="shared" si="59"/>
        <v>23000000</v>
      </c>
      <c r="G921" s="7">
        <f t="shared" ref="G921:G984" si="61">F921/310.404</f>
        <v>74096.983286297851</v>
      </c>
      <c r="H921" s="7" t="s">
        <v>2260</v>
      </c>
      <c r="I921" s="18" t="s">
        <v>1812</v>
      </c>
      <c r="J921" s="18" t="s">
        <v>1802</v>
      </c>
      <c r="K921" s="3" t="s">
        <v>1716</v>
      </c>
      <c r="L921" s="7" t="s">
        <v>2246</v>
      </c>
      <c r="M921" s="7" t="str">
        <f t="shared" si="58"/>
        <v>ND</v>
      </c>
      <c r="N921" s="7" t="str">
        <f t="shared" si="60"/>
        <v>ND</v>
      </c>
    </row>
    <row r="922" spans="1:14" ht="15.6" x14ac:dyDescent="0.3">
      <c r="A922" s="18" t="s">
        <v>1761</v>
      </c>
      <c r="B922" s="7">
        <v>6</v>
      </c>
      <c r="C922" s="7">
        <v>13</v>
      </c>
      <c r="D922" s="7" t="s">
        <v>2261</v>
      </c>
      <c r="E922" s="7">
        <v>23000000</v>
      </c>
      <c r="F922" s="7">
        <f t="shared" si="59"/>
        <v>23000000</v>
      </c>
      <c r="G922" s="7">
        <f t="shared" si="61"/>
        <v>74096.983286297851</v>
      </c>
      <c r="H922" s="7" t="s">
        <v>2260</v>
      </c>
      <c r="I922" s="18" t="s">
        <v>1812</v>
      </c>
      <c r="J922" s="18" t="s">
        <v>1802</v>
      </c>
      <c r="K922" s="3" t="s">
        <v>1716</v>
      </c>
      <c r="L922" s="7" t="s">
        <v>2246</v>
      </c>
      <c r="M922" s="7" t="str">
        <f t="shared" si="58"/>
        <v>ND</v>
      </c>
      <c r="N922" s="7" t="str">
        <f t="shared" si="60"/>
        <v>ND</v>
      </c>
    </row>
    <row r="923" spans="1:14" ht="15.6" x14ac:dyDescent="0.3">
      <c r="A923" s="18" t="s">
        <v>1761</v>
      </c>
      <c r="B923" s="7">
        <v>6</v>
      </c>
      <c r="C923" s="7">
        <v>13</v>
      </c>
      <c r="D923" s="7" t="s">
        <v>2261</v>
      </c>
      <c r="E923" s="7">
        <v>23000000</v>
      </c>
      <c r="F923" s="7">
        <f t="shared" si="59"/>
        <v>23000000</v>
      </c>
      <c r="G923" s="7">
        <f t="shared" si="61"/>
        <v>74096.983286297851</v>
      </c>
      <c r="H923" s="7" t="s">
        <v>2260</v>
      </c>
      <c r="I923" s="18" t="s">
        <v>1812</v>
      </c>
      <c r="J923" s="18" t="s">
        <v>1802</v>
      </c>
      <c r="K923" s="3" t="s">
        <v>1716</v>
      </c>
      <c r="L923" s="7" t="s">
        <v>2246</v>
      </c>
      <c r="M923" s="7" t="str">
        <f t="shared" si="58"/>
        <v>ND</v>
      </c>
      <c r="N923" s="7" t="str">
        <f t="shared" si="60"/>
        <v>ND</v>
      </c>
    </row>
    <row r="924" spans="1:14" ht="15.6" x14ac:dyDescent="0.3">
      <c r="A924" s="18" t="s">
        <v>1761</v>
      </c>
      <c r="B924" s="7">
        <v>6</v>
      </c>
      <c r="C924" s="7">
        <v>13</v>
      </c>
      <c r="D924" s="7" t="s">
        <v>2261</v>
      </c>
      <c r="E924" s="7">
        <v>23000000</v>
      </c>
      <c r="F924" s="7">
        <f t="shared" si="59"/>
        <v>23000000</v>
      </c>
      <c r="G924" s="7">
        <f t="shared" si="61"/>
        <v>74096.983286297851</v>
      </c>
      <c r="H924" s="7" t="s">
        <v>2260</v>
      </c>
      <c r="I924" s="18" t="s">
        <v>1812</v>
      </c>
      <c r="J924" s="18" t="s">
        <v>1802</v>
      </c>
      <c r="K924" s="3" t="s">
        <v>1716</v>
      </c>
      <c r="L924" s="7" t="s">
        <v>2246</v>
      </c>
      <c r="M924" s="7" t="str">
        <f t="shared" si="58"/>
        <v>ND</v>
      </c>
      <c r="N924" s="7" t="str">
        <f t="shared" si="60"/>
        <v>ND</v>
      </c>
    </row>
    <row r="925" spans="1:14" ht="15.6" x14ac:dyDescent="0.3">
      <c r="A925" s="18" t="s">
        <v>1761</v>
      </c>
      <c r="B925" s="7">
        <v>6</v>
      </c>
      <c r="C925" s="7">
        <v>13</v>
      </c>
      <c r="D925" s="7" t="s">
        <v>2261</v>
      </c>
      <c r="E925" s="7">
        <v>23000000</v>
      </c>
      <c r="F925" s="7">
        <f t="shared" si="59"/>
        <v>23000000</v>
      </c>
      <c r="G925" s="7">
        <f t="shared" si="61"/>
        <v>74096.983286297851</v>
      </c>
      <c r="H925" s="7" t="s">
        <v>2260</v>
      </c>
      <c r="I925" s="18" t="s">
        <v>1812</v>
      </c>
      <c r="J925" s="18" t="s">
        <v>1802</v>
      </c>
      <c r="K925" s="3" t="s">
        <v>1716</v>
      </c>
      <c r="L925" s="7" t="s">
        <v>2246</v>
      </c>
      <c r="M925" s="7" t="str">
        <f t="shared" si="58"/>
        <v>ND</v>
      </c>
      <c r="N925" s="7" t="str">
        <f t="shared" si="60"/>
        <v>ND</v>
      </c>
    </row>
    <row r="926" spans="1:14" ht="15.6" x14ac:dyDescent="0.3">
      <c r="A926" s="18" t="s">
        <v>1761</v>
      </c>
      <c r="B926" s="7">
        <v>6</v>
      </c>
      <c r="C926" s="7">
        <v>13</v>
      </c>
      <c r="D926" s="7" t="s">
        <v>2261</v>
      </c>
      <c r="E926" s="7">
        <v>23000000</v>
      </c>
      <c r="F926" s="7">
        <f t="shared" si="59"/>
        <v>23000000</v>
      </c>
      <c r="G926" s="7">
        <f t="shared" si="61"/>
        <v>74096.983286297851</v>
      </c>
      <c r="H926" s="7" t="s">
        <v>2260</v>
      </c>
      <c r="I926" s="18" t="s">
        <v>1812</v>
      </c>
      <c r="J926" s="18" t="s">
        <v>1802</v>
      </c>
      <c r="K926" s="3" t="s">
        <v>1716</v>
      </c>
      <c r="L926" s="7" t="s">
        <v>2246</v>
      </c>
      <c r="M926" s="7" t="str">
        <f t="shared" si="58"/>
        <v>ND</v>
      </c>
      <c r="N926" s="7" t="str">
        <f t="shared" si="60"/>
        <v>ND</v>
      </c>
    </row>
    <row r="927" spans="1:14" ht="15.6" x14ac:dyDescent="0.3">
      <c r="A927" s="18" t="s">
        <v>1761</v>
      </c>
      <c r="B927" s="7">
        <v>6</v>
      </c>
      <c r="C927" s="7">
        <v>13</v>
      </c>
      <c r="D927" s="7" t="s">
        <v>2261</v>
      </c>
      <c r="E927" s="7">
        <v>23000000</v>
      </c>
      <c r="F927" s="7">
        <f t="shared" si="59"/>
        <v>23000000</v>
      </c>
      <c r="G927" s="7">
        <f t="shared" si="61"/>
        <v>74096.983286297851</v>
      </c>
      <c r="H927" s="7" t="s">
        <v>2260</v>
      </c>
      <c r="I927" s="18" t="s">
        <v>1812</v>
      </c>
      <c r="J927" s="18" t="s">
        <v>1802</v>
      </c>
      <c r="K927" s="3" t="s">
        <v>1716</v>
      </c>
      <c r="L927" s="7" t="s">
        <v>2246</v>
      </c>
      <c r="M927" s="7" t="str">
        <f t="shared" si="58"/>
        <v>ND</v>
      </c>
      <c r="N927" s="7" t="str">
        <f t="shared" si="60"/>
        <v>ND</v>
      </c>
    </row>
    <row r="928" spans="1:14" ht="15.6" x14ac:dyDescent="0.3">
      <c r="A928" s="18" t="s">
        <v>1761</v>
      </c>
      <c r="B928" s="7">
        <v>6</v>
      </c>
      <c r="C928" s="7">
        <v>13</v>
      </c>
      <c r="D928" s="7" t="s">
        <v>2261</v>
      </c>
      <c r="E928" s="7">
        <v>23000000</v>
      </c>
      <c r="F928" s="7">
        <f t="shared" si="59"/>
        <v>23000000</v>
      </c>
      <c r="G928" s="7">
        <f t="shared" si="61"/>
        <v>74096.983286297851</v>
      </c>
      <c r="H928" s="7" t="s">
        <v>2260</v>
      </c>
      <c r="I928" s="18" t="s">
        <v>1812</v>
      </c>
      <c r="J928" s="18" t="s">
        <v>1802</v>
      </c>
      <c r="K928" s="3" t="s">
        <v>1716</v>
      </c>
      <c r="L928" s="7" t="s">
        <v>2246</v>
      </c>
      <c r="M928" s="7" t="str">
        <f t="shared" si="58"/>
        <v>ND</v>
      </c>
      <c r="N928" s="7" t="str">
        <f t="shared" si="60"/>
        <v>ND</v>
      </c>
    </row>
    <row r="929" spans="1:14" ht="15.6" x14ac:dyDescent="0.3">
      <c r="A929" s="18" t="s">
        <v>1761</v>
      </c>
      <c r="B929" s="7">
        <v>6</v>
      </c>
      <c r="C929" s="7">
        <v>13</v>
      </c>
      <c r="D929" s="7" t="s">
        <v>2261</v>
      </c>
      <c r="E929" s="7">
        <v>23000000</v>
      </c>
      <c r="F929" s="7">
        <f t="shared" si="59"/>
        <v>23000000</v>
      </c>
      <c r="G929" s="7">
        <f t="shared" si="61"/>
        <v>74096.983286297851</v>
      </c>
      <c r="H929" s="7" t="s">
        <v>2260</v>
      </c>
      <c r="I929" s="18" t="s">
        <v>1812</v>
      </c>
      <c r="J929" s="18" t="s">
        <v>1802</v>
      </c>
      <c r="K929" s="3" t="s">
        <v>1716</v>
      </c>
      <c r="L929" s="7" t="s">
        <v>2246</v>
      </c>
      <c r="M929" s="7" t="str">
        <f t="shared" si="58"/>
        <v>ND</v>
      </c>
      <c r="N929" s="7" t="str">
        <f t="shared" si="60"/>
        <v>ND</v>
      </c>
    </row>
    <row r="930" spans="1:14" ht="15.6" x14ac:dyDescent="0.3">
      <c r="A930" s="18" t="s">
        <v>1761</v>
      </c>
      <c r="B930" s="7">
        <v>6</v>
      </c>
      <c r="C930" s="7">
        <v>13</v>
      </c>
      <c r="D930" s="7" t="s">
        <v>2261</v>
      </c>
      <c r="E930" s="7">
        <v>23000000</v>
      </c>
      <c r="F930" s="7">
        <f t="shared" si="59"/>
        <v>23000000</v>
      </c>
      <c r="G930" s="7">
        <f t="shared" si="61"/>
        <v>74096.983286297851</v>
      </c>
      <c r="H930" s="7" t="s">
        <v>2260</v>
      </c>
      <c r="I930" s="18" t="s">
        <v>1812</v>
      </c>
      <c r="J930" s="18" t="s">
        <v>1802</v>
      </c>
      <c r="K930" s="3" t="s">
        <v>1716</v>
      </c>
      <c r="L930" s="7" t="s">
        <v>2246</v>
      </c>
      <c r="M930" s="7" t="str">
        <f t="shared" si="58"/>
        <v>ND</v>
      </c>
      <c r="N930" s="7" t="str">
        <f t="shared" si="60"/>
        <v>ND</v>
      </c>
    </row>
    <row r="931" spans="1:14" ht="15.6" x14ac:dyDescent="0.3">
      <c r="A931" s="18" t="s">
        <v>1761</v>
      </c>
      <c r="B931" s="7">
        <v>6</v>
      </c>
      <c r="C931" s="7">
        <v>13</v>
      </c>
      <c r="D931" s="7" t="s">
        <v>2261</v>
      </c>
      <c r="E931" s="7">
        <v>23000000</v>
      </c>
      <c r="F931" s="7">
        <f t="shared" si="59"/>
        <v>23000000</v>
      </c>
      <c r="G931" s="7">
        <f t="shared" si="61"/>
        <v>74096.983286297851</v>
      </c>
      <c r="H931" s="7" t="s">
        <v>2260</v>
      </c>
      <c r="I931" s="18" t="s">
        <v>1812</v>
      </c>
      <c r="J931" s="18" t="s">
        <v>1802</v>
      </c>
      <c r="K931" s="3" t="s">
        <v>1716</v>
      </c>
      <c r="L931" s="7" t="s">
        <v>2246</v>
      </c>
      <c r="M931" s="7" t="str">
        <f t="shared" si="58"/>
        <v>ND</v>
      </c>
      <c r="N931" s="7" t="str">
        <f t="shared" si="60"/>
        <v>ND</v>
      </c>
    </row>
    <row r="932" spans="1:14" ht="15.6" x14ac:dyDescent="0.3">
      <c r="A932" s="18" t="s">
        <v>1761</v>
      </c>
      <c r="B932" s="7">
        <v>6</v>
      </c>
      <c r="C932" s="7">
        <v>13</v>
      </c>
      <c r="D932" s="7" t="s">
        <v>2261</v>
      </c>
      <c r="E932" s="7">
        <v>23000000</v>
      </c>
      <c r="F932" s="7">
        <f t="shared" si="59"/>
        <v>23000000</v>
      </c>
      <c r="G932" s="7">
        <f t="shared" si="61"/>
        <v>74096.983286297851</v>
      </c>
      <c r="H932" s="7" t="s">
        <v>2260</v>
      </c>
      <c r="I932" s="18" t="s">
        <v>1812</v>
      </c>
      <c r="J932" s="18" t="s">
        <v>1802</v>
      </c>
      <c r="K932" s="3" t="s">
        <v>1716</v>
      </c>
      <c r="L932" s="7" t="s">
        <v>2246</v>
      </c>
      <c r="M932" s="7" t="str">
        <f t="shared" si="58"/>
        <v>ND</v>
      </c>
      <c r="N932" s="7" t="str">
        <f t="shared" si="60"/>
        <v>ND</v>
      </c>
    </row>
    <row r="933" spans="1:14" ht="15.6" x14ac:dyDescent="0.3">
      <c r="A933" s="18" t="s">
        <v>1761</v>
      </c>
      <c r="B933" s="7">
        <v>6</v>
      </c>
      <c r="C933" s="7">
        <v>13</v>
      </c>
      <c r="D933" s="7" t="s">
        <v>2261</v>
      </c>
      <c r="E933" s="7">
        <v>23000000</v>
      </c>
      <c r="F933" s="7">
        <f t="shared" si="59"/>
        <v>23000000</v>
      </c>
      <c r="G933" s="7">
        <f t="shared" si="61"/>
        <v>74096.983286297851</v>
      </c>
      <c r="H933" s="7" t="s">
        <v>2260</v>
      </c>
      <c r="I933" s="18" t="s">
        <v>1812</v>
      </c>
      <c r="J933" s="18" t="s">
        <v>1802</v>
      </c>
      <c r="K933" s="3" t="s">
        <v>1716</v>
      </c>
      <c r="L933" s="7" t="s">
        <v>2246</v>
      </c>
      <c r="M933" s="7" t="str">
        <f t="shared" si="58"/>
        <v>ND</v>
      </c>
      <c r="N933" s="7" t="str">
        <f t="shared" si="60"/>
        <v>ND</v>
      </c>
    </row>
    <row r="934" spans="1:14" ht="15.6" x14ac:dyDescent="0.3">
      <c r="A934" s="18" t="s">
        <v>1761</v>
      </c>
      <c r="B934" s="7">
        <v>6</v>
      </c>
      <c r="C934" s="7">
        <v>13</v>
      </c>
      <c r="D934" s="7" t="s">
        <v>2261</v>
      </c>
      <c r="E934" s="7">
        <v>23000000</v>
      </c>
      <c r="F934" s="7">
        <f t="shared" si="59"/>
        <v>23000000</v>
      </c>
      <c r="G934" s="7">
        <f t="shared" si="61"/>
        <v>74096.983286297851</v>
      </c>
      <c r="H934" s="7" t="s">
        <v>2260</v>
      </c>
      <c r="I934" s="18" t="s">
        <v>1812</v>
      </c>
      <c r="J934" s="18" t="s">
        <v>1802</v>
      </c>
      <c r="K934" s="3" t="s">
        <v>1716</v>
      </c>
      <c r="L934" s="7" t="s">
        <v>2246</v>
      </c>
      <c r="M934" s="7" t="str">
        <f t="shared" si="58"/>
        <v>ND</v>
      </c>
      <c r="N934" s="7" t="str">
        <f t="shared" si="60"/>
        <v>ND</v>
      </c>
    </row>
    <row r="935" spans="1:14" ht="15.6" x14ac:dyDescent="0.3">
      <c r="A935" s="18" t="s">
        <v>1761</v>
      </c>
      <c r="B935" s="7">
        <v>6</v>
      </c>
      <c r="C935" s="7">
        <v>13</v>
      </c>
      <c r="D935" s="7" t="s">
        <v>2261</v>
      </c>
      <c r="E935" s="7">
        <v>23000000</v>
      </c>
      <c r="F935" s="7">
        <f t="shared" si="59"/>
        <v>23000000</v>
      </c>
      <c r="G935" s="7">
        <f t="shared" si="61"/>
        <v>74096.983286297851</v>
      </c>
      <c r="H935" s="7" t="s">
        <v>2260</v>
      </c>
      <c r="I935" s="18" t="s">
        <v>1812</v>
      </c>
      <c r="J935" s="18" t="s">
        <v>1802</v>
      </c>
      <c r="K935" s="3" t="s">
        <v>1716</v>
      </c>
      <c r="L935" s="7" t="s">
        <v>2246</v>
      </c>
      <c r="M935" s="7" t="str">
        <f t="shared" si="58"/>
        <v>ND</v>
      </c>
      <c r="N935" s="7" t="str">
        <f t="shared" si="60"/>
        <v>ND</v>
      </c>
    </row>
    <row r="936" spans="1:14" ht="15.6" x14ac:dyDescent="0.3">
      <c r="A936" s="18" t="s">
        <v>1761</v>
      </c>
      <c r="B936" s="7">
        <v>6</v>
      </c>
      <c r="C936" s="7">
        <v>13</v>
      </c>
      <c r="D936" s="7" t="s">
        <v>2261</v>
      </c>
      <c r="E936" s="7">
        <v>23000000</v>
      </c>
      <c r="F936" s="7">
        <f t="shared" si="59"/>
        <v>23000000</v>
      </c>
      <c r="G936" s="7">
        <f t="shared" si="61"/>
        <v>74096.983286297851</v>
      </c>
      <c r="H936" s="7" t="s">
        <v>2260</v>
      </c>
      <c r="I936" s="18" t="s">
        <v>1812</v>
      </c>
      <c r="J936" s="18" t="s">
        <v>1802</v>
      </c>
      <c r="K936" s="3" t="s">
        <v>1716</v>
      </c>
      <c r="L936" s="7" t="s">
        <v>2246</v>
      </c>
      <c r="M936" s="7" t="str">
        <f t="shared" si="58"/>
        <v>ND</v>
      </c>
      <c r="N936" s="7" t="str">
        <f t="shared" si="60"/>
        <v>ND</v>
      </c>
    </row>
    <row r="937" spans="1:14" ht="15.6" x14ac:dyDescent="0.3">
      <c r="A937" s="18" t="s">
        <v>1761</v>
      </c>
      <c r="B937" s="7">
        <v>6</v>
      </c>
      <c r="C937" s="7">
        <v>13</v>
      </c>
      <c r="D937" s="7" t="s">
        <v>2261</v>
      </c>
      <c r="E937" s="7">
        <v>23000000</v>
      </c>
      <c r="F937" s="7">
        <f t="shared" si="59"/>
        <v>23000000</v>
      </c>
      <c r="G937" s="7">
        <f t="shared" si="61"/>
        <v>74096.983286297851</v>
      </c>
      <c r="H937" s="7" t="s">
        <v>2260</v>
      </c>
      <c r="I937" s="18" t="s">
        <v>1812</v>
      </c>
      <c r="J937" s="18" t="s">
        <v>1802</v>
      </c>
      <c r="K937" s="3" t="s">
        <v>1716</v>
      </c>
      <c r="L937" s="7" t="s">
        <v>2246</v>
      </c>
      <c r="M937" s="7" t="str">
        <f t="shared" si="58"/>
        <v>ND</v>
      </c>
      <c r="N937" s="7" t="str">
        <f t="shared" si="60"/>
        <v>ND</v>
      </c>
    </row>
    <row r="938" spans="1:14" ht="15.6" x14ac:dyDescent="0.3">
      <c r="A938" s="18" t="s">
        <v>1761</v>
      </c>
      <c r="B938" s="7">
        <v>6</v>
      </c>
      <c r="C938" s="7">
        <v>13</v>
      </c>
      <c r="D938" s="7" t="s">
        <v>2261</v>
      </c>
      <c r="E938" s="7">
        <v>23000000</v>
      </c>
      <c r="F938" s="7">
        <f t="shared" si="59"/>
        <v>23000000</v>
      </c>
      <c r="G938" s="7">
        <f t="shared" si="61"/>
        <v>74096.983286297851</v>
      </c>
      <c r="H938" s="7" t="s">
        <v>2260</v>
      </c>
      <c r="I938" s="18" t="s">
        <v>1812</v>
      </c>
      <c r="J938" s="18" t="s">
        <v>1802</v>
      </c>
      <c r="K938" s="3" t="s">
        <v>1716</v>
      </c>
      <c r="L938" s="7" t="s">
        <v>2246</v>
      </c>
      <c r="M938" s="7" t="str">
        <f t="shared" ref="M938:M1001" si="62">IFERROR(K938/1000,"ND")</f>
        <v>ND</v>
      </c>
      <c r="N938" s="7" t="str">
        <f t="shared" si="60"/>
        <v>ND</v>
      </c>
    </row>
    <row r="939" spans="1:14" ht="15.6" x14ac:dyDescent="0.3">
      <c r="A939" s="18" t="s">
        <v>1761</v>
      </c>
      <c r="B939" s="7">
        <v>6</v>
      </c>
      <c r="C939" s="7">
        <v>13</v>
      </c>
      <c r="D939" s="7" t="s">
        <v>2261</v>
      </c>
      <c r="E939" s="7">
        <v>23000000</v>
      </c>
      <c r="F939" s="7">
        <f t="shared" si="59"/>
        <v>23000000</v>
      </c>
      <c r="G939" s="7">
        <f t="shared" si="61"/>
        <v>74096.983286297851</v>
      </c>
      <c r="H939" s="7" t="s">
        <v>2260</v>
      </c>
      <c r="I939" s="18" t="s">
        <v>1812</v>
      </c>
      <c r="J939" s="18" t="s">
        <v>1802</v>
      </c>
      <c r="K939" s="3" t="s">
        <v>1716</v>
      </c>
      <c r="L939" s="7" t="s">
        <v>2246</v>
      </c>
      <c r="M939" s="7" t="str">
        <f t="shared" si="62"/>
        <v>ND</v>
      </c>
      <c r="N939" s="7" t="str">
        <f t="shared" si="60"/>
        <v>ND</v>
      </c>
    </row>
    <row r="940" spans="1:14" ht="15.6" x14ac:dyDescent="0.3">
      <c r="A940" s="18" t="s">
        <v>1761</v>
      </c>
      <c r="B940" s="7">
        <v>6</v>
      </c>
      <c r="C940" s="7">
        <v>13</v>
      </c>
      <c r="D940" s="7" t="s">
        <v>2261</v>
      </c>
      <c r="E940" s="7">
        <v>23000000</v>
      </c>
      <c r="F940" s="7">
        <f t="shared" si="59"/>
        <v>23000000</v>
      </c>
      <c r="G940" s="7">
        <f t="shared" si="61"/>
        <v>74096.983286297851</v>
      </c>
      <c r="H940" s="7" t="s">
        <v>2260</v>
      </c>
      <c r="I940" s="18" t="s">
        <v>1812</v>
      </c>
      <c r="J940" s="18" t="s">
        <v>1802</v>
      </c>
      <c r="K940" s="3" t="s">
        <v>1716</v>
      </c>
      <c r="L940" s="7" t="s">
        <v>2246</v>
      </c>
      <c r="M940" s="7" t="str">
        <f t="shared" si="62"/>
        <v>ND</v>
      </c>
      <c r="N940" s="7" t="str">
        <f t="shared" si="60"/>
        <v>ND</v>
      </c>
    </row>
    <row r="941" spans="1:14" ht="15.6" x14ac:dyDescent="0.3">
      <c r="A941" s="18" t="s">
        <v>1761</v>
      </c>
      <c r="B941" s="7">
        <v>6</v>
      </c>
      <c r="C941" s="7">
        <v>13</v>
      </c>
      <c r="D941" s="7" t="s">
        <v>2261</v>
      </c>
      <c r="E941" s="7">
        <v>23000000</v>
      </c>
      <c r="F941" s="7">
        <f t="shared" si="59"/>
        <v>23000000</v>
      </c>
      <c r="G941" s="7">
        <f t="shared" si="61"/>
        <v>74096.983286297851</v>
      </c>
      <c r="H941" s="7" t="s">
        <v>2260</v>
      </c>
      <c r="I941" s="18" t="s">
        <v>1812</v>
      </c>
      <c r="J941" s="18" t="s">
        <v>1802</v>
      </c>
      <c r="K941" s="3" t="s">
        <v>1716</v>
      </c>
      <c r="L941" s="7" t="s">
        <v>2246</v>
      </c>
      <c r="M941" s="7" t="str">
        <f t="shared" si="62"/>
        <v>ND</v>
      </c>
      <c r="N941" s="7" t="str">
        <f t="shared" si="60"/>
        <v>ND</v>
      </c>
    </row>
    <row r="942" spans="1:14" ht="15.6" x14ac:dyDescent="0.3">
      <c r="A942" s="18" t="s">
        <v>1761</v>
      </c>
      <c r="B942" s="7">
        <v>6</v>
      </c>
      <c r="C942" s="7">
        <v>13</v>
      </c>
      <c r="D942" s="7" t="s">
        <v>2261</v>
      </c>
      <c r="E942" s="7">
        <v>23000000</v>
      </c>
      <c r="F942" s="7">
        <f t="shared" si="59"/>
        <v>23000000</v>
      </c>
      <c r="G942" s="7">
        <f t="shared" si="61"/>
        <v>74096.983286297851</v>
      </c>
      <c r="H942" s="7" t="s">
        <v>2260</v>
      </c>
      <c r="I942" s="18" t="s">
        <v>1812</v>
      </c>
      <c r="J942" s="18" t="s">
        <v>1802</v>
      </c>
      <c r="K942" s="3" t="s">
        <v>1716</v>
      </c>
      <c r="L942" s="7" t="s">
        <v>2246</v>
      </c>
      <c r="M942" s="7" t="str">
        <f t="shared" si="62"/>
        <v>ND</v>
      </c>
      <c r="N942" s="7" t="str">
        <f t="shared" si="60"/>
        <v>ND</v>
      </c>
    </row>
    <row r="943" spans="1:14" ht="15.6" x14ac:dyDescent="0.3">
      <c r="A943" s="18" t="s">
        <v>1761</v>
      </c>
      <c r="B943" s="7">
        <v>6</v>
      </c>
      <c r="C943" s="7">
        <v>13</v>
      </c>
      <c r="D943" s="7" t="s">
        <v>2261</v>
      </c>
      <c r="E943" s="7">
        <v>23000000</v>
      </c>
      <c r="F943" s="7">
        <f t="shared" si="59"/>
        <v>23000000</v>
      </c>
      <c r="G943" s="7">
        <f t="shared" si="61"/>
        <v>74096.983286297851</v>
      </c>
      <c r="H943" s="7" t="s">
        <v>2260</v>
      </c>
      <c r="I943" s="18" t="s">
        <v>1812</v>
      </c>
      <c r="J943" s="18" t="s">
        <v>1802</v>
      </c>
      <c r="K943" s="3" t="s">
        <v>1716</v>
      </c>
      <c r="L943" s="7" t="s">
        <v>2246</v>
      </c>
      <c r="M943" s="7" t="str">
        <f t="shared" si="62"/>
        <v>ND</v>
      </c>
      <c r="N943" s="7" t="str">
        <f t="shared" si="60"/>
        <v>ND</v>
      </c>
    </row>
    <row r="944" spans="1:14" ht="15.6" x14ac:dyDescent="0.3">
      <c r="A944" s="18" t="s">
        <v>1761</v>
      </c>
      <c r="B944" s="7">
        <v>6</v>
      </c>
      <c r="C944" s="7">
        <v>13</v>
      </c>
      <c r="D944" s="7" t="s">
        <v>2261</v>
      </c>
      <c r="E944" s="7">
        <v>23000000</v>
      </c>
      <c r="F944" s="7">
        <f t="shared" si="59"/>
        <v>23000000</v>
      </c>
      <c r="G944" s="7">
        <f t="shared" si="61"/>
        <v>74096.983286297851</v>
      </c>
      <c r="H944" s="7" t="s">
        <v>2260</v>
      </c>
      <c r="I944" s="18" t="s">
        <v>1812</v>
      </c>
      <c r="J944" s="18" t="s">
        <v>1802</v>
      </c>
      <c r="K944" s="3" t="s">
        <v>1716</v>
      </c>
      <c r="L944" s="7" t="s">
        <v>2246</v>
      </c>
      <c r="M944" s="7" t="str">
        <f t="shared" si="62"/>
        <v>ND</v>
      </c>
      <c r="N944" s="7" t="str">
        <f t="shared" si="60"/>
        <v>ND</v>
      </c>
    </row>
    <row r="945" spans="1:14" ht="15.6" x14ac:dyDescent="0.3">
      <c r="A945" s="18" t="s">
        <v>1761</v>
      </c>
      <c r="B945" s="7">
        <v>6</v>
      </c>
      <c r="C945" s="7">
        <v>13</v>
      </c>
      <c r="D945" s="7" t="s">
        <v>2261</v>
      </c>
      <c r="E945" s="7">
        <v>23000000</v>
      </c>
      <c r="F945" s="7">
        <f t="shared" si="59"/>
        <v>23000000</v>
      </c>
      <c r="G945" s="7">
        <f t="shared" si="61"/>
        <v>74096.983286297851</v>
      </c>
      <c r="H945" s="7" t="s">
        <v>2260</v>
      </c>
      <c r="I945" s="18" t="s">
        <v>1812</v>
      </c>
      <c r="J945" s="18" t="s">
        <v>1802</v>
      </c>
      <c r="K945" s="3" t="s">
        <v>1716</v>
      </c>
      <c r="L945" s="7" t="s">
        <v>2246</v>
      </c>
      <c r="M945" s="7" t="str">
        <f t="shared" si="62"/>
        <v>ND</v>
      </c>
      <c r="N945" s="7" t="str">
        <f t="shared" si="60"/>
        <v>ND</v>
      </c>
    </row>
    <row r="946" spans="1:14" ht="15.6" x14ac:dyDescent="0.3">
      <c r="A946" s="18" t="s">
        <v>1761</v>
      </c>
      <c r="B946" s="7">
        <v>6</v>
      </c>
      <c r="C946" s="7">
        <v>13</v>
      </c>
      <c r="D946" s="7" t="s">
        <v>2261</v>
      </c>
      <c r="E946" s="7">
        <v>23000000</v>
      </c>
      <c r="F946" s="7">
        <f t="shared" si="59"/>
        <v>23000000</v>
      </c>
      <c r="G946" s="7">
        <f t="shared" si="61"/>
        <v>74096.983286297851</v>
      </c>
      <c r="H946" s="7" t="s">
        <v>2260</v>
      </c>
      <c r="I946" s="18" t="s">
        <v>1812</v>
      </c>
      <c r="J946" s="18" t="s">
        <v>1802</v>
      </c>
      <c r="K946" s="3" t="s">
        <v>1716</v>
      </c>
      <c r="L946" s="7" t="s">
        <v>2246</v>
      </c>
      <c r="M946" s="7" t="str">
        <f t="shared" si="62"/>
        <v>ND</v>
      </c>
      <c r="N946" s="7" t="str">
        <f t="shared" si="60"/>
        <v>ND</v>
      </c>
    </row>
    <row r="947" spans="1:14" ht="15.6" x14ac:dyDescent="0.3">
      <c r="A947" s="18" t="s">
        <v>1761</v>
      </c>
      <c r="B947" s="7">
        <v>6</v>
      </c>
      <c r="C947" s="7">
        <v>13</v>
      </c>
      <c r="D947" s="7" t="s">
        <v>2261</v>
      </c>
      <c r="E947" s="7">
        <v>23000000</v>
      </c>
      <c r="F947" s="7">
        <f t="shared" si="59"/>
        <v>23000000</v>
      </c>
      <c r="G947" s="7">
        <f t="shared" si="61"/>
        <v>74096.983286297851</v>
      </c>
      <c r="H947" s="7" t="s">
        <v>2260</v>
      </c>
      <c r="I947" s="18" t="s">
        <v>1812</v>
      </c>
      <c r="J947" s="18" t="s">
        <v>1802</v>
      </c>
      <c r="K947" s="3" t="s">
        <v>1716</v>
      </c>
      <c r="L947" s="7" t="s">
        <v>2246</v>
      </c>
      <c r="M947" s="7" t="str">
        <f t="shared" si="62"/>
        <v>ND</v>
      </c>
      <c r="N947" s="7" t="str">
        <f t="shared" si="60"/>
        <v>ND</v>
      </c>
    </row>
    <row r="948" spans="1:14" ht="15.6" x14ac:dyDescent="0.3">
      <c r="A948" s="18" t="s">
        <v>1761</v>
      </c>
      <c r="B948" s="7">
        <v>6</v>
      </c>
      <c r="C948" s="7">
        <v>13</v>
      </c>
      <c r="D948" s="7" t="s">
        <v>2261</v>
      </c>
      <c r="E948" s="7">
        <v>23000000</v>
      </c>
      <c r="F948" s="7">
        <f t="shared" si="59"/>
        <v>23000000</v>
      </c>
      <c r="G948" s="7">
        <f t="shared" si="61"/>
        <v>74096.983286297851</v>
      </c>
      <c r="H948" s="7" t="s">
        <v>2260</v>
      </c>
      <c r="I948" s="18" t="s">
        <v>1812</v>
      </c>
      <c r="J948" s="18" t="s">
        <v>1802</v>
      </c>
      <c r="K948" s="3" t="s">
        <v>1716</v>
      </c>
      <c r="L948" s="7" t="s">
        <v>2246</v>
      </c>
      <c r="M948" s="7" t="str">
        <f t="shared" si="62"/>
        <v>ND</v>
      </c>
      <c r="N948" s="7" t="str">
        <f t="shared" si="60"/>
        <v>ND</v>
      </c>
    </row>
    <row r="949" spans="1:14" ht="15.6" x14ac:dyDescent="0.3">
      <c r="A949" s="18" t="s">
        <v>1761</v>
      </c>
      <c r="B949" s="7">
        <v>6</v>
      </c>
      <c r="C949" s="7">
        <v>13</v>
      </c>
      <c r="D949" s="7" t="s">
        <v>2261</v>
      </c>
      <c r="E949" s="7">
        <v>23000000</v>
      </c>
      <c r="F949" s="7">
        <f t="shared" si="59"/>
        <v>23000000</v>
      </c>
      <c r="G949" s="7">
        <f t="shared" si="61"/>
        <v>74096.983286297851</v>
      </c>
      <c r="H949" s="7" t="s">
        <v>2260</v>
      </c>
      <c r="I949" s="18" t="s">
        <v>1812</v>
      </c>
      <c r="J949" s="18" t="s">
        <v>1802</v>
      </c>
      <c r="K949" s="3" t="s">
        <v>1716</v>
      </c>
      <c r="L949" s="7" t="s">
        <v>2246</v>
      </c>
      <c r="M949" s="7" t="str">
        <f t="shared" si="62"/>
        <v>ND</v>
      </c>
      <c r="N949" s="7" t="str">
        <f t="shared" si="60"/>
        <v>ND</v>
      </c>
    </row>
    <row r="950" spans="1:14" ht="15.6" x14ac:dyDescent="0.3">
      <c r="A950" s="18" t="s">
        <v>1761</v>
      </c>
      <c r="B950" s="7">
        <v>6</v>
      </c>
      <c r="C950" s="7">
        <v>13</v>
      </c>
      <c r="D950" s="7" t="s">
        <v>2261</v>
      </c>
      <c r="E950" s="7">
        <v>23000000</v>
      </c>
      <c r="F950" s="7">
        <f t="shared" si="59"/>
        <v>23000000</v>
      </c>
      <c r="G950" s="7">
        <f t="shared" si="61"/>
        <v>74096.983286297851</v>
      </c>
      <c r="H950" s="7" t="s">
        <v>2260</v>
      </c>
      <c r="I950" s="18" t="s">
        <v>1812</v>
      </c>
      <c r="J950" s="18" t="s">
        <v>1802</v>
      </c>
      <c r="K950" s="3" t="s">
        <v>1716</v>
      </c>
      <c r="L950" s="7" t="s">
        <v>2246</v>
      </c>
      <c r="M950" s="7" t="str">
        <f t="shared" si="62"/>
        <v>ND</v>
      </c>
      <c r="N950" s="7" t="str">
        <f t="shared" si="60"/>
        <v>ND</v>
      </c>
    </row>
    <row r="951" spans="1:14" ht="15.6" x14ac:dyDescent="0.3">
      <c r="A951" s="18" t="s">
        <v>1761</v>
      </c>
      <c r="B951" s="7">
        <v>6</v>
      </c>
      <c r="C951" s="7">
        <v>13</v>
      </c>
      <c r="D951" s="7" t="s">
        <v>2261</v>
      </c>
      <c r="E951" s="7">
        <v>23000000</v>
      </c>
      <c r="F951" s="7">
        <f t="shared" ref="F951:F1014" si="63">E951</f>
        <v>23000000</v>
      </c>
      <c r="G951" s="7">
        <f t="shared" si="61"/>
        <v>74096.983286297851</v>
      </c>
      <c r="H951" s="7" t="s">
        <v>2260</v>
      </c>
      <c r="I951" s="18" t="s">
        <v>1812</v>
      </c>
      <c r="J951" s="18" t="s">
        <v>1802</v>
      </c>
      <c r="K951" s="3" t="s">
        <v>1716</v>
      </c>
      <c r="L951" s="7" t="s">
        <v>2246</v>
      </c>
      <c r="M951" s="7" t="str">
        <f t="shared" si="62"/>
        <v>ND</v>
      </c>
      <c r="N951" s="7" t="str">
        <f t="shared" si="60"/>
        <v>ND</v>
      </c>
    </row>
    <row r="952" spans="1:14" ht="15.6" x14ac:dyDescent="0.3">
      <c r="A952" s="18" t="s">
        <v>1761</v>
      </c>
      <c r="B952" s="7">
        <v>6</v>
      </c>
      <c r="C952" s="7">
        <v>13</v>
      </c>
      <c r="D952" s="7" t="s">
        <v>2261</v>
      </c>
      <c r="E952" s="7">
        <v>23000000</v>
      </c>
      <c r="F952" s="7">
        <f t="shared" si="63"/>
        <v>23000000</v>
      </c>
      <c r="G952" s="7">
        <f t="shared" si="61"/>
        <v>74096.983286297851</v>
      </c>
      <c r="H952" s="7" t="s">
        <v>2260</v>
      </c>
      <c r="I952" s="18" t="s">
        <v>1812</v>
      </c>
      <c r="J952" s="18" t="s">
        <v>1802</v>
      </c>
      <c r="K952" s="3" t="s">
        <v>1716</v>
      </c>
      <c r="L952" s="7" t="s">
        <v>2246</v>
      </c>
      <c r="M952" s="7" t="str">
        <f t="shared" si="62"/>
        <v>ND</v>
      </c>
      <c r="N952" s="7" t="str">
        <f t="shared" si="60"/>
        <v>ND</v>
      </c>
    </row>
    <row r="953" spans="1:14" ht="15.6" x14ac:dyDescent="0.3">
      <c r="A953" s="18" t="s">
        <v>1761</v>
      </c>
      <c r="B953" s="7">
        <v>6</v>
      </c>
      <c r="C953" s="7">
        <v>13</v>
      </c>
      <c r="D953" s="7" t="s">
        <v>2261</v>
      </c>
      <c r="E953" s="7">
        <v>23000000</v>
      </c>
      <c r="F953" s="7">
        <f t="shared" si="63"/>
        <v>23000000</v>
      </c>
      <c r="G953" s="7">
        <f t="shared" si="61"/>
        <v>74096.983286297851</v>
      </c>
      <c r="H953" s="7" t="s">
        <v>2260</v>
      </c>
      <c r="I953" s="18" t="s">
        <v>1812</v>
      </c>
      <c r="J953" s="18" t="s">
        <v>1802</v>
      </c>
      <c r="K953" s="3" t="s">
        <v>1716</v>
      </c>
      <c r="L953" s="7" t="s">
        <v>2246</v>
      </c>
      <c r="M953" s="7" t="str">
        <f t="shared" si="62"/>
        <v>ND</v>
      </c>
      <c r="N953" s="7" t="str">
        <f t="shared" si="60"/>
        <v>ND</v>
      </c>
    </row>
    <row r="954" spans="1:14" ht="15.6" x14ac:dyDescent="0.3">
      <c r="A954" s="18" t="s">
        <v>1761</v>
      </c>
      <c r="B954" s="7">
        <v>6</v>
      </c>
      <c r="C954" s="7">
        <v>13</v>
      </c>
      <c r="D954" s="7" t="s">
        <v>2261</v>
      </c>
      <c r="E954" s="7">
        <v>23000000</v>
      </c>
      <c r="F954" s="7">
        <f t="shared" si="63"/>
        <v>23000000</v>
      </c>
      <c r="G954" s="7">
        <f t="shared" si="61"/>
        <v>74096.983286297851</v>
      </c>
      <c r="H954" s="7" t="s">
        <v>2260</v>
      </c>
      <c r="I954" s="18" t="s">
        <v>1812</v>
      </c>
      <c r="J954" s="18" t="s">
        <v>1802</v>
      </c>
      <c r="K954" s="3" t="s">
        <v>1716</v>
      </c>
      <c r="L954" s="7" t="s">
        <v>2246</v>
      </c>
      <c r="M954" s="7" t="str">
        <f t="shared" si="62"/>
        <v>ND</v>
      </c>
      <c r="N954" s="7" t="str">
        <f t="shared" si="60"/>
        <v>ND</v>
      </c>
    </row>
    <row r="955" spans="1:14" ht="15.6" x14ac:dyDescent="0.3">
      <c r="A955" s="18" t="s">
        <v>1761</v>
      </c>
      <c r="B955" s="7">
        <v>6</v>
      </c>
      <c r="C955" s="7">
        <v>13</v>
      </c>
      <c r="D955" s="7" t="s">
        <v>2261</v>
      </c>
      <c r="E955" s="7">
        <v>23000000</v>
      </c>
      <c r="F955" s="7">
        <f t="shared" si="63"/>
        <v>23000000</v>
      </c>
      <c r="G955" s="7">
        <f t="shared" si="61"/>
        <v>74096.983286297851</v>
      </c>
      <c r="H955" s="7" t="s">
        <v>2260</v>
      </c>
      <c r="I955" s="18" t="s">
        <v>1812</v>
      </c>
      <c r="J955" s="18" t="s">
        <v>1802</v>
      </c>
      <c r="K955" s="3" t="s">
        <v>1716</v>
      </c>
      <c r="L955" s="7" t="s">
        <v>2246</v>
      </c>
      <c r="M955" s="7" t="str">
        <f t="shared" si="62"/>
        <v>ND</v>
      </c>
      <c r="N955" s="7" t="str">
        <f t="shared" si="60"/>
        <v>ND</v>
      </c>
    </row>
    <row r="956" spans="1:14" ht="15.6" x14ac:dyDescent="0.3">
      <c r="A956" s="18" t="s">
        <v>1761</v>
      </c>
      <c r="B956" s="7">
        <v>6</v>
      </c>
      <c r="C956" s="7">
        <v>13</v>
      </c>
      <c r="D956" s="7" t="s">
        <v>2261</v>
      </c>
      <c r="E956" s="7">
        <v>23000000</v>
      </c>
      <c r="F956" s="7">
        <f t="shared" si="63"/>
        <v>23000000</v>
      </c>
      <c r="G956" s="7">
        <f t="shared" si="61"/>
        <v>74096.983286297851</v>
      </c>
      <c r="H956" s="7" t="s">
        <v>2260</v>
      </c>
      <c r="I956" s="18" t="s">
        <v>1812</v>
      </c>
      <c r="J956" s="18" t="s">
        <v>1802</v>
      </c>
      <c r="K956" s="3" t="s">
        <v>1716</v>
      </c>
      <c r="L956" s="7" t="s">
        <v>2246</v>
      </c>
      <c r="M956" s="7" t="str">
        <f t="shared" si="62"/>
        <v>ND</v>
      </c>
      <c r="N956" s="7" t="str">
        <f t="shared" si="60"/>
        <v>ND</v>
      </c>
    </row>
    <row r="957" spans="1:14" ht="15.6" x14ac:dyDescent="0.3">
      <c r="A957" s="18" t="s">
        <v>1761</v>
      </c>
      <c r="B957" s="7">
        <v>6</v>
      </c>
      <c r="C957" s="7">
        <v>13</v>
      </c>
      <c r="D957" s="7" t="s">
        <v>2261</v>
      </c>
      <c r="E957" s="7">
        <v>23000000</v>
      </c>
      <c r="F957" s="7">
        <f t="shared" si="63"/>
        <v>23000000</v>
      </c>
      <c r="G957" s="7">
        <f t="shared" si="61"/>
        <v>74096.983286297851</v>
      </c>
      <c r="H957" s="7" t="s">
        <v>2260</v>
      </c>
      <c r="I957" s="18" t="s">
        <v>1812</v>
      </c>
      <c r="J957" s="18" t="s">
        <v>1802</v>
      </c>
      <c r="K957" s="3" t="s">
        <v>1716</v>
      </c>
      <c r="L957" s="7" t="s">
        <v>2246</v>
      </c>
      <c r="M957" s="7" t="str">
        <f t="shared" si="62"/>
        <v>ND</v>
      </c>
      <c r="N957" s="7" t="str">
        <f t="shared" si="60"/>
        <v>ND</v>
      </c>
    </row>
    <row r="958" spans="1:14" ht="15.6" x14ac:dyDescent="0.3">
      <c r="A958" s="18" t="s">
        <v>1745</v>
      </c>
      <c r="B958" s="7">
        <v>6</v>
      </c>
      <c r="C958" s="7">
        <v>13</v>
      </c>
      <c r="D958" s="7" t="s">
        <v>2261</v>
      </c>
      <c r="E958" s="7">
        <v>23000000</v>
      </c>
      <c r="F958" s="7">
        <f t="shared" si="63"/>
        <v>23000000</v>
      </c>
      <c r="G958" s="7">
        <f t="shared" si="61"/>
        <v>74096.983286297851</v>
      </c>
      <c r="H958" s="7" t="s">
        <v>2260</v>
      </c>
      <c r="I958" s="18" t="s">
        <v>1812</v>
      </c>
      <c r="J958" s="18" t="s">
        <v>1802</v>
      </c>
      <c r="K958" s="3">
        <v>8.56</v>
      </c>
      <c r="L958" s="7" t="s">
        <v>2246</v>
      </c>
      <c r="M958" s="7">
        <f t="shared" si="62"/>
        <v>8.5599999999999999E-3</v>
      </c>
      <c r="N958" s="7">
        <f t="shared" si="60"/>
        <v>2.65705824</v>
      </c>
    </row>
    <row r="959" spans="1:14" ht="15.6" x14ac:dyDescent="0.3">
      <c r="A959" s="18" t="s">
        <v>1745</v>
      </c>
      <c r="B959" s="7">
        <v>6</v>
      </c>
      <c r="C959" s="7">
        <v>13</v>
      </c>
      <c r="D959" s="7" t="s">
        <v>2261</v>
      </c>
      <c r="E959" s="7">
        <v>23000000</v>
      </c>
      <c r="F959" s="7">
        <f t="shared" si="63"/>
        <v>23000000</v>
      </c>
      <c r="G959" s="7">
        <f t="shared" si="61"/>
        <v>74096.983286297851</v>
      </c>
      <c r="H959" s="7" t="s">
        <v>2260</v>
      </c>
      <c r="I959" s="18" t="s">
        <v>1812</v>
      </c>
      <c r="J959" s="18" t="s">
        <v>1802</v>
      </c>
      <c r="K959" s="3" t="s">
        <v>1716</v>
      </c>
      <c r="L959" s="7" t="s">
        <v>2246</v>
      </c>
      <c r="M959" s="7" t="str">
        <f t="shared" si="62"/>
        <v>ND</v>
      </c>
      <c r="N959" s="7" t="str">
        <f t="shared" si="60"/>
        <v>ND</v>
      </c>
    </row>
    <row r="960" spans="1:14" ht="15.6" x14ac:dyDescent="0.3">
      <c r="A960" s="18" t="s">
        <v>1745</v>
      </c>
      <c r="B960" s="7">
        <v>6</v>
      </c>
      <c r="C960" s="7">
        <v>13</v>
      </c>
      <c r="D960" s="7" t="s">
        <v>2261</v>
      </c>
      <c r="E960" s="7">
        <v>23000000</v>
      </c>
      <c r="F960" s="7">
        <f t="shared" si="63"/>
        <v>23000000</v>
      </c>
      <c r="G960" s="7">
        <f t="shared" si="61"/>
        <v>74096.983286297851</v>
      </c>
      <c r="H960" s="7" t="s">
        <v>2260</v>
      </c>
      <c r="I960" s="18" t="s">
        <v>1812</v>
      </c>
      <c r="J960" s="18" t="s">
        <v>1802</v>
      </c>
      <c r="K960" s="3">
        <v>5.05</v>
      </c>
      <c r="L960" s="7" t="s">
        <v>2246</v>
      </c>
      <c r="M960" s="7">
        <f t="shared" si="62"/>
        <v>5.0499999999999998E-3</v>
      </c>
      <c r="N960" s="7">
        <f t="shared" si="60"/>
        <v>1.5675402000000001</v>
      </c>
    </row>
    <row r="961" spans="1:14" ht="15.6" x14ac:dyDescent="0.3">
      <c r="A961" s="18" t="s">
        <v>1745</v>
      </c>
      <c r="B961" s="7">
        <v>6</v>
      </c>
      <c r="C961" s="7">
        <v>13</v>
      </c>
      <c r="D961" s="7" t="s">
        <v>2261</v>
      </c>
      <c r="E961" s="7">
        <v>23000000</v>
      </c>
      <c r="F961" s="7">
        <f t="shared" si="63"/>
        <v>23000000</v>
      </c>
      <c r="G961" s="7">
        <f t="shared" si="61"/>
        <v>74096.983286297851</v>
      </c>
      <c r="H961" s="7" t="s">
        <v>2260</v>
      </c>
      <c r="I961" s="18" t="s">
        <v>1812</v>
      </c>
      <c r="J961" s="18" t="s">
        <v>1802</v>
      </c>
      <c r="K961" s="3">
        <v>7.44</v>
      </c>
      <c r="L961" s="7" t="s">
        <v>2246</v>
      </c>
      <c r="M961" s="7">
        <f t="shared" si="62"/>
        <v>7.4400000000000004E-3</v>
      </c>
      <c r="N961" s="7">
        <f t="shared" si="60"/>
        <v>2.3094057600000002</v>
      </c>
    </row>
    <row r="962" spans="1:14" ht="15.6" x14ac:dyDescent="0.3">
      <c r="A962" s="18" t="s">
        <v>1745</v>
      </c>
      <c r="B962" s="7">
        <v>6</v>
      </c>
      <c r="C962" s="7">
        <v>13</v>
      </c>
      <c r="D962" s="7" t="s">
        <v>2261</v>
      </c>
      <c r="E962" s="7">
        <v>23000000</v>
      </c>
      <c r="F962" s="7">
        <f t="shared" si="63"/>
        <v>23000000</v>
      </c>
      <c r="G962" s="7">
        <f t="shared" si="61"/>
        <v>74096.983286297851</v>
      </c>
      <c r="H962" s="7" t="s">
        <v>2260</v>
      </c>
      <c r="I962" s="18" t="s">
        <v>1812</v>
      </c>
      <c r="J962" s="18" t="s">
        <v>1802</v>
      </c>
      <c r="K962" s="3">
        <v>7.01</v>
      </c>
      <c r="L962" s="7" t="s">
        <v>2246</v>
      </c>
      <c r="M962" s="7">
        <f t="shared" si="62"/>
        <v>7.0099999999999997E-3</v>
      </c>
      <c r="N962" s="7">
        <f t="shared" si="60"/>
        <v>2.1759320400000002</v>
      </c>
    </row>
    <row r="963" spans="1:14" ht="15.6" x14ac:dyDescent="0.3">
      <c r="A963" s="18" t="s">
        <v>1745</v>
      </c>
      <c r="B963" s="7">
        <v>6</v>
      </c>
      <c r="C963" s="7">
        <v>13</v>
      </c>
      <c r="D963" s="7" t="s">
        <v>2261</v>
      </c>
      <c r="E963" s="7">
        <v>23000000</v>
      </c>
      <c r="F963" s="7">
        <f t="shared" si="63"/>
        <v>23000000</v>
      </c>
      <c r="G963" s="7">
        <f t="shared" si="61"/>
        <v>74096.983286297851</v>
      </c>
      <c r="H963" s="7" t="s">
        <v>2260</v>
      </c>
      <c r="I963" s="18" t="s">
        <v>1812</v>
      </c>
      <c r="J963" s="18" t="s">
        <v>1802</v>
      </c>
      <c r="K963" s="3">
        <v>31.82</v>
      </c>
      <c r="L963" s="7" t="s">
        <v>2246</v>
      </c>
      <c r="M963" s="7">
        <f t="shared" si="62"/>
        <v>3.1820000000000001E-2</v>
      </c>
      <c r="N963" s="7">
        <f t="shared" ref="N963:N1026" si="64">IFERROR((M963*F963)/G963,"ND")</f>
        <v>9.8770552800000004</v>
      </c>
    </row>
    <row r="964" spans="1:14" ht="15.6" x14ac:dyDescent="0.3">
      <c r="A964" s="18" t="s">
        <v>1745</v>
      </c>
      <c r="B964" s="7">
        <v>6</v>
      </c>
      <c r="C964" s="7">
        <v>13</v>
      </c>
      <c r="D964" s="7" t="s">
        <v>2261</v>
      </c>
      <c r="E964" s="7">
        <v>23000000</v>
      </c>
      <c r="F964" s="7">
        <f t="shared" si="63"/>
        <v>23000000</v>
      </c>
      <c r="G964" s="7">
        <f t="shared" si="61"/>
        <v>74096.983286297851</v>
      </c>
      <c r="H964" s="7" t="s">
        <v>2260</v>
      </c>
      <c r="I964" s="18" t="s">
        <v>1812</v>
      </c>
      <c r="J964" s="18" t="s">
        <v>1802</v>
      </c>
      <c r="K964" s="3">
        <v>26.83</v>
      </c>
      <c r="L964" s="7" t="s">
        <v>2246</v>
      </c>
      <c r="M964" s="7">
        <f t="shared" si="62"/>
        <v>2.683E-2</v>
      </c>
      <c r="N964" s="7">
        <f t="shared" si="64"/>
        <v>8.32813932</v>
      </c>
    </row>
    <row r="965" spans="1:14" ht="15.6" x14ac:dyDescent="0.3">
      <c r="A965" s="18" t="s">
        <v>1745</v>
      </c>
      <c r="B965" s="7">
        <v>6</v>
      </c>
      <c r="C965" s="7">
        <v>13</v>
      </c>
      <c r="D965" s="7" t="s">
        <v>2261</v>
      </c>
      <c r="E965" s="7">
        <v>23000000</v>
      </c>
      <c r="F965" s="7">
        <f t="shared" si="63"/>
        <v>23000000</v>
      </c>
      <c r="G965" s="7">
        <f t="shared" si="61"/>
        <v>74096.983286297851</v>
      </c>
      <c r="H965" s="7" t="s">
        <v>2260</v>
      </c>
      <c r="I965" s="18" t="s">
        <v>1812</v>
      </c>
      <c r="J965" s="18" t="s">
        <v>1802</v>
      </c>
      <c r="K965" s="3">
        <v>19.46</v>
      </c>
      <c r="L965" s="7" t="s">
        <v>2246</v>
      </c>
      <c r="M965" s="7">
        <f t="shared" si="62"/>
        <v>1.9460000000000002E-2</v>
      </c>
      <c r="N965" s="7">
        <f t="shared" si="64"/>
        <v>6.0404618400000016</v>
      </c>
    </row>
    <row r="966" spans="1:14" ht="15.6" x14ac:dyDescent="0.3">
      <c r="A966" s="18" t="s">
        <v>1745</v>
      </c>
      <c r="B966" s="7">
        <v>6</v>
      </c>
      <c r="C966" s="7">
        <v>13</v>
      </c>
      <c r="D966" s="7" t="s">
        <v>2261</v>
      </c>
      <c r="E966" s="7">
        <v>23000000</v>
      </c>
      <c r="F966" s="7">
        <f t="shared" si="63"/>
        <v>23000000</v>
      </c>
      <c r="G966" s="7">
        <f t="shared" si="61"/>
        <v>74096.983286297851</v>
      </c>
      <c r="H966" s="7" t="s">
        <v>2260</v>
      </c>
      <c r="I966" s="18" t="s">
        <v>1812</v>
      </c>
      <c r="J966" s="18" t="s">
        <v>1802</v>
      </c>
      <c r="K966" s="3">
        <v>5.1100000000000003</v>
      </c>
      <c r="L966" s="7" t="s">
        <v>2246</v>
      </c>
      <c r="M966" s="7">
        <f t="shared" si="62"/>
        <v>5.11E-3</v>
      </c>
      <c r="N966" s="7">
        <f t="shared" si="64"/>
        <v>1.5861644400000001</v>
      </c>
    </row>
    <row r="967" spans="1:14" ht="15.6" x14ac:dyDescent="0.3">
      <c r="A967" s="18" t="s">
        <v>1745</v>
      </c>
      <c r="B967" s="7">
        <v>6</v>
      </c>
      <c r="C967" s="7">
        <v>13</v>
      </c>
      <c r="D967" s="7" t="s">
        <v>2261</v>
      </c>
      <c r="E967" s="7">
        <v>23000000</v>
      </c>
      <c r="F967" s="7">
        <f t="shared" si="63"/>
        <v>23000000</v>
      </c>
      <c r="G967" s="7">
        <f t="shared" si="61"/>
        <v>74096.983286297851</v>
      </c>
      <c r="H967" s="7" t="s">
        <v>2260</v>
      </c>
      <c r="I967" s="18" t="s">
        <v>1812</v>
      </c>
      <c r="J967" s="18" t="s">
        <v>1802</v>
      </c>
      <c r="K967" s="3">
        <v>53.94</v>
      </c>
      <c r="L967" s="7" t="s">
        <v>2246</v>
      </c>
      <c r="M967" s="7">
        <f t="shared" si="62"/>
        <v>5.3939999999999995E-2</v>
      </c>
      <c r="N967" s="7">
        <f t="shared" si="64"/>
        <v>16.743191759999998</v>
      </c>
    </row>
    <row r="968" spans="1:14" ht="15.6" x14ac:dyDescent="0.3">
      <c r="A968" s="18" t="s">
        <v>1745</v>
      </c>
      <c r="B968" s="7">
        <v>6</v>
      </c>
      <c r="C968" s="7">
        <v>13</v>
      </c>
      <c r="D968" s="7" t="s">
        <v>2261</v>
      </c>
      <c r="E968" s="7">
        <v>23000000</v>
      </c>
      <c r="F968" s="7">
        <f t="shared" si="63"/>
        <v>23000000</v>
      </c>
      <c r="G968" s="7">
        <f t="shared" si="61"/>
        <v>74096.983286297851</v>
      </c>
      <c r="H968" s="7" t="s">
        <v>2260</v>
      </c>
      <c r="I968" s="18" t="s">
        <v>1812</v>
      </c>
      <c r="J968" s="18" t="s">
        <v>1802</v>
      </c>
      <c r="K968" s="3">
        <v>44.21</v>
      </c>
      <c r="L968" s="7" t="s">
        <v>2246</v>
      </c>
      <c r="M968" s="7">
        <f t="shared" si="62"/>
        <v>4.4209999999999999E-2</v>
      </c>
      <c r="N968" s="7">
        <f t="shared" si="64"/>
        <v>13.722960840000001</v>
      </c>
    </row>
    <row r="969" spans="1:14" ht="15.6" x14ac:dyDescent="0.3">
      <c r="A969" s="18" t="s">
        <v>1745</v>
      </c>
      <c r="B969" s="7">
        <v>6</v>
      </c>
      <c r="C969" s="7">
        <v>13</v>
      </c>
      <c r="D969" s="7" t="s">
        <v>2261</v>
      </c>
      <c r="E969" s="7">
        <v>23000000</v>
      </c>
      <c r="F969" s="7">
        <f t="shared" si="63"/>
        <v>23000000</v>
      </c>
      <c r="G969" s="7">
        <f t="shared" si="61"/>
        <v>74096.983286297851</v>
      </c>
      <c r="H969" s="7" t="s">
        <v>2260</v>
      </c>
      <c r="I969" s="18" t="s">
        <v>1812</v>
      </c>
      <c r="J969" s="18" t="s">
        <v>1802</v>
      </c>
      <c r="K969" s="3">
        <v>43.82</v>
      </c>
      <c r="L969" s="7" t="s">
        <v>2246</v>
      </c>
      <c r="M969" s="7">
        <f t="shared" si="62"/>
        <v>4.3819999999999998E-2</v>
      </c>
      <c r="N969" s="7">
        <f t="shared" si="64"/>
        <v>13.601903280000002</v>
      </c>
    </row>
    <row r="970" spans="1:14" ht="15.6" x14ac:dyDescent="0.3">
      <c r="A970" s="18" t="s">
        <v>1745</v>
      </c>
      <c r="B970" s="7">
        <v>6</v>
      </c>
      <c r="C970" s="7">
        <v>13</v>
      </c>
      <c r="D970" s="7" t="s">
        <v>2261</v>
      </c>
      <c r="E970" s="7">
        <v>23000000</v>
      </c>
      <c r="F970" s="7">
        <f t="shared" si="63"/>
        <v>23000000</v>
      </c>
      <c r="G970" s="7">
        <f t="shared" si="61"/>
        <v>74096.983286297851</v>
      </c>
      <c r="H970" s="7" t="s">
        <v>2260</v>
      </c>
      <c r="I970" s="18" t="s">
        <v>1812</v>
      </c>
      <c r="J970" s="18" t="s">
        <v>1802</v>
      </c>
      <c r="K970" s="3">
        <v>28.24</v>
      </c>
      <c r="L970" s="7" t="s">
        <v>2246</v>
      </c>
      <c r="M970" s="7">
        <f t="shared" si="62"/>
        <v>2.8239999999999998E-2</v>
      </c>
      <c r="N970" s="7">
        <f t="shared" si="64"/>
        <v>8.7658089600000011</v>
      </c>
    </row>
    <row r="971" spans="1:14" ht="15.6" x14ac:dyDescent="0.3">
      <c r="A971" s="18" t="s">
        <v>1745</v>
      </c>
      <c r="B971" s="7">
        <v>6</v>
      </c>
      <c r="C971" s="7">
        <v>13</v>
      </c>
      <c r="D971" s="7" t="s">
        <v>2261</v>
      </c>
      <c r="E971" s="7">
        <v>23000000</v>
      </c>
      <c r="F971" s="7">
        <f t="shared" si="63"/>
        <v>23000000</v>
      </c>
      <c r="G971" s="7">
        <f t="shared" si="61"/>
        <v>74096.983286297851</v>
      </c>
      <c r="H971" s="7" t="s">
        <v>2260</v>
      </c>
      <c r="I971" s="18" t="s">
        <v>1812</v>
      </c>
      <c r="J971" s="18" t="s">
        <v>1802</v>
      </c>
      <c r="K971" s="3">
        <v>35.46</v>
      </c>
      <c r="L971" s="7" t="s">
        <v>2246</v>
      </c>
      <c r="M971" s="7">
        <f t="shared" si="62"/>
        <v>3.5459999999999998E-2</v>
      </c>
      <c r="N971" s="7">
        <f t="shared" si="64"/>
        <v>11.006925840000001</v>
      </c>
    </row>
    <row r="972" spans="1:14" ht="15.6" x14ac:dyDescent="0.3">
      <c r="A972" s="18" t="s">
        <v>1745</v>
      </c>
      <c r="B972" s="7">
        <v>6</v>
      </c>
      <c r="C972" s="7">
        <v>13</v>
      </c>
      <c r="D972" s="7" t="s">
        <v>2261</v>
      </c>
      <c r="E972" s="7">
        <v>23000000</v>
      </c>
      <c r="F972" s="7">
        <f t="shared" si="63"/>
        <v>23000000</v>
      </c>
      <c r="G972" s="7">
        <f t="shared" si="61"/>
        <v>74096.983286297851</v>
      </c>
      <c r="H972" s="7" t="s">
        <v>2260</v>
      </c>
      <c r="I972" s="18" t="s">
        <v>1812</v>
      </c>
      <c r="J972" s="18" t="s">
        <v>1802</v>
      </c>
      <c r="K972" s="3">
        <v>35.92</v>
      </c>
      <c r="L972" s="7" t="s">
        <v>2246</v>
      </c>
      <c r="M972" s="7">
        <f t="shared" si="62"/>
        <v>3.5920000000000001E-2</v>
      </c>
      <c r="N972" s="7">
        <f t="shared" si="64"/>
        <v>11.149711680000001</v>
      </c>
    </row>
    <row r="973" spans="1:14" ht="15.6" x14ac:dyDescent="0.3">
      <c r="A973" s="18" t="s">
        <v>1745</v>
      </c>
      <c r="B973" s="7">
        <v>6</v>
      </c>
      <c r="C973" s="7">
        <v>13</v>
      </c>
      <c r="D973" s="7" t="s">
        <v>2261</v>
      </c>
      <c r="E973" s="7">
        <v>23000000</v>
      </c>
      <c r="F973" s="7">
        <f t="shared" si="63"/>
        <v>23000000</v>
      </c>
      <c r="G973" s="7">
        <f t="shared" si="61"/>
        <v>74096.983286297851</v>
      </c>
      <c r="H973" s="7" t="s">
        <v>2260</v>
      </c>
      <c r="I973" s="18" t="s">
        <v>1812</v>
      </c>
      <c r="J973" s="18" t="s">
        <v>1802</v>
      </c>
      <c r="K973" s="3">
        <v>32.75</v>
      </c>
      <c r="L973" s="7" t="s">
        <v>2246</v>
      </c>
      <c r="M973" s="7">
        <f t="shared" si="62"/>
        <v>3.2750000000000001E-2</v>
      </c>
      <c r="N973" s="7">
        <f t="shared" si="64"/>
        <v>10.165731000000001</v>
      </c>
    </row>
    <row r="974" spans="1:14" ht="15.6" x14ac:dyDescent="0.3">
      <c r="A974" s="18" t="s">
        <v>1745</v>
      </c>
      <c r="B974" s="7">
        <v>6</v>
      </c>
      <c r="C974" s="7">
        <v>13</v>
      </c>
      <c r="D974" s="7" t="s">
        <v>2261</v>
      </c>
      <c r="E974" s="7">
        <v>23000000</v>
      </c>
      <c r="F974" s="7">
        <f t="shared" si="63"/>
        <v>23000000</v>
      </c>
      <c r="G974" s="7">
        <f t="shared" si="61"/>
        <v>74096.983286297851</v>
      </c>
      <c r="H974" s="7" t="s">
        <v>2260</v>
      </c>
      <c r="I974" s="18" t="s">
        <v>1812</v>
      </c>
      <c r="J974" s="18" t="s">
        <v>1802</v>
      </c>
      <c r="K974" s="3">
        <v>29.31</v>
      </c>
      <c r="L974" s="7" t="s">
        <v>2246</v>
      </c>
      <c r="M974" s="7">
        <f t="shared" si="62"/>
        <v>2.9309999999999999E-2</v>
      </c>
      <c r="N974" s="7">
        <f t="shared" si="64"/>
        <v>9.0979412400000008</v>
      </c>
    </row>
    <row r="975" spans="1:14" ht="15.6" x14ac:dyDescent="0.3">
      <c r="A975" s="18" t="s">
        <v>1745</v>
      </c>
      <c r="B975" s="7">
        <v>6</v>
      </c>
      <c r="C975" s="7">
        <v>13</v>
      </c>
      <c r="D975" s="7" t="s">
        <v>2261</v>
      </c>
      <c r="E975" s="7">
        <v>23000000</v>
      </c>
      <c r="F975" s="7">
        <f t="shared" si="63"/>
        <v>23000000</v>
      </c>
      <c r="G975" s="7">
        <f t="shared" si="61"/>
        <v>74096.983286297851</v>
      </c>
      <c r="H975" s="7" t="s">
        <v>2260</v>
      </c>
      <c r="I975" s="18" t="s">
        <v>1812</v>
      </c>
      <c r="J975" s="18" t="s">
        <v>1802</v>
      </c>
      <c r="K975" s="3">
        <v>5.53</v>
      </c>
      <c r="L975" s="7" t="s">
        <v>2246</v>
      </c>
      <c r="M975" s="7">
        <f t="shared" si="62"/>
        <v>5.5300000000000002E-3</v>
      </c>
      <c r="N975" s="7">
        <f t="shared" si="64"/>
        <v>1.7165341200000002</v>
      </c>
    </row>
    <row r="976" spans="1:14" ht="15.6" x14ac:dyDescent="0.3">
      <c r="A976" s="18" t="s">
        <v>1745</v>
      </c>
      <c r="B976" s="7">
        <v>6</v>
      </c>
      <c r="C976" s="7">
        <v>13</v>
      </c>
      <c r="D976" s="7" t="s">
        <v>2261</v>
      </c>
      <c r="E976" s="7">
        <v>23000000</v>
      </c>
      <c r="F976" s="7">
        <f t="shared" si="63"/>
        <v>23000000</v>
      </c>
      <c r="G976" s="7">
        <f t="shared" si="61"/>
        <v>74096.983286297851</v>
      </c>
      <c r="H976" s="7" t="s">
        <v>2260</v>
      </c>
      <c r="I976" s="18" t="s">
        <v>1812</v>
      </c>
      <c r="J976" s="18" t="s">
        <v>1802</v>
      </c>
      <c r="K976" s="3" t="s">
        <v>1716</v>
      </c>
      <c r="L976" s="7" t="s">
        <v>2246</v>
      </c>
      <c r="M976" s="7" t="str">
        <f t="shared" si="62"/>
        <v>ND</v>
      </c>
      <c r="N976" s="7" t="str">
        <f t="shared" si="64"/>
        <v>ND</v>
      </c>
    </row>
    <row r="977" spans="1:14" ht="15.6" x14ac:dyDescent="0.3">
      <c r="A977" s="18" t="s">
        <v>1745</v>
      </c>
      <c r="B977" s="7">
        <v>6</v>
      </c>
      <c r="C977" s="7">
        <v>13</v>
      </c>
      <c r="D977" s="7" t="s">
        <v>2261</v>
      </c>
      <c r="E977" s="7">
        <v>23000000</v>
      </c>
      <c r="F977" s="7">
        <f t="shared" si="63"/>
        <v>23000000</v>
      </c>
      <c r="G977" s="7">
        <f t="shared" si="61"/>
        <v>74096.983286297851</v>
      </c>
      <c r="H977" s="7" t="s">
        <v>2260</v>
      </c>
      <c r="I977" s="18" t="s">
        <v>1812</v>
      </c>
      <c r="J977" s="18" t="s">
        <v>1802</v>
      </c>
      <c r="K977" s="3" t="s">
        <v>1716</v>
      </c>
      <c r="L977" s="7" t="s">
        <v>2246</v>
      </c>
      <c r="M977" s="7" t="str">
        <f t="shared" si="62"/>
        <v>ND</v>
      </c>
      <c r="N977" s="7" t="str">
        <f t="shared" si="64"/>
        <v>ND</v>
      </c>
    </row>
    <row r="978" spans="1:14" ht="15.6" x14ac:dyDescent="0.3">
      <c r="A978" s="18" t="s">
        <v>1745</v>
      </c>
      <c r="B978" s="7">
        <v>6</v>
      </c>
      <c r="C978" s="7">
        <v>13</v>
      </c>
      <c r="D978" s="7" t="s">
        <v>2261</v>
      </c>
      <c r="E978" s="7">
        <v>23000000</v>
      </c>
      <c r="F978" s="7">
        <f t="shared" si="63"/>
        <v>23000000</v>
      </c>
      <c r="G978" s="7">
        <f t="shared" si="61"/>
        <v>74096.983286297851</v>
      </c>
      <c r="H978" s="7" t="s">
        <v>2260</v>
      </c>
      <c r="I978" s="18" t="s">
        <v>1812</v>
      </c>
      <c r="J978" s="18" t="s">
        <v>1802</v>
      </c>
      <c r="K978" s="3" t="s">
        <v>1716</v>
      </c>
      <c r="L978" s="7" t="s">
        <v>2246</v>
      </c>
      <c r="M978" s="7" t="str">
        <f t="shared" si="62"/>
        <v>ND</v>
      </c>
      <c r="N978" s="7" t="str">
        <f t="shared" si="64"/>
        <v>ND</v>
      </c>
    </row>
    <row r="979" spans="1:14" ht="15.6" x14ac:dyDescent="0.3">
      <c r="A979" s="18" t="s">
        <v>1745</v>
      </c>
      <c r="B979" s="7">
        <v>6</v>
      </c>
      <c r="C979" s="7">
        <v>13</v>
      </c>
      <c r="D979" s="7" t="s">
        <v>2261</v>
      </c>
      <c r="E979" s="7">
        <v>23000000</v>
      </c>
      <c r="F979" s="7">
        <f t="shared" si="63"/>
        <v>23000000</v>
      </c>
      <c r="G979" s="7">
        <f t="shared" si="61"/>
        <v>74096.983286297851</v>
      </c>
      <c r="H979" s="7" t="s">
        <v>2260</v>
      </c>
      <c r="I979" s="18" t="s">
        <v>1812</v>
      </c>
      <c r="J979" s="18" t="s">
        <v>1802</v>
      </c>
      <c r="K979" s="3" t="s">
        <v>1716</v>
      </c>
      <c r="L979" s="7" t="s">
        <v>2246</v>
      </c>
      <c r="M979" s="7" t="str">
        <f t="shared" si="62"/>
        <v>ND</v>
      </c>
      <c r="N979" s="7" t="str">
        <f t="shared" si="64"/>
        <v>ND</v>
      </c>
    </row>
    <row r="980" spans="1:14" ht="15.6" x14ac:dyDescent="0.3">
      <c r="A980" s="18" t="s">
        <v>1745</v>
      </c>
      <c r="B980" s="7">
        <v>6</v>
      </c>
      <c r="C980" s="7">
        <v>13</v>
      </c>
      <c r="D980" s="7" t="s">
        <v>2261</v>
      </c>
      <c r="E980" s="7">
        <v>23000000</v>
      </c>
      <c r="F980" s="7">
        <f t="shared" si="63"/>
        <v>23000000</v>
      </c>
      <c r="G980" s="7">
        <f t="shared" si="61"/>
        <v>74096.983286297851</v>
      </c>
      <c r="H980" s="7" t="s">
        <v>2260</v>
      </c>
      <c r="I980" s="18" t="s">
        <v>1812</v>
      </c>
      <c r="J980" s="18" t="s">
        <v>1802</v>
      </c>
      <c r="K980" s="3" t="s">
        <v>1716</v>
      </c>
      <c r="L980" s="7" t="s">
        <v>2246</v>
      </c>
      <c r="M980" s="7" t="str">
        <f t="shared" si="62"/>
        <v>ND</v>
      </c>
      <c r="N980" s="7" t="str">
        <f t="shared" si="64"/>
        <v>ND</v>
      </c>
    </row>
    <row r="981" spans="1:14" ht="15.6" x14ac:dyDescent="0.3">
      <c r="A981" s="18" t="s">
        <v>1745</v>
      </c>
      <c r="B981" s="7">
        <v>6</v>
      </c>
      <c r="C981" s="7">
        <v>13</v>
      </c>
      <c r="D981" s="7" t="s">
        <v>2261</v>
      </c>
      <c r="E981" s="7">
        <v>23000000</v>
      </c>
      <c r="F981" s="7">
        <f t="shared" si="63"/>
        <v>23000000</v>
      </c>
      <c r="G981" s="7">
        <f t="shared" si="61"/>
        <v>74096.983286297851</v>
      </c>
      <c r="H981" s="7" t="s">
        <v>2260</v>
      </c>
      <c r="I981" s="18" t="s">
        <v>1812</v>
      </c>
      <c r="J981" s="18" t="s">
        <v>1802</v>
      </c>
      <c r="K981" s="3" t="s">
        <v>1716</v>
      </c>
      <c r="L981" s="7" t="s">
        <v>2246</v>
      </c>
      <c r="M981" s="7" t="str">
        <f t="shared" si="62"/>
        <v>ND</v>
      </c>
      <c r="N981" s="7" t="str">
        <f t="shared" si="64"/>
        <v>ND</v>
      </c>
    </row>
    <row r="982" spans="1:14" ht="15.6" x14ac:dyDescent="0.3">
      <c r="A982" s="18" t="s">
        <v>1745</v>
      </c>
      <c r="B982" s="7">
        <v>6</v>
      </c>
      <c r="C982" s="7">
        <v>13</v>
      </c>
      <c r="D982" s="7" t="s">
        <v>2261</v>
      </c>
      <c r="E982" s="7">
        <v>23000000</v>
      </c>
      <c r="F982" s="7">
        <f t="shared" si="63"/>
        <v>23000000</v>
      </c>
      <c r="G982" s="7">
        <f t="shared" si="61"/>
        <v>74096.983286297851</v>
      </c>
      <c r="H982" s="7" t="s">
        <v>2260</v>
      </c>
      <c r="I982" s="18" t="s">
        <v>1812</v>
      </c>
      <c r="J982" s="18" t="s">
        <v>1802</v>
      </c>
      <c r="K982" s="3">
        <v>22.13</v>
      </c>
      <c r="L982" s="7" t="s">
        <v>2246</v>
      </c>
      <c r="M982" s="7">
        <f t="shared" si="62"/>
        <v>2.213E-2</v>
      </c>
      <c r="N982" s="7">
        <f t="shared" si="64"/>
        <v>6.8692405200000008</v>
      </c>
    </row>
    <row r="983" spans="1:14" ht="15.6" x14ac:dyDescent="0.3">
      <c r="A983" s="18" t="s">
        <v>1745</v>
      </c>
      <c r="B983" s="7">
        <v>6</v>
      </c>
      <c r="C983" s="7">
        <v>13</v>
      </c>
      <c r="D983" s="7" t="s">
        <v>2261</v>
      </c>
      <c r="E983" s="7">
        <v>23000000</v>
      </c>
      <c r="F983" s="7">
        <f t="shared" si="63"/>
        <v>23000000</v>
      </c>
      <c r="G983" s="7">
        <f t="shared" si="61"/>
        <v>74096.983286297851</v>
      </c>
      <c r="H983" s="7" t="s">
        <v>2260</v>
      </c>
      <c r="I983" s="18" t="s">
        <v>1812</v>
      </c>
      <c r="J983" s="18" t="s">
        <v>1802</v>
      </c>
      <c r="K983" s="3" t="s">
        <v>1716</v>
      </c>
      <c r="L983" s="7" t="s">
        <v>2246</v>
      </c>
      <c r="M983" s="7" t="str">
        <f t="shared" si="62"/>
        <v>ND</v>
      </c>
      <c r="N983" s="7" t="str">
        <f t="shared" si="64"/>
        <v>ND</v>
      </c>
    </row>
    <row r="984" spans="1:14" ht="15.6" x14ac:dyDescent="0.3">
      <c r="A984" s="18" t="s">
        <v>1745</v>
      </c>
      <c r="B984" s="7">
        <v>6</v>
      </c>
      <c r="C984" s="7">
        <v>13</v>
      </c>
      <c r="D984" s="7" t="s">
        <v>2261</v>
      </c>
      <c r="E984" s="7">
        <v>23000000</v>
      </c>
      <c r="F984" s="7">
        <f t="shared" si="63"/>
        <v>23000000</v>
      </c>
      <c r="G984" s="7">
        <f t="shared" si="61"/>
        <v>74096.983286297851</v>
      </c>
      <c r="H984" s="7" t="s">
        <v>2260</v>
      </c>
      <c r="I984" s="18" t="s">
        <v>1812</v>
      </c>
      <c r="J984" s="18" t="s">
        <v>1802</v>
      </c>
      <c r="K984" s="3" t="s">
        <v>1716</v>
      </c>
      <c r="L984" s="7" t="s">
        <v>2246</v>
      </c>
      <c r="M984" s="7" t="str">
        <f t="shared" si="62"/>
        <v>ND</v>
      </c>
      <c r="N984" s="7" t="str">
        <f t="shared" si="64"/>
        <v>ND</v>
      </c>
    </row>
    <row r="985" spans="1:14" ht="15.6" x14ac:dyDescent="0.3">
      <c r="A985" s="18" t="s">
        <v>1745</v>
      </c>
      <c r="B985" s="7">
        <v>6</v>
      </c>
      <c r="C985" s="7">
        <v>13</v>
      </c>
      <c r="D985" s="7" t="s">
        <v>2261</v>
      </c>
      <c r="E985" s="7">
        <v>23000000</v>
      </c>
      <c r="F985" s="7">
        <f t="shared" si="63"/>
        <v>23000000</v>
      </c>
      <c r="G985" s="7">
        <f t="shared" ref="G985:G1048" si="65">F985/310.404</f>
        <v>74096.983286297851</v>
      </c>
      <c r="H985" s="7" t="s">
        <v>2260</v>
      </c>
      <c r="I985" s="18" t="s">
        <v>1812</v>
      </c>
      <c r="J985" s="18" t="s">
        <v>1802</v>
      </c>
      <c r="K985" s="3" t="s">
        <v>1716</v>
      </c>
      <c r="L985" s="7" t="s">
        <v>2246</v>
      </c>
      <c r="M985" s="7" t="str">
        <f t="shared" si="62"/>
        <v>ND</v>
      </c>
      <c r="N985" s="7" t="str">
        <f t="shared" si="64"/>
        <v>ND</v>
      </c>
    </row>
    <row r="986" spans="1:14" ht="15.6" x14ac:dyDescent="0.3">
      <c r="A986" s="18" t="s">
        <v>1745</v>
      </c>
      <c r="B986" s="7">
        <v>6</v>
      </c>
      <c r="C986" s="7">
        <v>13</v>
      </c>
      <c r="D986" s="7" t="s">
        <v>2261</v>
      </c>
      <c r="E986" s="7">
        <v>23000000</v>
      </c>
      <c r="F986" s="7">
        <f t="shared" si="63"/>
        <v>23000000</v>
      </c>
      <c r="G986" s="7">
        <f t="shared" si="65"/>
        <v>74096.983286297851</v>
      </c>
      <c r="H986" s="7" t="s">
        <v>2260</v>
      </c>
      <c r="I986" s="18" t="s">
        <v>1812</v>
      </c>
      <c r="J986" s="18" t="s">
        <v>1802</v>
      </c>
      <c r="K986" s="3" t="s">
        <v>1716</v>
      </c>
      <c r="L986" s="7" t="s">
        <v>2246</v>
      </c>
      <c r="M986" s="7" t="str">
        <f t="shared" si="62"/>
        <v>ND</v>
      </c>
      <c r="N986" s="7" t="str">
        <f t="shared" si="64"/>
        <v>ND</v>
      </c>
    </row>
    <row r="987" spans="1:14" ht="15.6" x14ac:dyDescent="0.3">
      <c r="A987" s="18" t="s">
        <v>1745</v>
      </c>
      <c r="B987" s="7">
        <v>6</v>
      </c>
      <c r="C987" s="7">
        <v>13</v>
      </c>
      <c r="D987" s="7" t="s">
        <v>2261</v>
      </c>
      <c r="E987" s="7">
        <v>23000000</v>
      </c>
      <c r="F987" s="7">
        <f t="shared" si="63"/>
        <v>23000000</v>
      </c>
      <c r="G987" s="7">
        <f t="shared" si="65"/>
        <v>74096.983286297851</v>
      </c>
      <c r="H987" s="7" t="s">
        <v>2260</v>
      </c>
      <c r="I987" s="18" t="s">
        <v>1812</v>
      </c>
      <c r="J987" s="18" t="s">
        <v>1802</v>
      </c>
      <c r="K987" s="3">
        <v>213.7</v>
      </c>
      <c r="L987" s="7" t="s">
        <v>2246</v>
      </c>
      <c r="M987" s="7">
        <f t="shared" si="62"/>
        <v>0.2137</v>
      </c>
      <c r="N987" s="7">
        <f t="shared" si="64"/>
        <v>66.333334800000003</v>
      </c>
    </row>
    <row r="988" spans="1:14" ht="15.6" x14ac:dyDescent="0.3">
      <c r="A988" s="18" t="s">
        <v>1745</v>
      </c>
      <c r="B988" s="7">
        <v>6</v>
      </c>
      <c r="C988" s="7">
        <v>13</v>
      </c>
      <c r="D988" s="7" t="s">
        <v>2261</v>
      </c>
      <c r="E988" s="7">
        <v>23000000</v>
      </c>
      <c r="F988" s="7">
        <f t="shared" si="63"/>
        <v>23000000</v>
      </c>
      <c r="G988" s="7">
        <f t="shared" si="65"/>
        <v>74096.983286297851</v>
      </c>
      <c r="H988" s="7" t="s">
        <v>2260</v>
      </c>
      <c r="I988" s="18" t="s">
        <v>1812</v>
      </c>
      <c r="J988" s="18" t="s">
        <v>1802</v>
      </c>
      <c r="K988" s="3" t="s">
        <v>1716</v>
      </c>
      <c r="L988" s="7" t="s">
        <v>2246</v>
      </c>
      <c r="M988" s="7" t="str">
        <f t="shared" si="62"/>
        <v>ND</v>
      </c>
      <c r="N988" s="7" t="str">
        <f t="shared" si="64"/>
        <v>ND</v>
      </c>
    </row>
    <row r="989" spans="1:14" ht="15.6" x14ac:dyDescent="0.3">
      <c r="A989" s="18" t="s">
        <v>1745</v>
      </c>
      <c r="B989" s="7">
        <v>6</v>
      </c>
      <c r="C989" s="7">
        <v>13</v>
      </c>
      <c r="D989" s="7" t="s">
        <v>2261</v>
      </c>
      <c r="E989" s="7">
        <v>23000000</v>
      </c>
      <c r="F989" s="7">
        <f t="shared" si="63"/>
        <v>23000000</v>
      </c>
      <c r="G989" s="7">
        <f t="shared" si="65"/>
        <v>74096.983286297851</v>
      </c>
      <c r="H989" s="7" t="s">
        <v>2260</v>
      </c>
      <c r="I989" s="18" t="s">
        <v>1812</v>
      </c>
      <c r="J989" s="18" t="s">
        <v>1802</v>
      </c>
      <c r="K989" s="3" t="s">
        <v>1716</v>
      </c>
      <c r="L989" s="7" t="s">
        <v>2246</v>
      </c>
      <c r="M989" s="7" t="str">
        <f t="shared" si="62"/>
        <v>ND</v>
      </c>
      <c r="N989" s="7" t="str">
        <f t="shared" si="64"/>
        <v>ND</v>
      </c>
    </row>
    <row r="990" spans="1:14" ht="15.6" x14ac:dyDescent="0.3">
      <c r="A990" s="18" t="s">
        <v>1745</v>
      </c>
      <c r="B990" s="7">
        <v>6</v>
      </c>
      <c r="C990" s="7">
        <v>13</v>
      </c>
      <c r="D990" s="7" t="s">
        <v>2261</v>
      </c>
      <c r="E990" s="7">
        <v>23000000</v>
      </c>
      <c r="F990" s="7">
        <f t="shared" si="63"/>
        <v>23000000</v>
      </c>
      <c r="G990" s="7">
        <f t="shared" si="65"/>
        <v>74096.983286297851</v>
      </c>
      <c r="H990" s="7" t="s">
        <v>2260</v>
      </c>
      <c r="I990" s="18" t="s">
        <v>1812</v>
      </c>
      <c r="J990" s="18" t="s">
        <v>1802</v>
      </c>
      <c r="K990" s="3">
        <v>302.32</v>
      </c>
      <c r="L990" s="7" t="s">
        <v>2246</v>
      </c>
      <c r="M990" s="7">
        <f t="shared" si="62"/>
        <v>0.30231999999999998</v>
      </c>
      <c r="N990" s="7">
        <f t="shared" si="64"/>
        <v>93.841337279999991</v>
      </c>
    </row>
    <row r="991" spans="1:14" ht="15.6" x14ac:dyDescent="0.3">
      <c r="A991" s="18" t="s">
        <v>1745</v>
      </c>
      <c r="B991" s="7">
        <v>6</v>
      </c>
      <c r="C991" s="7">
        <v>13</v>
      </c>
      <c r="D991" s="7" t="s">
        <v>2261</v>
      </c>
      <c r="E991" s="7">
        <v>23000000</v>
      </c>
      <c r="F991" s="7">
        <f t="shared" si="63"/>
        <v>23000000</v>
      </c>
      <c r="G991" s="7">
        <f t="shared" si="65"/>
        <v>74096.983286297851</v>
      </c>
      <c r="H991" s="7" t="s">
        <v>2260</v>
      </c>
      <c r="I991" s="18" t="s">
        <v>1812</v>
      </c>
      <c r="J991" s="18" t="s">
        <v>1802</v>
      </c>
      <c r="K991" s="3">
        <v>301.02</v>
      </c>
      <c r="L991" s="7" t="s">
        <v>2246</v>
      </c>
      <c r="M991" s="7">
        <f t="shared" si="62"/>
        <v>0.30101999999999995</v>
      </c>
      <c r="N991" s="7">
        <f t="shared" si="64"/>
        <v>93.43781208</v>
      </c>
    </row>
    <row r="992" spans="1:14" ht="15.6" x14ac:dyDescent="0.3">
      <c r="A992" s="18" t="s">
        <v>1745</v>
      </c>
      <c r="B992" s="7">
        <v>6</v>
      </c>
      <c r="C992" s="7">
        <v>13</v>
      </c>
      <c r="D992" s="7" t="s">
        <v>2261</v>
      </c>
      <c r="E992" s="7">
        <v>23000000</v>
      </c>
      <c r="F992" s="7">
        <f t="shared" si="63"/>
        <v>23000000</v>
      </c>
      <c r="G992" s="7">
        <f t="shared" si="65"/>
        <v>74096.983286297851</v>
      </c>
      <c r="H992" s="7" t="s">
        <v>2260</v>
      </c>
      <c r="I992" s="18" t="s">
        <v>1812</v>
      </c>
      <c r="J992" s="18" t="s">
        <v>1802</v>
      </c>
      <c r="K992" s="3" t="s">
        <v>1716</v>
      </c>
      <c r="L992" s="7" t="s">
        <v>2246</v>
      </c>
      <c r="M992" s="7" t="str">
        <f t="shared" si="62"/>
        <v>ND</v>
      </c>
      <c r="N992" s="7" t="str">
        <f t="shared" si="64"/>
        <v>ND</v>
      </c>
    </row>
    <row r="993" spans="1:14" ht="15.6" x14ac:dyDescent="0.3">
      <c r="A993" s="18" t="s">
        <v>1745</v>
      </c>
      <c r="B993" s="7">
        <v>6</v>
      </c>
      <c r="C993" s="7">
        <v>13</v>
      </c>
      <c r="D993" s="7" t="s">
        <v>2261</v>
      </c>
      <c r="E993" s="7">
        <v>23000000</v>
      </c>
      <c r="F993" s="7">
        <f t="shared" si="63"/>
        <v>23000000</v>
      </c>
      <c r="G993" s="7">
        <f t="shared" si="65"/>
        <v>74096.983286297851</v>
      </c>
      <c r="H993" s="7" t="s">
        <v>2260</v>
      </c>
      <c r="I993" s="18" t="s">
        <v>1812</v>
      </c>
      <c r="J993" s="18" t="s">
        <v>1802</v>
      </c>
      <c r="K993" s="3">
        <v>600.83000000000004</v>
      </c>
      <c r="L993" s="7" t="s">
        <v>2246</v>
      </c>
      <c r="M993" s="7">
        <f t="shared" si="62"/>
        <v>0.60083000000000009</v>
      </c>
      <c r="N993" s="7">
        <f t="shared" si="64"/>
        <v>186.50003532000005</v>
      </c>
    </row>
    <row r="994" spans="1:14" ht="15.6" x14ac:dyDescent="0.3">
      <c r="A994" s="18" t="s">
        <v>1745</v>
      </c>
      <c r="B994" s="7">
        <v>6</v>
      </c>
      <c r="C994" s="7">
        <v>13</v>
      </c>
      <c r="D994" s="7" t="s">
        <v>2261</v>
      </c>
      <c r="E994" s="7">
        <v>23000000</v>
      </c>
      <c r="F994" s="7">
        <f t="shared" si="63"/>
        <v>23000000</v>
      </c>
      <c r="G994" s="7">
        <f t="shared" si="65"/>
        <v>74096.983286297851</v>
      </c>
      <c r="H994" s="7" t="s">
        <v>2260</v>
      </c>
      <c r="I994" s="18" t="s">
        <v>1812</v>
      </c>
      <c r="J994" s="18" t="s">
        <v>1802</v>
      </c>
      <c r="K994" s="3">
        <v>165.8</v>
      </c>
      <c r="L994" s="7" t="s">
        <v>2246</v>
      </c>
      <c r="M994" s="7">
        <f t="shared" si="62"/>
        <v>0.1658</v>
      </c>
      <c r="N994" s="7">
        <f t="shared" si="64"/>
        <v>51.464983200000006</v>
      </c>
    </row>
    <row r="995" spans="1:14" ht="15.6" x14ac:dyDescent="0.3">
      <c r="A995" s="18" t="s">
        <v>1745</v>
      </c>
      <c r="B995" s="7">
        <v>6</v>
      </c>
      <c r="C995" s="7">
        <v>13</v>
      </c>
      <c r="D995" s="7" t="s">
        <v>2261</v>
      </c>
      <c r="E995" s="7">
        <v>23000000</v>
      </c>
      <c r="F995" s="7">
        <f t="shared" si="63"/>
        <v>23000000</v>
      </c>
      <c r="G995" s="7">
        <f t="shared" si="65"/>
        <v>74096.983286297851</v>
      </c>
      <c r="H995" s="7" t="s">
        <v>2260</v>
      </c>
      <c r="I995" s="18" t="s">
        <v>1812</v>
      </c>
      <c r="J995" s="18" t="s">
        <v>1802</v>
      </c>
      <c r="K995" s="3">
        <v>281.77</v>
      </c>
      <c r="L995" s="7" t="s">
        <v>2246</v>
      </c>
      <c r="M995" s="7">
        <f t="shared" si="62"/>
        <v>0.28176999999999996</v>
      </c>
      <c r="N995" s="7">
        <f t="shared" si="64"/>
        <v>87.462535079999995</v>
      </c>
    </row>
    <row r="996" spans="1:14" ht="15.6" x14ac:dyDescent="0.3">
      <c r="A996" s="18" t="s">
        <v>1745</v>
      </c>
      <c r="B996" s="7">
        <v>6</v>
      </c>
      <c r="C996" s="7">
        <v>13</v>
      </c>
      <c r="D996" s="7" t="s">
        <v>2261</v>
      </c>
      <c r="E996" s="7">
        <v>23000000</v>
      </c>
      <c r="F996" s="7">
        <f t="shared" si="63"/>
        <v>23000000</v>
      </c>
      <c r="G996" s="7">
        <f t="shared" si="65"/>
        <v>74096.983286297851</v>
      </c>
      <c r="H996" s="7" t="s">
        <v>2260</v>
      </c>
      <c r="I996" s="18" t="s">
        <v>1812</v>
      </c>
      <c r="J996" s="18" t="s">
        <v>1802</v>
      </c>
      <c r="K996" s="3">
        <v>475.83</v>
      </c>
      <c r="L996" s="7" t="s">
        <v>2246</v>
      </c>
      <c r="M996" s="7">
        <f t="shared" si="62"/>
        <v>0.47582999999999998</v>
      </c>
      <c r="N996" s="7">
        <f t="shared" si="64"/>
        <v>147.69953532000002</v>
      </c>
    </row>
    <row r="997" spans="1:14" ht="15.6" x14ac:dyDescent="0.3">
      <c r="A997" s="18" t="s">
        <v>1745</v>
      </c>
      <c r="B997" s="7">
        <v>6</v>
      </c>
      <c r="C997" s="7">
        <v>13</v>
      </c>
      <c r="D997" s="7" t="s">
        <v>2261</v>
      </c>
      <c r="E997" s="7">
        <v>23000000</v>
      </c>
      <c r="F997" s="7">
        <f t="shared" si="63"/>
        <v>23000000</v>
      </c>
      <c r="G997" s="7">
        <f t="shared" si="65"/>
        <v>74096.983286297851</v>
      </c>
      <c r="H997" s="7" t="s">
        <v>2260</v>
      </c>
      <c r="I997" s="18" t="s">
        <v>1812</v>
      </c>
      <c r="J997" s="18" t="s">
        <v>1802</v>
      </c>
      <c r="K997" s="3">
        <v>457.09</v>
      </c>
      <c r="L997" s="7" t="s">
        <v>2246</v>
      </c>
      <c r="M997" s="7">
        <f t="shared" si="62"/>
        <v>0.45709</v>
      </c>
      <c r="N997" s="7">
        <f t="shared" si="64"/>
        <v>141.88256436</v>
      </c>
    </row>
    <row r="998" spans="1:14" ht="15.6" x14ac:dyDescent="0.3">
      <c r="A998" s="18" t="s">
        <v>1745</v>
      </c>
      <c r="B998" s="7">
        <v>6</v>
      </c>
      <c r="C998" s="7">
        <v>13</v>
      </c>
      <c r="D998" s="7" t="s">
        <v>2261</v>
      </c>
      <c r="E998" s="7">
        <v>23000000</v>
      </c>
      <c r="F998" s="7">
        <f t="shared" si="63"/>
        <v>23000000</v>
      </c>
      <c r="G998" s="7">
        <f t="shared" si="65"/>
        <v>74096.983286297851</v>
      </c>
      <c r="H998" s="7" t="s">
        <v>2260</v>
      </c>
      <c r="I998" s="18" t="s">
        <v>1812</v>
      </c>
      <c r="J998" s="18" t="s">
        <v>1802</v>
      </c>
      <c r="K998" s="3">
        <v>420.23</v>
      </c>
      <c r="L998" s="7" t="s">
        <v>2246</v>
      </c>
      <c r="M998" s="7">
        <f t="shared" si="62"/>
        <v>0.42022999999999999</v>
      </c>
      <c r="N998" s="7">
        <f t="shared" si="64"/>
        <v>130.44107292000001</v>
      </c>
    </row>
    <row r="999" spans="1:14" ht="15.6" x14ac:dyDescent="0.3">
      <c r="A999" s="18" t="s">
        <v>1745</v>
      </c>
      <c r="B999" s="7">
        <v>6</v>
      </c>
      <c r="C999" s="7">
        <v>13</v>
      </c>
      <c r="D999" s="7" t="s">
        <v>2261</v>
      </c>
      <c r="E999" s="7">
        <v>23000000</v>
      </c>
      <c r="F999" s="7">
        <f t="shared" si="63"/>
        <v>23000000</v>
      </c>
      <c r="G999" s="7">
        <f t="shared" si="65"/>
        <v>74096.983286297851</v>
      </c>
      <c r="H999" s="7" t="s">
        <v>2260</v>
      </c>
      <c r="I999" s="18" t="s">
        <v>1812</v>
      </c>
      <c r="J999" s="18" t="s">
        <v>1802</v>
      </c>
      <c r="K999" s="3">
        <v>937.73</v>
      </c>
      <c r="L999" s="7" t="s">
        <v>2246</v>
      </c>
      <c r="M999" s="7">
        <f t="shared" si="62"/>
        <v>0.93773000000000006</v>
      </c>
      <c r="N999" s="7">
        <f t="shared" si="64"/>
        <v>291.07514292000002</v>
      </c>
    </row>
    <row r="1000" spans="1:14" ht="15.6" x14ac:dyDescent="0.3">
      <c r="A1000" s="18" t="s">
        <v>1745</v>
      </c>
      <c r="B1000" s="7">
        <v>6</v>
      </c>
      <c r="C1000" s="7">
        <v>13</v>
      </c>
      <c r="D1000" s="7" t="s">
        <v>2261</v>
      </c>
      <c r="E1000" s="7">
        <v>23000000</v>
      </c>
      <c r="F1000" s="7">
        <f t="shared" si="63"/>
        <v>23000000</v>
      </c>
      <c r="G1000" s="7">
        <f t="shared" si="65"/>
        <v>74096.983286297851</v>
      </c>
      <c r="H1000" s="7" t="s">
        <v>2260</v>
      </c>
      <c r="I1000" s="18" t="s">
        <v>1812</v>
      </c>
      <c r="J1000" s="18" t="s">
        <v>1802</v>
      </c>
      <c r="K1000" s="3">
        <v>141.26</v>
      </c>
      <c r="L1000" s="7" t="s">
        <v>2246</v>
      </c>
      <c r="M1000" s="7">
        <f t="shared" si="62"/>
        <v>0.14126</v>
      </c>
      <c r="N1000" s="7">
        <f t="shared" si="64"/>
        <v>43.847669040000007</v>
      </c>
    </row>
    <row r="1001" spans="1:14" ht="15.6" x14ac:dyDescent="0.3">
      <c r="A1001" s="18" t="s">
        <v>1745</v>
      </c>
      <c r="B1001" s="7">
        <v>6</v>
      </c>
      <c r="C1001" s="7">
        <v>13</v>
      </c>
      <c r="D1001" s="7" t="s">
        <v>2261</v>
      </c>
      <c r="E1001" s="7">
        <v>23000000</v>
      </c>
      <c r="F1001" s="7">
        <f t="shared" si="63"/>
        <v>23000000</v>
      </c>
      <c r="G1001" s="7">
        <f t="shared" si="65"/>
        <v>74096.983286297851</v>
      </c>
      <c r="H1001" s="7" t="s">
        <v>2260</v>
      </c>
      <c r="I1001" s="18" t="s">
        <v>1812</v>
      </c>
      <c r="J1001" s="18" t="s">
        <v>1802</v>
      </c>
      <c r="K1001" s="3">
        <v>125.95</v>
      </c>
      <c r="L1001" s="7" t="s">
        <v>2246</v>
      </c>
      <c r="M1001" s="7">
        <f t="shared" si="62"/>
        <v>0.12595000000000001</v>
      </c>
      <c r="N1001" s="7">
        <f t="shared" si="64"/>
        <v>39.0953838</v>
      </c>
    </row>
    <row r="1002" spans="1:14" ht="15.6" x14ac:dyDescent="0.3">
      <c r="A1002" s="18" t="s">
        <v>1745</v>
      </c>
      <c r="B1002" s="7">
        <v>6</v>
      </c>
      <c r="C1002" s="7">
        <v>13</v>
      </c>
      <c r="D1002" s="7" t="s">
        <v>2261</v>
      </c>
      <c r="E1002" s="7">
        <v>23000000</v>
      </c>
      <c r="F1002" s="7">
        <f t="shared" si="63"/>
        <v>23000000</v>
      </c>
      <c r="G1002" s="7">
        <f t="shared" si="65"/>
        <v>74096.983286297851</v>
      </c>
      <c r="H1002" s="7" t="s">
        <v>2260</v>
      </c>
      <c r="I1002" s="18" t="s">
        <v>1812</v>
      </c>
      <c r="J1002" s="18" t="s">
        <v>1802</v>
      </c>
      <c r="K1002" s="3">
        <v>156.69999999999999</v>
      </c>
      <c r="L1002" s="7" t="s">
        <v>2246</v>
      </c>
      <c r="M1002" s="7">
        <f t="shared" ref="M1002:M1065" si="66">IFERROR(K1002/1000,"ND")</f>
        <v>0.15669999999999998</v>
      </c>
      <c r="N1002" s="7">
        <f t="shared" si="64"/>
        <v>48.640306799999998</v>
      </c>
    </row>
    <row r="1003" spans="1:14" ht="15.6" x14ac:dyDescent="0.3">
      <c r="A1003" s="18" t="s">
        <v>1745</v>
      </c>
      <c r="B1003" s="7">
        <v>6</v>
      </c>
      <c r="C1003" s="7">
        <v>13</v>
      </c>
      <c r="D1003" s="7" t="s">
        <v>2261</v>
      </c>
      <c r="E1003" s="7">
        <v>23000000</v>
      </c>
      <c r="F1003" s="7">
        <f t="shared" si="63"/>
        <v>23000000</v>
      </c>
      <c r="G1003" s="7">
        <f t="shared" si="65"/>
        <v>74096.983286297851</v>
      </c>
      <c r="H1003" s="7" t="s">
        <v>2260</v>
      </c>
      <c r="I1003" s="18" t="s">
        <v>1812</v>
      </c>
      <c r="J1003" s="18" t="s">
        <v>1802</v>
      </c>
      <c r="K1003" s="3">
        <v>238.5</v>
      </c>
      <c r="L1003" s="7" t="s">
        <v>2246</v>
      </c>
      <c r="M1003" s="7">
        <f t="shared" si="66"/>
        <v>0.23849999999999999</v>
      </c>
      <c r="N1003" s="7">
        <f t="shared" si="64"/>
        <v>74.031354000000007</v>
      </c>
    </row>
    <row r="1004" spans="1:14" ht="15.6" x14ac:dyDescent="0.3">
      <c r="A1004" s="18" t="s">
        <v>1745</v>
      </c>
      <c r="B1004" s="7">
        <v>6</v>
      </c>
      <c r="C1004" s="7">
        <v>13</v>
      </c>
      <c r="D1004" s="7" t="s">
        <v>2261</v>
      </c>
      <c r="E1004" s="7">
        <v>23000000</v>
      </c>
      <c r="F1004" s="7">
        <f t="shared" si="63"/>
        <v>23000000</v>
      </c>
      <c r="G1004" s="7">
        <f t="shared" si="65"/>
        <v>74096.983286297851</v>
      </c>
      <c r="H1004" s="7" t="s">
        <v>2260</v>
      </c>
      <c r="I1004" s="18" t="s">
        <v>1812</v>
      </c>
      <c r="J1004" s="18" t="s">
        <v>1802</v>
      </c>
      <c r="K1004" s="3">
        <v>64.260000000000005</v>
      </c>
      <c r="L1004" s="7" t="s">
        <v>2246</v>
      </c>
      <c r="M1004" s="7">
        <f t="shared" si="66"/>
        <v>6.4260000000000012E-2</v>
      </c>
      <c r="N1004" s="7">
        <f t="shared" si="64"/>
        <v>19.946561040000006</v>
      </c>
    </row>
    <row r="1005" spans="1:14" ht="15.6" x14ac:dyDescent="0.3">
      <c r="A1005" s="18" t="s">
        <v>1745</v>
      </c>
      <c r="B1005" s="7">
        <v>6</v>
      </c>
      <c r="C1005" s="7">
        <v>13</v>
      </c>
      <c r="D1005" s="7" t="s">
        <v>2261</v>
      </c>
      <c r="E1005" s="7">
        <v>23000000</v>
      </c>
      <c r="F1005" s="7">
        <f t="shared" si="63"/>
        <v>23000000</v>
      </c>
      <c r="G1005" s="7">
        <f t="shared" si="65"/>
        <v>74096.983286297851</v>
      </c>
      <c r="H1005" s="7" t="s">
        <v>2260</v>
      </c>
      <c r="I1005" s="18" t="s">
        <v>1812</v>
      </c>
      <c r="J1005" s="18" t="s">
        <v>1802</v>
      </c>
      <c r="K1005" s="3" t="s">
        <v>1716</v>
      </c>
      <c r="L1005" s="7" t="s">
        <v>2246</v>
      </c>
      <c r="M1005" s="7" t="str">
        <f t="shared" si="66"/>
        <v>ND</v>
      </c>
      <c r="N1005" s="7" t="str">
        <f t="shared" si="64"/>
        <v>ND</v>
      </c>
    </row>
    <row r="1006" spans="1:14" ht="15.6" x14ac:dyDescent="0.3">
      <c r="A1006" s="18" t="s">
        <v>1745</v>
      </c>
      <c r="B1006" s="7">
        <v>6</v>
      </c>
      <c r="C1006" s="7">
        <v>13</v>
      </c>
      <c r="D1006" s="7" t="s">
        <v>2261</v>
      </c>
      <c r="E1006" s="7">
        <v>23000000</v>
      </c>
      <c r="F1006" s="7">
        <f t="shared" si="63"/>
        <v>23000000</v>
      </c>
      <c r="G1006" s="7">
        <f t="shared" si="65"/>
        <v>74096.983286297851</v>
      </c>
      <c r="H1006" s="7" t="s">
        <v>2260</v>
      </c>
      <c r="I1006" s="18" t="s">
        <v>1812</v>
      </c>
      <c r="J1006" s="18" t="s">
        <v>1802</v>
      </c>
      <c r="K1006" s="3">
        <v>539.71</v>
      </c>
      <c r="L1006" s="7" t="s">
        <v>2246</v>
      </c>
      <c r="M1006" s="7">
        <f t="shared" si="66"/>
        <v>0.53971000000000002</v>
      </c>
      <c r="N1006" s="7">
        <f t="shared" si="64"/>
        <v>167.52814284000002</v>
      </c>
    </row>
    <row r="1007" spans="1:14" ht="15.6" x14ac:dyDescent="0.3">
      <c r="A1007" s="18" t="s">
        <v>1745</v>
      </c>
      <c r="B1007" s="7">
        <v>6</v>
      </c>
      <c r="C1007" s="7">
        <v>13</v>
      </c>
      <c r="D1007" s="7" t="s">
        <v>2261</v>
      </c>
      <c r="E1007" s="7">
        <v>23000000</v>
      </c>
      <c r="F1007" s="7">
        <f t="shared" si="63"/>
        <v>23000000</v>
      </c>
      <c r="G1007" s="7">
        <f t="shared" si="65"/>
        <v>74096.983286297851</v>
      </c>
      <c r="H1007" s="7" t="s">
        <v>2260</v>
      </c>
      <c r="I1007" s="18" t="s">
        <v>1812</v>
      </c>
      <c r="J1007" s="18" t="s">
        <v>1802</v>
      </c>
      <c r="K1007" s="3">
        <v>165.42</v>
      </c>
      <c r="L1007" s="7" t="s">
        <v>2246</v>
      </c>
      <c r="M1007" s="7">
        <f t="shared" si="66"/>
        <v>0.16541999999999998</v>
      </c>
      <c r="N1007" s="7">
        <f t="shared" si="64"/>
        <v>51.347029679999999</v>
      </c>
    </row>
    <row r="1008" spans="1:14" ht="15.6" x14ac:dyDescent="0.3">
      <c r="A1008" s="18" t="s">
        <v>1746</v>
      </c>
      <c r="B1008" s="7">
        <v>6</v>
      </c>
      <c r="C1008" s="7">
        <v>13</v>
      </c>
      <c r="D1008" s="7" t="s">
        <v>2261</v>
      </c>
      <c r="E1008" s="7">
        <v>23000000</v>
      </c>
      <c r="F1008" s="7">
        <f t="shared" si="63"/>
        <v>23000000</v>
      </c>
      <c r="G1008" s="7">
        <f t="shared" si="65"/>
        <v>74096.983286297851</v>
      </c>
      <c r="H1008" s="7" t="s">
        <v>2260</v>
      </c>
      <c r="I1008" s="18" t="s">
        <v>1812</v>
      </c>
      <c r="J1008" s="18" t="s">
        <v>1802</v>
      </c>
      <c r="K1008" s="3">
        <v>25.68</v>
      </c>
      <c r="L1008" s="7" t="s">
        <v>2246</v>
      </c>
      <c r="M1008" s="7">
        <f t="shared" si="66"/>
        <v>2.5680000000000001E-2</v>
      </c>
      <c r="N1008" s="7">
        <f t="shared" si="64"/>
        <v>7.9711747200000005</v>
      </c>
    </row>
    <row r="1009" spans="1:14" ht="15.6" x14ac:dyDescent="0.3">
      <c r="A1009" s="18" t="s">
        <v>1746</v>
      </c>
      <c r="B1009" s="7">
        <v>6</v>
      </c>
      <c r="C1009" s="7">
        <v>13</v>
      </c>
      <c r="D1009" s="7" t="s">
        <v>2261</v>
      </c>
      <c r="E1009" s="7">
        <v>23000000</v>
      </c>
      <c r="F1009" s="7">
        <f t="shared" si="63"/>
        <v>23000000</v>
      </c>
      <c r="G1009" s="7">
        <f t="shared" si="65"/>
        <v>74096.983286297851</v>
      </c>
      <c r="H1009" s="7" t="s">
        <v>2260</v>
      </c>
      <c r="I1009" s="18" t="s">
        <v>1812</v>
      </c>
      <c r="J1009" s="18" t="s">
        <v>1802</v>
      </c>
      <c r="K1009" s="3">
        <v>26.35</v>
      </c>
      <c r="L1009" s="7" t="s">
        <v>2246</v>
      </c>
      <c r="M1009" s="7">
        <f t="shared" si="66"/>
        <v>2.6350000000000002E-2</v>
      </c>
      <c r="N1009" s="7">
        <f t="shared" si="64"/>
        <v>8.1791454000000012</v>
      </c>
    </row>
    <row r="1010" spans="1:14" ht="15.6" x14ac:dyDescent="0.3">
      <c r="A1010" s="18" t="s">
        <v>1746</v>
      </c>
      <c r="B1010" s="7">
        <v>6</v>
      </c>
      <c r="C1010" s="7">
        <v>13</v>
      </c>
      <c r="D1010" s="7" t="s">
        <v>2261</v>
      </c>
      <c r="E1010" s="7">
        <v>23000000</v>
      </c>
      <c r="F1010" s="7">
        <f t="shared" si="63"/>
        <v>23000000</v>
      </c>
      <c r="G1010" s="7">
        <f t="shared" si="65"/>
        <v>74096.983286297851</v>
      </c>
      <c r="H1010" s="7" t="s">
        <v>2260</v>
      </c>
      <c r="I1010" s="18" t="s">
        <v>1812</v>
      </c>
      <c r="J1010" s="18" t="s">
        <v>1802</v>
      </c>
      <c r="K1010" s="3">
        <v>25.26</v>
      </c>
      <c r="L1010" s="7" t="s">
        <v>2246</v>
      </c>
      <c r="M1010" s="7">
        <f t="shared" si="66"/>
        <v>2.5260000000000001E-2</v>
      </c>
      <c r="N1010" s="7">
        <f t="shared" si="64"/>
        <v>7.8408050400000002</v>
      </c>
    </row>
    <row r="1011" spans="1:14" ht="15.6" x14ac:dyDescent="0.3">
      <c r="A1011" s="18" t="s">
        <v>1746</v>
      </c>
      <c r="B1011" s="7">
        <v>6</v>
      </c>
      <c r="C1011" s="7">
        <v>13</v>
      </c>
      <c r="D1011" s="7" t="s">
        <v>2261</v>
      </c>
      <c r="E1011" s="7">
        <v>23000000</v>
      </c>
      <c r="F1011" s="7">
        <f t="shared" si="63"/>
        <v>23000000</v>
      </c>
      <c r="G1011" s="7">
        <f t="shared" si="65"/>
        <v>74096.983286297851</v>
      </c>
      <c r="H1011" s="7" t="s">
        <v>2260</v>
      </c>
      <c r="I1011" s="18" t="s">
        <v>1812</v>
      </c>
      <c r="J1011" s="18" t="s">
        <v>1802</v>
      </c>
      <c r="K1011" s="3">
        <v>22.31</v>
      </c>
      <c r="L1011" s="7" t="s">
        <v>2246</v>
      </c>
      <c r="M1011" s="7">
        <f t="shared" si="66"/>
        <v>2.231E-2</v>
      </c>
      <c r="N1011" s="7">
        <f t="shared" si="64"/>
        <v>6.9251132400000008</v>
      </c>
    </row>
    <row r="1012" spans="1:14" ht="15.6" x14ac:dyDescent="0.3">
      <c r="A1012" s="18" t="s">
        <v>1746</v>
      </c>
      <c r="B1012" s="7">
        <v>6</v>
      </c>
      <c r="C1012" s="7">
        <v>13</v>
      </c>
      <c r="D1012" s="7" t="s">
        <v>2261</v>
      </c>
      <c r="E1012" s="7">
        <v>23000000</v>
      </c>
      <c r="F1012" s="7">
        <f t="shared" si="63"/>
        <v>23000000</v>
      </c>
      <c r="G1012" s="7">
        <f t="shared" si="65"/>
        <v>74096.983286297851</v>
      </c>
      <c r="H1012" s="7" t="s">
        <v>2260</v>
      </c>
      <c r="I1012" s="18" t="s">
        <v>1812</v>
      </c>
      <c r="J1012" s="18" t="s">
        <v>1802</v>
      </c>
      <c r="K1012" s="3">
        <v>35.07</v>
      </c>
      <c r="L1012" s="7" t="s">
        <v>2246</v>
      </c>
      <c r="M1012" s="7">
        <f t="shared" si="66"/>
        <v>3.5069999999999997E-2</v>
      </c>
      <c r="N1012" s="7">
        <f t="shared" si="64"/>
        <v>10.885868279999999</v>
      </c>
    </row>
    <row r="1013" spans="1:14" ht="15.6" x14ac:dyDescent="0.3">
      <c r="A1013" s="18" t="s">
        <v>1746</v>
      </c>
      <c r="B1013" s="7">
        <v>6</v>
      </c>
      <c r="C1013" s="7">
        <v>13</v>
      </c>
      <c r="D1013" s="7" t="s">
        <v>2261</v>
      </c>
      <c r="E1013" s="7">
        <v>23000000</v>
      </c>
      <c r="F1013" s="7">
        <f t="shared" si="63"/>
        <v>23000000</v>
      </c>
      <c r="G1013" s="7">
        <f t="shared" si="65"/>
        <v>74096.983286297851</v>
      </c>
      <c r="H1013" s="7" t="s">
        <v>2260</v>
      </c>
      <c r="I1013" s="18" t="s">
        <v>1812</v>
      </c>
      <c r="J1013" s="18" t="s">
        <v>1802</v>
      </c>
      <c r="K1013" s="3">
        <v>31.82</v>
      </c>
      <c r="L1013" s="7" t="s">
        <v>2246</v>
      </c>
      <c r="M1013" s="7">
        <f t="shared" si="66"/>
        <v>3.1820000000000001E-2</v>
      </c>
      <c r="N1013" s="7">
        <f t="shared" si="64"/>
        <v>9.8770552800000004</v>
      </c>
    </row>
    <row r="1014" spans="1:14" ht="15.6" x14ac:dyDescent="0.3">
      <c r="A1014" s="18" t="s">
        <v>1746</v>
      </c>
      <c r="B1014" s="7">
        <v>6</v>
      </c>
      <c r="C1014" s="7">
        <v>13</v>
      </c>
      <c r="D1014" s="7" t="s">
        <v>2261</v>
      </c>
      <c r="E1014" s="7">
        <v>23000000</v>
      </c>
      <c r="F1014" s="7">
        <f t="shared" si="63"/>
        <v>23000000</v>
      </c>
      <c r="G1014" s="7">
        <f t="shared" si="65"/>
        <v>74096.983286297851</v>
      </c>
      <c r="H1014" s="7" t="s">
        <v>2260</v>
      </c>
      <c r="I1014" s="18" t="s">
        <v>1812</v>
      </c>
      <c r="J1014" s="18" t="s">
        <v>1802</v>
      </c>
      <c r="K1014" s="3">
        <v>26.83</v>
      </c>
      <c r="L1014" s="7" t="s">
        <v>2246</v>
      </c>
      <c r="M1014" s="7">
        <f t="shared" si="66"/>
        <v>2.683E-2</v>
      </c>
      <c r="N1014" s="7">
        <f t="shared" si="64"/>
        <v>8.32813932</v>
      </c>
    </row>
    <row r="1015" spans="1:14" ht="15.6" x14ac:dyDescent="0.3">
      <c r="A1015" s="18" t="s">
        <v>1746</v>
      </c>
      <c r="B1015" s="7">
        <v>6</v>
      </c>
      <c r="C1015" s="7">
        <v>13</v>
      </c>
      <c r="D1015" s="7" t="s">
        <v>2261</v>
      </c>
      <c r="E1015" s="7">
        <v>23000000</v>
      </c>
      <c r="F1015" s="7">
        <f t="shared" ref="F1015:F1078" si="67">E1015</f>
        <v>23000000</v>
      </c>
      <c r="G1015" s="7">
        <f t="shared" si="65"/>
        <v>74096.983286297851</v>
      </c>
      <c r="H1015" s="7" t="s">
        <v>2260</v>
      </c>
      <c r="I1015" s="18" t="s">
        <v>1812</v>
      </c>
      <c r="J1015" s="18" t="s">
        <v>1802</v>
      </c>
      <c r="K1015" s="3">
        <v>32.43</v>
      </c>
      <c r="L1015" s="7" t="s">
        <v>2246</v>
      </c>
      <c r="M1015" s="7">
        <f t="shared" si="66"/>
        <v>3.243E-2</v>
      </c>
      <c r="N1015" s="7">
        <f t="shared" si="64"/>
        <v>10.06640172</v>
      </c>
    </row>
    <row r="1016" spans="1:14" ht="15.6" x14ac:dyDescent="0.3">
      <c r="A1016" s="18" t="s">
        <v>1746</v>
      </c>
      <c r="B1016" s="7">
        <v>6</v>
      </c>
      <c r="C1016" s="7">
        <v>13</v>
      </c>
      <c r="D1016" s="7" t="s">
        <v>2261</v>
      </c>
      <c r="E1016" s="7">
        <v>23000000</v>
      </c>
      <c r="F1016" s="7">
        <f t="shared" si="67"/>
        <v>23000000</v>
      </c>
      <c r="G1016" s="7">
        <f t="shared" si="65"/>
        <v>74096.983286297851</v>
      </c>
      <c r="H1016" s="7" t="s">
        <v>2260</v>
      </c>
      <c r="I1016" s="18" t="s">
        <v>1812</v>
      </c>
      <c r="J1016" s="18" t="s">
        <v>1802</v>
      </c>
      <c r="K1016" s="3">
        <v>25.56</v>
      </c>
      <c r="L1016" s="7" t="s">
        <v>2246</v>
      </c>
      <c r="M1016" s="7">
        <f t="shared" si="66"/>
        <v>2.5559999999999999E-2</v>
      </c>
      <c r="N1016" s="7">
        <f t="shared" si="64"/>
        <v>7.9339262400000008</v>
      </c>
    </row>
    <row r="1017" spans="1:14" ht="15.6" x14ac:dyDescent="0.3">
      <c r="A1017" s="18" t="s">
        <v>1746</v>
      </c>
      <c r="B1017" s="7">
        <v>6</v>
      </c>
      <c r="C1017" s="7">
        <v>13</v>
      </c>
      <c r="D1017" s="7" t="s">
        <v>2261</v>
      </c>
      <c r="E1017" s="7">
        <v>23000000</v>
      </c>
      <c r="F1017" s="7">
        <f t="shared" si="67"/>
        <v>23000000</v>
      </c>
      <c r="G1017" s="7">
        <f t="shared" si="65"/>
        <v>74096.983286297851</v>
      </c>
      <c r="H1017" s="7" t="s">
        <v>2260</v>
      </c>
      <c r="I1017" s="18" t="s">
        <v>1812</v>
      </c>
      <c r="J1017" s="18" t="s">
        <v>1802</v>
      </c>
      <c r="K1017" s="3">
        <v>32.36</v>
      </c>
      <c r="L1017" s="7" t="s">
        <v>2246</v>
      </c>
      <c r="M1017" s="7">
        <f t="shared" si="66"/>
        <v>3.236E-2</v>
      </c>
      <c r="N1017" s="7">
        <f t="shared" si="64"/>
        <v>10.04467344</v>
      </c>
    </row>
    <row r="1018" spans="1:14" ht="15.6" x14ac:dyDescent="0.3">
      <c r="A1018" s="18" t="s">
        <v>1746</v>
      </c>
      <c r="B1018" s="7">
        <v>6</v>
      </c>
      <c r="C1018" s="7">
        <v>13</v>
      </c>
      <c r="D1018" s="7" t="s">
        <v>2261</v>
      </c>
      <c r="E1018" s="7">
        <v>23000000</v>
      </c>
      <c r="F1018" s="7">
        <f t="shared" si="67"/>
        <v>23000000</v>
      </c>
      <c r="G1018" s="7">
        <f t="shared" si="65"/>
        <v>74096.983286297851</v>
      </c>
      <c r="H1018" s="7" t="s">
        <v>2260</v>
      </c>
      <c r="I1018" s="18" t="s">
        <v>1812</v>
      </c>
      <c r="J1018" s="18" t="s">
        <v>1802</v>
      </c>
      <c r="K1018" s="3">
        <v>44.21</v>
      </c>
      <c r="L1018" s="7" t="s">
        <v>2246</v>
      </c>
      <c r="M1018" s="7">
        <f t="shared" si="66"/>
        <v>4.4209999999999999E-2</v>
      </c>
      <c r="N1018" s="7">
        <f t="shared" si="64"/>
        <v>13.722960840000001</v>
      </c>
    </row>
    <row r="1019" spans="1:14" ht="15.6" x14ac:dyDescent="0.3">
      <c r="A1019" s="18" t="s">
        <v>1746</v>
      </c>
      <c r="B1019" s="7">
        <v>6</v>
      </c>
      <c r="C1019" s="7">
        <v>13</v>
      </c>
      <c r="D1019" s="7" t="s">
        <v>2261</v>
      </c>
      <c r="E1019" s="7">
        <v>23000000</v>
      </c>
      <c r="F1019" s="7">
        <f t="shared" si="67"/>
        <v>23000000</v>
      </c>
      <c r="G1019" s="7">
        <f t="shared" si="65"/>
        <v>74096.983286297851</v>
      </c>
      <c r="H1019" s="7" t="s">
        <v>2260</v>
      </c>
      <c r="I1019" s="18" t="s">
        <v>1812</v>
      </c>
      <c r="J1019" s="18" t="s">
        <v>1802</v>
      </c>
      <c r="K1019" s="3">
        <v>43.82</v>
      </c>
      <c r="L1019" s="7" t="s">
        <v>2246</v>
      </c>
      <c r="M1019" s="7">
        <f t="shared" si="66"/>
        <v>4.3819999999999998E-2</v>
      </c>
      <c r="N1019" s="7">
        <f t="shared" si="64"/>
        <v>13.601903280000002</v>
      </c>
    </row>
    <row r="1020" spans="1:14" ht="15.6" x14ac:dyDescent="0.3">
      <c r="A1020" s="18" t="s">
        <v>1746</v>
      </c>
      <c r="B1020" s="7">
        <v>6</v>
      </c>
      <c r="C1020" s="7">
        <v>13</v>
      </c>
      <c r="D1020" s="7" t="s">
        <v>2261</v>
      </c>
      <c r="E1020" s="7">
        <v>23000000</v>
      </c>
      <c r="F1020" s="7">
        <f t="shared" si="67"/>
        <v>23000000</v>
      </c>
      <c r="G1020" s="7">
        <f t="shared" si="65"/>
        <v>74096.983286297851</v>
      </c>
      <c r="H1020" s="7" t="s">
        <v>2260</v>
      </c>
      <c r="I1020" s="18" t="s">
        <v>1812</v>
      </c>
      <c r="J1020" s="18" t="s">
        <v>1802</v>
      </c>
      <c r="K1020" s="3">
        <v>28.24</v>
      </c>
      <c r="L1020" s="7" t="s">
        <v>2246</v>
      </c>
      <c r="M1020" s="7">
        <f t="shared" si="66"/>
        <v>2.8239999999999998E-2</v>
      </c>
      <c r="N1020" s="7">
        <f t="shared" si="64"/>
        <v>8.7658089600000011</v>
      </c>
    </row>
    <row r="1021" spans="1:14" ht="15.6" x14ac:dyDescent="0.3">
      <c r="A1021" s="18" t="s">
        <v>1746</v>
      </c>
      <c r="B1021" s="7">
        <v>6</v>
      </c>
      <c r="C1021" s="7">
        <v>13</v>
      </c>
      <c r="D1021" s="7" t="s">
        <v>2261</v>
      </c>
      <c r="E1021" s="7">
        <v>23000000</v>
      </c>
      <c r="F1021" s="7">
        <f t="shared" si="67"/>
        <v>23000000</v>
      </c>
      <c r="G1021" s="7">
        <f t="shared" si="65"/>
        <v>74096.983286297851</v>
      </c>
      <c r="H1021" s="7" t="s">
        <v>2260</v>
      </c>
      <c r="I1021" s="18" t="s">
        <v>1812</v>
      </c>
      <c r="J1021" s="18" t="s">
        <v>1802</v>
      </c>
      <c r="K1021" s="3">
        <v>35.46</v>
      </c>
      <c r="L1021" s="7" t="s">
        <v>2246</v>
      </c>
      <c r="M1021" s="7">
        <f t="shared" si="66"/>
        <v>3.5459999999999998E-2</v>
      </c>
      <c r="N1021" s="7">
        <f t="shared" si="64"/>
        <v>11.006925840000001</v>
      </c>
    </row>
    <row r="1022" spans="1:14" ht="15.6" x14ac:dyDescent="0.3">
      <c r="A1022" s="18" t="s">
        <v>1746</v>
      </c>
      <c r="B1022" s="7">
        <v>6</v>
      </c>
      <c r="C1022" s="7">
        <v>13</v>
      </c>
      <c r="D1022" s="7" t="s">
        <v>2261</v>
      </c>
      <c r="E1022" s="7">
        <v>23000000</v>
      </c>
      <c r="F1022" s="7">
        <f t="shared" si="67"/>
        <v>23000000</v>
      </c>
      <c r="G1022" s="7">
        <f t="shared" si="65"/>
        <v>74096.983286297851</v>
      </c>
      <c r="H1022" s="7" t="s">
        <v>2260</v>
      </c>
      <c r="I1022" s="18" t="s">
        <v>1812</v>
      </c>
      <c r="J1022" s="18" t="s">
        <v>1802</v>
      </c>
      <c r="K1022" s="3">
        <v>35.92</v>
      </c>
      <c r="L1022" s="7" t="s">
        <v>2246</v>
      </c>
      <c r="M1022" s="7">
        <f t="shared" si="66"/>
        <v>3.5920000000000001E-2</v>
      </c>
      <c r="N1022" s="7">
        <f t="shared" si="64"/>
        <v>11.149711680000001</v>
      </c>
    </row>
    <row r="1023" spans="1:14" ht="15.6" x14ac:dyDescent="0.3">
      <c r="A1023" s="18" t="s">
        <v>1746</v>
      </c>
      <c r="B1023" s="7">
        <v>6</v>
      </c>
      <c r="C1023" s="7">
        <v>13</v>
      </c>
      <c r="D1023" s="7" t="s">
        <v>2261</v>
      </c>
      <c r="E1023" s="7">
        <v>23000000</v>
      </c>
      <c r="F1023" s="7">
        <f t="shared" si="67"/>
        <v>23000000</v>
      </c>
      <c r="G1023" s="7">
        <f t="shared" si="65"/>
        <v>74096.983286297851</v>
      </c>
      <c r="H1023" s="7" t="s">
        <v>2260</v>
      </c>
      <c r="I1023" s="18" t="s">
        <v>1812</v>
      </c>
      <c r="J1023" s="18" t="s">
        <v>1802</v>
      </c>
      <c r="K1023" s="3">
        <v>19.649999999999999</v>
      </c>
      <c r="L1023" s="7" t="s">
        <v>2246</v>
      </c>
      <c r="M1023" s="7">
        <f t="shared" si="66"/>
        <v>1.9649999999999997E-2</v>
      </c>
      <c r="N1023" s="7">
        <f t="shared" si="64"/>
        <v>6.0994386</v>
      </c>
    </row>
    <row r="1024" spans="1:14" ht="15.6" x14ac:dyDescent="0.3">
      <c r="A1024" s="18" t="s">
        <v>1746</v>
      </c>
      <c r="B1024" s="7">
        <v>6</v>
      </c>
      <c r="C1024" s="7">
        <v>13</v>
      </c>
      <c r="D1024" s="7" t="s">
        <v>2261</v>
      </c>
      <c r="E1024" s="7">
        <v>23000000</v>
      </c>
      <c r="F1024" s="7">
        <f t="shared" si="67"/>
        <v>23000000</v>
      </c>
      <c r="G1024" s="7">
        <f t="shared" si="65"/>
        <v>74096.983286297851</v>
      </c>
      <c r="H1024" s="7" t="s">
        <v>2260</v>
      </c>
      <c r="I1024" s="18" t="s">
        <v>1812</v>
      </c>
      <c r="J1024" s="18" t="s">
        <v>1802</v>
      </c>
      <c r="K1024" s="3">
        <v>29.31</v>
      </c>
      <c r="L1024" s="7" t="s">
        <v>2246</v>
      </c>
      <c r="M1024" s="7">
        <f t="shared" si="66"/>
        <v>2.9309999999999999E-2</v>
      </c>
      <c r="N1024" s="7">
        <f t="shared" si="64"/>
        <v>9.0979412400000008</v>
      </c>
    </row>
    <row r="1025" spans="1:14" ht="15.6" x14ac:dyDescent="0.3">
      <c r="A1025" s="18" t="s">
        <v>1746</v>
      </c>
      <c r="B1025" s="7">
        <v>6</v>
      </c>
      <c r="C1025" s="7">
        <v>13</v>
      </c>
      <c r="D1025" s="7" t="s">
        <v>2261</v>
      </c>
      <c r="E1025" s="7">
        <v>23000000</v>
      </c>
      <c r="F1025" s="7">
        <f t="shared" si="67"/>
        <v>23000000</v>
      </c>
      <c r="G1025" s="7">
        <f t="shared" si="65"/>
        <v>74096.983286297851</v>
      </c>
      <c r="H1025" s="7" t="s">
        <v>2260</v>
      </c>
      <c r="I1025" s="18" t="s">
        <v>1812</v>
      </c>
      <c r="J1025" s="18" t="s">
        <v>1802</v>
      </c>
      <c r="K1025" s="3">
        <v>61.88</v>
      </c>
      <c r="L1025" s="7" t="s">
        <v>2246</v>
      </c>
      <c r="M1025" s="7">
        <f t="shared" si="66"/>
        <v>6.1880000000000004E-2</v>
      </c>
      <c r="N1025" s="7">
        <f t="shared" si="64"/>
        <v>19.207799520000002</v>
      </c>
    </row>
    <row r="1026" spans="1:14" ht="15.6" x14ac:dyDescent="0.3">
      <c r="A1026" s="18" t="s">
        <v>1746</v>
      </c>
      <c r="B1026" s="7">
        <v>6</v>
      </c>
      <c r="C1026" s="7">
        <v>13</v>
      </c>
      <c r="D1026" s="7" t="s">
        <v>2261</v>
      </c>
      <c r="E1026" s="7">
        <v>23000000</v>
      </c>
      <c r="F1026" s="7">
        <f t="shared" si="67"/>
        <v>23000000</v>
      </c>
      <c r="G1026" s="7">
        <f t="shared" si="65"/>
        <v>74096.983286297851</v>
      </c>
      <c r="H1026" s="7" t="s">
        <v>2260</v>
      </c>
      <c r="I1026" s="18" t="s">
        <v>1812</v>
      </c>
      <c r="J1026" s="18" t="s">
        <v>1802</v>
      </c>
      <c r="K1026" s="3">
        <v>42.22</v>
      </c>
      <c r="L1026" s="7" t="s">
        <v>2246</v>
      </c>
      <c r="M1026" s="7">
        <f t="shared" si="66"/>
        <v>4.2220000000000001E-2</v>
      </c>
      <c r="N1026" s="7">
        <f t="shared" si="64"/>
        <v>13.105256880000001</v>
      </c>
    </row>
    <row r="1027" spans="1:14" ht="15.6" x14ac:dyDescent="0.3">
      <c r="A1027" s="18" t="s">
        <v>1746</v>
      </c>
      <c r="B1027" s="7">
        <v>6</v>
      </c>
      <c r="C1027" s="7">
        <v>13</v>
      </c>
      <c r="D1027" s="7" t="s">
        <v>2261</v>
      </c>
      <c r="E1027" s="7">
        <v>23000000</v>
      </c>
      <c r="F1027" s="7">
        <f t="shared" si="67"/>
        <v>23000000</v>
      </c>
      <c r="G1027" s="7">
        <f t="shared" si="65"/>
        <v>74096.983286297851</v>
      </c>
      <c r="H1027" s="7" t="s">
        <v>2260</v>
      </c>
      <c r="I1027" s="18" t="s">
        <v>1812</v>
      </c>
      <c r="J1027" s="18" t="s">
        <v>1802</v>
      </c>
      <c r="K1027" s="3">
        <v>24.52</v>
      </c>
      <c r="L1027" s="7" t="s">
        <v>2246</v>
      </c>
      <c r="M1027" s="7">
        <f t="shared" si="66"/>
        <v>2.452E-2</v>
      </c>
      <c r="N1027" s="7">
        <f t="shared" ref="N1027:N1090" si="68">IFERROR((M1027*F1027)/G1027,"ND")</f>
        <v>7.6111060800000008</v>
      </c>
    </row>
    <row r="1028" spans="1:14" ht="15.6" x14ac:dyDescent="0.3">
      <c r="A1028" s="18" t="s">
        <v>1746</v>
      </c>
      <c r="B1028" s="7">
        <v>6</v>
      </c>
      <c r="C1028" s="7">
        <v>13</v>
      </c>
      <c r="D1028" s="7" t="s">
        <v>2261</v>
      </c>
      <c r="E1028" s="7">
        <v>23000000</v>
      </c>
      <c r="F1028" s="7">
        <f t="shared" si="67"/>
        <v>23000000</v>
      </c>
      <c r="G1028" s="7">
        <f t="shared" si="65"/>
        <v>74096.983286297851</v>
      </c>
      <c r="H1028" s="7" t="s">
        <v>2260</v>
      </c>
      <c r="I1028" s="18" t="s">
        <v>1812</v>
      </c>
      <c r="J1028" s="18" t="s">
        <v>1802</v>
      </c>
      <c r="K1028" s="3">
        <v>17.690000000000001</v>
      </c>
      <c r="L1028" s="7" t="s">
        <v>2246</v>
      </c>
      <c r="M1028" s="7">
        <f t="shared" si="66"/>
        <v>1.7690000000000001E-2</v>
      </c>
      <c r="N1028" s="7">
        <f t="shared" si="68"/>
        <v>5.4910467600000006</v>
      </c>
    </row>
    <row r="1029" spans="1:14" ht="15.6" x14ac:dyDescent="0.3">
      <c r="A1029" s="18" t="s">
        <v>1746</v>
      </c>
      <c r="B1029" s="7">
        <v>6</v>
      </c>
      <c r="C1029" s="7">
        <v>13</v>
      </c>
      <c r="D1029" s="7" t="s">
        <v>2261</v>
      </c>
      <c r="E1029" s="7">
        <v>23000000</v>
      </c>
      <c r="F1029" s="7">
        <f t="shared" si="67"/>
        <v>23000000</v>
      </c>
      <c r="G1029" s="7">
        <f t="shared" si="65"/>
        <v>74096.983286297851</v>
      </c>
      <c r="H1029" s="7" t="s">
        <v>2260</v>
      </c>
      <c r="I1029" s="18" t="s">
        <v>1812</v>
      </c>
      <c r="J1029" s="18" t="s">
        <v>1802</v>
      </c>
      <c r="K1029" s="3">
        <v>33.9</v>
      </c>
      <c r="L1029" s="7" t="s">
        <v>2246</v>
      </c>
      <c r="M1029" s="7">
        <f t="shared" si="66"/>
        <v>3.39E-2</v>
      </c>
      <c r="N1029" s="7">
        <f t="shared" si="68"/>
        <v>10.5226956</v>
      </c>
    </row>
    <row r="1030" spans="1:14" ht="15.6" x14ac:dyDescent="0.3">
      <c r="A1030" s="18" t="s">
        <v>1746</v>
      </c>
      <c r="B1030" s="7">
        <v>6</v>
      </c>
      <c r="C1030" s="7">
        <v>13</v>
      </c>
      <c r="D1030" s="7" t="s">
        <v>2261</v>
      </c>
      <c r="E1030" s="7">
        <v>23000000</v>
      </c>
      <c r="F1030" s="7">
        <f t="shared" si="67"/>
        <v>23000000</v>
      </c>
      <c r="G1030" s="7">
        <f t="shared" si="65"/>
        <v>74096.983286297851</v>
      </c>
      <c r="H1030" s="7" t="s">
        <v>2260</v>
      </c>
      <c r="I1030" s="18" t="s">
        <v>1812</v>
      </c>
      <c r="J1030" s="18" t="s">
        <v>1802</v>
      </c>
      <c r="K1030" s="3">
        <v>20.64</v>
      </c>
      <c r="L1030" s="7" t="s">
        <v>2246</v>
      </c>
      <c r="M1030" s="7">
        <f t="shared" si="66"/>
        <v>2.0640000000000002E-2</v>
      </c>
      <c r="N1030" s="7">
        <f t="shared" si="68"/>
        <v>6.4067385600000009</v>
      </c>
    </row>
    <row r="1031" spans="1:14" ht="15.6" x14ac:dyDescent="0.3">
      <c r="A1031" s="18" t="s">
        <v>1746</v>
      </c>
      <c r="B1031" s="7">
        <v>6</v>
      </c>
      <c r="C1031" s="7">
        <v>13</v>
      </c>
      <c r="D1031" s="7" t="s">
        <v>2261</v>
      </c>
      <c r="E1031" s="7">
        <v>23000000</v>
      </c>
      <c r="F1031" s="7">
        <f t="shared" si="67"/>
        <v>23000000</v>
      </c>
      <c r="G1031" s="7">
        <f t="shared" si="65"/>
        <v>74096.983286297851</v>
      </c>
      <c r="H1031" s="7" t="s">
        <v>2260</v>
      </c>
      <c r="I1031" s="18" t="s">
        <v>1812</v>
      </c>
      <c r="J1031" s="18" t="s">
        <v>1802</v>
      </c>
      <c r="K1031" s="3">
        <v>29.11</v>
      </c>
      <c r="L1031" s="7" t="s">
        <v>2246</v>
      </c>
      <c r="M1031" s="7">
        <f t="shared" si="66"/>
        <v>2.911E-2</v>
      </c>
      <c r="N1031" s="7">
        <f t="shared" si="68"/>
        <v>9.0358604400000004</v>
      </c>
    </row>
    <row r="1032" spans="1:14" ht="15.6" x14ac:dyDescent="0.3">
      <c r="A1032" s="18" t="s">
        <v>1746</v>
      </c>
      <c r="B1032" s="7">
        <v>6</v>
      </c>
      <c r="C1032" s="7">
        <v>13</v>
      </c>
      <c r="D1032" s="7" t="s">
        <v>2261</v>
      </c>
      <c r="E1032" s="7">
        <v>23000000</v>
      </c>
      <c r="F1032" s="7">
        <f t="shared" si="67"/>
        <v>23000000</v>
      </c>
      <c r="G1032" s="7">
        <f t="shared" si="65"/>
        <v>74096.983286297851</v>
      </c>
      <c r="H1032" s="7" t="s">
        <v>2260</v>
      </c>
      <c r="I1032" s="18" t="s">
        <v>1812</v>
      </c>
      <c r="J1032" s="18" t="s">
        <v>1802</v>
      </c>
      <c r="K1032" s="3">
        <v>131.54</v>
      </c>
      <c r="L1032" s="7" t="s">
        <v>2246</v>
      </c>
      <c r="M1032" s="7">
        <f t="shared" si="66"/>
        <v>0.13153999999999999</v>
      </c>
      <c r="N1032" s="7">
        <f t="shared" si="68"/>
        <v>40.83054216</v>
      </c>
    </row>
    <row r="1033" spans="1:14" ht="15.6" x14ac:dyDescent="0.3">
      <c r="A1033" s="18" t="s">
        <v>1746</v>
      </c>
      <c r="B1033" s="7">
        <v>6</v>
      </c>
      <c r="C1033" s="7">
        <v>13</v>
      </c>
      <c r="D1033" s="7" t="s">
        <v>2261</v>
      </c>
      <c r="E1033" s="7">
        <v>23000000</v>
      </c>
      <c r="F1033" s="7">
        <f t="shared" si="67"/>
        <v>23000000</v>
      </c>
      <c r="G1033" s="7">
        <f t="shared" si="65"/>
        <v>74096.983286297851</v>
      </c>
      <c r="H1033" s="7" t="s">
        <v>2260</v>
      </c>
      <c r="I1033" s="18" t="s">
        <v>1812</v>
      </c>
      <c r="J1033" s="18" t="s">
        <v>1802</v>
      </c>
      <c r="K1033" s="3">
        <v>86.42</v>
      </c>
      <c r="L1033" s="7" t="s">
        <v>2246</v>
      </c>
      <c r="M1033" s="7">
        <f t="shared" si="66"/>
        <v>8.6419999999999997E-2</v>
      </c>
      <c r="N1033" s="7">
        <f t="shared" si="68"/>
        <v>26.825113680000001</v>
      </c>
    </row>
    <row r="1034" spans="1:14" ht="15.6" x14ac:dyDescent="0.3">
      <c r="A1034" s="18" t="s">
        <v>1746</v>
      </c>
      <c r="B1034" s="7">
        <v>6</v>
      </c>
      <c r="C1034" s="7">
        <v>13</v>
      </c>
      <c r="D1034" s="7" t="s">
        <v>2261</v>
      </c>
      <c r="E1034" s="7">
        <v>23000000</v>
      </c>
      <c r="F1034" s="7">
        <f t="shared" si="67"/>
        <v>23000000</v>
      </c>
      <c r="G1034" s="7">
        <f t="shared" si="65"/>
        <v>74096.983286297851</v>
      </c>
      <c r="H1034" s="7" t="s">
        <v>2260</v>
      </c>
      <c r="I1034" s="18" t="s">
        <v>1812</v>
      </c>
      <c r="J1034" s="18" t="s">
        <v>1802</v>
      </c>
      <c r="K1034" s="3">
        <v>64.900000000000006</v>
      </c>
      <c r="L1034" s="7" t="s">
        <v>2246</v>
      </c>
      <c r="M1034" s="7">
        <f t="shared" si="66"/>
        <v>6.4899999999999999E-2</v>
      </c>
      <c r="N1034" s="7">
        <f t="shared" si="68"/>
        <v>20.145219600000001</v>
      </c>
    </row>
    <row r="1035" spans="1:14" ht="15.6" x14ac:dyDescent="0.3">
      <c r="A1035" s="18" t="s">
        <v>1746</v>
      </c>
      <c r="B1035" s="7">
        <v>6</v>
      </c>
      <c r="C1035" s="7">
        <v>13</v>
      </c>
      <c r="D1035" s="7" t="s">
        <v>2261</v>
      </c>
      <c r="E1035" s="7">
        <v>23000000</v>
      </c>
      <c r="F1035" s="7">
        <f t="shared" si="67"/>
        <v>23000000</v>
      </c>
      <c r="G1035" s="7">
        <f t="shared" si="65"/>
        <v>74096.983286297851</v>
      </c>
      <c r="H1035" s="7" t="s">
        <v>2260</v>
      </c>
      <c r="I1035" s="18" t="s">
        <v>1812</v>
      </c>
      <c r="J1035" s="18" t="s">
        <v>1802</v>
      </c>
      <c r="K1035" s="3">
        <v>51.47</v>
      </c>
      <c r="L1035" s="7" t="s">
        <v>2246</v>
      </c>
      <c r="M1035" s="7">
        <f t="shared" si="66"/>
        <v>5.1470000000000002E-2</v>
      </c>
      <c r="N1035" s="7">
        <f t="shared" si="68"/>
        <v>15.976493880000001</v>
      </c>
    </row>
    <row r="1036" spans="1:14" ht="15.6" x14ac:dyDescent="0.3">
      <c r="A1036" s="18" t="s">
        <v>1746</v>
      </c>
      <c r="B1036" s="7">
        <v>6</v>
      </c>
      <c r="C1036" s="7">
        <v>13</v>
      </c>
      <c r="D1036" s="7" t="s">
        <v>2261</v>
      </c>
      <c r="E1036" s="7">
        <v>23000000</v>
      </c>
      <c r="F1036" s="7">
        <f t="shared" si="67"/>
        <v>23000000</v>
      </c>
      <c r="G1036" s="7">
        <f t="shared" si="65"/>
        <v>74096.983286297851</v>
      </c>
      <c r="H1036" s="7" t="s">
        <v>2260</v>
      </c>
      <c r="I1036" s="18" t="s">
        <v>1812</v>
      </c>
      <c r="J1036" s="18" t="s">
        <v>1802</v>
      </c>
      <c r="K1036" s="3">
        <v>36.17</v>
      </c>
      <c r="L1036" s="7" t="s">
        <v>2246</v>
      </c>
      <c r="M1036" s="7">
        <f t="shared" si="66"/>
        <v>3.6170000000000001E-2</v>
      </c>
      <c r="N1036" s="7">
        <f t="shared" si="68"/>
        <v>11.227312680000001</v>
      </c>
    </row>
    <row r="1037" spans="1:14" ht="15.6" x14ac:dyDescent="0.3">
      <c r="A1037" s="18" t="s">
        <v>1746</v>
      </c>
      <c r="B1037" s="7">
        <v>6</v>
      </c>
      <c r="C1037" s="7">
        <v>13</v>
      </c>
      <c r="D1037" s="7" t="s">
        <v>2261</v>
      </c>
      <c r="E1037" s="7">
        <v>23000000</v>
      </c>
      <c r="F1037" s="7">
        <f t="shared" si="67"/>
        <v>23000000</v>
      </c>
      <c r="G1037" s="7">
        <f t="shared" si="65"/>
        <v>74096.983286297851</v>
      </c>
      <c r="H1037" s="7" t="s">
        <v>2260</v>
      </c>
      <c r="I1037" s="18" t="s">
        <v>1812</v>
      </c>
      <c r="J1037" s="18" t="s">
        <v>1802</v>
      </c>
      <c r="K1037" s="3">
        <v>20.96</v>
      </c>
      <c r="L1037" s="7" t="s">
        <v>2246</v>
      </c>
      <c r="M1037" s="7">
        <f t="shared" si="66"/>
        <v>2.0959999999999999E-2</v>
      </c>
      <c r="N1037" s="7">
        <f t="shared" si="68"/>
        <v>6.5060678400000009</v>
      </c>
    </row>
    <row r="1038" spans="1:14" ht="15.6" x14ac:dyDescent="0.3">
      <c r="A1038" s="18" t="s">
        <v>1746</v>
      </c>
      <c r="B1038" s="7">
        <v>6</v>
      </c>
      <c r="C1038" s="7">
        <v>13</v>
      </c>
      <c r="D1038" s="7" t="s">
        <v>2261</v>
      </c>
      <c r="E1038" s="7">
        <v>23000000</v>
      </c>
      <c r="F1038" s="7">
        <f t="shared" si="67"/>
        <v>23000000</v>
      </c>
      <c r="G1038" s="7">
        <f t="shared" si="65"/>
        <v>74096.983286297851</v>
      </c>
      <c r="H1038" s="7" t="s">
        <v>2260</v>
      </c>
      <c r="I1038" s="18" t="s">
        <v>1812</v>
      </c>
      <c r="J1038" s="18" t="s">
        <v>1802</v>
      </c>
      <c r="K1038" s="3">
        <v>34.54</v>
      </c>
      <c r="L1038" s="7" t="s">
        <v>2246</v>
      </c>
      <c r="M1038" s="7">
        <f t="shared" si="66"/>
        <v>3.4540000000000001E-2</v>
      </c>
      <c r="N1038" s="7">
        <f t="shared" si="68"/>
        <v>10.721354160000001</v>
      </c>
    </row>
    <row r="1039" spans="1:14" ht="15.6" x14ac:dyDescent="0.3">
      <c r="A1039" s="18" t="s">
        <v>1746</v>
      </c>
      <c r="B1039" s="7">
        <v>6</v>
      </c>
      <c r="C1039" s="7">
        <v>13</v>
      </c>
      <c r="D1039" s="7" t="s">
        <v>2261</v>
      </c>
      <c r="E1039" s="7">
        <v>23000000</v>
      </c>
      <c r="F1039" s="7">
        <f t="shared" si="67"/>
        <v>23000000</v>
      </c>
      <c r="G1039" s="7">
        <f t="shared" si="65"/>
        <v>74096.983286297851</v>
      </c>
      <c r="H1039" s="7" t="s">
        <v>2260</v>
      </c>
      <c r="I1039" s="18" t="s">
        <v>1812</v>
      </c>
      <c r="J1039" s="18" t="s">
        <v>1802</v>
      </c>
      <c r="K1039" s="3">
        <v>5.66</v>
      </c>
      <c r="L1039" s="7" t="s">
        <v>2246</v>
      </c>
      <c r="M1039" s="7">
        <f t="shared" si="66"/>
        <v>5.6600000000000001E-3</v>
      </c>
      <c r="N1039" s="7">
        <f t="shared" si="68"/>
        <v>1.7568866400000001</v>
      </c>
    </row>
    <row r="1040" spans="1:14" ht="15.6" x14ac:dyDescent="0.3">
      <c r="A1040" s="18" t="s">
        <v>1746</v>
      </c>
      <c r="B1040" s="7">
        <v>6</v>
      </c>
      <c r="C1040" s="7">
        <v>13</v>
      </c>
      <c r="D1040" s="7" t="s">
        <v>2261</v>
      </c>
      <c r="E1040" s="7">
        <v>23000000</v>
      </c>
      <c r="F1040" s="7">
        <f t="shared" si="67"/>
        <v>23000000</v>
      </c>
      <c r="G1040" s="7">
        <f t="shared" si="65"/>
        <v>74096.983286297851</v>
      </c>
      <c r="H1040" s="7" t="s">
        <v>2260</v>
      </c>
      <c r="I1040" s="18" t="s">
        <v>1812</v>
      </c>
      <c r="J1040" s="18" t="s">
        <v>1802</v>
      </c>
      <c r="K1040" s="3">
        <v>31.01</v>
      </c>
      <c r="L1040" s="7" t="s">
        <v>2246</v>
      </c>
      <c r="M1040" s="7">
        <f t="shared" si="66"/>
        <v>3.1010000000000003E-2</v>
      </c>
      <c r="N1040" s="7">
        <f t="shared" si="68"/>
        <v>9.6256280400000023</v>
      </c>
    </row>
    <row r="1041" spans="1:14" ht="15.6" x14ac:dyDescent="0.3">
      <c r="A1041" s="18" t="s">
        <v>1746</v>
      </c>
      <c r="B1041" s="7">
        <v>6</v>
      </c>
      <c r="C1041" s="7">
        <v>13</v>
      </c>
      <c r="D1041" s="7" t="s">
        <v>2261</v>
      </c>
      <c r="E1041" s="7">
        <v>23000000</v>
      </c>
      <c r="F1041" s="7">
        <f t="shared" si="67"/>
        <v>23000000</v>
      </c>
      <c r="G1041" s="7">
        <f t="shared" si="65"/>
        <v>74096.983286297851</v>
      </c>
      <c r="H1041" s="7" t="s">
        <v>2260</v>
      </c>
      <c r="I1041" s="18" t="s">
        <v>1812</v>
      </c>
      <c r="J1041" s="18" t="s">
        <v>1802</v>
      </c>
      <c r="K1041" s="3" t="s">
        <v>1716</v>
      </c>
      <c r="L1041" s="7" t="s">
        <v>2246</v>
      </c>
      <c r="M1041" s="7" t="str">
        <f t="shared" si="66"/>
        <v>ND</v>
      </c>
      <c r="N1041" s="7" t="str">
        <f t="shared" si="68"/>
        <v>ND</v>
      </c>
    </row>
    <row r="1042" spans="1:14" ht="15.6" x14ac:dyDescent="0.3">
      <c r="A1042" s="18" t="s">
        <v>1746</v>
      </c>
      <c r="B1042" s="7">
        <v>6</v>
      </c>
      <c r="C1042" s="7">
        <v>13</v>
      </c>
      <c r="D1042" s="7" t="s">
        <v>2261</v>
      </c>
      <c r="E1042" s="7">
        <v>23000000</v>
      </c>
      <c r="F1042" s="7">
        <f t="shared" si="67"/>
        <v>23000000</v>
      </c>
      <c r="G1042" s="7">
        <f t="shared" si="65"/>
        <v>74096.983286297851</v>
      </c>
      <c r="H1042" s="7" t="s">
        <v>2260</v>
      </c>
      <c r="I1042" s="18" t="s">
        <v>1812</v>
      </c>
      <c r="J1042" s="18" t="s">
        <v>1802</v>
      </c>
      <c r="K1042" s="3" t="s">
        <v>1716</v>
      </c>
      <c r="L1042" s="7" t="s">
        <v>2246</v>
      </c>
      <c r="M1042" s="7" t="str">
        <f t="shared" si="66"/>
        <v>ND</v>
      </c>
      <c r="N1042" s="7" t="str">
        <f t="shared" si="68"/>
        <v>ND</v>
      </c>
    </row>
    <row r="1043" spans="1:14" ht="15.6" x14ac:dyDescent="0.3">
      <c r="A1043" s="18" t="s">
        <v>1746</v>
      </c>
      <c r="B1043" s="7">
        <v>6</v>
      </c>
      <c r="C1043" s="7">
        <v>13</v>
      </c>
      <c r="D1043" s="7" t="s">
        <v>2261</v>
      </c>
      <c r="E1043" s="7">
        <v>23000000</v>
      </c>
      <c r="F1043" s="7">
        <f t="shared" si="67"/>
        <v>23000000</v>
      </c>
      <c r="G1043" s="7">
        <f t="shared" si="65"/>
        <v>74096.983286297851</v>
      </c>
      <c r="H1043" s="7" t="s">
        <v>2260</v>
      </c>
      <c r="I1043" s="18" t="s">
        <v>1812</v>
      </c>
      <c r="J1043" s="18" t="s">
        <v>1802</v>
      </c>
      <c r="K1043" s="3">
        <v>172.86</v>
      </c>
      <c r="L1043" s="7" t="s">
        <v>2246</v>
      </c>
      <c r="M1043" s="7">
        <f t="shared" si="66"/>
        <v>0.17286000000000001</v>
      </c>
      <c r="N1043" s="7">
        <f t="shared" si="68"/>
        <v>53.65643544000001</v>
      </c>
    </row>
    <row r="1044" spans="1:14" ht="15.6" x14ac:dyDescent="0.3">
      <c r="A1044" s="18" t="s">
        <v>1746</v>
      </c>
      <c r="B1044" s="7">
        <v>6</v>
      </c>
      <c r="C1044" s="7">
        <v>13</v>
      </c>
      <c r="D1044" s="7" t="s">
        <v>2261</v>
      </c>
      <c r="E1044" s="7">
        <v>23000000</v>
      </c>
      <c r="F1044" s="7">
        <f t="shared" si="67"/>
        <v>23000000</v>
      </c>
      <c r="G1044" s="7">
        <f t="shared" si="65"/>
        <v>74096.983286297851</v>
      </c>
      <c r="H1044" s="7" t="s">
        <v>2260</v>
      </c>
      <c r="I1044" s="18" t="s">
        <v>1812</v>
      </c>
      <c r="J1044" s="18" t="s">
        <v>1802</v>
      </c>
      <c r="K1044" s="3">
        <v>421.3</v>
      </c>
      <c r="L1044" s="7" t="s">
        <v>2246</v>
      </c>
      <c r="M1044" s="7">
        <f t="shared" si="66"/>
        <v>0.42130000000000001</v>
      </c>
      <c r="N1044" s="7">
        <f t="shared" si="68"/>
        <v>130.77320520000001</v>
      </c>
    </row>
    <row r="1045" spans="1:14" ht="15.6" x14ac:dyDescent="0.3">
      <c r="A1045" s="18" t="s">
        <v>1746</v>
      </c>
      <c r="B1045" s="7">
        <v>6</v>
      </c>
      <c r="C1045" s="7">
        <v>13</v>
      </c>
      <c r="D1045" s="7" t="s">
        <v>2261</v>
      </c>
      <c r="E1045" s="7">
        <v>23000000</v>
      </c>
      <c r="F1045" s="7">
        <f t="shared" si="67"/>
        <v>23000000</v>
      </c>
      <c r="G1045" s="7">
        <f t="shared" si="65"/>
        <v>74096.983286297851</v>
      </c>
      <c r="H1045" s="7" t="s">
        <v>2260</v>
      </c>
      <c r="I1045" s="18" t="s">
        <v>1812</v>
      </c>
      <c r="J1045" s="18" t="s">
        <v>1802</v>
      </c>
      <c r="K1045" s="3">
        <v>266.06</v>
      </c>
      <c r="L1045" s="7" t="s">
        <v>2246</v>
      </c>
      <c r="M1045" s="7">
        <f t="shared" si="66"/>
        <v>0.26606000000000002</v>
      </c>
      <c r="N1045" s="7">
        <f t="shared" si="68"/>
        <v>82.586088240000009</v>
      </c>
    </row>
    <row r="1046" spans="1:14" ht="15.6" x14ac:dyDescent="0.3">
      <c r="A1046" s="18" t="s">
        <v>1746</v>
      </c>
      <c r="B1046" s="7">
        <v>6</v>
      </c>
      <c r="C1046" s="7">
        <v>13</v>
      </c>
      <c r="D1046" s="7" t="s">
        <v>2261</v>
      </c>
      <c r="E1046" s="7">
        <v>23000000</v>
      </c>
      <c r="F1046" s="7">
        <f t="shared" si="67"/>
        <v>23000000</v>
      </c>
      <c r="G1046" s="7">
        <f t="shared" si="65"/>
        <v>74096.983286297851</v>
      </c>
      <c r="H1046" s="7" t="s">
        <v>2260</v>
      </c>
      <c r="I1046" s="18" t="s">
        <v>1812</v>
      </c>
      <c r="J1046" s="18" t="s">
        <v>1802</v>
      </c>
      <c r="K1046" s="3">
        <v>392.38</v>
      </c>
      <c r="L1046" s="7" t="s">
        <v>2246</v>
      </c>
      <c r="M1046" s="7">
        <f t="shared" si="66"/>
        <v>0.39238000000000001</v>
      </c>
      <c r="N1046" s="7">
        <f t="shared" si="68"/>
        <v>121.79632152000001</v>
      </c>
    </row>
    <row r="1047" spans="1:14" ht="15.6" x14ac:dyDescent="0.3">
      <c r="A1047" s="18" t="s">
        <v>1746</v>
      </c>
      <c r="B1047" s="7">
        <v>6</v>
      </c>
      <c r="C1047" s="7">
        <v>13</v>
      </c>
      <c r="D1047" s="7" t="s">
        <v>2261</v>
      </c>
      <c r="E1047" s="7">
        <v>23000000</v>
      </c>
      <c r="F1047" s="7">
        <f t="shared" si="67"/>
        <v>23000000</v>
      </c>
      <c r="G1047" s="7">
        <f t="shared" si="65"/>
        <v>74096.983286297851</v>
      </c>
      <c r="H1047" s="7" t="s">
        <v>2260</v>
      </c>
      <c r="I1047" s="18" t="s">
        <v>1812</v>
      </c>
      <c r="J1047" s="18" t="s">
        <v>1802</v>
      </c>
      <c r="K1047" s="3">
        <v>413.78</v>
      </c>
      <c r="L1047" s="7" t="s">
        <v>2246</v>
      </c>
      <c r="M1047" s="7">
        <f t="shared" si="66"/>
        <v>0.41377999999999998</v>
      </c>
      <c r="N1047" s="7">
        <f t="shared" si="68"/>
        <v>128.43896712</v>
      </c>
    </row>
    <row r="1048" spans="1:14" ht="15.6" x14ac:dyDescent="0.3">
      <c r="A1048" s="18" t="s">
        <v>1746</v>
      </c>
      <c r="B1048" s="7">
        <v>6</v>
      </c>
      <c r="C1048" s="7">
        <v>13</v>
      </c>
      <c r="D1048" s="7" t="s">
        <v>2261</v>
      </c>
      <c r="E1048" s="7">
        <v>23000000</v>
      </c>
      <c r="F1048" s="7">
        <f t="shared" si="67"/>
        <v>23000000</v>
      </c>
      <c r="G1048" s="7">
        <f t="shared" si="65"/>
        <v>74096.983286297851</v>
      </c>
      <c r="H1048" s="7" t="s">
        <v>2260</v>
      </c>
      <c r="I1048" s="18" t="s">
        <v>1812</v>
      </c>
      <c r="J1048" s="18" t="s">
        <v>1802</v>
      </c>
      <c r="K1048" s="3">
        <v>289.91000000000003</v>
      </c>
      <c r="L1048" s="7" t="s">
        <v>2246</v>
      </c>
      <c r="M1048" s="7">
        <f t="shared" si="66"/>
        <v>0.28991</v>
      </c>
      <c r="N1048" s="7">
        <f t="shared" si="68"/>
        <v>89.989223640000006</v>
      </c>
    </row>
    <row r="1049" spans="1:14" ht="15.6" x14ac:dyDescent="0.3">
      <c r="A1049" s="18" t="s">
        <v>1746</v>
      </c>
      <c r="B1049" s="7">
        <v>6</v>
      </c>
      <c r="C1049" s="7">
        <v>13</v>
      </c>
      <c r="D1049" s="7" t="s">
        <v>2261</v>
      </c>
      <c r="E1049" s="7">
        <v>23000000</v>
      </c>
      <c r="F1049" s="7">
        <f t="shared" si="67"/>
        <v>23000000</v>
      </c>
      <c r="G1049" s="7">
        <f t="shared" ref="G1049:G1112" si="69">F1049/310.404</f>
        <v>74096.983286297851</v>
      </c>
      <c r="H1049" s="7" t="s">
        <v>2260</v>
      </c>
      <c r="I1049" s="18" t="s">
        <v>1812</v>
      </c>
      <c r="J1049" s="18" t="s">
        <v>1802</v>
      </c>
      <c r="K1049" s="3">
        <v>354.84</v>
      </c>
      <c r="L1049" s="7" t="s">
        <v>2246</v>
      </c>
      <c r="M1049" s="7">
        <f t="shared" si="66"/>
        <v>0.35483999999999999</v>
      </c>
      <c r="N1049" s="7">
        <f t="shared" si="68"/>
        <v>110.14375536000001</v>
      </c>
    </row>
    <row r="1050" spans="1:14" ht="15.6" x14ac:dyDescent="0.3">
      <c r="A1050" s="18" t="s">
        <v>1746</v>
      </c>
      <c r="B1050" s="7">
        <v>6</v>
      </c>
      <c r="C1050" s="7">
        <v>13</v>
      </c>
      <c r="D1050" s="7" t="s">
        <v>2261</v>
      </c>
      <c r="E1050" s="7">
        <v>23000000</v>
      </c>
      <c r="F1050" s="7">
        <f t="shared" si="67"/>
        <v>23000000</v>
      </c>
      <c r="G1050" s="7">
        <f t="shared" si="69"/>
        <v>74096.983286297851</v>
      </c>
      <c r="H1050" s="7" t="s">
        <v>2260</v>
      </c>
      <c r="I1050" s="18" t="s">
        <v>1812</v>
      </c>
      <c r="J1050" s="18" t="s">
        <v>1802</v>
      </c>
      <c r="K1050" s="3">
        <v>318.88</v>
      </c>
      <c r="L1050" s="7" t="s">
        <v>2246</v>
      </c>
      <c r="M1050" s="7">
        <f t="shared" si="66"/>
        <v>0.31888</v>
      </c>
      <c r="N1050" s="7">
        <f t="shared" si="68"/>
        <v>98.981627520000004</v>
      </c>
    </row>
    <row r="1051" spans="1:14" ht="15.6" x14ac:dyDescent="0.3">
      <c r="A1051" s="18" t="s">
        <v>1746</v>
      </c>
      <c r="B1051" s="7">
        <v>6</v>
      </c>
      <c r="C1051" s="7">
        <v>13</v>
      </c>
      <c r="D1051" s="7" t="s">
        <v>2261</v>
      </c>
      <c r="E1051" s="7">
        <v>23000000</v>
      </c>
      <c r="F1051" s="7">
        <f t="shared" si="67"/>
        <v>23000000</v>
      </c>
      <c r="G1051" s="7">
        <f t="shared" si="69"/>
        <v>74096.983286297851</v>
      </c>
      <c r="H1051" s="7" t="s">
        <v>2260</v>
      </c>
      <c r="I1051" s="18" t="s">
        <v>1812</v>
      </c>
      <c r="J1051" s="18" t="s">
        <v>1802</v>
      </c>
      <c r="K1051" s="3" t="s">
        <v>1716</v>
      </c>
      <c r="L1051" s="7" t="s">
        <v>2246</v>
      </c>
      <c r="M1051" s="7" t="str">
        <f t="shared" si="66"/>
        <v>ND</v>
      </c>
      <c r="N1051" s="7" t="str">
        <f t="shared" si="68"/>
        <v>ND</v>
      </c>
    </row>
    <row r="1052" spans="1:14" ht="15.6" x14ac:dyDescent="0.3">
      <c r="A1052" s="18" t="s">
        <v>1746</v>
      </c>
      <c r="B1052" s="7">
        <v>6</v>
      </c>
      <c r="C1052" s="7">
        <v>13</v>
      </c>
      <c r="D1052" s="7" t="s">
        <v>2261</v>
      </c>
      <c r="E1052" s="7">
        <v>23000000</v>
      </c>
      <c r="F1052" s="7">
        <f t="shared" si="67"/>
        <v>23000000</v>
      </c>
      <c r="G1052" s="7">
        <f t="shared" si="69"/>
        <v>74096.983286297851</v>
      </c>
      <c r="H1052" s="7" t="s">
        <v>2260</v>
      </c>
      <c r="I1052" s="18" t="s">
        <v>1812</v>
      </c>
      <c r="J1052" s="18" t="s">
        <v>1802</v>
      </c>
      <c r="K1052" s="3" t="s">
        <v>1716</v>
      </c>
      <c r="L1052" s="7" t="s">
        <v>2246</v>
      </c>
      <c r="M1052" s="7" t="str">
        <f t="shared" si="66"/>
        <v>ND</v>
      </c>
      <c r="N1052" s="7" t="str">
        <f t="shared" si="68"/>
        <v>ND</v>
      </c>
    </row>
    <row r="1053" spans="1:14" ht="15.6" x14ac:dyDescent="0.3">
      <c r="A1053" s="18" t="s">
        <v>1746</v>
      </c>
      <c r="B1053" s="7">
        <v>6</v>
      </c>
      <c r="C1053" s="7">
        <v>13</v>
      </c>
      <c r="D1053" s="7" t="s">
        <v>2261</v>
      </c>
      <c r="E1053" s="7">
        <v>23000000</v>
      </c>
      <c r="F1053" s="7">
        <f t="shared" si="67"/>
        <v>23000000</v>
      </c>
      <c r="G1053" s="7">
        <f t="shared" si="69"/>
        <v>74096.983286297851</v>
      </c>
      <c r="H1053" s="7" t="s">
        <v>2260</v>
      </c>
      <c r="I1053" s="18" t="s">
        <v>1812</v>
      </c>
      <c r="J1053" s="18" t="s">
        <v>1802</v>
      </c>
      <c r="K1053" s="3" t="s">
        <v>1716</v>
      </c>
      <c r="L1053" s="7" t="s">
        <v>2246</v>
      </c>
      <c r="M1053" s="7" t="str">
        <f t="shared" si="66"/>
        <v>ND</v>
      </c>
      <c r="N1053" s="7" t="str">
        <f t="shared" si="68"/>
        <v>ND</v>
      </c>
    </row>
    <row r="1054" spans="1:14" ht="15.6" x14ac:dyDescent="0.3">
      <c r="A1054" s="18" t="s">
        <v>1746</v>
      </c>
      <c r="B1054" s="7">
        <v>6</v>
      </c>
      <c r="C1054" s="7">
        <v>13</v>
      </c>
      <c r="D1054" s="7" t="s">
        <v>2261</v>
      </c>
      <c r="E1054" s="7">
        <v>23000000</v>
      </c>
      <c r="F1054" s="7">
        <f t="shared" si="67"/>
        <v>23000000</v>
      </c>
      <c r="G1054" s="7">
        <f t="shared" si="69"/>
        <v>74096.983286297851</v>
      </c>
      <c r="H1054" s="7" t="s">
        <v>2260</v>
      </c>
      <c r="I1054" s="18" t="s">
        <v>1812</v>
      </c>
      <c r="J1054" s="18" t="s">
        <v>1802</v>
      </c>
      <c r="K1054" s="3" t="s">
        <v>1716</v>
      </c>
      <c r="L1054" s="7" t="s">
        <v>2246</v>
      </c>
      <c r="M1054" s="7" t="str">
        <f t="shared" si="66"/>
        <v>ND</v>
      </c>
      <c r="N1054" s="7" t="str">
        <f t="shared" si="68"/>
        <v>ND</v>
      </c>
    </row>
    <row r="1055" spans="1:14" ht="15.6" x14ac:dyDescent="0.3">
      <c r="A1055" s="18" t="s">
        <v>1746</v>
      </c>
      <c r="B1055" s="7">
        <v>6</v>
      </c>
      <c r="C1055" s="7">
        <v>13</v>
      </c>
      <c r="D1055" s="7" t="s">
        <v>2261</v>
      </c>
      <c r="E1055" s="7">
        <v>23000000</v>
      </c>
      <c r="F1055" s="7">
        <f t="shared" si="67"/>
        <v>23000000</v>
      </c>
      <c r="G1055" s="7">
        <f t="shared" si="69"/>
        <v>74096.983286297851</v>
      </c>
      <c r="H1055" s="7" t="s">
        <v>2260</v>
      </c>
      <c r="I1055" s="18" t="s">
        <v>1812</v>
      </c>
      <c r="J1055" s="18" t="s">
        <v>1802</v>
      </c>
      <c r="K1055" s="3">
        <v>11.9</v>
      </c>
      <c r="L1055" s="7" t="s">
        <v>2246</v>
      </c>
      <c r="M1055" s="7">
        <f t="shared" si="66"/>
        <v>1.1900000000000001E-2</v>
      </c>
      <c r="N1055" s="7">
        <f t="shared" si="68"/>
        <v>3.6938076000000004</v>
      </c>
    </row>
    <row r="1056" spans="1:14" ht="15.6" x14ac:dyDescent="0.3">
      <c r="A1056" s="18" t="s">
        <v>1746</v>
      </c>
      <c r="B1056" s="7">
        <v>6</v>
      </c>
      <c r="C1056" s="7">
        <v>13</v>
      </c>
      <c r="D1056" s="7" t="s">
        <v>2261</v>
      </c>
      <c r="E1056" s="7">
        <v>23000000</v>
      </c>
      <c r="F1056" s="7">
        <f t="shared" si="67"/>
        <v>23000000</v>
      </c>
      <c r="G1056" s="7">
        <f t="shared" si="69"/>
        <v>74096.983286297851</v>
      </c>
      <c r="H1056" s="7" t="s">
        <v>2260</v>
      </c>
      <c r="I1056" s="18" t="s">
        <v>1812</v>
      </c>
      <c r="J1056" s="18" t="s">
        <v>1802</v>
      </c>
      <c r="K1056" s="3">
        <v>448.29</v>
      </c>
      <c r="L1056" s="7" t="s">
        <v>2246</v>
      </c>
      <c r="M1056" s="7">
        <f t="shared" si="66"/>
        <v>0.44829000000000002</v>
      </c>
      <c r="N1056" s="7">
        <f t="shared" si="68"/>
        <v>139.15100916</v>
      </c>
    </row>
    <row r="1057" spans="1:14" ht="15.6" x14ac:dyDescent="0.3">
      <c r="A1057" s="18" t="s">
        <v>1746</v>
      </c>
      <c r="B1057" s="7">
        <v>6</v>
      </c>
      <c r="C1057" s="7">
        <v>13</v>
      </c>
      <c r="D1057" s="7" t="s">
        <v>2261</v>
      </c>
      <c r="E1057" s="7">
        <v>23000000</v>
      </c>
      <c r="F1057" s="7">
        <f t="shared" si="67"/>
        <v>23000000</v>
      </c>
      <c r="G1057" s="7">
        <f t="shared" si="69"/>
        <v>74096.983286297851</v>
      </c>
      <c r="H1057" s="7" t="s">
        <v>2260</v>
      </c>
      <c r="I1057" s="18" t="s">
        <v>1812</v>
      </c>
      <c r="J1057" s="18" t="s">
        <v>1802</v>
      </c>
      <c r="K1057" s="3">
        <v>335.53</v>
      </c>
      <c r="L1057" s="7" t="s">
        <v>2246</v>
      </c>
      <c r="M1057" s="7">
        <f t="shared" si="66"/>
        <v>0.33552999999999999</v>
      </c>
      <c r="N1057" s="7">
        <f t="shared" si="68"/>
        <v>104.14985412000001</v>
      </c>
    </row>
    <row r="1058" spans="1:14" ht="15.6" x14ac:dyDescent="0.3">
      <c r="A1058" s="18" t="s">
        <v>1762</v>
      </c>
      <c r="B1058" s="7">
        <v>6</v>
      </c>
      <c r="C1058" s="7">
        <v>13</v>
      </c>
      <c r="D1058" s="7" t="s">
        <v>2261</v>
      </c>
      <c r="E1058" s="7">
        <v>23000000</v>
      </c>
      <c r="F1058" s="7">
        <f t="shared" si="67"/>
        <v>23000000</v>
      </c>
      <c r="G1058" s="7">
        <f t="shared" si="69"/>
        <v>74096.983286297851</v>
      </c>
      <c r="H1058" s="7" t="s">
        <v>2260</v>
      </c>
      <c r="I1058" s="18" t="s">
        <v>1812</v>
      </c>
      <c r="J1058" s="18" t="s">
        <v>1802</v>
      </c>
      <c r="K1058" s="3" t="s">
        <v>1716</v>
      </c>
      <c r="L1058" s="7" t="s">
        <v>2246</v>
      </c>
      <c r="M1058" s="7" t="str">
        <f t="shared" si="66"/>
        <v>ND</v>
      </c>
      <c r="N1058" s="7" t="str">
        <f t="shared" si="68"/>
        <v>ND</v>
      </c>
    </row>
    <row r="1059" spans="1:14" ht="15.6" x14ac:dyDescent="0.3">
      <c r="A1059" s="18" t="s">
        <v>1762</v>
      </c>
      <c r="B1059" s="7">
        <v>6</v>
      </c>
      <c r="C1059" s="7">
        <v>13</v>
      </c>
      <c r="D1059" s="7" t="s">
        <v>2261</v>
      </c>
      <c r="E1059" s="7">
        <v>23000000</v>
      </c>
      <c r="F1059" s="7">
        <f t="shared" si="67"/>
        <v>23000000</v>
      </c>
      <c r="G1059" s="7">
        <f t="shared" si="69"/>
        <v>74096.983286297851</v>
      </c>
      <c r="H1059" s="7" t="s">
        <v>2260</v>
      </c>
      <c r="I1059" s="18" t="s">
        <v>1812</v>
      </c>
      <c r="J1059" s="18" t="s">
        <v>1802</v>
      </c>
      <c r="K1059" s="3" t="s">
        <v>1716</v>
      </c>
      <c r="L1059" s="7" t="s">
        <v>2246</v>
      </c>
      <c r="M1059" s="7" t="str">
        <f t="shared" si="66"/>
        <v>ND</v>
      </c>
      <c r="N1059" s="7" t="str">
        <f t="shared" si="68"/>
        <v>ND</v>
      </c>
    </row>
    <row r="1060" spans="1:14" ht="15.6" x14ac:dyDescent="0.3">
      <c r="A1060" s="18" t="s">
        <v>1762</v>
      </c>
      <c r="B1060" s="7">
        <v>6</v>
      </c>
      <c r="C1060" s="7">
        <v>13</v>
      </c>
      <c r="D1060" s="7" t="s">
        <v>2261</v>
      </c>
      <c r="E1060" s="7">
        <v>23000000</v>
      </c>
      <c r="F1060" s="7">
        <f t="shared" si="67"/>
        <v>23000000</v>
      </c>
      <c r="G1060" s="7">
        <f t="shared" si="69"/>
        <v>74096.983286297851</v>
      </c>
      <c r="H1060" s="7" t="s">
        <v>2260</v>
      </c>
      <c r="I1060" s="18" t="s">
        <v>1812</v>
      </c>
      <c r="J1060" s="18" t="s">
        <v>1802</v>
      </c>
      <c r="K1060" s="3" t="s">
        <v>1716</v>
      </c>
      <c r="L1060" s="7" t="s">
        <v>2246</v>
      </c>
      <c r="M1060" s="7" t="str">
        <f t="shared" si="66"/>
        <v>ND</v>
      </c>
      <c r="N1060" s="7" t="str">
        <f t="shared" si="68"/>
        <v>ND</v>
      </c>
    </row>
    <row r="1061" spans="1:14" ht="15.6" x14ac:dyDescent="0.3">
      <c r="A1061" s="18" t="s">
        <v>1762</v>
      </c>
      <c r="B1061" s="7">
        <v>6</v>
      </c>
      <c r="C1061" s="7">
        <v>13</v>
      </c>
      <c r="D1061" s="7" t="s">
        <v>2261</v>
      </c>
      <c r="E1061" s="7">
        <v>23000000</v>
      </c>
      <c r="F1061" s="7">
        <f t="shared" si="67"/>
        <v>23000000</v>
      </c>
      <c r="G1061" s="7">
        <f t="shared" si="69"/>
        <v>74096.983286297851</v>
      </c>
      <c r="H1061" s="7" t="s">
        <v>2260</v>
      </c>
      <c r="I1061" s="18" t="s">
        <v>1812</v>
      </c>
      <c r="J1061" s="18" t="s">
        <v>1802</v>
      </c>
      <c r="K1061" s="3" t="s">
        <v>1716</v>
      </c>
      <c r="L1061" s="7" t="s">
        <v>2246</v>
      </c>
      <c r="M1061" s="7" t="str">
        <f t="shared" si="66"/>
        <v>ND</v>
      </c>
      <c r="N1061" s="7" t="str">
        <f t="shared" si="68"/>
        <v>ND</v>
      </c>
    </row>
    <row r="1062" spans="1:14" ht="15.6" x14ac:dyDescent="0.3">
      <c r="A1062" s="18" t="s">
        <v>1762</v>
      </c>
      <c r="B1062" s="7">
        <v>6</v>
      </c>
      <c r="C1062" s="7">
        <v>13</v>
      </c>
      <c r="D1062" s="7" t="s">
        <v>2261</v>
      </c>
      <c r="E1062" s="7">
        <v>23000000</v>
      </c>
      <c r="F1062" s="7">
        <f t="shared" si="67"/>
        <v>23000000</v>
      </c>
      <c r="G1062" s="7">
        <f t="shared" si="69"/>
        <v>74096.983286297851</v>
      </c>
      <c r="H1062" s="7" t="s">
        <v>2260</v>
      </c>
      <c r="I1062" s="18" t="s">
        <v>1812</v>
      </c>
      <c r="J1062" s="18" t="s">
        <v>1802</v>
      </c>
      <c r="K1062" s="3" t="s">
        <v>1716</v>
      </c>
      <c r="L1062" s="7" t="s">
        <v>2246</v>
      </c>
      <c r="M1062" s="7" t="str">
        <f t="shared" si="66"/>
        <v>ND</v>
      </c>
      <c r="N1062" s="7" t="str">
        <f t="shared" si="68"/>
        <v>ND</v>
      </c>
    </row>
    <row r="1063" spans="1:14" ht="15.6" x14ac:dyDescent="0.3">
      <c r="A1063" s="18" t="s">
        <v>1762</v>
      </c>
      <c r="B1063" s="7">
        <v>6</v>
      </c>
      <c r="C1063" s="7">
        <v>13</v>
      </c>
      <c r="D1063" s="7" t="s">
        <v>2261</v>
      </c>
      <c r="E1063" s="7">
        <v>23000000</v>
      </c>
      <c r="F1063" s="7">
        <f t="shared" si="67"/>
        <v>23000000</v>
      </c>
      <c r="G1063" s="7">
        <f t="shared" si="69"/>
        <v>74096.983286297851</v>
      </c>
      <c r="H1063" s="7" t="s">
        <v>2260</v>
      </c>
      <c r="I1063" s="18" t="s">
        <v>1812</v>
      </c>
      <c r="J1063" s="18" t="s">
        <v>1802</v>
      </c>
      <c r="K1063" s="3" t="s">
        <v>1716</v>
      </c>
      <c r="L1063" s="7" t="s">
        <v>2246</v>
      </c>
      <c r="M1063" s="7" t="str">
        <f t="shared" si="66"/>
        <v>ND</v>
      </c>
      <c r="N1063" s="7" t="str">
        <f t="shared" si="68"/>
        <v>ND</v>
      </c>
    </row>
    <row r="1064" spans="1:14" ht="15.6" x14ac:dyDescent="0.3">
      <c r="A1064" s="18" t="s">
        <v>1762</v>
      </c>
      <c r="B1064" s="7">
        <v>6</v>
      </c>
      <c r="C1064" s="7">
        <v>13</v>
      </c>
      <c r="D1064" s="7" t="s">
        <v>2261</v>
      </c>
      <c r="E1064" s="7">
        <v>23000000</v>
      </c>
      <c r="F1064" s="7">
        <f t="shared" si="67"/>
        <v>23000000</v>
      </c>
      <c r="G1064" s="7">
        <f t="shared" si="69"/>
        <v>74096.983286297851</v>
      </c>
      <c r="H1064" s="7" t="s">
        <v>2260</v>
      </c>
      <c r="I1064" s="18" t="s">
        <v>1812</v>
      </c>
      <c r="J1064" s="18" t="s">
        <v>1802</v>
      </c>
      <c r="K1064" s="3" t="s">
        <v>1716</v>
      </c>
      <c r="L1064" s="7" t="s">
        <v>2246</v>
      </c>
      <c r="M1064" s="7" t="str">
        <f t="shared" si="66"/>
        <v>ND</v>
      </c>
      <c r="N1064" s="7" t="str">
        <f t="shared" si="68"/>
        <v>ND</v>
      </c>
    </row>
    <row r="1065" spans="1:14" ht="15.6" x14ac:dyDescent="0.3">
      <c r="A1065" s="18" t="s">
        <v>1762</v>
      </c>
      <c r="B1065" s="7">
        <v>6</v>
      </c>
      <c r="C1065" s="7">
        <v>13</v>
      </c>
      <c r="D1065" s="7" t="s">
        <v>2261</v>
      </c>
      <c r="E1065" s="7">
        <v>23000000</v>
      </c>
      <c r="F1065" s="7">
        <f t="shared" si="67"/>
        <v>23000000</v>
      </c>
      <c r="G1065" s="7">
        <f t="shared" si="69"/>
        <v>74096.983286297851</v>
      </c>
      <c r="H1065" s="7" t="s">
        <v>2260</v>
      </c>
      <c r="I1065" s="18" t="s">
        <v>1812</v>
      </c>
      <c r="J1065" s="18" t="s">
        <v>1802</v>
      </c>
      <c r="K1065" s="3" t="s">
        <v>1716</v>
      </c>
      <c r="L1065" s="7" t="s">
        <v>2246</v>
      </c>
      <c r="M1065" s="7" t="str">
        <f t="shared" si="66"/>
        <v>ND</v>
      </c>
      <c r="N1065" s="7" t="str">
        <f t="shared" si="68"/>
        <v>ND</v>
      </c>
    </row>
    <row r="1066" spans="1:14" ht="15.6" x14ac:dyDescent="0.3">
      <c r="A1066" s="18" t="s">
        <v>1762</v>
      </c>
      <c r="B1066" s="7">
        <v>6</v>
      </c>
      <c r="C1066" s="7">
        <v>13</v>
      </c>
      <c r="D1066" s="7" t="s">
        <v>2261</v>
      </c>
      <c r="E1066" s="7">
        <v>23000000</v>
      </c>
      <c r="F1066" s="7">
        <f t="shared" si="67"/>
        <v>23000000</v>
      </c>
      <c r="G1066" s="7">
        <f t="shared" si="69"/>
        <v>74096.983286297851</v>
      </c>
      <c r="H1066" s="7" t="s">
        <v>2260</v>
      </c>
      <c r="I1066" s="18" t="s">
        <v>1812</v>
      </c>
      <c r="J1066" s="18" t="s">
        <v>1802</v>
      </c>
      <c r="K1066" s="3" t="s">
        <v>1716</v>
      </c>
      <c r="L1066" s="7" t="s">
        <v>2246</v>
      </c>
      <c r="M1066" s="7" t="str">
        <f t="shared" ref="M1066:M1129" si="70">IFERROR(K1066/1000,"ND")</f>
        <v>ND</v>
      </c>
      <c r="N1066" s="7" t="str">
        <f t="shared" si="68"/>
        <v>ND</v>
      </c>
    </row>
    <row r="1067" spans="1:14" ht="15.6" x14ac:dyDescent="0.3">
      <c r="A1067" s="18" t="s">
        <v>1762</v>
      </c>
      <c r="B1067" s="7">
        <v>6</v>
      </c>
      <c r="C1067" s="7">
        <v>13</v>
      </c>
      <c r="D1067" s="7" t="s">
        <v>2261</v>
      </c>
      <c r="E1067" s="7">
        <v>23000000</v>
      </c>
      <c r="F1067" s="7">
        <f t="shared" si="67"/>
        <v>23000000</v>
      </c>
      <c r="G1067" s="7">
        <f t="shared" si="69"/>
        <v>74096.983286297851</v>
      </c>
      <c r="H1067" s="7" t="s">
        <v>2260</v>
      </c>
      <c r="I1067" s="18" t="s">
        <v>1812</v>
      </c>
      <c r="J1067" s="18" t="s">
        <v>1802</v>
      </c>
      <c r="K1067" s="3" t="s">
        <v>1716</v>
      </c>
      <c r="L1067" s="7" t="s">
        <v>2246</v>
      </c>
      <c r="M1067" s="7" t="str">
        <f t="shared" si="70"/>
        <v>ND</v>
      </c>
      <c r="N1067" s="7" t="str">
        <f t="shared" si="68"/>
        <v>ND</v>
      </c>
    </row>
    <row r="1068" spans="1:14" ht="15.6" x14ac:dyDescent="0.3">
      <c r="A1068" s="18" t="s">
        <v>1762</v>
      </c>
      <c r="B1068" s="7">
        <v>6</v>
      </c>
      <c r="C1068" s="7">
        <v>13</v>
      </c>
      <c r="D1068" s="7" t="s">
        <v>2261</v>
      </c>
      <c r="E1068" s="7">
        <v>23000000</v>
      </c>
      <c r="F1068" s="7">
        <f t="shared" si="67"/>
        <v>23000000</v>
      </c>
      <c r="G1068" s="7">
        <f t="shared" si="69"/>
        <v>74096.983286297851</v>
      </c>
      <c r="H1068" s="7" t="s">
        <v>2260</v>
      </c>
      <c r="I1068" s="18" t="s">
        <v>1812</v>
      </c>
      <c r="J1068" s="18" t="s">
        <v>1802</v>
      </c>
      <c r="K1068" s="3" t="s">
        <v>1716</v>
      </c>
      <c r="L1068" s="7" t="s">
        <v>2246</v>
      </c>
      <c r="M1068" s="7" t="str">
        <f t="shared" si="70"/>
        <v>ND</v>
      </c>
      <c r="N1068" s="7" t="str">
        <f t="shared" si="68"/>
        <v>ND</v>
      </c>
    </row>
    <row r="1069" spans="1:14" ht="15.6" x14ac:dyDescent="0.3">
      <c r="A1069" s="18" t="s">
        <v>1762</v>
      </c>
      <c r="B1069" s="7">
        <v>6</v>
      </c>
      <c r="C1069" s="7">
        <v>13</v>
      </c>
      <c r="D1069" s="7" t="s">
        <v>2261</v>
      </c>
      <c r="E1069" s="7">
        <v>23000000</v>
      </c>
      <c r="F1069" s="7">
        <f t="shared" si="67"/>
        <v>23000000</v>
      </c>
      <c r="G1069" s="7">
        <f t="shared" si="69"/>
        <v>74096.983286297851</v>
      </c>
      <c r="H1069" s="7" t="s">
        <v>2260</v>
      </c>
      <c r="I1069" s="18" t="s">
        <v>1812</v>
      </c>
      <c r="J1069" s="18" t="s">
        <v>1802</v>
      </c>
      <c r="K1069" s="3" t="s">
        <v>1716</v>
      </c>
      <c r="L1069" s="7" t="s">
        <v>2246</v>
      </c>
      <c r="M1069" s="7" t="str">
        <f t="shared" si="70"/>
        <v>ND</v>
      </c>
      <c r="N1069" s="7" t="str">
        <f t="shared" si="68"/>
        <v>ND</v>
      </c>
    </row>
    <row r="1070" spans="1:14" ht="15.6" x14ac:dyDescent="0.3">
      <c r="A1070" s="18" t="s">
        <v>1762</v>
      </c>
      <c r="B1070" s="7">
        <v>6</v>
      </c>
      <c r="C1070" s="7">
        <v>13</v>
      </c>
      <c r="D1070" s="7" t="s">
        <v>2261</v>
      </c>
      <c r="E1070" s="7">
        <v>23000000</v>
      </c>
      <c r="F1070" s="7">
        <f t="shared" si="67"/>
        <v>23000000</v>
      </c>
      <c r="G1070" s="7">
        <f t="shared" si="69"/>
        <v>74096.983286297851</v>
      </c>
      <c r="H1070" s="7" t="s">
        <v>2260</v>
      </c>
      <c r="I1070" s="18" t="s">
        <v>1812</v>
      </c>
      <c r="J1070" s="18" t="s">
        <v>1802</v>
      </c>
      <c r="K1070" s="3" t="s">
        <v>1716</v>
      </c>
      <c r="L1070" s="7" t="s">
        <v>2246</v>
      </c>
      <c r="M1070" s="7" t="str">
        <f t="shared" si="70"/>
        <v>ND</v>
      </c>
      <c r="N1070" s="7" t="str">
        <f t="shared" si="68"/>
        <v>ND</v>
      </c>
    </row>
    <row r="1071" spans="1:14" ht="15.6" x14ac:dyDescent="0.3">
      <c r="A1071" s="18" t="s">
        <v>1762</v>
      </c>
      <c r="B1071" s="7">
        <v>6</v>
      </c>
      <c r="C1071" s="7">
        <v>13</v>
      </c>
      <c r="D1071" s="7" t="s">
        <v>2261</v>
      </c>
      <c r="E1071" s="7">
        <v>23000000</v>
      </c>
      <c r="F1071" s="7">
        <f t="shared" si="67"/>
        <v>23000000</v>
      </c>
      <c r="G1071" s="7">
        <f t="shared" si="69"/>
        <v>74096.983286297851</v>
      </c>
      <c r="H1071" s="7" t="s">
        <v>2260</v>
      </c>
      <c r="I1071" s="18" t="s">
        <v>1812</v>
      </c>
      <c r="J1071" s="18" t="s">
        <v>1802</v>
      </c>
      <c r="K1071" s="3" t="s">
        <v>1716</v>
      </c>
      <c r="L1071" s="7" t="s">
        <v>2246</v>
      </c>
      <c r="M1071" s="7" t="str">
        <f t="shared" si="70"/>
        <v>ND</v>
      </c>
      <c r="N1071" s="7" t="str">
        <f t="shared" si="68"/>
        <v>ND</v>
      </c>
    </row>
    <row r="1072" spans="1:14" ht="15.6" x14ac:dyDescent="0.3">
      <c r="A1072" s="18" t="s">
        <v>1762</v>
      </c>
      <c r="B1072" s="7">
        <v>6</v>
      </c>
      <c r="C1072" s="7">
        <v>13</v>
      </c>
      <c r="D1072" s="7" t="s">
        <v>2261</v>
      </c>
      <c r="E1072" s="7">
        <v>23000000</v>
      </c>
      <c r="F1072" s="7">
        <f t="shared" si="67"/>
        <v>23000000</v>
      </c>
      <c r="G1072" s="7">
        <f t="shared" si="69"/>
        <v>74096.983286297851</v>
      </c>
      <c r="H1072" s="7" t="s">
        <v>2260</v>
      </c>
      <c r="I1072" s="18" t="s">
        <v>1812</v>
      </c>
      <c r="J1072" s="18" t="s">
        <v>1802</v>
      </c>
      <c r="K1072" s="3" t="s">
        <v>1716</v>
      </c>
      <c r="L1072" s="7" t="s">
        <v>2246</v>
      </c>
      <c r="M1072" s="7" t="str">
        <f t="shared" si="70"/>
        <v>ND</v>
      </c>
      <c r="N1072" s="7" t="str">
        <f t="shared" si="68"/>
        <v>ND</v>
      </c>
    </row>
    <row r="1073" spans="1:14" ht="15.6" x14ac:dyDescent="0.3">
      <c r="A1073" s="18" t="s">
        <v>1762</v>
      </c>
      <c r="B1073" s="7">
        <v>6</v>
      </c>
      <c r="C1073" s="7">
        <v>13</v>
      </c>
      <c r="D1073" s="7" t="s">
        <v>2261</v>
      </c>
      <c r="E1073" s="7">
        <v>23000000</v>
      </c>
      <c r="F1073" s="7">
        <f t="shared" si="67"/>
        <v>23000000</v>
      </c>
      <c r="G1073" s="7">
        <f t="shared" si="69"/>
        <v>74096.983286297851</v>
      </c>
      <c r="H1073" s="7" t="s">
        <v>2260</v>
      </c>
      <c r="I1073" s="18" t="s">
        <v>1812</v>
      </c>
      <c r="J1073" s="18" t="s">
        <v>1802</v>
      </c>
      <c r="K1073" s="3" t="s">
        <v>1716</v>
      </c>
      <c r="L1073" s="7" t="s">
        <v>2246</v>
      </c>
      <c r="M1073" s="7" t="str">
        <f t="shared" si="70"/>
        <v>ND</v>
      </c>
      <c r="N1073" s="7" t="str">
        <f t="shared" si="68"/>
        <v>ND</v>
      </c>
    </row>
    <row r="1074" spans="1:14" ht="15.6" x14ac:dyDescent="0.3">
      <c r="A1074" s="18" t="s">
        <v>1762</v>
      </c>
      <c r="B1074" s="7">
        <v>6</v>
      </c>
      <c r="C1074" s="7">
        <v>13</v>
      </c>
      <c r="D1074" s="7" t="s">
        <v>2261</v>
      </c>
      <c r="E1074" s="7">
        <v>23000000</v>
      </c>
      <c r="F1074" s="7">
        <f t="shared" si="67"/>
        <v>23000000</v>
      </c>
      <c r="G1074" s="7">
        <f t="shared" si="69"/>
        <v>74096.983286297851</v>
      </c>
      <c r="H1074" s="7" t="s">
        <v>2260</v>
      </c>
      <c r="I1074" s="18" t="s">
        <v>1812</v>
      </c>
      <c r="J1074" s="18" t="s">
        <v>1802</v>
      </c>
      <c r="K1074" s="3" t="s">
        <v>1716</v>
      </c>
      <c r="L1074" s="7" t="s">
        <v>2246</v>
      </c>
      <c r="M1074" s="7" t="str">
        <f t="shared" si="70"/>
        <v>ND</v>
      </c>
      <c r="N1074" s="7" t="str">
        <f t="shared" si="68"/>
        <v>ND</v>
      </c>
    </row>
    <row r="1075" spans="1:14" ht="15.6" x14ac:dyDescent="0.3">
      <c r="A1075" s="18" t="s">
        <v>1762</v>
      </c>
      <c r="B1075" s="7">
        <v>6</v>
      </c>
      <c r="C1075" s="7">
        <v>13</v>
      </c>
      <c r="D1075" s="7" t="s">
        <v>2261</v>
      </c>
      <c r="E1075" s="7">
        <v>23000000</v>
      </c>
      <c r="F1075" s="7">
        <f t="shared" si="67"/>
        <v>23000000</v>
      </c>
      <c r="G1075" s="7">
        <f t="shared" si="69"/>
        <v>74096.983286297851</v>
      </c>
      <c r="H1075" s="7" t="s">
        <v>2260</v>
      </c>
      <c r="I1075" s="18" t="s">
        <v>1812</v>
      </c>
      <c r="J1075" s="18" t="s">
        <v>1802</v>
      </c>
      <c r="K1075" s="3" t="s">
        <v>1716</v>
      </c>
      <c r="L1075" s="7" t="s">
        <v>2246</v>
      </c>
      <c r="M1075" s="7" t="str">
        <f t="shared" si="70"/>
        <v>ND</v>
      </c>
      <c r="N1075" s="7" t="str">
        <f t="shared" si="68"/>
        <v>ND</v>
      </c>
    </row>
    <row r="1076" spans="1:14" ht="15.6" x14ac:dyDescent="0.3">
      <c r="A1076" s="18" t="s">
        <v>1762</v>
      </c>
      <c r="B1076" s="7">
        <v>6</v>
      </c>
      <c r="C1076" s="7">
        <v>13</v>
      </c>
      <c r="D1076" s="7" t="s">
        <v>2261</v>
      </c>
      <c r="E1076" s="7">
        <v>23000000</v>
      </c>
      <c r="F1076" s="7">
        <f t="shared" si="67"/>
        <v>23000000</v>
      </c>
      <c r="G1076" s="7">
        <f t="shared" si="69"/>
        <v>74096.983286297851</v>
      </c>
      <c r="H1076" s="7" t="s">
        <v>2260</v>
      </c>
      <c r="I1076" s="18" t="s">
        <v>1812</v>
      </c>
      <c r="J1076" s="18" t="s">
        <v>1802</v>
      </c>
      <c r="K1076" s="3" t="s">
        <v>1716</v>
      </c>
      <c r="L1076" s="7" t="s">
        <v>2246</v>
      </c>
      <c r="M1076" s="7" t="str">
        <f t="shared" si="70"/>
        <v>ND</v>
      </c>
      <c r="N1076" s="7" t="str">
        <f t="shared" si="68"/>
        <v>ND</v>
      </c>
    </row>
    <row r="1077" spans="1:14" ht="15.6" x14ac:dyDescent="0.3">
      <c r="A1077" s="18" t="s">
        <v>1762</v>
      </c>
      <c r="B1077" s="7">
        <v>6</v>
      </c>
      <c r="C1077" s="7">
        <v>13</v>
      </c>
      <c r="D1077" s="7" t="s">
        <v>2261</v>
      </c>
      <c r="E1077" s="7">
        <v>23000000</v>
      </c>
      <c r="F1077" s="7">
        <f t="shared" si="67"/>
        <v>23000000</v>
      </c>
      <c r="G1077" s="7">
        <f t="shared" si="69"/>
        <v>74096.983286297851</v>
      </c>
      <c r="H1077" s="7" t="s">
        <v>2260</v>
      </c>
      <c r="I1077" s="18" t="s">
        <v>1812</v>
      </c>
      <c r="J1077" s="18" t="s">
        <v>1802</v>
      </c>
      <c r="K1077" s="3" t="s">
        <v>1716</v>
      </c>
      <c r="L1077" s="7" t="s">
        <v>2246</v>
      </c>
      <c r="M1077" s="7" t="str">
        <f t="shared" si="70"/>
        <v>ND</v>
      </c>
      <c r="N1077" s="7" t="str">
        <f t="shared" si="68"/>
        <v>ND</v>
      </c>
    </row>
    <row r="1078" spans="1:14" ht="15.6" x14ac:dyDescent="0.3">
      <c r="A1078" s="18" t="s">
        <v>1762</v>
      </c>
      <c r="B1078" s="7">
        <v>6</v>
      </c>
      <c r="C1078" s="7">
        <v>13</v>
      </c>
      <c r="D1078" s="7" t="s">
        <v>2261</v>
      </c>
      <c r="E1078" s="7">
        <v>23000000</v>
      </c>
      <c r="F1078" s="7">
        <f t="shared" si="67"/>
        <v>23000000</v>
      </c>
      <c r="G1078" s="7">
        <f t="shared" si="69"/>
        <v>74096.983286297851</v>
      </c>
      <c r="H1078" s="7" t="s">
        <v>2260</v>
      </c>
      <c r="I1078" s="18" t="s">
        <v>1812</v>
      </c>
      <c r="J1078" s="18" t="s">
        <v>1802</v>
      </c>
      <c r="K1078" s="3" t="s">
        <v>1716</v>
      </c>
      <c r="L1078" s="7" t="s">
        <v>2246</v>
      </c>
      <c r="M1078" s="7" t="str">
        <f t="shared" si="70"/>
        <v>ND</v>
      </c>
      <c r="N1078" s="7" t="str">
        <f t="shared" si="68"/>
        <v>ND</v>
      </c>
    </row>
    <row r="1079" spans="1:14" ht="15.6" x14ac:dyDescent="0.3">
      <c r="A1079" s="18" t="s">
        <v>1762</v>
      </c>
      <c r="B1079" s="7">
        <v>6</v>
      </c>
      <c r="C1079" s="7">
        <v>13</v>
      </c>
      <c r="D1079" s="7" t="s">
        <v>2261</v>
      </c>
      <c r="E1079" s="7">
        <v>23000000</v>
      </c>
      <c r="F1079" s="7">
        <f t="shared" ref="F1079:F1142" si="71">E1079</f>
        <v>23000000</v>
      </c>
      <c r="G1079" s="7">
        <f t="shared" si="69"/>
        <v>74096.983286297851</v>
      </c>
      <c r="H1079" s="7" t="s">
        <v>2260</v>
      </c>
      <c r="I1079" s="18" t="s">
        <v>1812</v>
      </c>
      <c r="J1079" s="18" t="s">
        <v>1802</v>
      </c>
      <c r="K1079" s="3" t="s">
        <v>1716</v>
      </c>
      <c r="L1079" s="7" t="s">
        <v>2246</v>
      </c>
      <c r="M1079" s="7" t="str">
        <f t="shared" si="70"/>
        <v>ND</v>
      </c>
      <c r="N1079" s="7" t="str">
        <f t="shared" si="68"/>
        <v>ND</v>
      </c>
    </row>
    <row r="1080" spans="1:14" ht="15.6" x14ac:dyDescent="0.3">
      <c r="A1080" s="18" t="s">
        <v>1762</v>
      </c>
      <c r="B1080" s="7">
        <v>6</v>
      </c>
      <c r="C1080" s="7">
        <v>13</v>
      </c>
      <c r="D1080" s="7" t="s">
        <v>2261</v>
      </c>
      <c r="E1080" s="7">
        <v>23000000</v>
      </c>
      <c r="F1080" s="7">
        <f t="shared" si="71"/>
        <v>23000000</v>
      </c>
      <c r="G1080" s="7">
        <f t="shared" si="69"/>
        <v>74096.983286297851</v>
      </c>
      <c r="H1080" s="7" t="s">
        <v>2260</v>
      </c>
      <c r="I1080" s="18" t="s">
        <v>1812</v>
      </c>
      <c r="J1080" s="18" t="s">
        <v>1802</v>
      </c>
      <c r="K1080" s="3" t="s">
        <v>1716</v>
      </c>
      <c r="L1080" s="7" t="s">
        <v>2246</v>
      </c>
      <c r="M1080" s="7" t="str">
        <f t="shared" si="70"/>
        <v>ND</v>
      </c>
      <c r="N1080" s="7" t="str">
        <f t="shared" si="68"/>
        <v>ND</v>
      </c>
    </row>
    <row r="1081" spans="1:14" ht="15.6" x14ac:dyDescent="0.3">
      <c r="A1081" s="18" t="s">
        <v>1762</v>
      </c>
      <c r="B1081" s="7">
        <v>6</v>
      </c>
      <c r="C1081" s="7">
        <v>13</v>
      </c>
      <c r="D1081" s="7" t="s">
        <v>2261</v>
      </c>
      <c r="E1081" s="7">
        <v>23000000</v>
      </c>
      <c r="F1081" s="7">
        <f t="shared" si="71"/>
        <v>23000000</v>
      </c>
      <c r="G1081" s="7">
        <f t="shared" si="69"/>
        <v>74096.983286297851</v>
      </c>
      <c r="H1081" s="7" t="s">
        <v>2260</v>
      </c>
      <c r="I1081" s="18" t="s">
        <v>1812</v>
      </c>
      <c r="J1081" s="18" t="s">
        <v>1802</v>
      </c>
      <c r="K1081" s="3" t="s">
        <v>1716</v>
      </c>
      <c r="L1081" s="7" t="s">
        <v>2246</v>
      </c>
      <c r="M1081" s="7" t="str">
        <f t="shared" si="70"/>
        <v>ND</v>
      </c>
      <c r="N1081" s="7" t="str">
        <f t="shared" si="68"/>
        <v>ND</v>
      </c>
    </row>
    <row r="1082" spans="1:14" ht="15.6" x14ac:dyDescent="0.3">
      <c r="A1082" s="18" t="s">
        <v>1762</v>
      </c>
      <c r="B1082" s="7">
        <v>6</v>
      </c>
      <c r="C1082" s="7">
        <v>13</v>
      </c>
      <c r="D1082" s="7" t="s">
        <v>2261</v>
      </c>
      <c r="E1082" s="7">
        <v>23000000</v>
      </c>
      <c r="F1082" s="7">
        <f t="shared" si="71"/>
        <v>23000000</v>
      </c>
      <c r="G1082" s="7">
        <f t="shared" si="69"/>
        <v>74096.983286297851</v>
      </c>
      <c r="H1082" s="7" t="s">
        <v>2260</v>
      </c>
      <c r="I1082" s="18" t="s">
        <v>1812</v>
      </c>
      <c r="J1082" s="18" t="s">
        <v>1802</v>
      </c>
      <c r="K1082" s="3" t="s">
        <v>1716</v>
      </c>
      <c r="L1082" s="7" t="s">
        <v>2246</v>
      </c>
      <c r="M1082" s="7" t="str">
        <f t="shared" si="70"/>
        <v>ND</v>
      </c>
      <c r="N1082" s="7" t="str">
        <f t="shared" si="68"/>
        <v>ND</v>
      </c>
    </row>
    <row r="1083" spans="1:14" ht="15.6" x14ac:dyDescent="0.3">
      <c r="A1083" s="18" t="s">
        <v>1762</v>
      </c>
      <c r="B1083" s="7">
        <v>6</v>
      </c>
      <c r="C1083" s="7">
        <v>13</v>
      </c>
      <c r="D1083" s="7" t="s">
        <v>2261</v>
      </c>
      <c r="E1083" s="7">
        <v>23000000</v>
      </c>
      <c r="F1083" s="7">
        <f t="shared" si="71"/>
        <v>23000000</v>
      </c>
      <c r="G1083" s="7">
        <f t="shared" si="69"/>
        <v>74096.983286297851</v>
      </c>
      <c r="H1083" s="7" t="s">
        <v>2260</v>
      </c>
      <c r="I1083" s="18" t="s">
        <v>1812</v>
      </c>
      <c r="J1083" s="18" t="s">
        <v>1802</v>
      </c>
      <c r="K1083" s="3" t="s">
        <v>1716</v>
      </c>
      <c r="L1083" s="7" t="s">
        <v>2246</v>
      </c>
      <c r="M1083" s="7" t="str">
        <f t="shared" si="70"/>
        <v>ND</v>
      </c>
      <c r="N1083" s="7" t="str">
        <f t="shared" si="68"/>
        <v>ND</v>
      </c>
    </row>
    <row r="1084" spans="1:14" ht="15.6" x14ac:dyDescent="0.3">
      <c r="A1084" s="18" t="s">
        <v>1762</v>
      </c>
      <c r="B1084" s="7">
        <v>6</v>
      </c>
      <c r="C1084" s="7">
        <v>13</v>
      </c>
      <c r="D1084" s="7" t="s">
        <v>2261</v>
      </c>
      <c r="E1084" s="7">
        <v>23000000</v>
      </c>
      <c r="F1084" s="7">
        <f t="shared" si="71"/>
        <v>23000000</v>
      </c>
      <c r="G1084" s="7">
        <f t="shared" si="69"/>
        <v>74096.983286297851</v>
      </c>
      <c r="H1084" s="7" t="s">
        <v>2260</v>
      </c>
      <c r="I1084" s="18" t="s">
        <v>1812</v>
      </c>
      <c r="J1084" s="18" t="s">
        <v>1802</v>
      </c>
      <c r="K1084" s="3" t="s">
        <v>1716</v>
      </c>
      <c r="L1084" s="7" t="s">
        <v>2246</v>
      </c>
      <c r="M1084" s="7" t="str">
        <f t="shared" si="70"/>
        <v>ND</v>
      </c>
      <c r="N1084" s="7" t="str">
        <f t="shared" si="68"/>
        <v>ND</v>
      </c>
    </row>
    <row r="1085" spans="1:14" ht="15.6" x14ac:dyDescent="0.3">
      <c r="A1085" s="18" t="s">
        <v>1762</v>
      </c>
      <c r="B1085" s="7">
        <v>6</v>
      </c>
      <c r="C1085" s="7">
        <v>13</v>
      </c>
      <c r="D1085" s="7" t="s">
        <v>2261</v>
      </c>
      <c r="E1085" s="7">
        <v>23000000</v>
      </c>
      <c r="F1085" s="7">
        <f t="shared" si="71"/>
        <v>23000000</v>
      </c>
      <c r="G1085" s="7">
        <f t="shared" si="69"/>
        <v>74096.983286297851</v>
      </c>
      <c r="H1085" s="7" t="s">
        <v>2260</v>
      </c>
      <c r="I1085" s="18" t="s">
        <v>1812</v>
      </c>
      <c r="J1085" s="18" t="s">
        <v>1802</v>
      </c>
      <c r="K1085" s="3" t="s">
        <v>1716</v>
      </c>
      <c r="L1085" s="7" t="s">
        <v>2246</v>
      </c>
      <c r="M1085" s="7" t="str">
        <f t="shared" si="70"/>
        <v>ND</v>
      </c>
      <c r="N1085" s="7" t="str">
        <f t="shared" si="68"/>
        <v>ND</v>
      </c>
    </row>
    <row r="1086" spans="1:14" ht="15.6" x14ac:dyDescent="0.3">
      <c r="A1086" s="18" t="s">
        <v>1762</v>
      </c>
      <c r="B1086" s="7">
        <v>6</v>
      </c>
      <c r="C1086" s="7">
        <v>13</v>
      </c>
      <c r="D1086" s="7" t="s">
        <v>2261</v>
      </c>
      <c r="E1086" s="7">
        <v>23000000</v>
      </c>
      <c r="F1086" s="7">
        <f t="shared" si="71"/>
        <v>23000000</v>
      </c>
      <c r="G1086" s="7">
        <f t="shared" si="69"/>
        <v>74096.983286297851</v>
      </c>
      <c r="H1086" s="7" t="s">
        <v>2260</v>
      </c>
      <c r="I1086" s="18" t="s">
        <v>1812</v>
      </c>
      <c r="J1086" s="18" t="s">
        <v>1802</v>
      </c>
      <c r="K1086" s="3" t="s">
        <v>1716</v>
      </c>
      <c r="L1086" s="7" t="s">
        <v>2246</v>
      </c>
      <c r="M1086" s="7" t="str">
        <f t="shared" si="70"/>
        <v>ND</v>
      </c>
      <c r="N1086" s="7" t="str">
        <f t="shared" si="68"/>
        <v>ND</v>
      </c>
    </row>
    <row r="1087" spans="1:14" ht="15.6" x14ac:dyDescent="0.3">
      <c r="A1087" s="18" t="s">
        <v>1762</v>
      </c>
      <c r="B1087" s="7">
        <v>6</v>
      </c>
      <c r="C1087" s="7">
        <v>13</v>
      </c>
      <c r="D1087" s="7" t="s">
        <v>2261</v>
      </c>
      <c r="E1087" s="7">
        <v>23000000</v>
      </c>
      <c r="F1087" s="7">
        <f t="shared" si="71"/>
        <v>23000000</v>
      </c>
      <c r="G1087" s="7">
        <f t="shared" si="69"/>
        <v>74096.983286297851</v>
      </c>
      <c r="H1087" s="7" t="s">
        <v>2260</v>
      </c>
      <c r="I1087" s="18" t="s">
        <v>1812</v>
      </c>
      <c r="J1087" s="18" t="s">
        <v>1802</v>
      </c>
      <c r="K1087" s="3" t="s">
        <v>1716</v>
      </c>
      <c r="L1087" s="7" t="s">
        <v>2246</v>
      </c>
      <c r="M1087" s="7" t="str">
        <f t="shared" si="70"/>
        <v>ND</v>
      </c>
      <c r="N1087" s="7" t="str">
        <f t="shared" si="68"/>
        <v>ND</v>
      </c>
    </row>
    <row r="1088" spans="1:14" ht="15.6" x14ac:dyDescent="0.3">
      <c r="A1088" s="18" t="s">
        <v>1762</v>
      </c>
      <c r="B1088" s="7">
        <v>6</v>
      </c>
      <c r="C1088" s="7">
        <v>13</v>
      </c>
      <c r="D1088" s="7" t="s">
        <v>2261</v>
      </c>
      <c r="E1088" s="7">
        <v>23000000</v>
      </c>
      <c r="F1088" s="7">
        <f t="shared" si="71"/>
        <v>23000000</v>
      </c>
      <c r="G1088" s="7">
        <f t="shared" si="69"/>
        <v>74096.983286297851</v>
      </c>
      <c r="H1088" s="7" t="s">
        <v>2260</v>
      </c>
      <c r="I1088" s="18" t="s">
        <v>1812</v>
      </c>
      <c r="J1088" s="18" t="s">
        <v>1802</v>
      </c>
      <c r="K1088" s="3" t="s">
        <v>1716</v>
      </c>
      <c r="L1088" s="7" t="s">
        <v>2246</v>
      </c>
      <c r="M1088" s="7" t="str">
        <f t="shared" si="70"/>
        <v>ND</v>
      </c>
      <c r="N1088" s="7" t="str">
        <f t="shared" si="68"/>
        <v>ND</v>
      </c>
    </row>
    <row r="1089" spans="1:14" ht="15.6" x14ac:dyDescent="0.3">
      <c r="A1089" s="18" t="s">
        <v>1762</v>
      </c>
      <c r="B1089" s="7">
        <v>6</v>
      </c>
      <c r="C1089" s="7">
        <v>13</v>
      </c>
      <c r="D1089" s="7" t="s">
        <v>2261</v>
      </c>
      <c r="E1089" s="7">
        <v>23000000</v>
      </c>
      <c r="F1089" s="7">
        <f t="shared" si="71"/>
        <v>23000000</v>
      </c>
      <c r="G1089" s="7">
        <f t="shared" si="69"/>
        <v>74096.983286297851</v>
      </c>
      <c r="H1089" s="7" t="s">
        <v>2260</v>
      </c>
      <c r="I1089" s="18" t="s">
        <v>1812</v>
      </c>
      <c r="J1089" s="18" t="s">
        <v>1802</v>
      </c>
      <c r="K1089" s="3" t="s">
        <v>1716</v>
      </c>
      <c r="L1089" s="7" t="s">
        <v>2246</v>
      </c>
      <c r="M1089" s="7" t="str">
        <f t="shared" si="70"/>
        <v>ND</v>
      </c>
      <c r="N1089" s="7" t="str">
        <f t="shared" si="68"/>
        <v>ND</v>
      </c>
    </row>
    <row r="1090" spans="1:14" ht="15.6" x14ac:dyDescent="0.3">
      <c r="A1090" s="18" t="s">
        <v>1762</v>
      </c>
      <c r="B1090" s="7">
        <v>6</v>
      </c>
      <c r="C1090" s="7">
        <v>13</v>
      </c>
      <c r="D1090" s="7" t="s">
        <v>2261</v>
      </c>
      <c r="E1090" s="7">
        <v>23000000</v>
      </c>
      <c r="F1090" s="7">
        <f t="shared" si="71"/>
        <v>23000000</v>
      </c>
      <c r="G1090" s="7">
        <f t="shared" si="69"/>
        <v>74096.983286297851</v>
      </c>
      <c r="H1090" s="7" t="s">
        <v>2260</v>
      </c>
      <c r="I1090" s="18" t="s">
        <v>1812</v>
      </c>
      <c r="J1090" s="18" t="s">
        <v>1802</v>
      </c>
      <c r="K1090" s="3" t="s">
        <v>1716</v>
      </c>
      <c r="L1090" s="7" t="s">
        <v>2246</v>
      </c>
      <c r="M1090" s="7" t="str">
        <f t="shared" si="70"/>
        <v>ND</v>
      </c>
      <c r="N1090" s="7" t="str">
        <f t="shared" si="68"/>
        <v>ND</v>
      </c>
    </row>
    <row r="1091" spans="1:14" ht="15.6" x14ac:dyDescent="0.3">
      <c r="A1091" s="18" t="s">
        <v>1762</v>
      </c>
      <c r="B1091" s="7">
        <v>6</v>
      </c>
      <c r="C1091" s="7">
        <v>13</v>
      </c>
      <c r="D1091" s="7" t="s">
        <v>2261</v>
      </c>
      <c r="E1091" s="7">
        <v>23000000</v>
      </c>
      <c r="F1091" s="7">
        <f t="shared" si="71"/>
        <v>23000000</v>
      </c>
      <c r="G1091" s="7">
        <f t="shared" si="69"/>
        <v>74096.983286297851</v>
      </c>
      <c r="H1091" s="7" t="s">
        <v>2260</v>
      </c>
      <c r="I1091" s="18" t="s">
        <v>1812</v>
      </c>
      <c r="J1091" s="18" t="s">
        <v>1802</v>
      </c>
      <c r="K1091" s="3" t="s">
        <v>1716</v>
      </c>
      <c r="L1091" s="7" t="s">
        <v>2246</v>
      </c>
      <c r="M1091" s="7" t="str">
        <f t="shared" si="70"/>
        <v>ND</v>
      </c>
      <c r="N1091" s="7" t="str">
        <f t="shared" ref="N1091:N1154" si="72">IFERROR((M1091*F1091)/G1091,"ND")</f>
        <v>ND</v>
      </c>
    </row>
    <row r="1092" spans="1:14" ht="15.6" x14ac:dyDescent="0.3">
      <c r="A1092" s="18" t="s">
        <v>1762</v>
      </c>
      <c r="B1092" s="7">
        <v>6</v>
      </c>
      <c r="C1092" s="7">
        <v>13</v>
      </c>
      <c r="D1092" s="7" t="s">
        <v>2261</v>
      </c>
      <c r="E1092" s="7">
        <v>23000000</v>
      </c>
      <c r="F1092" s="7">
        <f t="shared" si="71"/>
        <v>23000000</v>
      </c>
      <c r="G1092" s="7">
        <f t="shared" si="69"/>
        <v>74096.983286297851</v>
      </c>
      <c r="H1092" s="7" t="s">
        <v>2260</v>
      </c>
      <c r="I1092" s="18" t="s">
        <v>1812</v>
      </c>
      <c r="J1092" s="18" t="s">
        <v>1802</v>
      </c>
      <c r="K1092" s="3" t="s">
        <v>1716</v>
      </c>
      <c r="L1092" s="7" t="s">
        <v>2246</v>
      </c>
      <c r="M1092" s="7" t="str">
        <f t="shared" si="70"/>
        <v>ND</v>
      </c>
      <c r="N1092" s="7" t="str">
        <f t="shared" si="72"/>
        <v>ND</v>
      </c>
    </row>
    <row r="1093" spans="1:14" ht="15.6" x14ac:dyDescent="0.3">
      <c r="A1093" s="18" t="s">
        <v>1762</v>
      </c>
      <c r="B1093" s="7">
        <v>6</v>
      </c>
      <c r="C1093" s="7">
        <v>13</v>
      </c>
      <c r="D1093" s="7" t="s">
        <v>2261</v>
      </c>
      <c r="E1093" s="7">
        <v>23000000</v>
      </c>
      <c r="F1093" s="7">
        <f t="shared" si="71"/>
        <v>23000000</v>
      </c>
      <c r="G1093" s="7">
        <f t="shared" si="69"/>
        <v>74096.983286297851</v>
      </c>
      <c r="H1093" s="7" t="s">
        <v>2260</v>
      </c>
      <c r="I1093" s="18" t="s">
        <v>1812</v>
      </c>
      <c r="J1093" s="18" t="s">
        <v>1802</v>
      </c>
      <c r="K1093" s="3" t="s">
        <v>1716</v>
      </c>
      <c r="L1093" s="7" t="s">
        <v>2246</v>
      </c>
      <c r="M1093" s="7" t="str">
        <f t="shared" si="70"/>
        <v>ND</v>
      </c>
      <c r="N1093" s="7" t="str">
        <f t="shared" si="72"/>
        <v>ND</v>
      </c>
    </row>
    <row r="1094" spans="1:14" ht="15.6" x14ac:dyDescent="0.3">
      <c r="A1094" s="18" t="s">
        <v>1762</v>
      </c>
      <c r="B1094" s="7">
        <v>6</v>
      </c>
      <c r="C1094" s="7">
        <v>13</v>
      </c>
      <c r="D1094" s="7" t="s">
        <v>2261</v>
      </c>
      <c r="E1094" s="7">
        <v>23000000</v>
      </c>
      <c r="F1094" s="7">
        <f t="shared" si="71"/>
        <v>23000000</v>
      </c>
      <c r="G1094" s="7">
        <f t="shared" si="69"/>
        <v>74096.983286297851</v>
      </c>
      <c r="H1094" s="7" t="s">
        <v>2260</v>
      </c>
      <c r="I1094" s="18" t="s">
        <v>1812</v>
      </c>
      <c r="J1094" s="18" t="s">
        <v>1802</v>
      </c>
      <c r="K1094" s="3" t="s">
        <v>1716</v>
      </c>
      <c r="L1094" s="7" t="s">
        <v>2246</v>
      </c>
      <c r="M1094" s="7" t="str">
        <f t="shared" si="70"/>
        <v>ND</v>
      </c>
      <c r="N1094" s="7" t="str">
        <f t="shared" si="72"/>
        <v>ND</v>
      </c>
    </row>
    <row r="1095" spans="1:14" ht="15.6" x14ac:dyDescent="0.3">
      <c r="A1095" s="18" t="s">
        <v>1762</v>
      </c>
      <c r="B1095" s="7">
        <v>6</v>
      </c>
      <c r="C1095" s="7">
        <v>13</v>
      </c>
      <c r="D1095" s="7" t="s">
        <v>2261</v>
      </c>
      <c r="E1095" s="7">
        <v>23000000</v>
      </c>
      <c r="F1095" s="7">
        <f t="shared" si="71"/>
        <v>23000000</v>
      </c>
      <c r="G1095" s="7">
        <f t="shared" si="69"/>
        <v>74096.983286297851</v>
      </c>
      <c r="H1095" s="7" t="s">
        <v>2260</v>
      </c>
      <c r="I1095" s="18" t="s">
        <v>1812</v>
      </c>
      <c r="J1095" s="18" t="s">
        <v>1802</v>
      </c>
      <c r="K1095" s="3" t="s">
        <v>1716</v>
      </c>
      <c r="L1095" s="7" t="s">
        <v>2246</v>
      </c>
      <c r="M1095" s="7" t="str">
        <f t="shared" si="70"/>
        <v>ND</v>
      </c>
      <c r="N1095" s="7" t="str">
        <f t="shared" si="72"/>
        <v>ND</v>
      </c>
    </row>
    <row r="1096" spans="1:14" ht="15.6" x14ac:dyDescent="0.3">
      <c r="A1096" s="18" t="s">
        <v>1762</v>
      </c>
      <c r="B1096" s="7">
        <v>6</v>
      </c>
      <c r="C1096" s="7">
        <v>13</v>
      </c>
      <c r="D1096" s="7" t="s">
        <v>2261</v>
      </c>
      <c r="E1096" s="7">
        <v>23000000</v>
      </c>
      <c r="F1096" s="7">
        <f t="shared" si="71"/>
        <v>23000000</v>
      </c>
      <c r="G1096" s="7">
        <f t="shared" si="69"/>
        <v>74096.983286297851</v>
      </c>
      <c r="H1096" s="7" t="s">
        <v>2260</v>
      </c>
      <c r="I1096" s="18" t="s">
        <v>1812</v>
      </c>
      <c r="J1096" s="18" t="s">
        <v>1802</v>
      </c>
      <c r="K1096" s="3" t="s">
        <v>1716</v>
      </c>
      <c r="L1096" s="7" t="s">
        <v>2246</v>
      </c>
      <c r="M1096" s="7" t="str">
        <f t="shared" si="70"/>
        <v>ND</v>
      </c>
      <c r="N1096" s="7" t="str">
        <f t="shared" si="72"/>
        <v>ND</v>
      </c>
    </row>
    <row r="1097" spans="1:14" ht="15.6" x14ac:dyDescent="0.3">
      <c r="A1097" s="18" t="s">
        <v>1762</v>
      </c>
      <c r="B1097" s="7">
        <v>6</v>
      </c>
      <c r="C1097" s="7">
        <v>13</v>
      </c>
      <c r="D1097" s="7" t="s">
        <v>2261</v>
      </c>
      <c r="E1097" s="7">
        <v>23000000</v>
      </c>
      <c r="F1097" s="7">
        <f t="shared" si="71"/>
        <v>23000000</v>
      </c>
      <c r="G1097" s="7">
        <f t="shared" si="69"/>
        <v>74096.983286297851</v>
      </c>
      <c r="H1097" s="7" t="s">
        <v>2260</v>
      </c>
      <c r="I1097" s="18" t="s">
        <v>1812</v>
      </c>
      <c r="J1097" s="18" t="s">
        <v>1802</v>
      </c>
      <c r="K1097" s="3" t="s">
        <v>1716</v>
      </c>
      <c r="L1097" s="7" t="s">
        <v>2246</v>
      </c>
      <c r="M1097" s="7" t="str">
        <f t="shared" si="70"/>
        <v>ND</v>
      </c>
      <c r="N1097" s="7" t="str">
        <f t="shared" si="72"/>
        <v>ND</v>
      </c>
    </row>
    <row r="1098" spans="1:14" ht="15.6" x14ac:dyDescent="0.3">
      <c r="A1098" s="18" t="s">
        <v>1762</v>
      </c>
      <c r="B1098" s="7">
        <v>6</v>
      </c>
      <c r="C1098" s="7">
        <v>13</v>
      </c>
      <c r="D1098" s="7" t="s">
        <v>2261</v>
      </c>
      <c r="E1098" s="7">
        <v>23000000</v>
      </c>
      <c r="F1098" s="7">
        <f t="shared" si="71"/>
        <v>23000000</v>
      </c>
      <c r="G1098" s="7">
        <f t="shared" si="69"/>
        <v>74096.983286297851</v>
      </c>
      <c r="H1098" s="7" t="s">
        <v>2260</v>
      </c>
      <c r="I1098" s="18" t="s">
        <v>1812</v>
      </c>
      <c r="J1098" s="18" t="s">
        <v>1802</v>
      </c>
      <c r="K1098" s="3" t="s">
        <v>1716</v>
      </c>
      <c r="L1098" s="7" t="s">
        <v>2246</v>
      </c>
      <c r="M1098" s="7" t="str">
        <f t="shared" si="70"/>
        <v>ND</v>
      </c>
      <c r="N1098" s="7" t="str">
        <f t="shared" si="72"/>
        <v>ND</v>
      </c>
    </row>
    <row r="1099" spans="1:14" ht="15.6" x14ac:dyDescent="0.3">
      <c r="A1099" s="18" t="s">
        <v>1762</v>
      </c>
      <c r="B1099" s="7">
        <v>6</v>
      </c>
      <c r="C1099" s="7">
        <v>13</v>
      </c>
      <c r="D1099" s="7" t="s">
        <v>2261</v>
      </c>
      <c r="E1099" s="7">
        <v>23000000</v>
      </c>
      <c r="F1099" s="7">
        <f t="shared" si="71"/>
        <v>23000000</v>
      </c>
      <c r="G1099" s="7">
        <f t="shared" si="69"/>
        <v>74096.983286297851</v>
      </c>
      <c r="H1099" s="7" t="s">
        <v>2260</v>
      </c>
      <c r="I1099" s="18" t="s">
        <v>1812</v>
      </c>
      <c r="J1099" s="18" t="s">
        <v>1802</v>
      </c>
      <c r="K1099" s="3" t="s">
        <v>1716</v>
      </c>
      <c r="L1099" s="7" t="s">
        <v>2246</v>
      </c>
      <c r="M1099" s="7" t="str">
        <f t="shared" si="70"/>
        <v>ND</v>
      </c>
      <c r="N1099" s="7" t="str">
        <f t="shared" si="72"/>
        <v>ND</v>
      </c>
    </row>
    <row r="1100" spans="1:14" ht="15.6" x14ac:dyDescent="0.3">
      <c r="A1100" s="18" t="s">
        <v>1762</v>
      </c>
      <c r="B1100" s="7">
        <v>6</v>
      </c>
      <c r="C1100" s="7">
        <v>13</v>
      </c>
      <c r="D1100" s="7" t="s">
        <v>2261</v>
      </c>
      <c r="E1100" s="7">
        <v>23000000</v>
      </c>
      <c r="F1100" s="7">
        <f t="shared" si="71"/>
        <v>23000000</v>
      </c>
      <c r="G1100" s="7">
        <f t="shared" si="69"/>
        <v>74096.983286297851</v>
      </c>
      <c r="H1100" s="7" t="s">
        <v>2260</v>
      </c>
      <c r="I1100" s="18" t="s">
        <v>1812</v>
      </c>
      <c r="J1100" s="18" t="s">
        <v>1802</v>
      </c>
      <c r="K1100" s="3" t="s">
        <v>1716</v>
      </c>
      <c r="L1100" s="7" t="s">
        <v>2246</v>
      </c>
      <c r="M1100" s="7" t="str">
        <f t="shared" si="70"/>
        <v>ND</v>
      </c>
      <c r="N1100" s="7" t="str">
        <f t="shared" si="72"/>
        <v>ND</v>
      </c>
    </row>
    <row r="1101" spans="1:14" ht="15.6" x14ac:dyDescent="0.3">
      <c r="A1101" s="18" t="s">
        <v>1762</v>
      </c>
      <c r="B1101" s="7">
        <v>6</v>
      </c>
      <c r="C1101" s="7">
        <v>13</v>
      </c>
      <c r="D1101" s="7" t="s">
        <v>2261</v>
      </c>
      <c r="E1101" s="7">
        <v>23000000</v>
      </c>
      <c r="F1101" s="7">
        <f t="shared" si="71"/>
        <v>23000000</v>
      </c>
      <c r="G1101" s="7">
        <f t="shared" si="69"/>
        <v>74096.983286297851</v>
      </c>
      <c r="H1101" s="7" t="s">
        <v>2260</v>
      </c>
      <c r="I1101" s="18" t="s">
        <v>1812</v>
      </c>
      <c r="J1101" s="18" t="s">
        <v>1802</v>
      </c>
      <c r="K1101" s="3" t="s">
        <v>1716</v>
      </c>
      <c r="L1101" s="7" t="s">
        <v>2246</v>
      </c>
      <c r="M1101" s="7" t="str">
        <f t="shared" si="70"/>
        <v>ND</v>
      </c>
      <c r="N1101" s="7" t="str">
        <f t="shared" si="72"/>
        <v>ND</v>
      </c>
    </row>
    <row r="1102" spans="1:14" ht="15.6" x14ac:dyDescent="0.3">
      <c r="A1102" s="18" t="s">
        <v>1762</v>
      </c>
      <c r="B1102" s="7">
        <v>6</v>
      </c>
      <c r="C1102" s="7">
        <v>13</v>
      </c>
      <c r="D1102" s="7" t="s">
        <v>2261</v>
      </c>
      <c r="E1102" s="7">
        <v>23000000</v>
      </c>
      <c r="F1102" s="7">
        <f t="shared" si="71"/>
        <v>23000000</v>
      </c>
      <c r="G1102" s="7">
        <f t="shared" si="69"/>
        <v>74096.983286297851</v>
      </c>
      <c r="H1102" s="7" t="s">
        <v>2260</v>
      </c>
      <c r="I1102" s="18" t="s">
        <v>1812</v>
      </c>
      <c r="J1102" s="18" t="s">
        <v>1802</v>
      </c>
      <c r="K1102" s="3" t="s">
        <v>1716</v>
      </c>
      <c r="L1102" s="7" t="s">
        <v>2246</v>
      </c>
      <c r="M1102" s="7" t="str">
        <f t="shared" si="70"/>
        <v>ND</v>
      </c>
      <c r="N1102" s="7" t="str">
        <f t="shared" si="72"/>
        <v>ND</v>
      </c>
    </row>
    <row r="1103" spans="1:14" ht="15.6" x14ac:dyDescent="0.3">
      <c r="A1103" s="18" t="s">
        <v>1762</v>
      </c>
      <c r="B1103" s="7">
        <v>6</v>
      </c>
      <c r="C1103" s="7">
        <v>13</v>
      </c>
      <c r="D1103" s="7" t="s">
        <v>2261</v>
      </c>
      <c r="E1103" s="7">
        <v>23000000</v>
      </c>
      <c r="F1103" s="7">
        <f t="shared" si="71"/>
        <v>23000000</v>
      </c>
      <c r="G1103" s="7">
        <f t="shared" si="69"/>
        <v>74096.983286297851</v>
      </c>
      <c r="H1103" s="7" t="s">
        <v>2260</v>
      </c>
      <c r="I1103" s="18" t="s">
        <v>1812</v>
      </c>
      <c r="J1103" s="18" t="s">
        <v>1802</v>
      </c>
      <c r="K1103" s="3" t="s">
        <v>1716</v>
      </c>
      <c r="L1103" s="7" t="s">
        <v>2246</v>
      </c>
      <c r="M1103" s="7" t="str">
        <f t="shared" si="70"/>
        <v>ND</v>
      </c>
      <c r="N1103" s="7" t="str">
        <f t="shared" si="72"/>
        <v>ND</v>
      </c>
    </row>
    <row r="1104" spans="1:14" ht="15.6" x14ac:dyDescent="0.3">
      <c r="A1104" s="18" t="s">
        <v>1762</v>
      </c>
      <c r="B1104" s="7">
        <v>6</v>
      </c>
      <c r="C1104" s="7">
        <v>13</v>
      </c>
      <c r="D1104" s="7" t="s">
        <v>2261</v>
      </c>
      <c r="E1104" s="7">
        <v>23000000</v>
      </c>
      <c r="F1104" s="7">
        <f t="shared" si="71"/>
        <v>23000000</v>
      </c>
      <c r="G1104" s="7">
        <f t="shared" si="69"/>
        <v>74096.983286297851</v>
      </c>
      <c r="H1104" s="7" t="s">
        <v>2260</v>
      </c>
      <c r="I1104" s="18" t="s">
        <v>1812</v>
      </c>
      <c r="J1104" s="18" t="s">
        <v>1802</v>
      </c>
      <c r="K1104" s="3" t="s">
        <v>1716</v>
      </c>
      <c r="L1104" s="7" t="s">
        <v>2246</v>
      </c>
      <c r="M1104" s="7" t="str">
        <f t="shared" si="70"/>
        <v>ND</v>
      </c>
      <c r="N1104" s="7" t="str">
        <f t="shared" si="72"/>
        <v>ND</v>
      </c>
    </row>
    <row r="1105" spans="1:14" ht="15.6" x14ac:dyDescent="0.3">
      <c r="A1105" s="18" t="s">
        <v>1762</v>
      </c>
      <c r="B1105" s="7">
        <v>6</v>
      </c>
      <c r="C1105" s="7">
        <v>13</v>
      </c>
      <c r="D1105" s="7" t="s">
        <v>2261</v>
      </c>
      <c r="E1105" s="7">
        <v>23000000</v>
      </c>
      <c r="F1105" s="7">
        <f t="shared" si="71"/>
        <v>23000000</v>
      </c>
      <c r="G1105" s="7">
        <f t="shared" si="69"/>
        <v>74096.983286297851</v>
      </c>
      <c r="H1105" s="7" t="s">
        <v>2260</v>
      </c>
      <c r="I1105" s="18" t="s">
        <v>1812</v>
      </c>
      <c r="J1105" s="18" t="s">
        <v>1802</v>
      </c>
      <c r="K1105" s="3" t="s">
        <v>1716</v>
      </c>
      <c r="L1105" s="7" t="s">
        <v>2246</v>
      </c>
      <c r="M1105" s="7" t="str">
        <f t="shared" si="70"/>
        <v>ND</v>
      </c>
      <c r="N1105" s="7" t="str">
        <f t="shared" si="72"/>
        <v>ND</v>
      </c>
    </row>
    <row r="1106" spans="1:14" ht="15.6" x14ac:dyDescent="0.3">
      <c r="A1106" s="18" t="s">
        <v>1762</v>
      </c>
      <c r="B1106" s="7">
        <v>6</v>
      </c>
      <c r="C1106" s="7">
        <v>13</v>
      </c>
      <c r="D1106" s="7" t="s">
        <v>2261</v>
      </c>
      <c r="E1106" s="7">
        <v>23000000</v>
      </c>
      <c r="F1106" s="7">
        <f t="shared" si="71"/>
        <v>23000000</v>
      </c>
      <c r="G1106" s="7">
        <f t="shared" si="69"/>
        <v>74096.983286297851</v>
      </c>
      <c r="H1106" s="7" t="s">
        <v>2260</v>
      </c>
      <c r="I1106" s="18" t="s">
        <v>1812</v>
      </c>
      <c r="J1106" s="18" t="s">
        <v>1802</v>
      </c>
      <c r="K1106" s="3" t="s">
        <v>1716</v>
      </c>
      <c r="L1106" s="7" t="s">
        <v>2246</v>
      </c>
      <c r="M1106" s="7" t="str">
        <f t="shared" si="70"/>
        <v>ND</v>
      </c>
      <c r="N1106" s="7" t="str">
        <f t="shared" si="72"/>
        <v>ND</v>
      </c>
    </row>
    <row r="1107" spans="1:14" ht="15.6" x14ac:dyDescent="0.3">
      <c r="A1107" s="18" t="s">
        <v>1762</v>
      </c>
      <c r="B1107" s="7">
        <v>6</v>
      </c>
      <c r="C1107" s="7">
        <v>13</v>
      </c>
      <c r="D1107" s="7" t="s">
        <v>2261</v>
      </c>
      <c r="E1107" s="7">
        <v>23000000</v>
      </c>
      <c r="F1107" s="7">
        <f t="shared" si="71"/>
        <v>23000000</v>
      </c>
      <c r="G1107" s="7">
        <f t="shared" si="69"/>
        <v>74096.983286297851</v>
      </c>
      <c r="H1107" s="7" t="s">
        <v>2260</v>
      </c>
      <c r="I1107" s="18" t="s">
        <v>1812</v>
      </c>
      <c r="J1107" s="18" t="s">
        <v>1802</v>
      </c>
      <c r="K1107" s="3" t="s">
        <v>1716</v>
      </c>
      <c r="L1107" s="7" t="s">
        <v>2246</v>
      </c>
      <c r="M1107" s="7" t="str">
        <f t="shared" si="70"/>
        <v>ND</v>
      </c>
      <c r="N1107" s="7" t="str">
        <f t="shared" si="72"/>
        <v>ND</v>
      </c>
    </row>
    <row r="1108" spans="1:14" ht="15.6" x14ac:dyDescent="0.3">
      <c r="A1108" s="18" t="s">
        <v>1763</v>
      </c>
      <c r="B1108" s="7">
        <v>6</v>
      </c>
      <c r="C1108" s="7">
        <v>12</v>
      </c>
      <c r="D1108" s="7" t="s">
        <v>2259</v>
      </c>
      <c r="E1108" s="7">
        <v>11000000</v>
      </c>
      <c r="F1108" s="7">
        <f t="shared" si="71"/>
        <v>11000000</v>
      </c>
      <c r="G1108" s="7">
        <f t="shared" si="69"/>
        <v>35437.687658664196</v>
      </c>
      <c r="H1108" s="7" t="s">
        <v>2260</v>
      </c>
      <c r="I1108" s="18" t="s">
        <v>1812</v>
      </c>
      <c r="J1108" s="18" t="s">
        <v>1802</v>
      </c>
      <c r="K1108" s="3" t="s">
        <v>1716</v>
      </c>
      <c r="L1108" s="7" t="s">
        <v>2246</v>
      </c>
      <c r="M1108" s="7" t="str">
        <f t="shared" si="70"/>
        <v>ND</v>
      </c>
      <c r="N1108" s="7" t="str">
        <f t="shared" si="72"/>
        <v>ND</v>
      </c>
    </row>
    <row r="1109" spans="1:14" ht="15.6" x14ac:dyDescent="0.3">
      <c r="A1109" s="18" t="s">
        <v>1763</v>
      </c>
      <c r="B1109" s="7">
        <v>6</v>
      </c>
      <c r="C1109" s="7">
        <v>12</v>
      </c>
      <c r="D1109" s="7" t="s">
        <v>2259</v>
      </c>
      <c r="E1109" s="7">
        <v>11000000</v>
      </c>
      <c r="F1109" s="7">
        <f t="shared" si="71"/>
        <v>11000000</v>
      </c>
      <c r="G1109" s="7">
        <f t="shared" si="69"/>
        <v>35437.687658664196</v>
      </c>
      <c r="H1109" s="7" t="s">
        <v>2260</v>
      </c>
      <c r="I1109" s="18" t="s">
        <v>1812</v>
      </c>
      <c r="J1109" s="18" t="s">
        <v>1802</v>
      </c>
      <c r="K1109" s="3" t="s">
        <v>1716</v>
      </c>
      <c r="L1109" s="7" t="s">
        <v>2246</v>
      </c>
      <c r="M1109" s="7" t="str">
        <f t="shared" si="70"/>
        <v>ND</v>
      </c>
      <c r="N1109" s="7" t="str">
        <f t="shared" si="72"/>
        <v>ND</v>
      </c>
    </row>
    <row r="1110" spans="1:14" ht="15.6" x14ac:dyDescent="0.3">
      <c r="A1110" s="18" t="s">
        <v>1763</v>
      </c>
      <c r="B1110" s="7">
        <v>6</v>
      </c>
      <c r="C1110" s="7">
        <v>12</v>
      </c>
      <c r="D1110" s="7" t="s">
        <v>2259</v>
      </c>
      <c r="E1110" s="7">
        <v>11000000</v>
      </c>
      <c r="F1110" s="7">
        <f t="shared" si="71"/>
        <v>11000000</v>
      </c>
      <c r="G1110" s="7">
        <f t="shared" si="69"/>
        <v>35437.687658664196</v>
      </c>
      <c r="H1110" s="7" t="s">
        <v>2260</v>
      </c>
      <c r="I1110" s="18" t="s">
        <v>1812</v>
      </c>
      <c r="J1110" s="18" t="s">
        <v>1802</v>
      </c>
      <c r="K1110" s="3" t="s">
        <v>1716</v>
      </c>
      <c r="L1110" s="7" t="s">
        <v>2246</v>
      </c>
      <c r="M1110" s="7" t="str">
        <f t="shared" si="70"/>
        <v>ND</v>
      </c>
      <c r="N1110" s="7" t="str">
        <f t="shared" si="72"/>
        <v>ND</v>
      </c>
    </row>
    <row r="1111" spans="1:14" ht="15.6" x14ac:dyDescent="0.3">
      <c r="A1111" s="18" t="s">
        <v>1763</v>
      </c>
      <c r="B1111" s="7">
        <v>6</v>
      </c>
      <c r="C1111" s="7">
        <v>12</v>
      </c>
      <c r="D1111" s="7" t="s">
        <v>2259</v>
      </c>
      <c r="E1111" s="7">
        <v>11000000</v>
      </c>
      <c r="F1111" s="7">
        <f t="shared" si="71"/>
        <v>11000000</v>
      </c>
      <c r="G1111" s="7">
        <f t="shared" si="69"/>
        <v>35437.687658664196</v>
      </c>
      <c r="H1111" s="7" t="s">
        <v>2260</v>
      </c>
      <c r="I1111" s="18" t="s">
        <v>1812</v>
      </c>
      <c r="J1111" s="18" t="s">
        <v>1802</v>
      </c>
      <c r="K1111" s="3" t="s">
        <v>1716</v>
      </c>
      <c r="L1111" s="7" t="s">
        <v>2246</v>
      </c>
      <c r="M1111" s="7" t="str">
        <f t="shared" si="70"/>
        <v>ND</v>
      </c>
      <c r="N1111" s="7" t="str">
        <f t="shared" si="72"/>
        <v>ND</v>
      </c>
    </row>
    <row r="1112" spans="1:14" ht="15.6" x14ac:dyDescent="0.3">
      <c r="A1112" s="18" t="s">
        <v>1763</v>
      </c>
      <c r="B1112" s="7">
        <v>6</v>
      </c>
      <c r="C1112" s="7">
        <v>12</v>
      </c>
      <c r="D1112" s="7" t="s">
        <v>2259</v>
      </c>
      <c r="E1112" s="7">
        <v>11000000</v>
      </c>
      <c r="F1112" s="7">
        <f t="shared" si="71"/>
        <v>11000000</v>
      </c>
      <c r="G1112" s="7">
        <f t="shared" si="69"/>
        <v>35437.687658664196</v>
      </c>
      <c r="H1112" s="7" t="s">
        <v>2260</v>
      </c>
      <c r="I1112" s="18" t="s">
        <v>1812</v>
      </c>
      <c r="J1112" s="18" t="s">
        <v>1802</v>
      </c>
      <c r="K1112" s="3" t="s">
        <v>1716</v>
      </c>
      <c r="L1112" s="7" t="s">
        <v>2246</v>
      </c>
      <c r="M1112" s="7" t="str">
        <f t="shared" si="70"/>
        <v>ND</v>
      </c>
      <c r="N1112" s="7" t="str">
        <f t="shared" si="72"/>
        <v>ND</v>
      </c>
    </row>
    <row r="1113" spans="1:14" ht="15.6" x14ac:dyDescent="0.3">
      <c r="A1113" s="18" t="s">
        <v>1763</v>
      </c>
      <c r="B1113" s="7">
        <v>6</v>
      </c>
      <c r="C1113" s="7">
        <v>12</v>
      </c>
      <c r="D1113" s="7" t="s">
        <v>2259</v>
      </c>
      <c r="E1113" s="7">
        <v>11000000</v>
      </c>
      <c r="F1113" s="7">
        <f t="shared" si="71"/>
        <v>11000000</v>
      </c>
      <c r="G1113" s="7">
        <f t="shared" ref="G1113:G1176" si="73">F1113/310.404</f>
        <v>35437.687658664196</v>
      </c>
      <c r="H1113" s="7" t="s">
        <v>2260</v>
      </c>
      <c r="I1113" s="18" t="s">
        <v>1812</v>
      </c>
      <c r="J1113" s="18" t="s">
        <v>1802</v>
      </c>
      <c r="K1113" s="3" t="s">
        <v>1716</v>
      </c>
      <c r="L1113" s="7" t="s">
        <v>2246</v>
      </c>
      <c r="M1113" s="7" t="str">
        <f t="shared" si="70"/>
        <v>ND</v>
      </c>
      <c r="N1113" s="7" t="str">
        <f t="shared" si="72"/>
        <v>ND</v>
      </c>
    </row>
    <row r="1114" spans="1:14" ht="15.6" x14ac:dyDescent="0.3">
      <c r="A1114" s="18" t="s">
        <v>1763</v>
      </c>
      <c r="B1114" s="7">
        <v>6</v>
      </c>
      <c r="C1114" s="7">
        <v>12</v>
      </c>
      <c r="D1114" s="7" t="s">
        <v>2259</v>
      </c>
      <c r="E1114" s="7">
        <v>11000000</v>
      </c>
      <c r="F1114" s="7">
        <f t="shared" si="71"/>
        <v>11000000</v>
      </c>
      <c r="G1114" s="7">
        <f t="shared" si="73"/>
        <v>35437.687658664196</v>
      </c>
      <c r="H1114" s="7" t="s">
        <v>2260</v>
      </c>
      <c r="I1114" s="18" t="s">
        <v>1812</v>
      </c>
      <c r="J1114" s="18" t="s">
        <v>1802</v>
      </c>
      <c r="K1114" s="3" t="s">
        <v>1716</v>
      </c>
      <c r="L1114" s="7" t="s">
        <v>2246</v>
      </c>
      <c r="M1114" s="7" t="str">
        <f t="shared" si="70"/>
        <v>ND</v>
      </c>
      <c r="N1114" s="7" t="str">
        <f t="shared" si="72"/>
        <v>ND</v>
      </c>
    </row>
    <row r="1115" spans="1:14" ht="15.6" x14ac:dyDescent="0.3">
      <c r="A1115" s="18" t="s">
        <v>1763</v>
      </c>
      <c r="B1115" s="7">
        <v>6</v>
      </c>
      <c r="C1115" s="7">
        <v>12</v>
      </c>
      <c r="D1115" s="7" t="s">
        <v>2259</v>
      </c>
      <c r="E1115" s="7">
        <v>11000000</v>
      </c>
      <c r="F1115" s="7">
        <f t="shared" si="71"/>
        <v>11000000</v>
      </c>
      <c r="G1115" s="7">
        <f t="shared" si="73"/>
        <v>35437.687658664196</v>
      </c>
      <c r="H1115" s="7" t="s">
        <v>2260</v>
      </c>
      <c r="I1115" s="18" t="s">
        <v>1812</v>
      </c>
      <c r="J1115" s="18" t="s">
        <v>1802</v>
      </c>
      <c r="K1115" s="3" t="s">
        <v>1716</v>
      </c>
      <c r="L1115" s="7" t="s">
        <v>2246</v>
      </c>
      <c r="M1115" s="7" t="str">
        <f t="shared" si="70"/>
        <v>ND</v>
      </c>
      <c r="N1115" s="7" t="str">
        <f t="shared" si="72"/>
        <v>ND</v>
      </c>
    </row>
    <row r="1116" spans="1:14" ht="15.6" x14ac:dyDescent="0.3">
      <c r="A1116" s="18" t="s">
        <v>1763</v>
      </c>
      <c r="B1116" s="7">
        <v>6</v>
      </c>
      <c r="C1116" s="7">
        <v>12</v>
      </c>
      <c r="D1116" s="7" t="s">
        <v>2259</v>
      </c>
      <c r="E1116" s="7">
        <v>11000000</v>
      </c>
      <c r="F1116" s="7">
        <f t="shared" si="71"/>
        <v>11000000</v>
      </c>
      <c r="G1116" s="7">
        <f t="shared" si="73"/>
        <v>35437.687658664196</v>
      </c>
      <c r="H1116" s="7" t="s">
        <v>2260</v>
      </c>
      <c r="I1116" s="18" t="s">
        <v>1812</v>
      </c>
      <c r="J1116" s="18" t="s">
        <v>1802</v>
      </c>
      <c r="K1116" s="3" t="s">
        <v>1716</v>
      </c>
      <c r="L1116" s="7" t="s">
        <v>2246</v>
      </c>
      <c r="M1116" s="7" t="str">
        <f t="shared" si="70"/>
        <v>ND</v>
      </c>
      <c r="N1116" s="7" t="str">
        <f t="shared" si="72"/>
        <v>ND</v>
      </c>
    </row>
    <row r="1117" spans="1:14" ht="15.6" x14ac:dyDescent="0.3">
      <c r="A1117" s="18" t="s">
        <v>1763</v>
      </c>
      <c r="B1117" s="7">
        <v>6</v>
      </c>
      <c r="C1117" s="7">
        <v>12</v>
      </c>
      <c r="D1117" s="7" t="s">
        <v>2259</v>
      </c>
      <c r="E1117" s="7">
        <v>11000000</v>
      </c>
      <c r="F1117" s="7">
        <f t="shared" si="71"/>
        <v>11000000</v>
      </c>
      <c r="G1117" s="7">
        <f t="shared" si="73"/>
        <v>35437.687658664196</v>
      </c>
      <c r="H1117" s="7" t="s">
        <v>2260</v>
      </c>
      <c r="I1117" s="18" t="s">
        <v>1812</v>
      </c>
      <c r="J1117" s="18" t="s">
        <v>1802</v>
      </c>
      <c r="K1117" s="3" t="s">
        <v>1716</v>
      </c>
      <c r="L1117" s="7" t="s">
        <v>2246</v>
      </c>
      <c r="M1117" s="7" t="str">
        <f t="shared" si="70"/>
        <v>ND</v>
      </c>
      <c r="N1117" s="7" t="str">
        <f t="shared" si="72"/>
        <v>ND</v>
      </c>
    </row>
    <row r="1118" spans="1:14" ht="15.6" x14ac:dyDescent="0.3">
      <c r="A1118" s="18" t="s">
        <v>1763</v>
      </c>
      <c r="B1118" s="7">
        <v>6</v>
      </c>
      <c r="C1118" s="7">
        <v>12</v>
      </c>
      <c r="D1118" s="7" t="s">
        <v>2259</v>
      </c>
      <c r="E1118" s="7">
        <v>11000000</v>
      </c>
      <c r="F1118" s="7">
        <f t="shared" si="71"/>
        <v>11000000</v>
      </c>
      <c r="G1118" s="7">
        <f t="shared" si="73"/>
        <v>35437.687658664196</v>
      </c>
      <c r="H1118" s="7" t="s">
        <v>2260</v>
      </c>
      <c r="I1118" s="18" t="s">
        <v>1812</v>
      </c>
      <c r="J1118" s="18" t="s">
        <v>1802</v>
      </c>
      <c r="K1118" s="3" t="s">
        <v>1716</v>
      </c>
      <c r="L1118" s="7" t="s">
        <v>2246</v>
      </c>
      <c r="M1118" s="7" t="str">
        <f t="shared" si="70"/>
        <v>ND</v>
      </c>
      <c r="N1118" s="7" t="str">
        <f t="shared" si="72"/>
        <v>ND</v>
      </c>
    </row>
    <row r="1119" spans="1:14" ht="15.6" x14ac:dyDescent="0.3">
      <c r="A1119" s="18" t="s">
        <v>1763</v>
      </c>
      <c r="B1119" s="7">
        <v>6</v>
      </c>
      <c r="C1119" s="7">
        <v>12</v>
      </c>
      <c r="D1119" s="7" t="s">
        <v>2259</v>
      </c>
      <c r="E1119" s="7">
        <v>11000000</v>
      </c>
      <c r="F1119" s="7">
        <f t="shared" si="71"/>
        <v>11000000</v>
      </c>
      <c r="G1119" s="7">
        <f t="shared" si="73"/>
        <v>35437.687658664196</v>
      </c>
      <c r="H1119" s="7" t="s">
        <v>2260</v>
      </c>
      <c r="I1119" s="18" t="s">
        <v>1812</v>
      </c>
      <c r="J1119" s="18" t="s">
        <v>1802</v>
      </c>
      <c r="K1119" s="3" t="s">
        <v>1716</v>
      </c>
      <c r="L1119" s="7" t="s">
        <v>2246</v>
      </c>
      <c r="M1119" s="7" t="str">
        <f t="shared" si="70"/>
        <v>ND</v>
      </c>
      <c r="N1119" s="7" t="str">
        <f t="shared" si="72"/>
        <v>ND</v>
      </c>
    </row>
    <row r="1120" spans="1:14" ht="15.6" x14ac:dyDescent="0.3">
      <c r="A1120" s="18" t="s">
        <v>1763</v>
      </c>
      <c r="B1120" s="7">
        <v>6</v>
      </c>
      <c r="C1120" s="7">
        <v>12</v>
      </c>
      <c r="D1120" s="7" t="s">
        <v>2259</v>
      </c>
      <c r="E1120" s="7">
        <v>11000000</v>
      </c>
      <c r="F1120" s="7">
        <f t="shared" si="71"/>
        <v>11000000</v>
      </c>
      <c r="G1120" s="7">
        <f t="shared" si="73"/>
        <v>35437.687658664196</v>
      </c>
      <c r="H1120" s="7" t="s">
        <v>2260</v>
      </c>
      <c r="I1120" s="18" t="s">
        <v>1812</v>
      </c>
      <c r="J1120" s="18" t="s">
        <v>1802</v>
      </c>
      <c r="K1120" s="3" t="s">
        <v>1716</v>
      </c>
      <c r="L1120" s="7" t="s">
        <v>2246</v>
      </c>
      <c r="M1120" s="7" t="str">
        <f t="shared" si="70"/>
        <v>ND</v>
      </c>
      <c r="N1120" s="7" t="str">
        <f t="shared" si="72"/>
        <v>ND</v>
      </c>
    </row>
    <row r="1121" spans="1:14" ht="15.6" x14ac:dyDescent="0.3">
      <c r="A1121" s="18" t="s">
        <v>1763</v>
      </c>
      <c r="B1121" s="7">
        <v>6</v>
      </c>
      <c r="C1121" s="7">
        <v>12</v>
      </c>
      <c r="D1121" s="7" t="s">
        <v>2259</v>
      </c>
      <c r="E1121" s="7">
        <v>11000000</v>
      </c>
      <c r="F1121" s="7">
        <f t="shared" si="71"/>
        <v>11000000</v>
      </c>
      <c r="G1121" s="7">
        <f t="shared" si="73"/>
        <v>35437.687658664196</v>
      </c>
      <c r="H1121" s="7" t="s">
        <v>2260</v>
      </c>
      <c r="I1121" s="18" t="s">
        <v>1812</v>
      </c>
      <c r="J1121" s="18" t="s">
        <v>1802</v>
      </c>
      <c r="K1121" s="3" t="s">
        <v>1716</v>
      </c>
      <c r="L1121" s="7" t="s">
        <v>2246</v>
      </c>
      <c r="M1121" s="7" t="str">
        <f t="shared" si="70"/>
        <v>ND</v>
      </c>
      <c r="N1121" s="7" t="str">
        <f t="shared" si="72"/>
        <v>ND</v>
      </c>
    </row>
    <row r="1122" spans="1:14" ht="15.6" x14ac:dyDescent="0.3">
      <c r="A1122" s="18" t="s">
        <v>1763</v>
      </c>
      <c r="B1122" s="7">
        <v>6</v>
      </c>
      <c r="C1122" s="7">
        <v>12</v>
      </c>
      <c r="D1122" s="7" t="s">
        <v>2259</v>
      </c>
      <c r="E1122" s="7">
        <v>11000000</v>
      </c>
      <c r="F1122" s="7">
        <f t="shared" si="71"/>
        <v>11000000</v>
      </c>
      <c r="G1122" s="7">
        <f t="shared" si="73"/>
        <v>35437.687658664196</v>
      </c>
      <c r="H1122" s="7" t="s">
        <v>2260</v>
      </c>
      <c r="I1122" s="18" t="s">
        <v>1812</v>
      </c>
      <c r="J1122" s="18" t="s">
        <v>1802</v>
      </c>
      <c r="K1122" s="3" t="s">
        <v>1716</v>
      </c>
      <c r="L1122" s="7" t="s">
        <v>2246</v>
      </c>
      <c r="M1122" s="7" t="str">
        <f t="shared" si="70"/>
        <v>ND</v>
      </c>
      <c r="N1122" s="7" t="str">
        <f t="shared" si="72"/>
        <v>ND</v>
      </c>
    </row>
    <row r="1123" spans="1:14" ht="15.6" x14ac:dyDescent="0.3">
      <c r="A1123" s="18" t="s">
        <v>1763</v>
      </c>
      <c r="B1123" s="7">
        <v>6</v>
      </c>
      <c r="C1123" s="7">
        <v>12</v>
      </c>
      <c r="D1123" s="7" t="s">
        <v>2259</v>
      </c>
      <c r="E1123" s="7">
        <v>11000000</v>
      </c>
      <c r="F1123" s="7">
        <f t="shared" si="71"/>
        <v>11000000</v>
      </c>
      <c r="G1123" s="7">
        <f t="shared" si="73"/>
        <v>35437.687658664196</v>
      </c>
      <c r="H1123" s="7" t="s">
        <v>2260</v>
      </c>
      <c r="I1123" s="18" t="s">
        <v>1812</v>
      </c>
      <c r="J1123" s="18" t="s">
        <v>1802</v>
      </c>
      <c r="K1123" s="3" t="s">
        <v>1716</v>
      </c>
      <c r="L1123" s="7" t="s">
        <v>2246</v>
      </c>
      <c r="M1123" s="7" t="str">
        <f t="shared" si="70"/>
        <v>ND</v>
      </c>
      <c r="N1123" s="7" t="str">
        <f t="shared" si="72"/>
        <v>ND</v>
      </c>
    </row>
    <row r="1124" spans="1:14" ht="15.6" x14ac:dyDescent="0.3">
      <c r="A1124" s="18" t="s">
        <v>1763</v>
      </c>
      <c r="B1124" s="7">
        <v>6</v>
      </c>
      <c r="C1124" s="7">
        <v>12</v>
      </c>
      <c r="D1124" s="7" t="s">
        <v>2259</v>
      </c>
      <c r="E1124" s="7">
        <v>11000000</v>
      </c>
      <c r="F1124" s="7">
        <f t="shared" si="71"/>
        <v>11000000</v>
      </c>
      <c r="G1124" s="7">
        <f t="shared" si="73"/>
        <v>35437.687658664196</v>
      </c>
      <c r="H1124" s="7" t="s">
        <v>2260</v>
      </c>
      <c r="I1124" s="18" t="s">
        <v>1812</v>
      </c>
      <c r="J1124" s="18" t="s">
        <v>1802</v>
      </c>
      <c r="K1124" s="3" t="s">
        <v>1716</v>
      </c>
      <c r="L1124" s="7" t="s">
        <v>2246</v>
      </c>
      <c r="M1124" s="7" t="str">
        <f t="shared" si="70"/>
        <v>ND</v>
      </c>
      <c r="N1124" s="7" t="str">
        <f t="shared" si="72"/>
        <v>ND</v>
      </c>
    </row>
    <row r="1125" spans="1:14" ht="15.6" x14ac:dyDescent="0.3">
      <c r="A1125" s="18" t="s">
        <v>1763</v>
      </c>
      <c r="B1125" s="7">
        <v>6</v>
      </c>
      <c r="C1125" s="7">
        <v>12</v>
      </c>
      <c r="D1125" s="7" t="s">
        <v>2259</v>
      </c>
      <c r="E1125" s="7">
        <v>11000000</v>
      </c>
      <c r="F1125" s="7">
        <f t="shared" si="71"/>
        <v>11000000</v>
      </c>
      <c r="G1125" s="7">
        <f t="shared" si="73"/>
        <v>35437.687658664196</v>
      </c>
      <c r="H1125" s="7" t="s">
        <v>2260</v>
      </c>
      <c r="I1125" s="18" t="s">
        <v>1812</v>
      </c>
      <c r="J1125" s="18" t="s">
        <v>1802</v>
      </c>
      <c r="K1125" s="3" t="s">
        <v>1716</v>
      </c>
      <c r="L1125" s="7" t="s">
        <v>2246</v>
      </c>
      <c r="M1125" s="7" t="str">
        <f t="shared" si="70"/>
        <v>ND</v>
      </c>
      <c r="N1125" s="7" t="str">
        <f t="shared" si="72"/>
        <v>ND</v>
      </c>
    </row>
    <row r="1126" spans="1:14" ht="15.6" x14ac:dyDescent="0.3">
      <c r="A1126" s="18" t="s">
        <v>1763</v>
      </c>
      <c r="B1126" s="7">
        <v>6</v>
      </c>
      <c r="C1126" s="7">
        <v>12</v>
      </c>
      <c r="D1126" s="7" t="s">
        <v>2259</v>
      </c>
      <c r="E1126" s="7">
        <v>11000000</v>
      </c>
      <c r="F1126" s="7">
        <f t="shared" si="71"/>
        <v>11000000</v>
      </c>
      <c r="G1126" s="7">
        <f t="shared" si="73"/>
        <v>35437.687658664196</v>
      </c>
      <c r="H1126" s="7" t="s">
        <v>2260</v>
      </c>
      <c r="I1126" s="18" t="s">
        <v>1812</v>
      </c>
      <c r="J1126" s="18" t="s">
        <v>1802</v>
      </c>
      <c r="K1126" s="3" t="s">
        <v>1716</v>
      </c>
      <c r="L1126" s="7" t="s">
        <v>2246</v>
      </c>
      <c r="M1126" s="7" t="str">
        <f t="shared" si="70"/>
        <v>ND</v>
      </c>
      <c r="N1126" s="7" t="str">
        <f t="shared" si="72"/>
        <v>ND</v>
      </c>
    </row>
    <row r="1127" spans="1:14" ht="15.6" x14ac:dyDescent="0.3">
      <c r="A1127" s="18" t="s">
        <v>1763</v>
      </c>
      <c r="B1127" s="7">
        <v>6</v>
      </c>
      <c r="C1127" s="7">
        <v>12</v>
      </c>
      <c r="D1127" s="7" t="s">
        <v>2259</v>
      </c>
      <c r="E1127" s="7">
        <v>11000000</v>
      </c>
      <c r="F1127" s="7">
        <f t="shared" si="71"/>
        <v>11000000</v>
      </c>
      <c r="G1127" s="7">
        <f t="shared" si="73"/>
        <v>35437.687658664196</v>
      </c>
      <c r="H1127" s="7" t="s">
        <v>2260</v>
      </c>
      <c r="I1127" s="18" t="s">
        <v>1812</v>
      </c>
      <c r="J1127" s="18" t="s">
        <v>1802</v>
      </c>
      <c r="K1127" s="3" t="s">
        <v>1716</v>
      </c>
      <c r="L1127" s="7" t="s">
        <v>2246</v>
      </c>
      <c r="M1127" s="7" t="str">
        <f t="shared" si="70"/>
        <v>ND</v>
      </c>
      <c r="N1127" s="7" t="str">
        <f t="shared" si="72"/>
        <v>ND</v>
      </c>
    </row>
    <row r="1128" spans="1:14" ht="15.6" x14ac:dyDescent="0.3">
      <c r="A1128" s="18" t="s">
        <v>1763</v>
      </c>
      <c r="B1128" s="7">
        <v>6</v>
      </c>
      <c r="C1128" s="7">
        <v>12</v>
      </c>
      <c r="D1128" s="7" t="s">
        <v>2259</v>
      </c>
      <c r="E1128" s="7">
        <v>11000000</v>
      </c>
      <c r="F1128" s="7">
        <f t="shared" si="71"/>
        <v>11000000</v>
      </c>
      <c r="G1128" s="7">
        <f t="shared" si="73"/>
        <v>35437.687658664196</v>
      </c>
      <c r="H1128" s="7" t="s">
        <v>2260</v>
      </c>
      <c r="I1128" s="18" t="s">
        <v>1812</v>
      </c>
      <c r="J1128" s="18" t="s">
        <v>1802</v>
      </c>
      <c r="K1128" s="3" t="s">
        <v>1716</v>
      </c>
      <c r="L1128" s="7" t="s">
        <v>2246</v>
      </c>
      <c r="M1128" s="7" t="str">
        <f t="shared" si="70"/>
        <v>ND</v>
      </c>
      <c r="N1128" s="7" t="str">
        <f t="shared" si="72"/>
        <v>ND</v>
      </c>
    </row>
    <row r="1129" spans="1:14" ht="15.6" x14ac:dyDescent="0.3">
      <c r="A1129" s="18" t="s">
        <v>1763</v>
      </c>
      <c r="B1129" s="7">
        <v>6</v>
      </c>
      <c r="C1129" s="7">
        <v>12</v>
      </c>
      <c r="D1129" s="7" t="s">
        <v>2259</v>
      </c>
      <c r="E1129" s="7">
        <v>11000000</v>
      </c>
      <c r="F1129" s="7">
        <f t="shared" si="71"/>
        <v>11000000</v>
      </c>
      <c r="G1129" s="7">
        <f t="shared" si="73"/>
        <v>35437.687658664196</v>
      </c>
      <c r="H1129" s="7" t="s">
        <v>2260</v>
      </c>
      <c r="I1129" s="18" t="s">
        <v>1812</v>
      </c>
      <c r="J1129" s="18" t="s">
        <v>1802</v>
      </c>
      <c r="K1129" s="3" t="s">
        <v>1716</v>
      </c>
      <c r="L1129" s="7" t="s">
        <v>2246</v>
      </c>
      <c r="M1129" s="7" t="str">
        <f t="shared" si="70"/>
        <v>ND</v>
      </c>
      <c r="N1129" s="7" t="str">
        <f t="shared" si="72"/>
        <v>ND</v>
      </c>
    </row>
    <row r="1130" spans="1:14" ht="15.6" x14ac:dyDescent="0.3">
      <c r="A1130" s="18" t="s">
        <v>1763</v>
      </c>
      <c r="B1130" s="7">
        <v>6</v>
      </c>
      <c r="C1130" s="7">
        <v>12</v>
      </c>
      <c r="D1130" s="7" t="s">
        <v>2259</v>
      </c>
      <c r="E1130" s="7">
        <v>11000000</v>
      </c>
      <c r="F1130" s="7">
        <f t="shared" si="71"/>
        <v>11000000</v>
      </c>
      <c r="G1130" s="7">
        <f t="shared" si="73"/>
        <v>35437.687658664196</v>
      </c>
      <c r="H1130" s="7" t="s">
        <v>2260</v>
      </c>
      <c r="I1130" s="18" t="s">
        <v>1812</v>
      </c>
      <c r="J1130" s="18" t="s">
        <v>1802</v>
      </c>
      <c r="K1130" s="3" t="s">
        <v>1716</v>
      </c>
      <c r="L1130" s="7" t="s">
        <v>2246</v>
      </c>
      <c r="M1130" s="7" t="str">
        <f t="shared" ref="M1130:M1193" si="74">IFERROR(K1130/1000,"ND")</f>
        <v>ND</v>
      </c>
      <c r="N1130" s="7" t="str">
        <f t="shared" si="72"/>
        <v>ND</v>
      </c>
    </row>
    <row r="1131" spans="1:14" ht="15.6" x14ac:dyDescent="0.3">
      <c r="A1131" s="18" t="s">
        <v>1763</v>
      </c>
      <c r="B1131" s="7">
        <v>6</v>
      </c>
      <c r="C1131" s="7">
        <v>12</v>
      </c>
      <c r="D1131" s="7" t="s">
        <v>2259</v>
      </c>
      <c r="E1131" s="7">
        <v>11000000</v>
      </c>
      <c r="F1131" s="7">
        <f t="shared" si="71"/>
        <v>11000000</v>
      </c>
      <c r="G1131" s="7">
        <f t="shared" si="73"/>
        <v>35437.687658664196</v>
      </c>
      <c r="H1131" s="7" t="s">
        <v>2260</v>
      </c>
      <c r="I1131" s="18" t="s">
        <v>1812</v>
      </c>
      <c r="J1131" s="18" t="s">
        <v>1802</v>
      </c>
      <c r="K1131" s="3" t="s">
        <v>1716</v>
      </c>
      <c r="L1131" s="7" t="s">
        <v>2246</v>
      </c>
      <c r="M1131" s="7" t="str">
        <f t="shared" si="74"/>
        <v>ND</v>
      </c>
      <c r="N1131" s="7" t="str">
        <f t="shared" si="72"/>
        <v>ND</v>
      </c>
    </row>
    <row r="1132" spans="1:14" ht="15.6" x14ac:dyDescent="0.3">
      <c r="A1132" s="18" t="s">
        <v>1763</v>
      </c>
      <c r="B1132" s="7">
        <v>6</v>
      </c>
      <c r="C1132" s="7">
        <v>12</v>
      </c>
      <c r="D1132" s="7" t="s">
        <v>2259</v>
      </c>
      <c r="E1132" s="7">
        <v>11000000</v>
      </c>
      <c r="F1132" s="7">
        <f t="shared" si="71"/>
        <v>11000000</v>
      </c>
      <c r="G1132" s="7">
        <f t="shared" si="73"/>
        <v>35437.687658664196</v>
      </c>
      <c r="H1132" s="7" t="s">
        <v>2260</v>
      </c>
      <c r="I1132" s="18" t="s">
        <v>1812</v>
      </c>
      <c r="J1132" s="18" t="s">
        <v>1802</v>
      </c>
      <c r="K1132" s="3" t="s">
        <v>1716</v>
      </c>
      <c r="L1132" s="7" t="s">
        <v>2246</v>
      </c>
      <c r="M1132" s="7" t="str">
        <f t="shared" si="74"/>
        <v>ND</v>
      </c>
      <c r="N1132" s="7" t="str">
        <f t="shared" si="72"/>
        <v>ND</v>
      </c>
    </row>
    <row r="1133" spans="1:14" ht="15.6" x14ac:dyDescent="0.3">
      <c r="A1133" s="18" t="s">
        <v>1763</v>
      </c>
      <c r="B1133" s="7">
        <v>6</v>
      </c>
      <c r="C1133" s="7">
        <v>12</v>
      </c>
      <c r="D1133" s="7" t="s">
        <v>2259</v>
      </c>
      <c r="E1133" s="7">
        <v>11000000</v>
      </c>
      <c r="F1133" s="7">
        <f t="shared" si="71"/>
        <v>11000000</v>
      </c>
      <c r="G1133" s="7">
        <f t="shared" si="73"/>
        <v>35437.687658664196</v>
      </c>
      <c r="H1133" s="7" t="s">
        <v>2260</v>
      </c>
      <c r="I1133" s="18" t="s">
        <v>1812</v>
      </c>
      <c r="J1133" s="18" t="s">
        <v>1802</v>
      </c>
      <c r="K1133" s="3" t="s">
        <v>1716</v>
      </c>
      <c r="L1133" s="7" t="s">
        <v>2246</v>
      </c>
      <c r="M1133" s="7" t="str">
        <f t="shared" si="74"/>
        <v>ND</v>
      </c>
      <c r="N1133" s="7" t="str">
        <f t="shared" si="72"/>
        <v>ND</v>
      </c>
    </row>
    <row r="1134" spans="1:14" ht="15.6" x14ac:dyDescent="0.3">
      <c r="A1134" s="18" t="s">
        <v>1763</v>
      </c>
      <c r="B1134" s="7">
        <v>6</v>
      </c>
      <c r="C1134" s="7">
        <v>12</v>
      </c>
      <c r="D1134" s="7" t="s">
        <v>2259</v>
      </c>
      <c r="E1134" s="7">
        <v>11000000</v>
      </c>
      <c r="F1134" s="7">
        <f t="shared" si="71"/>
        <v>11000000</v>
      </c>
      <c r="G1134" s="7">
        <f t="shared" si="73"/>
        <v>35437.687658664196</v>
      </c>
      <c r="H1134" s="7" t="s">
        <v>2260</v>
      </c>
      <c r="I1134" s="18" t="s">
        <v>1812</v>
      </c>
      <c r="J1134" s="18" t="s">
        <v>1802</v>
      </c>
      <c r="K1134" s="3" t="s">
        <v>1716</v>
      </c>
      <c r="L1134" s="7" t="s">
        <v>2246</v>
      </c>
      <c r="M1134" s="7" t="str">
        <f t="shared" si="74"/>
        <v>ND</v>
      </c>
      <c r="N1134" s="7" t="str">
        <f t="shared" si="72"/>
        <v>ND</v>
      </c>
    </row>
    <row r="1135" spans="1:14" ht="15.6" x14ac:dyDescent="0.3">
      <c r="A1135" s="18" t="s">
        <v>1763</v>
      </c>
      <c r="B1135" s="7">
        <v>6</v>
      </c>
      <c r="C1135" s="7">
        <v>12</v>
      </c>
      <c r="D1135" s="7" t="s">
        <v>2259</v>
      </c>
      <c r="E1135" s="7">
        <v>11000000</v>
      </c>
      <c r="F1135" s="7">
        <f t="shared" si="71"/>
        <v>11000000</v>
      </c>
      <c r="G1135" s="7">
        <f t="shared" si="73"/>
        <v>35437.687658664196</v>
      </c>
      <c r="H1135" s="7" t="s">
        <v>2260</v>
      </c>
      <c r="I1135" s="18" t="s">
        <v>1812</v>
      </c>
      <c r="J1135" s="18" t="s">
        <v>1802</v>
      </c>
      <c r="K1135" s="3" t="s">
        <v>1716</v>
      </c>
      <c r="L1135" s="7" t="s">
        <v>2246</v>
      </c>
      <c r="M1135" s="7" t="str">
        <f t="shared" si="74"/>
        <v>ND</v>
      </c>
      <c r="N1135" s="7" t="str">
        <f t="shared" si="72"/>
        <v>ND</v>
      </c>
    </row>
    <row r="1136" spans="1:14" ht="15.6" x14ac:dyDescent="0.3">
      <c r="A1136" s="18" t="s">
        <v>1763</v>
      </c>
      <c r="B1136" s="7">
        <v>6</v>
      </c>
      <c r="C1136" s="7">
        <v>12</v>
      </c>
      <c r="D1136" s="7" t="s">
        <v>2259</v>
      </c>
      <c r="E1136" s="7">
        <v>11000000</v>
      </c>
      <c r="F1136" s="7">
        <f t="shared" si="71"/>
        <v>11000000</v>
      </c>
      <c r="G1136" s="7">
        <f t="shared" si="73"/>
        <v>35437.687658664196</v>
      </c>
      <c r="H1136" s="7" t="s">
        <v>2260</v>
      </c>
      <c r="I1136" s="18" t="s">
        <v>1812</v>
      </c>
      <c r="J1136" s="18" t="s">
        <v>1802</v>
      </c>
      <c r="K1136" s="3" t="s">
        <v>1716</v>
      </c>
      <c r="L1136" s="7" t="s">
        <v>2246</v>
      </c>
      <c r="M1136" s="7" t="str">
        <f t="shared" si="74"/>
        <v>ND</v>
      </c>
      <c r="N1136" s="7" t="str">
        <f t="shared" si="72"/>
        <v>ND</v>
      </c>
    </row>
    <row r="1137" spans="1:14" ht="15.6" x14ac:dyDescent="0.3">
      <c r="A1137" s="18" t="s">
        <v>1763</v>
      </c>
      <c r="B1137" s="7">
        <v>6</v>
      </c>
      <c r="C1137" s="7">
        <v>12</v>
      </c>
      <c r="D1137" s="7" t="s">
        <v>2259</v>
      </c>
      <c r="E1137" s="7">
        <v>11000000</v>
      </c>
      <c r="F1137" s="7">
        <f t="shared" si="71"/>
        <v>11000000</v>
      </c>
      <c r="G1137" s="7">
        <f t="shared" si="73"/>
        <v>35437.687658664196</v>
      </c>
      <c r="H1137" s="7" t="s">
        <v>2260</v>
      </c>
      <c r="I1137" s="18" t="s">
        <v>1812</v>
      </c>
      <c r="J1137" s="18" t="s">
        <v>1802</v>
      </c>
      <c r="K1137" s="3" t="s">
        <v>1716</v>
      </c>
      <c r="L1137" s="7" t="s">
        <v>2246</v>
      </c>
      <c r="M1137" s="7" t="str">
        <f t="shared" si="74"/>
        <v>ND</v>
      </c>
      <c r="N1137" s="7" t="str">
        <f t="shared" si="72"/>
        <v>ND</v>
      </c>
    </row>
    <row r="1138" spans="1:14" ht="15.6" x14ac:dyDescent="0.3">
      <c r="A1138" s="18" t="s">
        <v>1752</v>
      </c>
      <c r="B1138" s="7">
        <v>6</v>
      </c>
      <c r="C1138" s="7">
        <v>12</v>
      </c>
      <c r="D1138" s="7" t="s">
        <v>2259</v>
      </c>
      <c r="E1138" s="7">
        <v>11000000</v>
      </c>
      <c r="F1138" s="7">
        <f t="shared" si="71"/>
        <v>11000000</v>
      </c>
      <c r="G1138" s="7">
        <f t="shared" si="73"/>
        <v>35437.687658664196</v>
      </c>
      <c r="H1138" s="7" t="s">
        <v>2260</v>
      </c>
      <c r="I1138" s="18" t="s">
        <v>1812</v>
      </c>
      <c r="J1138" s="18" t="s">
        <v>1802</v>
      </c>
      <c r="K1138" s="3" t="s">
        <v>1716</v>
      </c>
      <c r="L1138" s="7" t="s">
        <v>2246</v>
      </c>
      <c r="M1138" s="7" t="str">
        <f t="shared" si="74"/>
        <v>ND</v>
      </c>
      <c r="N1138" s="7" t="str">
        <f t="shared" si="72"/>
        <v>ND</v>
      </c>
    </row>
    <row r="1139" spans="1:14" ht="15.6" x14ac:dyDescent="0.3">
      <c r="A1139" s="18" t="s">
        <v>1752</v>
      </c>
      <c r="B1139" s="7">
        <v>6</v>
      </c>
      <c r="C1139" s="7">
        <v>12</v>
      </c>
      <c r="D1139" s="7" t="s">
        <v>2259</v>
      </c>
      <c r="E1139" s="7">
        <v>11000000</v>
      </c>
      <c r="F1139" s="7">
        <f t="shared" si="71"/>
        <v>11000000</v>
      </c>
      <c r="G1139" s="7">
        <f t="shared" si="73"/>
        <v>35437.687658664196</v>
      </c>
      <c r="H1139" s="7" t="s">
        <v>2260</v>
      </c>
      <c r="I1139" s="18" t="s">
        <v>1812</v>
      </c>
      <c r="J1139" s="18" t="s">
        <v>1802</v>
      </c>
      <c r="K1139" s="3" t="s">
        <v>1716</v>
      </c>
      <c r="L1139" s="7" t="s">
        <v>2246</v>
      </c>
      <c r="M1139" s="7" t="str">
        <f t="shared" si="74"/>
        <v>ND</v>
      </c>
      <c r="N1139" s="7" t="str">
        <f t="shared" si="72"/>
        <v>ND</v>
      </c>
    </row>
    <row r="1140" spans="1:14" ht="15.6" x14ac:dyDescent="0.3">
      <c r="A1140" s="18" t="s">
        <v>1752</v>
      </c>
      <c r="B1140" s="7">
        <v>6</v>
      </c>
      <c r="C1140" s="7">
        <v>12</v>
      </c>
      <c r="D1140" s="7" t="s">
        <v>2259</v>
      </c>
      <c r="E1140" s="7">
        <v>11000000</v>
      </c>
      <c r="F1140" s="7">
        <f t="shared" si="71"/>
        <v>11000000</v>
      </c>
      <c r="G1140" s="7">
        <f t="shared" si="73"/>
        <v>35437.687658664196</v>
      </c>
      <c r="H1140" s="7" t="s">
        <v>2260</v>
      </c>
      <c r="I1140" s="18" t="s">
        <v>1812</v>
      </c>
      <c r="J1140" s="18" t="s">
        <v>1802</v>
      </c>
      <c r="K1140" s="3" t="s">
        <v>1716</v>
      </c>
      <c r="L1140" s="7" t="s">
        <v>2246</v>
      </c>
      <c r="M1140" s="7" t="str">
        <f t="shared" si="74"/>
        <v>ND</v>
      </c>
      <c r="N1140" s="7" t="str">
        <f t="shared" si="72"/>
        <v>ND</v>
      </c>
    </row>
    <row r="1141" spans="1:14" ht="15.6" x14ac:dyDescent="0.3">
      <c r="A1141" s="18" t="s">
        <v>1752</v>
      </c>
      <c r="B1141" s="7">
        <v>6</v>
      </c>
      <c r="C1141" s="7">
        <v>12</v>
      </c>
      <c r="D1141" s="7" t="s">
        <v>2259</v>
      </c>
      <c r="E1141" s="7">
        <v>11000000</v>
      </c>
      <c r="F1141" s="7">
        <f t="shared" si="71"/>
        <v>11000000</v>
      </c>
      <c r="G1141" s="7">
        <f t="shared" si="73"/>
        <v>35437.687658664196</v>
      </c>
      <c r="H1141" s="7" t="s">
        <v>2260</v>
      </c>
      <c r="I1141" s="18" t="s">
        <v>1812</v>
      </c>
      <c r="J1141" s="18" t="s">
        <v>1802</v>
      </c>
      <c r="K1141" s="3" t="s">
        <v>1716</v>
      </c>
      <c r="L1141" s="7" t="s">
        <v>2246</v>
      </c>
      <c r="M1141" s="7" t="str">
        <f t="shared" si="74"/>
        <v>ND</v>
      </c>
      <c r="N1141" s="7" t="str">
        <f t="shared" si="72"/>
        <v>ND</v>
      </c>
    </row>
    <row r="1142" spans="1:14" ht="15.6" x14ac:dyDescent="0.3">
      <c r="A1142" s="18" t="s">
        <v>1752</v>
      </c>
      <c r="B1142" s="7">
        <v>6</v>
      </c>
      <c r="C1142" s="7">
        <v>12</v>
      </c>
      <c r="D1142" s="7" t="s">
        <v>2259</v>
      </c>
      <c r="E1142" s="7">
        <v>11000000</v>
      </c>
      <c r="F1142" s="7">
        <f t="shared" si="71"/>
        <v>11000000</v>
      </c>
      <c r="G1142" s="7">
        <f t="shared" si="73"/>
        <v>35437.687658664196</v>
      </c>
      <c r="H1142" s="7" t="s">
        <v>2260</v>
      </c>
      <c r="I1142" s="18" t="s">
        <v>1812</v>
      </c>
      <c r="J1142" s="18" t="s">
        <v>1802</v>
      </c>
      <c r="K1142" s="3" t="s">
        <v>1716</v>
      </c>
      <c r="L1142" s="7" t="s">
        <v>2246</v>
      </c>
      <c r="M1142" s="7" t="str">
        <f t="shared" si="74"/>
        <v>ND</v>
      </c>
      <c r="N1142" s="7" t="str">
        <f t="shared" si="72"/>
        <v>ND</v>
      </c>
    </row>
    <row r="1143" spans="1:14" ht="15.6" x14ac:dyDescent="0.3">
      <c r="A1143" s="18" t="s">
        <v>1752</v>
      </c>
      <c r="B1143" s="7">
        <v>6</v>
      </c>
      <c r="C1143" s="7">
        <v>12</v>
      </c>
      <c r="D1143" s="7" t="s">
        <v>2259</v>
      </c>
      <c r="E1143" s="7">
        <v>11000000</v>
      </c>
      <c r="F1143" s="7">
        <f t="shared" ref="F1143:F1206" si="75">E1143</f>
        <v>11000000</v>
      </c>
      <c r="G1143" s="7">
        <f t="shared" si="73"/>
        <v>35437.687658664196</v>
      </c>
      <c r="H1143" s="7" t="s">
        <v>2260</v>
      </c>
      <c r="I1143" s="18" t="s">
        <v>1812</v>
      </c>
      <c r="J1143" s="18" t="s">
        <v>1802</v>
      </c>
      <c r="K1143" s="3" t="s">
        <v>1716</v>
      </c>
      <c r="L1143" s="7" t="s">
        <v>2246</v>
      </c>
      <c r="M1143" s="7" t="str">
        <f t="shared" si="74"/>
        <v>ND</v>
      </c>
      <c r="N1143" s="7" t="str">
        <f t="shared" si="72"/>
        <v>ND</v>
      </c>
    </row>
    <row r="1144" spans="1:14" ht="15.6" x14ac:dyDescent="0.3">
      <c r="A1144" s="18" t="s">
        <v>1752</v>
      </c>
      <c r="B1144" s="7">
        <v>6</v>
      </c>
      <c r="C1144" s="7">
        <v>12</v>
      </c>
      <c r="D1144" s="7" t="s">
        <v>2259</v>
      </c>
      <c r="E1144" s="7">
        <v>11000000</v>
      </c>
      <c r="F1144" s="7">
        <f t="shared" si="75"/>
        <v>11000000</v>
      </c>
      <c r="G1144" s="7">
        <f t="shared" si="73"/>
        <v>35437.687658664196</v>
      </c>
      <c r="H1144" s="7" t="s">
        <v>2260</v>
      </c>
      <c r="I1144" s="18" t="s">
        <v>1812</v>
      </c>
      <c r="J1144" s="18" t="s">
        <v>1802</v>
      </c>
      <c r="K1144" s="3" t="s">
        <v>1716</v>
      </c>
      <c r="L1144" s="7" t="s">
        <v>2246</v>
      </c>
      <c r="M1144" s="7" t="str">
        <f t="shared" si="74"/>
        <v>ND</v>
      </c>
      <c r="N1144" s="7" t="str">
        <f t="shared" si="72"/>
        <v>ND</v>
      </c>
    </row>
    <row r="1145" spans="1:14" ht="15.6" x14ac:dyDescent="0.3">
      <c r="A1145" s="18" t="s">
        <v>1752</v>
      </c>
      <c r="B1145" s="7">
        <v>6</v>
      </c>
      <c r="C1145" s="7">
        <v>12</v>
      </c>
      <c r="D1145" s="7" t="s">
        <v>2259</v>
      </c>
      <c r="E1145" s="7">
        <v>11000000</v>
      </c>
      <c r="F1145" s="7">
        <f t="shared" si="75"/>
        <v>11000000</v>
      </c>
      <c r="G1145" s="7">
        <f t="shared" si="73"/>
        <v>35437.687658664196</v>
      </c>
      <c r="H1145" s="7" t="s">
        <v>2260</v>
      </c>
      <c r="I1145" s="18" t="s">
        <v>1812</v>
      </c>
      <c r="J1145" s="18" t="s">
        <v>1802</v>
      </c>
      <c r="K1145" s="3" t="s">
        <v>1716</v>
      </c>
      <c r="L1145" s="7" t="s">
        <v>2246</v>
      </c>
      <c r="M1145" s="7" t="str">
        <f t="shared" si="74"/>
        <v>ND</v>
      </c>
      <c r="N1145" s="7" t="str">
        <f t="shared" si="72"/>
        <v>ND</v>
      </c>
    </row>
    <row r="1146" spans="1:14" ht="15.6" x14ac:dyDescent="0.3">
      <c r="A1146" s="18" t="s">
        <v>1752</v>
      </c>
      <c r="B1146" s="7">
        <v>6</v>
      </c>
      <c r="C1146" s="7">
        <v>12</v>
      </c>
      <c r="D1146" s="7" t="s">
        <v>2259</v>
      </c>
      <c r="E1146" s="7">
        <v>11000000</v>
      </c>
      <c r="F1146" s="7">
        <f t="shared" si="75"/>
        <v>11000000</v>
      </c>
      <c r="G1146" s="7">
        <f t="shared" si="73"/>
        <v>35437.687658664196</v>
      </c>
      <c r="H1146" s="7" t="s">
        <v>2260</v>
      </c>
      <c r="I1146" s="18" t="s">
        <v>1812</v>
      </c>
      <c r="J1146" s="18" t="s">
        <v>1802</v>
      </c>
      <c r="K1146" s="3" t="s">
        <v>1716</v>
      </c>
      <c r="L1146" s="7" t="s">
        <v>2246</v>
      </c>
      <c r="M1146" s="7" t="str">
        <f t="shared" si="74"/>
        <v>ND</v>
      </c>
      <c r="N1146" s="7" t="str">
        <f t="shared" si="72"/>
        <v>ND</v>
      </c>
    </row>
    <row r="1147" spans="1:14" ht="15.6" x14ac:dyDescent="0.3">
      <c r="A1147" s="18" t="s">
        <v>1752</v>
      </c>
      <c r="B1147" s="7">
        <v>6</v>
      </c>
      <c r="C1147" s="7">
        <v>12</v>
      </c>
      <c r="D1147" s="7" t="s">
        <v>2259</v>
      </c>
      <c r="E1147" s="7">
        <v>11000000</v>
      </c>
      <c r="F1147" s="7">
        <f t="shared" si="75"/>
        <v>11000000</v>
      </c>
      <c r="G1147" s="7">
        <f t="shared" si="73"/>
        <v>35437.687658664196</v>
      </c>
      <c r="H1147" s="7" t="s">
        <v>2260</v>
      </c>
      <c r="I1147" s="18" t="s">
        <v>1812</v>
      </c>
      <c r="J1147" s="18" t="s">
        <v>1802</v>
      </c>
      <c r="K1147" s="3" t="s">
        <v>1716</v>
      </c>
      <c r="L1147" s="7" t="s">
        <v>2246</v>
      </c>
      <c r="M1147" s="7" t="str">
        <f t="shared" si="74"/>
        <v>ND</v>
      </c>
      <c r="N1147" s="7" t="str">
        <f t="shared" si="72"/>
        <v>ND</v>
      </c>
    </row>
    <row r="1148" spans="1:14" ht="15.6" x14ac:dyDescent="0.3">
      <c r="A1148" s="18" t="s">
        <v>1752</v>
      </c>
      <c r="B1148" s="7">
        <v>6</v>
      </c>
      <c r="C1148" s="7">
        <v>12</v>
      </c>
      <c r="D1148" s="7" t="s">
        <v>2259</v>
      </c>
      <c r="E1148" s="7">
        <v>11000000</v>
      </c>
      <c r="F1148" s="7">
        <f t="shared" si="75"/>
        <v>11000000</v>
      </c>
      <c r="G1148" s="7">
        <f t="shared" si="73"/>
        <v>35437.687658664196</v>
      </c>
      <c r="H1148" s="7" t="s">
        <v>2260</v>
      </c>
      <c r="I1148" s="18" t="s">
        <v>1812</v>
      </c>
      <c r="J1148" s="18" t="s">
        <v>1802</v>
      </c>
      <c r="K1148" s="3" t="s">
        <v>1716</v>
      </c>
      <c r="L1148" s="7" t="s">
        <v>2246</v>
      </c>
      <c r="M1148" s="7" t="str">
        <f t="shared" si="74"/>
        <v>ND</v>
      </c>
      <c r="N1148" s="7" t="str">
        <f t="shared" si="72"/>
        <v>ND</v>
      </c>
    </row>
    <row r="1149" spans="1:14" ht="15.6" x14ac:dyDescent="0.3">
      <c r="A1149" s="18" t="s">
        <v>1752</v>
      </c>
      <c r="B1149" s="7">
        <v>6</v>
      </c>
      <c r="C1149" s="7">
        <v>12</v>
      </c>
      <c r="D1149" s="7" t="s">
        <v>2259</v>
      </c>
      <c r="E1149" s="7">
        <v>11000000</v>
      </c>
      <c r="F1149" s="7">
        <f t="shared" si="75"/>
        <v>11000000</v>
      </c>
      <c r="G1149" s="7">
        <f t="shared" si="73"/>
        <v>35437.687658664196</v>
      </c>
      <c r="H1149" s="7" t="s">
        <v>2260</v>
      </c>
      <c r="I1149" s="18" t="s">
        <v>1812</v>
      </c>
      <c r="J1149" s="18" t="s">
        <v>1802</v>
      </c>
      <c r="K1149" s="3" t="s">
        <v>1716</v>
      </c>
      <c r="L1149" s="7" t="s">
        <v>2246</v>
      </c>
      <c r="M1149" s="7" t="str">
        <f t="shared" si="74"/>
        <v>ND</v>
      </c>
      <c r="N1149" s="7" t="str">
        <f t="shared" si="72"/>
        <v>ND</v>
      </c>
    </row>
    <row r="1150" spans="1:14" ht="15.6" x14ac:dyDescent="0.3">
      <c r="A1150" s="18" t="s">
        <v>1752</v>
      </c>
      <c r="B1150" s="7">
        <v>6</v>
      </c>
      <c r="C1150" s="7">
        <v>12</v>
      </c>
      <c r="D1150" s="7" t="s">
        <v>2259</v>
      </c>
      <c r="E1150" s="7">
        <v>11000000</v>
      </c>
      <c r="F1150" s="7">
        <f t="shared" si="75"/>
        <v>11000000</v>
      </c>
      <c r="G1150" s="7">
        <f t="shared" si="73"/>
        <v>35437.687658664196</v>
      </c>
      <c r="H1150" s="7" t="s">
        <v>2260</v>
      </c>
      <c r="I1150" s="18" t="s">
        <v>1812</v>
      </c>
      <c r="J1150" s="18" t="s">
        <v>1802</v>
      </c>
      <c r="K1150" s="3" t="s">
        <v>1716</v>
      </c>
      <c r="L1150" s="7" t="s">
        <v>2246</v>
      </c>
      <c r="M1150" s="7" t="str">
        <f t="shared" si="74"/>
        <v>ND</v>
      </c>
      <c r="N1150" s="7" t="str">
        <f t="shared" si="72"/>
        <v>ND</v>
      </c>
    </row>
    <row r="1151" spans="1:14" ht="15.6" x14ac:dyDescent="0.3">
      <c r="A1151" s="18" t="s">
        <v>1752</v>
      </c>
      <c r="B1151" s="7">
        <v>6</v>
      </c>
      <c r="C1151" s="7">
        <v>12</v>
      </c>
      <c r="D1151" s="7" t="s">
        <v>2259</v>
      </c>
      <c r="E1151" s="7">
        <v>11000000</v>
      </c>
      <c r="F1151" s="7">
        <f t="shared" si="75"/>
        <v>11000000</v>
      </c>
      <c r="G1151" s="7">
        <f t="shared" si="73"/>
        <v>35437.687658664196</v>
      </c>
      <c r="H1151" s="7" t="s">
        <v>2260</v>
      </c>
      <c r="I1151" s="18" t="s">
        <v>1812</v>
      </c>
      <c r="J1151" s="18" t="s">
        <v>1802</v>
      </c>
      <c r="K1151" s="3" t="s">
        <v>1716</v>
      </c>
      <c r="L1151" s="7" t="s">
        <v>2246</v>
      </c>
      <c r="M1151" s="7" t="str">
        <f t="shared" si="74"/>
        <v>ND</v>
      </c>
      <c r="N1151" s="7" t="str">
        <f t="shared" si="72"/>
        <v>ND</v>
      </c>
    </row>
    <row r="1152" spans="1:14" ht="15.6" x14ac:dyDescent="0.3">
      <c r="A1152" s="18" t="s">
        <v>1752</v>
      </c>
      <c r="B1152" s="7">
        <v>6</v>
      </c>
      <c r="C1152" s="7">
        <v>12</v>
      </c>
      <c r="D1152" s="7" t="s">
        <v>2259</v>
      </c>
      <c r="E1152" s="7">
        <v>11000000</v>
      </c>
      <c r="F1152" s="7">
        <f t="shared" si="75"/>
        <v>11000000</v>
      </c>
      <c r="G1152" s="7">
        <f t="shared" si="73"/>
        <v>35437.687658664196</v>
      </c>
      <c r="H1152" s="7" t="s">
        <v>2260</v>
      </c>
      <c r="I1152" s="18" t="s">
        <v>1812</v>
      </c>
      <c r="J1152" s="18" t="s">
        <v>1802</v>
      </c>
      <c r="K1152" s="3" t="s">
        <v>1716</v>
      </c>
      <c r="L1152" s="7" t="s">
        <v>2246</v>
      </c>
      <c r="M1152" s="7" t="str">
        <f t="shared" si="74"/>
        <v>ND</v>
      </c>
      <c r="N1152" s="7" t="str">
        <f t="shared" si="72"/>
        <v>ND</v>
      </c>
    </row>
    <row r="1153" spans="1:14" ht="15.6" x14ac:dyDescent="0.3">
      <c r="A1153" s="18" t="s">
        <v>1752</v>
      </c>
      <c r="B1153" s="7">
        <v>6</v>
      </c>
      <c r="C1153" s="7">
        <v>12</v>
      </c>
      <c r="D1153" s="7" t="s">
        <v>2259</v>
      </c>
      <c r="E1153" s="7">
        <v>11000000</v>
      </c>
      <c r="F1153" s="7">
        <f t="shared" si="75"/>
        <v>11000000</v>
      </c>
      <c r="G1153" s="7">
        <f t="shared" si="73"/>
        <v>35437.687658664196</v>
      </c>
      <c r="H1153" s="7" t="s">
        <v>2260</v>
      </c>
      <c r="I1153" s="18" t="s">
        <v>1812</v>
      </c>
      <c r="J1153" s="18" t="s">
        <v>1802</v>
      </c>
      <c r="K1153" s="3" t="s">
        <v>1716</v>
      </c>
      <c r="L1153" s="7" t="s">
        <v>2246</v>
      </c>
      <c r="M1153" s="7" t="str">
        <f t="shared" si="74"/>
        <v>ND</v>
      </c>
      <c r="N1153" s="7" t="str">
        <f t="shared" si="72"/>
        <v>ND</v>
      </c>
    </row>
    <row r="1154" spans="1:14" ht="15.6" x14ac:dyDescent="0.3">
      <c r="A1154" s="18" t="s">
        <v>1752</v>
      </c>
      <c r="B1154" s="7">
        <v>6</v>
      </c>
      <c r="C1154" s="7">
        <v>12</v>
      </c>
      <c r="D1154" s="7" t="s">
        <v>2259</v>
      </c>
      <c r="E1154" s="7">
        <v>11000000</v>
      </c>
      <c r="F1154" s="7">
        <f t="shared" si="75"/>
        <v>11000000</v>
      </c>
      <c r="G1154" s="7">
        <f t="shared" si="73"/>
        <v>35437.687658664196</v>
      </c>
      <c r="H1154" s="7" t="s">
        <v>2260</v>
      </c>
      <c r="I1154" s="18" t="s">
        <v>1812</v>
      </c>
      <c r="J1154" s="18" t="s">
        <v>1802</v>
      </c>
      <c r="K1154" s="3" t="s">
        <v>1716</v>
      </c>
      <c r="L1154" s="7" t="s">
        <v>2246</v>
      </c>
      <c r="M1154" s="7" t="str">
        <f t="shared" si="74"/>
        <v>ND</v>
      </c>
      <c r="N1154" s="7" t="str">
        <f t="shared" si="72"/>
        <v>ND</v>
      </c>
    </row>
    <row r="1155" spans="1:14" ht="15.6" x14ac:dyDescent="0.3">
      <c r="A1155" s="18" t="s">
        <v>1752</v>
      </c>
      <c r="B1155" s="7">
        <v>6</v>
      </c>
      <c r="C1155" s="7">
        <v>12</v>
      </c>
      <c r="D1155" s="7" t="s">
        <v>2259</v>
      </c>
      <c r="E1155" s="7">
        <v>11000000</v>
      </c>
      <c r="F1155" s="7">
        <f t="shared" si="75"/>
        <v>11000000</v>
      </c>
      <c r="G1155" s="7">
        <f t="shared" si="73"/>
        <v>35437.687658664196</v>
      </c>
      <c r="H1155" s="7" t="s">
        <v>2260</v>
      </c>
      <c r="I1155" s="18" t="s">
        <v>1812</v>
      </c>
      <c r="J1155" s="18" t="s">
        <v>1802</v>
      </c>
      <c r="K1155" s="3" t="s">
        <v>1716</v>
      </c>
      <c r="L1155" s="7" t="s">
        <v>2246</v>
      </c>
      <c r="M1155" s="7" t="str">
        <f t="shared" si="74"/>
        <v>ND</v>
      </c>
      <c r="N1155" s="7" t="str">
        <f t="shared" ref="N1155:N1218" si="76">IFERROR((M1155*F1155)/G1155,"ND")</f>
        <v>ND</v>
      </c>
    </row>
    <row r="1156" spans="1:14" ht="15.6" x14ac:dyDescent="0.3">
      <c r="A1156" s="18" t="s">
        <v>1752</v>
      </c>
      <c r="B1156" s="7">
        <v>6</v>
      </c>
      <c r="C1156" s="7">
        <v>12</v>
      </c>
      <c r="D1156" s="7" t="s">
        <v>2259</v>
      </c>
      <c r="E1156" s="7">
        <v>11000000</v>
      </c>
      <c r="F1156" s="7">
        <f t="shared" si="75"/>
        <v>11000000</v>
      </c>
      <c r="G1156" s="7">
        <f t="shared" si="73"/>
        <v>35437.687658664196</v>
      </c>
      <c r="H1156" s="7" t="s">
        <v>2260</v>
      </c>
      <c r="I1156" s="18" t="s">
        <v>1812</v>
      </c>
      <c r="J1156" s="18" t="s">
        <v>1802</v>
      </c>
      <c r="K1156" s="3" t="s">
        <v>1716</v>
      </c>
      <c r="L1156" s="7" t="s">
        <v>2246</v>
      </c>
      <c r="M1156" s="7" t="str">
        <f t="shared" si="74"/>
        <v>ND</v>
      </c>
      <c r="N1156" s="7" t="str">
        <f t="shared" si="76"/>
        <v>ND</v>
      </c>
    </row>
    <row r="1157" spans="1:14" ht="15.6" x14ac:dyDescent="0.3">
      <c r="A1157" s="18" t="s">
        <v>1752</v>
      </c>
      <c r="B1157" s="7">
        <v>6</v>
      </c>
      <c r="C1157" s="7">
        <v>12</v>
      </c>
      <c r="D1157" s="7" t="s">
        <v>2259</v>
      </c>
      <c r="E1157" s="7">
        <v>11000000</v>
      </c>
      <c r="F1157" s="7">
        <f t="shared" si="75"/>
        <v>11000000</v>
      </c>
      <c r="G1157" s="7">
        <f t="shared" si="73"/>
        <v>35437.687658664196</v>
      </c>
      <c r="H1157" s="7" t="s">
        <v>2260</v>
      </c>
      <c r="I1157" s="18" t="s">
        <v>1812</v>
      </c>
      <c r="J1157" s="18" t="s">
        <v>1802</v>
      </c>
      <c r="K1157" s="3" t="s">
        <v>1716</v>
      </c>
      <c r="L1157" s="7" t="s">
        <v>2246</v>
      </c>
      <c r="M1157" s="7" t="str">
        <f t="shared" si="74"/>
        <v>ND</v>
      </c>
      <c r="N1157" s="7" t="str">
        <f t="shared" si="76"/>
        <v>ND</v>
      </c>
    </row>
    <row r="1158" spans="1:14" ht="15.6" x14ac:dyDescent="0.3">
      <c r="A1158" s="18" t="s">
        <v>1752</v>
      </c>
      <c r="B1158" s="7">
        <v>6</v>
      </c>
      <c r="C1158" s="7">
        <v>12</v>
      </c>
      <c r="D1158" s="7" t="s">
        <v>2259</v>
      </c>
      <c r="E1158" s="7">
        <v>11000000</v>
      </c>
      <c r="F1158" s="7">
        <f t="shared" si="75"/>
        <v>11000000</v>
      </c>
      <c r="G1158" s="7">
        <f t="shared" si="73"/>
        <v>35437.687658664196</v>
      </c>
      <c r="H1158" s="7" t="s">
        <v>2260</v>
      </c>
      <c r="I1158" s="18" t="s">
        <v>1812</v>
      </c>
      <c r="J1158" s="18" t="s">
        <v>1802</v>
      </c>
      <c r="K1158" s="3" t="s">
        <v>1716</v>
      </c>
      <c r="L1158" s="7" t="s">
        <v>2246</v>
      </c>
      <c r="M1158" s="7" t="str">
        <f t="shared" si="74"/>
        <v>ND</v>
      </c>
      <c r="N1158" s="7" t="str">
        <f t="shared" si="76"/>
        <v>ND</v>
      </c>
    </row>
    <row r="1159" spans="1:14" ht="15.6" x14ac:dyDescent="0.3">
      <c r="A1159" s="18" t="s">
        <v>1752</v>
      </c>
      <c r="B1159" s="7">
        <v>6</v>
      </c>
      <c r="C1159" s="7">
        <v>12</v>
      </c>
      <c r="D1159" s="7" t="s">
        <v>2259</v>
      </c>
      <c r="E1159" s="7">
        <v>11000000</v>
      </c>
      <c r="F1159" s="7">
        <f t="shared" si="75"/>
        <v>11000000</v>
      </c>
      <c r="G1159" s="7">
        <f t="shared" si="73"/>
        <v>35437.687658664196</v>
      </c>
      <c r="H1159" s="7" t="s">
        <v>2260</v>
      </c>
      <c r="I1159" s="18" t="s">
        <v>1812</v>
      </c>
      <c r="J1159" s="18" t="s">
        <v>1802</v>
      </c>
      <c r="K1159" s="3" t="s">
        <v>1716</v>
      </c>
      <c r="L1159" s="7" t="s">
        <v>2246</v>
      </c>
      <c r="M1159" s="7" t="str">
        <f t="shared" si="74"/>
        <v>ND</v>
      </c>
      <c r="N1159" s="7" t="str">
        <f t="shared" si="76"/>
        <v>ND</v>
      </c>
    </row>
    <row r="1160" spans="1:14" ht="15.6" x14ac:dyDescent="0.3">
      <c r="A1160" s="18" t="s">
        <v>1752</v>
      </c>
      <c r="B1160" s="7">
        <v>6</v>
      </c>
      <c r="C1160" s="7">
        <v>12</v>
      </c>
      <c r="D1160" s="7" t="s">
        <v>2259</v>
      </c>
      <c r="E1160" s="7">
        <v>11000000</v>
      </c>
      <c r="F1160" s="7">
        <f t="shared" si="75"/>
        <v>11000000</v>
      </c>
      <c r="G1160" s="7">
        <f t="shared" si="73"/>
        <v>35437.687658664196</v>
      </c>
      <c r="H1160" s="7" t="s">
        <v>2260</v>
      </c>
      <c r="I1160" s="18" t="s">
        <v>1812</v>
      </c>
      <c r="J1160" s="18" t="s">
        <v>1802</v>
      </c>
      <c r="K1160" s="3" t="s">
        <v>1716</v>
      </c>
      <c r="L1160" s="7" t="s">
        <v>2246</v>
      </c>
      <c r="M1160" s="7" t="str">
        <f t="shared" si="74"/>
        <v>ND</v>
      </c>
      <c r="N1160" s="7" t="str">
        <f t="shared" si="76"/>
        <v>ND</v>
      </c>
    </row>
    <row r="1161" spans="1:14" ht="15.6" x14ac:dyDescent="0.3">
      <c r="A1161" s="18" t="s">
        <v>1752</v>
      </c>
      <c r="B1161" s="7">
        <v>6</v>
      </c>
      <c r="C1161" s="7">
        <v>12</v>
      </c>
      <c r="D1161" s="7" t="s">
        <v>2259</v>
      </c>
      <c r="E1161" s="7">
        <v>11000000</v>
      </c>
      <c r="F1161" s="7">
        <f t="shared" si="75"/>
        <v>11000000</v>
      </c>
      <c r="G1161" s="7">
        <f t="shared" si="73"/>
        <v>35437.687658664196</v>
      </c>
      <c r="H1161" s="7" t="s">
        <v>2260</v>
      </c>
      <c r="I1161" s="18" t="s">
        <v>1812</v>
      </c>
      <c r="J1161" s="18" t="s">
        <v>1802</v>
      </c>
      <c r="K1161" s="3" t="s">
        <v>1716</v>
      </c>
      <c r="L1161" s="7" t="s">
        <v>2246</v>
      </c>
      <c r="M1161" s="7" t="str">
        <f t="shared" si="74"/>
        <v>ND</v>
      </c>
      <c r="N1161" s="7" t="str">
        <f t="shared" si="76"/>
        <v>ND</v>
      </c>
    </row>
    <row r="1162" spans="1:14" ht="15.6" x14ac:dyDescent="0.3">
      <c r="A1162" s="18" t="s">
        <v>1752</v>
      </c>
      <c r="B1162" s="7">
        <v>6</v>
      </c>
      <c r="C1162" s="7">
        <v>12</v>
      </c>
      <c r="D1162" s="7" t="s">
        <v>2259</v>
      </c>
      <c r="E1162" s="7">
        <v>11000000</v>
      </c>
      <c r="F1162" s="7">
        <f t="shared" si="75"/>
        <v>11000000</v>
      </c>
      <c r="G1162" s="7">
        <f t="shared" si="73"/>
        <v>35437.687658664196</v>
      </c>
      <c r="H1162" s="7" t="s">
        <v>2260</v>
      </c>
      <c r="I1162" s="18" t="s">
        <v>1812</v>
      </c>
      <c r="J1162" s="18" t="s">
        <v>1802</v>
      </c>
      <c r="K1162" s="3" t="s">
        <v>1716</v>
      </c>
      <c r="L1162" s="7" t="s">
        <v>2246</v>
      </c>
      <c r="M1162" s="7" t="str">
        <f t="shared" si="74"/>
        <v>ND</v>
      </c>
      <c r="N1162" s="7" t="str">
        <f t="shared" si="76"/>
        <v>ND</v>
      </c>
    </row>
    <row r="1163" spans="1:14" ht="15.6" x14ac:dyDescent="0.3">
      <c r="A1163" s="18" t="s">
        <v>1752</v>
      </c>
      <c r="B1163" s="7">
        <v>6</v>
      </c>
      <c r="C1163" s="7">
        <v>12</v>
      </c>
      <c r="D1163" s="7" t="s">
        <v>2259</v>
      </c>
      <c r="E1163" s="7">
        <v>11000000</v>
      </c>
      <c r="F1163" s="7">
        <f t="shared" si="75"/>
        <v>11000000</v>
      </c>
      <c r="G1163" s="7">
        <f t="shared" si="73"/>
        <v>35437.687658664196</v>
      </c>
      <c r="H1163" s="7" t="s">
        <v>2260</v>
      </c>
      <c r="I1163" s="18" t="s">
        <v>1812</v>
      </c>
      <c r="J1163" s="18" t="s">
        <v>1802</v>
      </c>
      <c r="K1163" s="3" t="s">
        <v>1716</v>
      </c>
      <c r="L1163" s="7" t="s">
        <v>2246</v>
      </c>
      <c r="M1163" s="7" t="str">
        <f t="shared" si="74"/>
        <v>ND</v>
      </c>
      <c r="N1163" s="7" t="str">
        <f t="shared" si="76"/>
        <v>ND</v>
      </c>
    </row>
    <row r="1164" spans="1:14" ht="15.6" x14ac:dyDescent="0.3">
      <c r="A1164" s="18" t="s">
        <v>1752</v>
      </c>
      <c r="B1164" s="7">
        <v>6</v>
      </c>
      <c r="C1164" s="7">
        <v>12</v>
      </c>
      <c r="D1164" s="7" t="s">
        <v>2259</v>
      </c>
      <c r="E1164" s="7">
        <v>11000000</v>
      </c>
      <c r="F1164" s="7">
        <f t="shared" si="75"/>
        <v>11000000</v>
      </c>
      <c r="G1164" s="7">
        <f t="shared" si="73"/>
        <v>35437.687658664196</v>
      </c>
      <c r="H1164" s="7" t="s">
        <v>2260</v>
      </c>
      <c r="I1164" s="18" t="s">
        <v>1812</v>
      </c>
      <c r="J1164" s="18" t="s">
        <v>1802</v>
      </c>
      <c r="K1164" s="3" t="s">
        <v>1716</v>
      </c>
      <c r="L1164" s="7" t="s">
        <v>2246</v>
      </c>
      <c r="M1164" s="7" t="str">
        <f t="shared" si="74"/>
        <v>ND</v>
      </c>
      <c r="N1164" s="7" t="str">
        <f t="shared" si="76"/>
        <v>ND</v>
      </c>
    </row>
    <row r="1165" spans="1:14" ht="15.6" x14ac:dyDescent="0.3">
      <c r="A1165" s="18" t="s">
        <v>1752</v>
      </c>
      <c r="B1165" s="7">
        <v>6</v>
      </c>
      <c r="C1165" s="7">
        <v>12</v>
      </c>
      <c r="D1165" s="7" t="s">
        <v>2259</v>
      </c>
      <c r="E1165" s="7">
        <v>11000000</v>
      </c>
      <c r="F1165" s="7">
        <f t="shared" si="75"/>
        <v>11000000</v>
      </c>
      <c r="G1165" s="7">
        <f t="shared" si="73"/>
        <v>35437.687658664196</v>
      </c>
      <c r="H1165" s="7" t="s">
        <v>2260</v>
      </c>
      <c r="I1165" s="18" t="s">
        <v>1812</v>
      </c>
      <c r="J1165" s="18" t="s">
        <v>1802</v>
      </c>
      <c r="K1165" s="3" t="s">
        <v>1716</v>
      </c>
      <c r="L1165" s="7" t="s">
        <v>2246</v>
      </c>
      <c r="M1165" s="7" t="str">
        <f t="shared" si="74"/>
        <v>ND</v>
      </c>
      <c r="N1165" s="7" t="str">
        <f t="shared" si="76"/>
        <v>ND</v>
      </c>
    </row>
    <row r="1166" spans="1:14" ht="15.6" x14ac:dyDescent="0.3">
      <c r="A1166" s="18" t="s">
        <v>1752</v>
      </c>
      <c r="B1166" s="7">
        <v>6</v>
      </c>
      <c r="C1166" s="7">
        <v>12</v>
      </c>
      <c r="D1166" s="7" t="s">
        <v>2259</v>
      </c>
      <c r="E1166" s="7">
        <v>11000000</v>
      </c>
      <c r="F1166" s="7">
        <f t="shared" si="75"/>
        <v>11000000</v>
      </c>
      <c r="G1166" s="7">
        <f t="shared" si="73"/>
        <v>35437.687658664196</v>
      </c>
      <c r="H1166" s="7" t="s">
        <v>2260</v>
      </c>
      <c r="I1166" s="18" t="s">
        <v>1812</v>
      </c>
      <c r="J1166" s="18" t="s">
        <v>1802</v>
      </c>
      <c r="K1166" s="3" t="s">
        <v>1716</v>
      </c>
      <c r="L1166" s="7" t="s">
        <v>2246</v>
      </c>
      <c r="M1166" s="7" t="str">
        <f t="shared" si="74"/>
        <v>ND</v>
      </c>
      <c r="N1166" s="7" t="str">
        <f t="shared" si="76"/>
        <v>ND</v>
      </c>
    </row>
    <row r="1167" spans="1:14" ht="15.6" x14ac:dyDescent="0.3">
      <c r="A1167" s="18" t="s">
        <v>1752</v>
      </c>
      <c r="B1167" s="7">
        <v>6</v>
      </c>
      <c r="C1167" s="7">
        <v>12</v>
      </c>
      <c r="D1167" s="7" t="s">
        <v>2259</v>
      </c>
      <c r="E1167" s="7">
        <v>11000000</v>
      </c>
      <c r="F1167" s="7">
        <f t="shared" si="75"/>
        <v>11000000</v>
      </c>
      <c r="G1167" s="7">
        <f t="shared" si="73"/>
        <v>35437.687658664196</v>
      </c>
      <c r="H1167" s="7" t="s">
        <v>2260</v>
      </c>
      <c r="I1167" s="18" t="s">
        <v>1812</v>
      </c>
      <c r="J1167" s="18" t="s">
        <v>1802</v>
      </c>
      <c r="K1167" s="3" t="s">
        <v>1716</v>
      </c>
      <c r="L1167" s="7" t="s">
        <v>2246</v>
      </c>
      <c r="M1167" s="7" t="str">
        <f t="shared" si="74"/>
        <v>ND</v>
      </c>
      <c r="N1167" s="7" t="str">
        <f t="shared" si="76"/>
        <v>ND</v>
      </c>
    </row>
    <row r="1168" spans="1:14" ht="15.6" x14ac:dyDescent="0.3">
      <c r="A1168" s="18" t="s">
        <v>1752</v>
      </c>
      <c r="B1168" s="7">
        <v>6</v>
      </c>
      <c r="C1168" s="7">
        <v>12</v>
      </c>
      <c r="D1168" s="7" t="s">
        <v>2259</v>
      </c>
      <c r="E1168" s="7">
        <v>11000000</v>
      </c>
      <c r="F1168" s="7">
        <f t="shared" si="75"/>
        <v>11000000</v>
      </c>
      <c r="G1168" s="7">
        <f t="shared" si="73"/>
        <v>35437.687658664196</v>
      </c>
      <c r="H1168" s="7" t="s">
        <v>2260</v>
      </c>
      <c r="I1168" s="18" t="s">
        <v>1812</v>
      </c>
      <c r="J1168" s="18" t="s">
        <v>1802</v>
      </c>
      <c r="K1168" s="3" t="s">
        <v>1716</v>
      </c>
      <c r="L1168" s="7" t="s">
        <v>2246</v>
      </c>
      <c r="M1168" s="7" t="str">
        <f t="shared" si="74"/>
        <v>ND</v>
      </c>
      <c r="N1168" s="7" t="str">
        <f t="shared" si="76"/>
        <v>ND</v>
      </c>
    </row>
    <row r="1169" spans="1:14" ht="15.6" x14ac:dyDescent="0.3">
      <c r="A1169" s="18" t="s">
        <v>1752</v>
      </c>
      <c r="B1169" s="7">
        <v>6</v>
      </c>
      <c r="C1169" s="7">
        <v>12</v>
      </c>
      <c r="D1169" s="7" t="s">
        <v>2259</v>
      </c>
      <c r="E1169" s="7">
        <v>11000000</v>
      </c>
      <c r="F1169" s="7">
        <f t="shared" si="75"/>
        <v>11000000</v>
      </c>
      <c r="G1169" s="7">
        <f t="shared" si="73"/>
        <v>35437.687658664196</v>
      </c>
      <c r="H1169" s="7" t="s">
        <v>2260</v>
      </c>
      <c r="I1169" s="18" t="s">
        <v>1812</v>
      </c>
      <c r="J1169" s="18" t="s">
        <v>1802</v>
      </c>
      <c r="K1169" s="3" t="s">
        <v>1716</v>
      </c>
      <c r="L1169" s="7" t="s">
        <v>2246</v>
      </c>
      <c r="M1169" s="7" t="str">
        <f t="shared" si="74"/>
        <v>ND</v>
      </c>
      <c r="N1169" s="7" t="str">
        <f t="shared" si="76"/>
        <v>ND</v>
      </c>
    </row>
    <row r="1170" spans="1:14" ht="15.6" x14ac:dyDescent="0.3">
      <c r="A1170" s="18" t="s">
        <v>1752</v>
      </c>
      <c r="B1170" s="7">
        <v>6</v>
      </c>
      <c r="C1170" s="7">
        <v>12</v>
      </c>
      <c r="D1170" s="7" t="s">
        <v>2259</v>
      </c>
      <c r="E1170" s="7">
        <v>11000000</v>
      </c>
      <c r="F1170" s="7">
        <f t="shared" si="75"/>
        <v>11000000</v>
      </c>
      <c r="G1170" s="7">
        <f t="shared" si="73"/>
        <v>35437.687658664196</v>
      </c>
      <c r="H1170" s="7" t="s">
        <v>2260</v>
      </c>
      <c r="I1170" s="18" t="s">
        <v>1812</v>
      </c>
      <c r="J1170" s="18" t="s">
        <v>1802</v>
      </c>
      <c r="K1170" s="3" t="s">
        <v>1716</v>
      </c>
      <c r="L1170" s="7" t="s">
        <v>2246</v>
      </c>
      <c r="M1170" s="7" t="str">
        <f t="shared" si="74"/>
        <v>ND</v>
      </c>
      <c r="N1170" s="7" t="str">
        <f t="shared" si="76"/>
        <v>ND</v>
      </c>
    </row>
    <row r="1171" spans="1:14" ht="15.6" x14ac:dyDescent="0.3">
      <c r="A1171" s="18" t="s">
        <v>1752</v>
      </c>
      <c r="B1171" s="7">
        <v>6</v>
      </c>
      <c r="C1171" s="7">
        <v>12</v>
      </c>
      <c r="D1171" s="7" t="s">
        <v>2259</v>
      </c>
      <c r="E1171" s="7">
        <v>11000000</v>
      </c>
      <c r="F1171" s="7">
        <f t="shared" si="75"/>
        <v>11000000</v>
      </c>
      <c r="G1171" s="7">
        <f t="shared" si="73"/>
        <v>35437.687658664196</v>
      </c>
      <c r="H1171" s="7" t="s">
        <v>2260</v>
      </c>
      <c r="I1171" s="18" t="s">
        <v>1812</v>
      </c>
      <c r="J1171" s="18" t="s">
        <v>1802</v>
      </c>
      <c r="K1171" s="3" t="s">
        <v>1716</v>
      </c>
      <c r="L1171" s="7" t="s">
        <v>2246</v>
      </c>
      <c r="M1171" s="7" t="str">
        <f t="shared" si="74"/>
        <v>ND</v>
      </c>
      <c r="N1171" s="7" t="str">
        <f t="shared" si="76"/>
        <v>ND</v>
      </c>
    </row>
    <row r="1172" spans="1:14" ht="15.6" x14ac:dyDescent="0.3">
      <c r="A1172" s="18" t="s">
        <v>1752</v>
      </c>
      <c r="B1172" s="7">
        <v>6</v>
      </c>
      <c r="C1172" s="7">
        <v>12</v>
      </c>
      <c r="D1172" s="7" t="s">
        <v>2259</v>
      </c>
      <c r="E1172" s="7">
        <v>11000000</v>
      </c>
      <c r="F1172" s="7">
        <f t="shared" si="75"/>
        <v>11000000</v>
      </c>
      <c r="G1172" s="7">
        <f t="shared" si="73"/>
        <v>35437.687658664196</v>
      </c>
      <c r="H1172" s="7" t="s">
        <v>2260</v>
      </c>
      <c r="I1172" s="18" t="s">
        <v>1812</v>
      </c>
      <c r="J1172" s="18" t="s">
        <v>1802</v>
      </c>
      <c r="K1172" s="3" t="s">
        <v>1716</v>
      </c>
      <c r="L1172" s="7" t="s">
        <v>2246</v>
      </c>
      <c r="M1172" s="7" t="str">
        <f t="shared" si="74"/>
        <v>ND</v>
      </c>
      <c r="N1172" s="7" t="str">
        <f t="shared" si="76"/>
        <v>ND</v>
      </c>
    </row>
    <row r="1173" spans="1:14" ht="15.6" x14ac:dyDescent="0.3">
      <c r="A1173" s="18" t="s">
        <v>1752</v>
      </c>
      <c r="B1173" s="7">
        <v>6</v>
      </c>
      <c r="C1173" s="7">
        <v>12</v>
      </c>
      <c r="D1173" s="7" t="s">
        <v>2259</v>
      </c>
      <c r="E1173" s="7">
        <v>11000000</v>
      </c>
      <c r="F1173" s="7">
        <f t="shared" si="75"/>
        <v>11000000</v>
      </c>
      <c r="G1173" s="7">
        <f t="shared" si="73"/>
        <v>35437.687658664196</v>
      </c>
      <c r="H1173" s="7" t="s">
        <v>2260</v>
      </c>
      <c r="I1173" s="18" t="s">
        <v>1812</v>
      </c>
      <c r="J1173" s="18" t="s">
        <v>1802</v>
      </c>
      <c r="K1173" s="3" t="s">
        <v>1716</v>
      </c>
      <c r="L1173" s="7" t="s">
        <v>2246</v>
      </c>
      <c r="M1173" s="7" t="str">
        <f t="shared" si="74"/>
        <v>ND</v>
      </c>
      <c r="N1173" s="7" t="str">
        <f t="shared" si="76"/>
        <v>ND</v>
      </c>
    </row>
    <row r="1174" spans="1:14" ht="15.6" x14ac:dyDescent="0.3">
      <c r="A1174" s="18" t="s">
        <v>1752</v>
      </c>
      <c r="B1174" s="7">
        <v>6</v>
      </c>
      <c r="C1174" s="7">
        <v>12</v>
      </c>
      <c r="D1174" s="7" t="s">
        <v>2259</v>
      </c>
      <c r="E1174" s="7">
        <v>11000000</v>
      </c>
      <c r="F1174" s="7">
        <f t="shared" si="75"/>
        <v>11000000</v>
      </c>
      <c r="G1174" s="7">
        <f t="shared" si="73"/>
        <v>35437.687658664196</v>
      </c>
      <c r="H1174" s="7" t="s">
        <v>2260</v>
      </c>
      <c r="I1174" s="18" t="s">
        <v>1812</v>
      </c>
      <c r="J1174" s="18" t="s">
        <v>1802</v>
      </c>
      <c r="K1174" s="3" t="s">
        <v>1716</v>
      </c>
      <c r="L1174" s="7" t="s">
        <v>2246</v>
      </c>
      <c r="M1174" s="7" t="str">
        <f t="shared" si="74"/>
        <v>ND</v>
      </c>
      <c r="N1174" s="7" t="str">
        <f t="shared" si="76"/>
        <v>ND</v>
      </c>
    </row>
    <row r="1175" spans="1:14" ht="15.6" x14ac:dyDescent="0.3">
      <c r="A1175" s="18" t="s">
        <v>1752</v>
      </c>
      <c r="B1175" s="7">
        <v>6</v>
      </c>
      <c r="C1175" s="7">
        <v>13</v>
      </c>
      <c r="D1175" s="7" t="s">
        <v>2261</v>
      </c>
      <c r="E1175" s="7">
        <v>23000000</v>
      </c>
      <c r="F1175" s="7">
        <f t="shared" si="75"/>
        <v>23000000</v>
      </c>
      <c r="G1175" s="7">
        <f t="shared" si="73"/>
        <v>74096.983286297851</v>
      </c>
      <c r="H1175" s="7" t="s">
        <v>2260</v>
      </c>
      <c r="I1175" s="18" t="s">
        <v>1812</v>
      </c>
      <c r="J1175" s="18" t="s">
        <v>1802</v>
      </c>
      <c r="K1175" s="3" t="s">
        <v>1716</v>
      </c>
      <c r="L1175" s="7" t="s">
        <v>2246</v>
      </c>
      <c r="M1175" s="7" t="str">
        <f t="shared" si="74"/>
        <v>ND</v>
      </c>
      <c r="N1175" s="7" t="str">
        <f t="shared" si="76"/>
        <v>ND</v>
      </c>
    </row>
    <row r="1176" spans="1:14" ht="15.6" x14ac:dyDescent="0.3">
      <c r="A1176" s="18" t="s">
        <v>1752</v>
      </c>
      <c r="B1176" s="7">
        <v>6</v>
      </c>
      <c r="C1176" s="7">
        <v>13</v>
      </c>
      <c r="D1176" s="7" t="s">
        <v>2261</v>
      </c>
      <c r="E1176" s="7">
        <v>23000000</v>
      </c>
      <c r="F1176" s="7">
        <f t="shared" si="75"/>
        <v>23000000</v>
      </c>
      <c r="G1176" s="7">
        <f t="shared" si="73"/>
        <v>74096.983286297851</v>
      </c>
      <c r="H1176" s="7" t="s">
        <v>2260</v>
      </c>
      <c r="I1176" s="18" t="s">
        <v>1812</v>
      </c>
      <c r="J1176" s="18" t="s">
        <v>1802</v>
      </c>
      <c r="K1176" s="3" t="s">
        <v>1716</v>
      </c>
      <c r="L1176" s="7" t="s">
        <v>2246</v>
      </c>
      <c r="M1176" s="7" t="str">
        <f t="shared" si="74"/>
        <v>ND</v>
      </c>
      <c r="N1176" s="7" t="str">
        <f t="shared" si="76"/>
        <v>ND</v>
      </c>
    </row>
    <row r="1177" spans="1:14" ht="15.6" x14ac:dyDescent="0.3">
      <c r="A1177" s="18" t="s">
        <v>1752</v>
      </c>
      <c r="B1177" s="7">
        <v>6</v>
      </c>
      <c r="C1177" s="7">
        <v>13</v>
      </c>
      <c r="D1177" s="7" t="s">
        <v>2261</v>
      </c>
      <c r="E1177" s="7">
        <v>23000000</v>
      </c>
      <c r="F1177" s="7">
        <f t="shared" si="75"/>
        <v>23000000</v>
      </c>
      <c r="G1177" s="7">
        <f t="shared" ref="G1177:G1240" si="77">F1177/310.404</f>
        <v>74096.983286297851</v>
      </c>
      <c r="H1177" s="7" t="s">
        <v>2260</v>
      </c>
      <c r="I1177" s="18" t="s">
        <v>1812</v>
      </c>
      <c r="J1177" s="18" t="s">
        <v>1802</v>
      </c>
      <c r="K1177" s="3" t="s">
        <v>1716</v>
      </c>
      <c r="L1177" s="7" t="s">
        <v>2246</v>
      </c>
      <c r="M1177" s="7" t="str">
        <f t="shared" si="74"/>
        <v>ND</v>
      </c>
      <c r="N1177" s="7" t="str">
        <f t="shared" si="76"/>
        <v>ND</v>
      </c>
    </row>
    <row r="1178" spans="1:14" ht="15.6" x14ac:dyDescent="0.3">
      <c r="A1178" s="18" t="s">
        <v>1752</v>
      </c>
      <c r="B1178" s="7">
        <v>6</v>
      </c>
      <c r="C1178" s="7">
        <v>13</v>
      </c>
      <c r="D1178" s="7" t="s">
        <v>2261</v>
      </c>
      <c r="E1178" s="7">
        <v>23000000</v>
      </c>
      <c r="F1178" s="7">
        <f t="shared" si="75"/>
        <v>23000000</v>
      </c>
      <c r="G1178" s="7">
        <f t="shared" si="77"/>
        <v>74096.983286297851</v>
      </c>
      <c r="H1178" s="7" t="s">
        <v>2260</v>
      </c>
      <c r="I1178" s="18" t="s">
        <v>1812</v>
      </c>
      <c r="J1178" s="18" t="s">
        <v>1802</v>
      </c>
      <c r="K1178" s="3" t="s">
        <v>1716</v>
      </c>
      <c r="L1178" s="7" t="s">
        <v>2246</v>
      </c>
      <c r="M1178" s="7" t="str">
        <f t="shared" si="74"/>
        <v>ND</v>
      </c>
      <c r="N1178" s="7" t="str">
        <f t="shared" si="76"/>
        <v>ND</v>
      </c>
    </row>
    <row r="1179" spans="1:14" ht="15.6" x14ac:dyDescent="0.3">
      <c r="A1179" s="18" t="s">
        <v>1752</v>
      </c>
      <c r="B1179" s="7">
        <v>6</v>
      </c>
      <c r="C1179" s="7">
        <v>13</v>
      </c>
      <c r="D1179" s="7" t="s">
        <v>2261</v>
      </c>
      <c r="E1179" s="7">
        <v>23000000</v>
      </c>
      <c r="F1179" s="7">
        <f t="shared" si="75"/>
        <v>23000000</v>
      </c>
      <c r="G1179" s="7">
        <f t="shared" si="77"/>
        <v>74096.983286297851</v>
      </c>
      <c r="H1179" s="7" t="s">
        <v>2260</v>
      </c>
      <c r="I1179" s="18" t="s">
        <v>1812</v>
      </c>
      <c r="J1179" s="18" t="s">
        <v>1802</v>
      </c>
      <c r="K1179" s="3" t="s">
        <v>1716</v>
      </c>
      <c r="L1179" s="7" t="s">
        <v>2246</v>
      </c>
      <c r="M1179" s="7" t="str">
        <f t="shared" si="74"/>
        <v>ND</v>
      </c>
      <c r="N1179" s="7" t="str">
        <f t="shared" si="76"/>
        <v>ND</v>
      </c>
    </row>
    <row r="1180" spans="1:14" ht="15.6" x14ac:dyDescent="0.3">
      <c r="A1180" s="18" t="s">
        <v>1752</v>
      </c>
      <c r="B1180" s="7">
        <v>6</v>
      </c>
      <c r="C1180" s="7">
        <v>13</v>
      </c>
      <c r="D1180" s="7" t="s">
        <v>2261</v>
      </c>
      <c r="E1180" s="7">
        <v>23000000</v>
      </c>
      <c r="F1180" s="7">
        <f t="shared" si="75"/>
        <v>23000000</v>
      </c>
      <c r="G1180" s="7">
        <f t="shared" si="77"/>
        <v>74096.983286297851</v>
      </c>
      <c r="H1180" s="7" t="s">
        <v>2260</v>
      </c>
      <c r="I1180" s="18" t="s">
        <v>1812</v>
      </c>
      <c r="J1180" s="18" t="s">
        <v>1802</v>
      </c>
      <c r="K1180" s="3" t="s">
        <v>1716</v>
      </c>
      <c r="L1180" s="7" t="s">
        <v>2246</v>
      </c>
      <c r="M1180" s="7" t="str">
        <f t="shared" si="74"/>
        <v>ND</v>
      </c>
      <c r="N1180" s="7" t="str">
        <f t="shared" si="76"/>
        <v>ND</v>
      </c>
    </row>
    <row r="1181" spans="1:14" ht="15.6" x14ac:dyDescent="0.3">
      <c r="A1181" s="18" t="s">
        <v>1752</v>
      </c>
      <c r="B1181" s="7">
        <v>6</v>
      </c>
      <c r="C1181" s="7">
        <v>13</v>
      </c>
      <c r="D1181" s="7" t="s">
        <v>2261</v>
      </c>
      <c r="E1181" s="7">
        <v>23000000</v>
      </c>
      <c r="F1181" s="7">
        <f t="shared" si="75"/>
        <v>23000000</v>
      </c>
      <c r="G1181" s="7">
        <f t="shared" si="77"/>
        <v>74096.983286297851</v>
      </c>
      <c r="H1181" s="7" t="s">
        <v>2260</v>
      </c>
      <c r="I1181" s="18" t="s">
        <v>1812</v>
      </c>
      <c r="J1181" s="18" t="s">
        <v>1802</v>
      </c>
      <c r="K1181" s="3" t="s">
        <v>1716</v>
      </c>
      <c r="L1181" s="7" t="s">
        <v>2246</v>
      </c>
      <c r="M1181" s="7" t="str">
        <f t="shared" si="74"/>
        <v>ND</v>
      </c>
      <c r="N1181" s="7" t="str">
        <f t="shared" si="76"/>
        <v>ND</v>
      </c>
    </row>
    <row r="1182" spans="1:14" ht="15.6" x14ac:dyDescent="0.3">
      <c r="A1182" s="18" t="s">
        <v>1752</v>
      </c>
      <c r="B1182" s="7">
        <v>6</v>
      </c>
      <c r="C1182" s="7">
        <v>13</v>
      </c>
      <c r="D1182" s="7" t="s">
        <v>2261</v>
      </c>
      <c r="E1182" s="7">
        <v>23000000</v>
      </c>
      <c r="F1182" s="7">
        <f t="shared" si="75"/>
        <v>23000000</v>
      </c>
      <c r="G1182" s="7">
        <f t="shared" si="77"/>
        <v>74096.983286297851</v>
      </c>
      <c r="H1182" s="7" t="s">
        <v>2260</v>
      </c>
      <c r="I1182" s="18" t="s">
        <v>1812</v>
      </c>
      <c r="J1182" s="18" t="s">
        <v>1802</v>
      </c>
      <c r="K1182" s="3" t="s">
        <v>1716</v>
      </c>
      <c r="L1182" s="7" t="s">
        <v>2246</v>
      </c>
      <c r="M1182" s="7" t="str">
        <f t="shared" si="74"/>
        <v>ND</v>
      </c>
      <c r="N1182" s="7" t="str">
        <f t="shared" si="76"/>
        <v>ND</v>
      </c>
    </row>
    <row r="1183" spans="1:14" ht="15.6" x14ac:dyDescent="0.3">
      <c r="A1183" s="18" t="s">
        <v>1752</v>
      </c>
      <c r="B1183" s="7">
        <v>6</v>
      </c>
      <c r="C1183" s="7">
        <v>13</v>
      </c>
      <c r="D1183" s="7" t="s">
        <v>2261</v>
      </c>
      <c r="E1183" s="7">
        <v>23000000</v>
      </c>
      <c r="F1183" s="7">
        <f t="shared" si="75"/>
        <v>23000000</v>
      </c>
      <c r="G1183" s="7">
        <f t="shared" si="77"/>
        <v>74096.983286297851</v>
      </c>
      <c r="H1183" s="7" t="s">
        <v>2260</v>
      </c>
      <c r="I1183" s="18" t="s">
        <v>1812</v>
      </c>
      <c r="J1183" s="18" t="s">
        <v>1802</v>
      </c>
      <c r="K1183" s="3" t="s">
        <v>1716</v>
      </c>
      <c r="L1183" s="7" t="s">
        <v>2246</v>
      </c>
      <c r="M1183" s="7" t="str">
        <f t="shared" si="74"/>
        <v>ND</v>
      </c>
      <c r="N1183" s="7" t="str">
        <f t="shared" si="76"/>
        <v>ND</v>
      </c>
    </row>
    <row r="1184" spans="1:14" ht="15.6" x14ac:dyDescent="0.3">
      <c r="A1184" s="18" t="s">
        <v>1752</v>
      </c>
      <c r="B1184" s="7">
        <v>6</v>
      </c>
      <c r="C1184" s="7">
        <v>13</v>
      </c>
      <c r="D1184" s="7" t="s">
        <v>2261</v>
      </c>
      <c r="E1184" s="7">
        <v>23000000</v>
      </c>
      <c r="F1184" s="7">
        <f t="shared" si="75"/>
        <v>23000000</v>
      </c>
      <c r="G1184" s="7">
        <f t="shared" si="77"/>
        <v>74096.983286297851</v>
      </c>
      <c r="H1184" s="7" t="s">
        <v>2260</v>
      </c>
      <c r="I1184" s="18" t="s">
        <v>1812</v>
      </c>
      <c r="J1184" s="18" t="s">
        <v>1802</v>
      </c>
      <c r="K1184" s="3" t="s">
        <v>1716</v>
      </c>
      <c r="L1184" s="7" t="s">
        <v>2246</v>
      </c>
      <c r="M1184" s="7" t="str">
        <f t="shared" si="74"/>
        <v>ND</v>
      </c>
      <c r="N1184" s="7" t="str">
        <f t="shared" si="76"/>
        <v>ND</v>
      </c>
    </row>
    <row r="1185" spans="1:14" ht="15.6" x14ac:dyDescent="0.3">
      <c r="A1185" s="18" t="s">
        <v>1752</v>
      </c>
      <c r="B1185" s="7">
        <v>6</v>
      </c>
      <c r="C1185" s="7">
        <v>13</v>
      </c>
      <c r="D1185" s="7" t="s">
        <v>2261</v>
      </c>
      <c r="E1185" s="7">
        <v>23000000</v>
      </c>
      <c r="F1185" s="7">
        <f t="shared" si="75"/>
        <v>23000000</v>
      </c>
      <c r="G1185" s="7">
        <f t="shared" si="77"/>
        <v>74096.983286297851</v>
      </c>
      <c r="H1185" s="7" t="s">
        <v>2260</v>
      </c>
      <c r="I1185" s="18" t="s">
        <v>1812</v>
      </c>
      <c r="J1185" s="18" t="s">
        <v>1802</v>
      </c>
      <c r="K1185" s="3" t="s">
        <v>1716</v>
      </c>
      <c r="L1185" s="7" t="s">
        <v>2246</v>
      </c>
      <c r="M1185" s="7" t="str">
        <f t="shared" si="74"/>
        <v>ND</v>
      </c>
      <c r="N1185" s="7" t="str">
        <f t="shared" si="76"/>
        <v>ND</v>
      </c>
    </row>
    <row r="1186" spans="1:14" ht="15.6" x14ac:dyDescent="0.3">
      <c r="A1186" s="18" t="s">
        <v>1752</v>
      </c>
      <c r="B1186" s="7">
        <v>6</v>
      </c>
      <c r="C1186" s="7">
        <v>13</v>
      </c>
      <c r="D1186" s="7" t="s">
        <v>2261</v>
      </c>
      <c r="E1186" s="7">
        <v>23000000</v>
      </c>
      <c r="F1186" s="7">
        <f t="shared" si="75"/>
        <v>23000000</v>
      </c>
      <c r="G1186" s="7">
        <f t="shared" si="77"/>
        <v>74096.983286297851</v>
      </c>
      <c r="H1186" s="7" t="s">
        <v>2260</v>
      </c>
      <c r="I1186" s="18" t="s">
        <v>1812</v>
      </c>
      <c r="J1186" s="18" t="s">
        <v>1802</v>
      </c>
      <c r="K1186" s="3" t="s">
        <v>1716</v>
      </c>
      <c r="L1186" s="7" t="s">
        <v>2246</v>
      </c>
      <c r="M1186" s="7" t="str">
        <f t="shared" si="74"/>
        <v>ND</v>
      </c>
      <c r="N1186" s="7" t="str">
        <f t="shared" si="76"/>
        <v>ND</v>
      </c>
    </row>
    <row r="1187" spans="1:14" ht="15.6" x14ac:dyDescent="0.3">
      <c r="A1187" s="18" t="s">
        <v>1752</v>
      </c>
      <c r="B1187" s="7">
        <v>6</v>
      </c>
      <c r="C1187" s="7">
        <v>13</v>
      </c>
      <c r="D1187" s="7" t="s">
        <v>2261</v>
      </c>
      <c r="E1187" s="7">
        <v>23000000</v>
      </c>
      <c r="F1187" s="7">
        <f t="shared" si="75"/>
        <v>23000000</v>
      </c>
      <c r="G1187" s="7">
        <f t="shared" si="77"/>
        <v>74096.983286297851</v>
      </c>
      <c r="H1187" s="7" t="s">
        <v>2260</v>
      </c>
      <c r="I1187" s="18" t="s">
        <v>1812</v>
      </c>
      <c r="J1187" s="18" t="s">
        <v>1802</v>
      </c>
      <c r="K1187" s="3" t="s">
        <v>1716</v>
      </c>
      <c r="L1187" s="7" t="s">
        <v>2246</v>
      </c>
      <c r="M1187" s="7" t="str">
        <f t="shared" si="74"/>
        <v>ND</v>
      </c>
      <c r="N1187" s="7" t="str">
        <f t="shared" si="76"/>
        <v>ND</v>
      </c>
    </row>
    <row r="1188" spans="1:14" ht="15.6" x14ac:dyDescent="0.3">
      <c r="A1188" s="18" t="s">
        <v>1752</v>
      </c>
      <c r="B1188" s="7">
        <v>6</v>
      </c>
      <c r="C1188" s="7">
        <v>13</v>
      </c>
      <c r="D1188" s="7" t="s">
        <v>2261</v>
      </c>
      <c r="E1188" s="7">
        <v>23000000</v>
      </c>
      <c r="F1188" s="7">
        <f t="shared" si="75"/>
        <v>23000000</v>
      </c>
      <c r="G1188" s="7">
        <f t="shared" si="77"/>
        <v>74096.983286297851</v>
      </c>
      <c r="H1188" s="7" t="s">
        <v>2260</v>
      </c>
      <c r="I1188" s="18" t="s">
        <v>1812</v>
      </c>
      <c r="J1188" s="18" t="s">
        <v>1802</v>
      </c>
      <c r="K1188" s="3" t="s">
        <v>1716</v>
      </c>
      <c r="L1188" s="7" t="s">
        <v>2246</v>
      </c>
      <c r="M1188" s="7" t="str">
        <f t="shared" si="74"/>
        <v>ND</v>
      </c>
      <c r="N1188" s="7" t="str">
        <f t="shared" si="76"/>
        <v>ND</v>
      </c>
    </row>
    <row r="1189" spans="1:14" ht="15.6" x14ac:dyDescent="0.3">
      <c r="A1189" s="18" t="s">
        <v>1763</v>
      </c>
      <c r="B1189" s="7">
        <v>6</v>
      </c>
      <c r="C1189" s="7">
        <v>13</v>
      </c>
      <c r="D1189" s="7" t="s">
        <v>2261</v>
      </c>
      <c r="E1189" s="7">
        <v>23000000</v>
      </c>
      <c r="F1189" s="7">
        <f t="shared" si="75"/>
        <v>23000000</v>
      </c>
      <c r="G1189" s="7">
        <f t="shared" si="77"/>
        <v>74096.983286297851</v>
      </c>
      <c r="H1189" s="7" t="s">
        <v>2260</v>
      </c>
      <c r="I1189" s="18" t="s">
        <v>1812</v>
      </c>
      <c r="J1189" s="18" t="s">
        <v>1802</v>
      </c>
      <c r="K1189" s="3" t="s">
        <v>1716</v>
      </c>
      <c r="L1189" s="7" t="s">
        <v>2246</v>
      </c>
      <c r="M1189" s="7" t="str">
        <f t="shared" si="74"/>
        <v>ND</v>
      </c>
      <c r="N1189" s="7" t="str">
        <f t="shared" si="76"/>
        <v>ND</v>
      </c>
    </row>
    <row r="1190" spans="1:14" ht="15.6" x14ac:dyDescent="0.3">
      <c r="A1190" s="18" t="s">
        <v>1763</v>
      </c>
      <c r="B1190" s="7">
        <v>6</v>
      </c>
      <c r="C1190" s="7">
        <v>13</v>
      </c>
      <c r="D1190" s="7" t="s">
        <v>2261</v>
      </c>
      <c r="E1190" s="7">
        <v>23000000</v>
      </c>
      <c r="F1190" s="7">
        <f t="shared" si="75"/>
        <v>23000000</v>
      </c>
      <c r="G1190" s="7">
        <f t="shared" si="77"/>
        <v>74096.983286297851</v>
      </c>
      <c r="H1190" s="7" t="s">
        <v>2260</v>
      </c>
      <c r="I1190" s="18" t="s">
        <v>1812</v>
      </c>
      <c r="J1190" s="18" t="s">
        <v>1802</v>
      </c>
      <c r="K1190" s="3" t="s">
        <v>1716</v>
      </c>
      <c r="L1190" s="7" t="s">
        <v>2246</v>
      </c>
      <c r="M1190" s="7" t="str">
        <f t="shared" si="74"/>
        <v>ND</v>
      </c>
      <c r="N1190" s="7" t="str">
        <f t="shared" si="76"/>
        <v>ND</v>
      </c>
    </row>
    <row r="1191" spans="1:14" ht="15.6" x14ac:dyDescent="0.3">
      <c r="A1191" s="18" t="s">
        <v>1763</v>
      </c>
      <c r="B1191" s="7">
        <v>6</v>
      </c>
      <c r="C1191" s="7">
        <v>13</v>
      </c>
      <c r="D1191" s="7" t="s">
        <v>2261</v>
      </c>
      <c r="E1191" s="7">
        <v>23000000</v>
      </c>
      <c r="F1191" s="7">
        <f t="shared" si="75"/>
        <v>23000000</v>
      </c>
      <c r="G1191" s="7">
        <f t="shared" si="77"/>
        <v>74096.983286297851</v>
      </c>
      <c r="H1191" s="7" t="s">
        <v>2260</v>
      </c>
      <c r="I1191" s="18" t="s">
        <v>1812</v>
      </c>
      <c r="J1191" s="18" t="s">
        <v>1802</v>
      </c>
      <c r="K1191" s="3" t="s">
        <v>1716</v>
      </c>
      <c r="L1191" s="7" t="s">
        <v>2246</v>
      </c>
      <c r="M1191" s="7" t="str">
        <f t="shared" si="74"/>
        <v>ND</v>
      </c>
      <c r="N1191" s="7" t="str">
        <f t="shared" si="76"/>
        <v>ND</v>
      </c>
    </row>
    <row r="1192" spans="1:14" ht="15.6" x14ac:dyDescent="0.3">
      <c r="A1192" s="18" t="s">
        <v>1763</v>
      </c>
      <c r="B1192" s="7">
        <v>6</v>
      </c>
      <c r="C1192" s="7">
        <v>13</v>
      </c>
      <c r="D1192" s="7" t="s">
        <v>2261</v>
      </c>
      <c r="E1192" s="7">
        <v>23000000</v>
      </c>
      <c r="F1192" s="7">
        <f t="shared" si="75"/>
        <v>23000000</v>
      </c>
      <c r="G1192" s="7">
        <f t="shared" si="77"/>
        <v>74096.983286297851</v>
      </c>
      <c r="H1192" s="7" t="s">
        <v>2260</v>
      </c>
      <c r="I1192" s="18" t="s">
        <v>1812</v>
      </c>
      <c r="J1192" s="18" t="s">
        <v>1802</v>
      </c>
      <c r="K1192" s="3" t="s">
        <v>1716</v>
      </c>
      <c r="L1192" s="7" t="s">
        <v>2246</v>
      </c>
      <c r="M1192" s="7" t="str">
        <f t="shared" si="74"/>
        <v>ND</v>
      </c>
      <c r="N1192" s="7" t="str">
        <f t="shared" si="76"/>
        <v>ND</v>
      </c>
    </row>
    <row r="1193" spans="1:14" ht="15.6" x14ac:dyDescent="0.3">
      <c r="A1193" s="18" t="s">
        <v>1763</v>
      </c>
      <c r="B1193" s="7">
        <v>6</v>
      </c>
      <c r="C1193" s="7">
        <v>13</v>
      </c>
      <c r="D1193" s="7" t="s">
        <v>2261</v>
      </c>
      <c r="E1193" s="7">
        <v>23000000</v>
      </c>
      <c r="F1193" s="7">
        <f t="shared" si="75"/>
        <v>23000000</v>
      </c>
      <c r="G1193" s="7">
        <f t="shared" si="77"/>
        <v>74096.983286297851</v>
      </c>
      <c r="H1193" s="7" t="s">
        <v>2260</v>
      </c>
      <c r="I1193" s="18" t="s">
        <v>1812</v>
      </c>
      <c r="J1193" s="18" t="s">
        <v>1802</v>
      </c>
      <c r="K1193" s="3" t="s">
        <v>1716</v>
      </c>
      <c r="L1193" s="7" t="s">
        <v>2246</v>
      </c>
      <c r="M1193" s="7" t="str">
        <f t="shared" si="74"/>
        <v>ND</v>
      </c>
      <c r="N1193" s="7" t="str">
        <f t="shared" si="76"/>
        <v>ND</v>
      </c>
    </row>
    <row r="1194" spans="1:14" ht="15.6" x14ac:dyDescent="0.3">
      <c r="A1194" s="18" t="s">
        <v>1763</v>
      </c>
      <c r="B1194" s="7">
        <v>6</v>
      </c>
      <c r="C1194" s="7">
        <v>13</v>
      </c>
      <c r="D1194" s="7" t="s">
        <v>2261</v>
      </c>
      <c r="E1194" s="7">
        <v>23000000</v>
      </c>
      <c r="F1194" s="7">
        <f t="shared" si="75"/>
        <v>23000000</v>
      </c>
      <c r="G1194" s="7">
        <f t="shared" si="77"/>
        <v>74096.983286297851</v>
      </c>
      <c r="H1194" s="7" t="s">
        <v>2260</v>
      </c>
      <c r="I1194" s="18" t="s">
        <v>1812</v>
      </c>
      <c r="J1194" s="18" t="s">
        <v>1802</v>
      </c>
      <c r="K1194" s="3" t="s">
        <v>1716</v>
      </c>
      <c r="L1194" s="7" t="s">
        <v>2246</v>
      </c>
      <c r="M1194" s="7" t="str">
        <f t="shared" ref="M1194:M1257" si="78">IFERROR(K1194/1000,"ND")</f>
        <v>ND</v>
      </c>
      <c r="N1194" s="7" t="str">
        <f t="shared" si="76"/>
        <v>ND</v>
      </c>
    </row>
    <row r="1195" spans="1:14" ht="15.6" x14ac:dyDescent="0.3">
      <c r="A1195" s="18" t="s">
        <v>1763</v>
      </c>
      <c r="B1195" s="7">
        <v>6</v>
      </c>
      <c r="C1195" s="7">
        <v>13</v>
      </c>
      <c r="D1195" s="7" t="s">
        <v>2261</v>
      </c>
      <c r="E1195" s="7">
        <v>23000000</v>
      </c>
      <c r="F1195" s="7">
        <f t="shared" si="75"/>
        <v>23000000</v>
      </c>
      <c r="G1195" s="7">
        <f t="shared" si="77"/>
        <v>74096.983286297851</v>
      </c>
      <c r="H1195" s="7" t="s">
        <v>2260</v>
      </c>
      <c r="I1195" s="18" t="s">
        <v>1812</v>
      </c>
      <c r="J1195" s="18" t="s">
        <v>1802</v>
      </c>
      <c r="K1195" s="3" t="s">
        <v>1716</v>
      </c>
      <c r="L1195" s="7" t="s">
        <v>2246</v>
      </c>
      <c r="M1195" s="7" t="str">
        <f t="shared" si="78"/>
        <v>ND</v>
      </c>
      <c r="N1195" s="7" t="str">
        <f t="shared" si="76"/>
        <v>ND</v>
      </c>
    </row>
    <row r="1196" spans="1:14" ht="15.6" x14ac:dyDescent="0.3">
      <c r="A1196" s="18" t="s">
        <v>1763</v>
      </c>
      <c r="B1196" s="7">
        <v>6</v>
      </c>
      <c r="C1196" s="7">
        <v>13</v>
      </c>
      <c r="D1196" s="7" t="s">
        <v>2261</v>
      </c>
      <c r="E1196" s="7">
        <v>23000000</v>
      </c>
      <c r="F1196" s="7">
        <f t="shared" si="75"/>
        <v>23000000</v>
      </c>
      <c r="G1196" s="7">
        <f t="shared" si="77"/>
        <v>74096.983286297851</v>
      </c>
      <c r="H1196" s="7" t="s">
        <v>2260</v>
      </c>
      <c r="I1196" s="18" t="s">
        <v>1812</v>
      </c>
      <c r="J1196" s="18" t="s">
        <v>1802</v>
      </c>
      <c r="K1196" s="3" t="s">
        <v>1716</v>
      </c>
      <c r="L1196" s="7" t="s">
        <v>2246</v>
      </c>
      <c r="M1196" s="7" t="str">
        <f t="shared" si="78"/>
        <v>ND</v>
      </c>
      <c r="N1196" s="7" t="str">
        <f t="shared" si="76"/>
        <v>ND</v>
      </c>
    </row>
    <row r="1197" spans="1:14" ht="15.6" x14ac:dyDescent="0.3">
      <c r="A1197" s="18" t="s">
        <v>1763</v>
      </c>
      <c r="B1197" s="7">
        <v>6</v>
      </c>
      <c r="C1197" s="7">
        <v>13</v>
      </c>
      <c r="D1197" s="7" t="s">
        <v>2261</v>
      </c>
      <c r="E1197" s="7">
        <v>23000000</v>
      </c>
      <c r="F1197" s="7">
        <f t="shared" si="75"/>
        <v>23000000</v>
      </c>
      <c r="G1197" s="7">
        <f t="shared" si="77"/>
        <v>74096.983286297851</v>
      </c>
      <c r="H1197" s="7" t="s">
        <v>2260</v>
      </c>
      <c r="I1197" s="18" t="s">
        <v>1812</v>
      </c>
      <c r="J1197" s="18" t="s">
        <v>1802</v>
      </c>
      <c r="K1197" s="3" t="s">
        <v>1716</v>
      </c>
      <c r="L1197" s="7" t="s">
        <v>2246</v>
      </c>
      <c r="M1197" s="7" t="str">
        <f t="shared" si="78"/>
        <v>ND</v>
      </c>
      <c r="N1197" s="7" t="str">
        <f t="shared" si="76"/>
        <v>ND</v>
      </c>
    </row>
    <row r="1198" spans="1:14" ht="15.6" x14ac:dyDescent="0.3">
      <c r="A1198" s="18" t="s">
        <v>1763</v>
      </c>
      <c r="B1198" s="7">
        <v>6</v>
      </c>
      <c r="C1198" s="7">
        <v>13</v>
      </c>
      <c r="D1198" s="7" t="s">
        <v>2261</v>
      </c>
      <c r="E1198" s="7">
        <v>23000000</v>
      </c>
      <c r="F1198" s="7">
        <f t="shared" si="75"/>
        <v>23000000</v>
      </c>
      <c r="G1198" s="7">
        <f t="shared" si="77"/>
        <v>74096.983286297851</v>
      </c>
      <c r="H1198" s="7" t="s">
        <v>2260</v>
      </c>
      <c r="I1198" s="18" t="s">
        <v>1812</v>
      </c>
      <c r="J1198" s="18" t="s">
        <v>1802</v>
      </c>
      <c r="K1198" s="3" t="s">
        <v>1716</v>
      </c>
      <c r="L1198" s="7" t="s">
        <v>2246</v>
      </c>
      <c r="M1198" s="7" t="str">
        <f t="shared" si="78"/>
        <v>ND</v>
      </c>
      <c r="N1198" s="7" t="str">
        <f t="shared" si="76"/>
        <v>ND</v>
      </c>
    </row>
    <row r="1199" spans="1:14" ht="15.6" x14ac:dyDescent="0.3">
      <c r="A1199" s="18" t="s">
        <v>1763</v>
      </c>
      <c r="B1199" s="7">
        <v>6</v>
      </c>
      <c r="C1199" s="7">
        <v>13</v>
      </c>
      <c r="D1199" s="7" t="s">
        <v>2261</v>
      </c>
      <c r="E1199" s="7">
        <v>23000000</v>
      </c>
      <c r="F1199" s="7">
        <f t="shared" si="75"/>
        <v>23000000</v>
      </c>
      <c r="G1199" s="7">
        <f t="shared" si="77"/>
        <v>74096.983286297851</v>
      </c>
      <c r="H1199" s="7" t="s">
        <v>2260</v>
      </c>
      <c r="I1199" s="18" t="s">
        <v>1812</v>
      </c>
      <c r="J1199" s="18" t="s">
        <v>1802</v>
      </c>
      <c r="K1199" s="3" t="s">
        <v>1716</v>
      </c>
      <c r="L1199" s="7" t="s">
        <v>2246</v>
      </c>
      <c r="M1199" s="7" t="str">
        <f t="shared" si="78"/>
        <v>ND</v>
      </c>
      <c r="N1199" s="7" t="str">
        <f t="shared" si="76"/>
        <v>ND</v>
      </c>
    </row>
    <row r="1200" spans="1:14" ht="15.6" x14ac:dyDescent="0.3">
      <c r="A1200" s="18" t="s">
        <v>1763</v>
      </c>
      <c r="B1200" s="7">
        <v>6</v>
      </c>
      <c r="C1200" s="7">
        <v>13</v>
      </c>
      <c r="D1200" s="7" t="s">
        <v>2261</v>
      </c>
      <c r="E1200" s="7">
        <v>23000000</v>
      </c>
      <c r="F1200" s="7">
        <f t="shared" si="75"/>
        <v>23000000</v>
      </c>
      <c r="G1200" s="7">
        <f t="shared" si="77"/>
        <v>74096.983286297851</v>
      </c>
      <c r="H1200" s="7" t="s">
        <v>2260</v>
      </c>
      <c r="I1200" s="18" t="s">
        <v>1812</v>
      </c>
      <c r="J1200" s="18" t="s">
        <v>1802</v>
      </c>
      <c r="K1200" s="3" t="s">
        <v>1716</v>
      </c>
      <c r="L1200" s="7" t="s">
        <v>2246</v>
      </c>
      <c r="M1200" s="7" t="str">
        <f t="shared" si="78"/>
        <v>ND</v>
      </c>
      <c r="N1200" s="7" t="str">
        <f t="shared" si="76"/>
        <v>ND</v>
      </c>
    </row>
    <row r="1201" spans="1:14" ht="15.6" x14ac:dyDescent="0.3">
      <c r="A1201" s="18" t="s">
        <v>1763</v>
      </c>
      <c r="B1201" s="7">
        <v>6</v>
      </c>
      <c r="C1201" s="7">
        <v>13</v>
      </c>
      <c r="D1201" s="7" t="s">
        <v>2261</v>
      </c>
      <c r="E1201" s="7">
        <v>23000000</v>
      </c>
      <c r="F1201" s="7">
        <f t="shared" si="75"/>
        <v>23000000</v>
      </c>
      <c r="G1201" s="7">
        <f t="shared" si="77"/>
        <v>74096.983286297851</v>
      </c>
      <c r="H1201" s="7" t="s">
        <v>2260</v>
      </c>
      <c r="I1201" s="18" t="s">
        <v>1812</v>
      </c>
      <c r="J1201" s="18" t="s">
        <v>1802</v>
      </c>
      <c r="K1201" s="3" t="s">
        <v>1716</v>
      </c>
      <c r="L1201" s="7" t="s">
        <v>2246</v>
      </c>
      <c r="M1201" s="7" t="str">
        <f t="shared" si="78"/>
        <v>ND</v>
      </c>
      <c r="N1201" s="7" t="str">
        <f t="shared" si="76"/>
        <v>ND</v>
      </c>
    </row>
    <row r="1202" spans="1:14" ht="15.6" x14ac:dyDescent="0.3">
      <c r="A1202" s="18" t="s">
        <v>1763</v>
      </c>
      <c r="B1202" s="7">
        <v>6</v>
      </c>
      <c r="C1202" s="7">
        <v>13</v>
      </c>
      <c r="D1202" s="7" t="s">
        <v>2261</v>
      </c>
      <c r="E1202" s="7">
        <v>23000000</v>
      </c>
      <c r="F1202" s="7">
        <f t="shared" si="75"/>
        <v>23000000</v>
      </c>
      <c r="G1202" s="7">
        <f t="shared" si="77"/>
        <v>74096.983286297851</v>
      </c>
      <c r="H1202" s="7" t="s">
        <v>2260</v>
      </c>
      <c r="I1202" s="18" t="s">
        <v>1812</v>
      </c>
      <c r="J1202" s="18" t="s">
        <v>1802</v>
      </c>
      <c r="K1202" s="3" t="s">
        <v>1716</v>
      </c>
      <c r="L1202" s="7" t="s">
        <v>2246</v>
      </c>
      <c r="M1202" s="7" t="str">
        <f t="shared" si="78"/>
        <v>ND</v>
      </c>
      <c r="N1202" s="7" t="str">
        <f t="shared" si="76"/>
        <v>ND</v>
      </c>
    </row>
    <row r="1203" spans="1:14" ht="15.6" x14ac:dyDescent="0.3">
      <c r="A1203" s="18" t="s">
        <v>1763</v>
      </c>
      <c r="B1203" s="7">
        <v>6</v>
      </c>
      <c r="C1203" s="7">
        <v>13</v>
      </c>
      <c r="D1203" s="7" t="s">
        <v>2261</v>
      </c>
      <c r="E1203" s="7">
        <v>23000000</v>
      </c>
      <c r="F1203" s="7">
        <f t="shared" si="75"/>
        <v>23000000</v>
      </c>
      <c r="G1203" s="7">
        <f t="shared" si="77"/>
        <v>74096.983286297851</v>
      </c>
      <c r="H1203" s="7" t="s">
        <v>2260</v>
      </c>
      <c r="I1203" s="18" t="s">
        <v>1812</v>
      </c>
      <c r="J1203" s="18" t="s">
        <v>1802</v>
      </c>
      <c r="K1203" s="3" t="s">
        <v>1716</v>
      </c>
      <c r="L1203" s="7" t="s">
        <v>2246</v>
      </c>
      <c r="M1203" s="7" t="str">
        <f t="shared" si="78"/>
        <v>ND</v>
      </c>
      <c r="N1203" s="7" t="str">
        <f t="shared" si="76"/>
        <v>ND</v>
      </c>
    </row>
    <row r="1204" spans="1:14" ht="15.6" x14ac:dyDescent="0.3">
      <c r="A1204" s="18" t="s">
        <v>1763</v>
      </c>
      <c r="B1204" s="7">
        <v>6</v>
      </c>
      <c r="C1204" s="7">
        <v>13</v>
      </c>
      <c r="D1204" s="7" t="s">
        <v>2261</v>
      </c>
      <c r="E1204" s="7">
        <v>23000000</v>
      </c>
      <c r="F1204" s="7">
        <f t="shared" si="75"/>
        <v>23000000</v>
      </c>
      <c r="G1204" s="7">
        <f t="shared" si="77"/>
        <v>74096.983286297851</v>
      </c>
      <c r="H1204" s="7" t="s">
        <v>2260</v>
      </c>
      <c r="I1204" s="18" t="s">
        <v>1812</v>
      </c>
      <c r="J1204" s="18" t="s">
        <v>1802</v>
      </c>
      <c r="K1204" s="3" t="s">
        <v>1716</v>
      </c>
      <c r="L1204" s="7" t="s">
        <v>2246</v>
      </c>
      <c r="M1204" s="7" t="str">
        <f t="shared" si="78"/>
        <v>ND</v>
      </c>
      <c r="N1204" s="7" t="str">
        <f t="shared" si="76"/>
        <v>ND</v>
      </c>
    </row>
    <row r="1205" spans="1:14" ht="15.6" x14ac:dyDescent="0.3">
      <c r="A1205" s="18" t="s">
        <v>1763</v>
      </c>
      <c r="B1205" s="7">
        <v>6</v>
      </c>
      <c r="C1205" s="7">
        <v>13</v>
      </c>
      <c r="D1205" s="7" t="s">
        <v>2261</v>
      </c>
      <c r="E1205" s="7">
        <v>23000000</v>
      </c>
      <c r="F1205" s="7">
        <f t="shared" si="75"/>
        <v>23000000</v>
      </c>
      <c r="G1205" s="7">
        <f t="shared" si="77"/>
        <v>74096.983286297851</v>
      </c>
      <c r="H1205" s="7" t="s">
        <v>2260</v>
      </c>
      <c r="I1205" s="18" t="s">
        <v>1812</v>
      </c>
      <c r="J1205" s="18" t="s">
        <v>1802</v>
      </c>
      <c r="K1205" s="3" t="s">
        <v>1716</v>
      </c>
      <c r="L1205" s="7" t="s">
        <v>2246</v>
      </c>
      <c r="M1205" s="7" t="str">
        <f t="shared" si="78"/>
        <v>ND</v>
      </c>
      <c r="N1205" s="7" t="str">
        <f t="shared" si="76"/>
        <v>ND</v>
      </c>
    </row>
    <row r="1206" spans="1:14" ht="15.6" x14ac:dyDescent="0.3">
      <c r="A1206" s="18" t="s">
        <v>1763</v>
      </c>
      <c r="B1206" s="7">
        <v>6</v>
      </c>
      <c r="C1206" s="7">
        <v>13</v>
      </c>
      <c r="D1206" s="7" t="s">
        <v>2261</v>
      </c>
      <c r="E1206" s="7">
        <v>23000000</v>
      </c>
      <c r="F1206" s="7">
        <f t="shared" si="75"/>
        <v>23000000</v>
      </c>
      <c r="G1206" s="7">
        <f t="shared" si="77"/>
        <v>74096.983286297851</v>
      </c>
      <c r="H1206" s="7" t="s">
        <v>2260</v>
      </c>
      <c r="I1206" s="18" t="s">
        <v>1812</v>
      </c>
      <c r="J1206" s="18" t="s">
        <v>1802</v>
      </c>
      <c r="K1206" s="3" t="s">
        <v>1716</v>
      </c>
      <c r="L1206" s="7" t="s">
        <v>2246</v>
      </c>
      <c r="M1206" s="7" t="str">
        <f t="shared" si="78"/>
        <v>ND</v>
      </c>
      <c r="N1206" s="7" t="str">
        <f t="shared" si="76"/>
        <v>ND</v>
      </c>
    </row>
    <row r="1207" spans="1:14" ht="15.6" x14ac:dyDescent="0.3">
      <c r="A1207" s="18" t="s">
        <v>1763</v>
      </c>
      <c r="B1207" s="7">
        <v>6</v>
      </c>
      <c r="C1207" s="7">
        <v>13</v>
      </c>
      <c r="D1207" s="7" t="s">
        <v>2261</v>
      </c>
      <c r="E1207" s="7">
        <v>23000000</v>
      </c>
      <c r="F1207" s="7">
        <f t="shared" ref="F1207:F1270" si="79">E1207</f>
        <v>23000000</v>
      </c>
      <c r="G1207" s="7">
        <f t="shared" si="77"/>
        <v>74096.983286297851</v>
      </c>
      <c r="H1207" s="7" t="s">
        <v>2260</v>
      </c>
      <c r="I1207" s="18" t="s">
        <v>1812</v>
      </c>
      <c r="J1207" s="18" t="s">
        <v>1802</v>
      </c>
      <c r="K1207" s="3" t="s">
        <v>1716</v>
      </c>
      <c r="L1207" s="7" t="s">
        <v>2246</v>
      </c>
      <c r="M1207" s="7" t="str">
        <f t="shared" si="78"/>
        <v>ND</v>
      </c>
      <c r="N1207" s="7" t="str">
        <f t="shared" si="76"/>
        <v>ND</v>
      </c>
    </row>
    <row r="1208" spans="1:14" ht="15.6" x14ac:dyDescent="0.3">
      <c r="A1208" s="18" t="s">
        <v>1763</v>
      </c>
      <c r="B1208" s="7">
        <v>6</v>
      </c>
      <c r="C1208" s="7">
        <v>13</v>
      </c>
      <c r="D1208" s="7" t="s">
        <v>2261</v>
      </c>
      <c r="E1208" s="7">
        <v>23000000</v>
      </c>
      <c r="F1208" s="7">
        <f t="shared" si="79"/>
        <v>23000000</v>
      </c>
      <c r="G1208" s="7">
        <f t="shared" si="77"/>
        <v>74096.983286297851</v>
      </c>
      <c r="H1208" s="7" t="s">
        <v>2260</v>
      </c>
      <c r="I1208" s="18" t="s">
        <v>1812</v>
      </c>
      <c r="J1208" s="18" t="s">
        <v>1802</v>
      </c>
      <c r="K1208" s="3" t="s">
        <v>1716</v>
      </c>
      <c r="L1208" s="7" t="s">
        <v>2246</v>
      </c>
      <c r="M1208" s="7" t="str">
        <f t="shared" si="78"/>
        <v>ND</v>
      </c>
      <c r="N1208" s="7" t="str">
        <f t="shared" si="76"/>
        <v>ND</v>
      </c>
    </row>
    <row r="1209" spans="1:14" ht="15.6" x14ac:dyDescent="0.3">
      <c r="A1209" s="18" t="s">
        <v>1763</v>
      </c>
      <c r="B1209" s="7">
        <v>6</v>
      </c>
      <c r="C1209" s="7">
        <v>13</v>
      </c>
      <c r="D1209" s="7" t="s">
        <v>2261</v>
      </c>
      <c r="E1209" s="7">
        <v>23000000</v>
      </c>
      <c r="F1209" s="7">
        <f t="shared" si="79"/>
        <v>23000000</v>
      </c>
      <c r="G1209" s="7">
        <f t="shared" si="77"/>
        <v>74096.983286297851</v>
      </c>
      <c r="H1209" s="7" t="s">
        <v>2260</v>
      </c>
      <c r="I1209" s="18" t="s">
        <v>1812</v>
      </c>
      <c r="J1209" s="18" t="s">
        <v>1802</v>
      </c>
      <c r="K1209" s="3" t="s">
        <v>1716</v>
      </c>
      <c r="L1209" s="7" t="s">
        <v>2246</v>
      </c>
      <c r="M1209" s="7" t="str">
        <f t="shared" si="78"/>
        <v>ND</v>
      </c>
      <c r="N1209" s="7" t="str">
        <f t="shared" si="76"/>
        <v>ND</v>
      </c>
    </row>
    <row r="1210" spans="1:14" ht="15.6" x14ac:dyDescent="0.3">
      <c r="A1210" s="18" t="s">
        <v>1763</v>
      </c>
      <c r="B1210" s="7">
        <v>6</v>
      </c>
      <c r="C1210" s="7">
        <v>13</v>
      </c>
      <c r="D1210" s="7" t="s">
        <v>2261</v>
      </c>
      <c r="E1210" s="7">
        <v>23000000</v>
      </c>
      <c r="F1210" s="7">
        <f t="shared" si="79"/>
        <v>23000000</v>
      </c>
      <c r="G1210" s="7">
        <f t="shared" si="77"/>
        <v>74096.983286297851</v>
      </c>
      <c r="H1210" s="7" t="s">
        <v>2260</v>
      </c>
      <c r="I1210" s="18" t="s">
        <v>1812</v>
      </c>
      <c r="J1210" s="18" t="s">
        <v>1802</v>
      </c>
      <c r="K1210" s="3" t="s">
        <v>1716</v>
      </c>
      <c r="L1210" s="7" t="s">
        <v>2246</v>
      </c>
      <c r="M1210" s="7" t="str">
        <f t="shared" si="78"/>
        <v>ND</v>
      </c>
      <c r="N1210" s="7" t="str">
        <f t="shared" si="76"/>
        <v>ND</v>
      </c>
    </row>
    <row r="1211" spans="1:14" ht="15.6" x14ac:dyDescent="0.3">
      <c r="A1211" s="18" t="s">
        <v>1752</v>
      </c>
      <c r="B1211" s="7">
        <v>6</v>
      </c>
      <c r="C1211" s="7">
        <v>13</v>
      </c>
      <c r="D1211" s="7" t="s">
        <v>2261</v>
      </c>
      <c r="E1211" s="7">
        <v>23000000</v>
      </c>
      <c r="F1211" s="7">
        <f t="shared" si="79"/>
        <v>23000000</v>
      </c>
      <c r="G1211" s="7">
        <f t="shared" si="77"/>
        <v>74096.983286297851</v>
      </c>
      <c r="H1211" s="7" t="s">
        <v>2260</v>
      </c>
      <c r="I1211" s="18" t="s">
        <v>1812</v>
      </c>
      <c r="J1211" s="18" t="s">
        <v>1802</v>
      </c>
      <c r="K1211" s="3">
        <v>22.85</v>
      </c>
      <c r="L1211" s="7" t="s">
        <v>2246</v>
      </c>
      <c r="M1211" s="7">
        <f t="shared" si="78"/>
        <v>2.2850000000000002E-2</v>
      </c>
      <c r="N1211" s="7">
        <f t="shared" si="76"/>
        <v>7.0927314000000008</v>
      </c>
    </row>
    <row r="1212" spans="1:14" ht="15.6" x14ac:dyDescent="0.3">
      <c r="A1212" s="18" t="s">
        <v>1752</v>
      </c>
      <c r="B1212" s="7">
        <v>6</v>
      </c>
      <c r="C1212" s="7">
        <v>13</v>
      </c>
      <c r="D1212" s="7" t="s">
        <v>2261</v>
      </c>
      <c r="E1212" s="7">
        <v>23000000</v>
      </c>
      <c r="F1212" s="7">
        <f t="shared" si="79"/>
        <v>23000000</v>
      </c>
      <c r="G1212" s="7">
        <f t="shared" si="77"/>
        <v>74096.983286297851</v>
      </c>
      <c r="H1212" s="7" t="s">
        <v>2260</v>
      </c>
      <c r="I1212" s="18" t="s">
        <v>1812</v>
      </c>
      <c r="J1212" s="18" t="s">
        <v>1802</v>
      </c>
      <c r="K1212" s="3">
        <v>15.11</v>
      </c>
      <c r="L1212" s="7" t="s">
        <v>2246</v>
      </c>
      <c r="M1212" s="7">
        <f t="shared" si="78"/>
        <v>1.511E-2</v>
      </c>
      <c r="N1212" s="7">
        <f t="shared" si="76"/>
        <v>4.6902044400000005</v>
      </c>
    </row>
    <row r="1213" spans="1:14" ht="15.6" x14ac:dyDescent="0.3">
      <c r="A1213" s="18" t="s">
        <v>1752</v>
      </c>
      <c r="B1213" s="7">
        <v>6</v>
      </c>
      <c r="C1213" s="7">
        <v>13</v>
      </c>
      <c r="D1213" s="7" t="s">
        <v>2261</v>
      </c>
      <c r="E1213" s="7">
        <v>23000000</v>
      </c>
      <c r="F1213" s="7">
        <f t="shared" si="79"/>
        <v>23000000</v>
      </c>
      <c r="G1213" s="7">
        <f t="shared" si="77"/>
        <v>74096.983286297851</v>
      </c>
      <c r="H1213" s="7" t="s">
        <v>2260</v>
      </c>
      <c r="I1213" s="18" t="s">
        <v>1812</v>
      </c>
      <c r="J1213" s="18" t="s">
        <v>1802</v>
      </c>
      <c r="K1213" s="3">
        <v>15.89</v>
      </c>
      <c r="L1213" s="7" t="s">
        <v>2246</v>
      </c>
      <c r="M1213" s="7">
        <f t="shared" si="78"/>
        <v>1.5890000000000001E-2</v>
      </c>
      <c r="N1213" s="7">
        <f t="shared" si="76"/>
        <v>4.9323195600000016</v>
      </c>
    </row>
    <row r="1214" spans="1:14" ht="15.6" x14ac:dyDescent="0.3">
      <c r="A1214" s="18" t="s">
        <v>1752</v>
      </c>
      <c r="B1214" s="7">
        <v>6</v>
      </c>
      <c r="C1214" s="7">
        <v>13</v>
      </c>
      <c r="D1214" s="7" t="s">
        <v>2261</v>
      </c>
      <c r="E1214" s="7">
        <v>23000000</v>
      </c>
      <c r="F1214" s="7">
        <f t="shared" si="79"/>
        <v>23000000</v>
      </c>
      <c r="G1214" s="7">
        <f t="shared" si="77"/>
        <v>74096.983286297851</v>
      </c>
      <c r="H1214" s="7" t="s">
        <v>2260</v>
      </c>
      <c r="I1214" s="18" t="s">
        <v>1812</v>
      </c>
      <c r="J1214" s="18" t="s">
        <v>1802</v>
      </c>
      <c r="K1214" s="3">
        <v>10.35</v>
      </c>
      <c r="L1214" s="7" t="s">
        <v>2246</v>
      </c>
      <c r="M1214" s="7">
        <f t="shared" si="78"/>
        <v>1.035E-2</v>
      </c>
      <c r="N1214" s="7">
        <f t="shared" si="76"/>
        <v>3.2126814000000001</v>
      </c>
    </row>
    <row r="1215" spans="1:14" ht="15.6" x14ac:dyDescent="0.3">
      <c r="A1215" s="18" t="s">
        <v>1752</v>
      </c>
      <c r="B1215" s="7">
        <v>6</v>
      </c>
      <c r="C1215" s="7">
        <v>13</v>
      </c>
      <c r="D1215" s="7" t="s">
        <v>2261</v>
      </c>
      <c r="E1215" s="7">
        <v>23000000</v>
      </c>
      <c r="F1215" s="7">
        <f t="shared" si="79"/>
        <v>23000000</v>
      </c>
      <c r="G1215" s="7">
        <f t="shared" si="77"/>
        <v>74096.983286297851</v>
      </c>
      <c r="H1215" s="7" t="s">
        <v>2260</v>
      </c>
      <c r="I1215" s="18" t="s">
        <v>1812</v>
      </c>
      <c r="J1215" s="18" t="s">
        <v>1802</v>
      </c>
      <c r="K1215" s="3">
        <v>3.58</v>
      </c>
      <c r="L1215" s="7" t="s">
        <v>2246</v>
      </c>
      <c r="M1215" s="7">
        <f t="shared" si="78"/>
        <v>3.5800000000000003E-3</v>
      </c>
      <c r="N1215" s="7">
        <f t="shared" si="76"/>
        <v>1.11124632</v>
      </c>
    </row>
    <row r="1216" spans="1:14" ht="15.6" x14ac:dyDescent="0.3">
      <c r="A1216" s="18" t="s">
        <v>1752</v>
      </c>
      <c r="B1216" s="7">
        <v>6</v>
      </c>
      <c r="C1216" s="7">
        <v>13</v>
      </c>
      <c r="D1216" s="7" t="s">
        <v>2261</v>
      </c>
      <c r="E1216" s="7">
        <v>23000000</v>
      </c>
      <c r="F1216" s="7">
        <f t="shared" si="79"/>
        <v>23000000</v>
      </c>
      <c r="G1216" s="7">
        <f t="shared" si="77"/>
        <v>74096.983286297851</v>
      </c>
      <c r="H1216" s="7" t="s">
        <v>2260</v>
      </c>
      <c r="I1216" s="18" t="s">
        <v>1812</v>
      </c>
      <c r="J1216" s="18" t="s">
        <v>1802</v>
      </c>
      <c r="K1216" s="3">
        <v>12.79</v>
      </c>
      <c r="L1216" s="7" t="s">
        <v>2246</v>
      </c>
      <c r="M1216" s="7">
        <f t="shared" si="78"/>
        <v>1.2789999999999999E-2</v>
      </c>
      <c r="N1216" s="7">
        <f t="shared" si="76"/>
        <v>3.9700671600000002</v>
      </c>
    </row>
    <row r="1217" spans="1:14" ht="15.6" x14ac:dyDescent="0.3">
      <c r="A1217" s="18" t="s">
        <v>1752</v>
      </c>
      <c r="B1217" s="7">
        <v>6</v>
      </c>
      <c r="C1217" s="7">
        <v>13</v>
      </c>
      <c r="D1217" s="7" t="s">
        <v>2261</v>
      </c>
      <c r="E1217" s="7">
        <v>23000000</v>
      </c>
      <c r="F1217" s="7">
        <f t="shared" si="79"/>
        <v>23000000</v>
      </c>
      <c r="G1217" s="7">
        <f t="shared" si="77"/>
        <v>74096.983286297851</v>
      </c>
      <c r="H1217" s="7" t="s">
        <v>2260</v>
      </c>
      <c r="I1217" s="18" t="s">
        <v>1812</v>
      </c>
      <c r="J1217" s="18" t="s">
        <v>1802</v>
      </c>
      <c r="K1217" s="3">
        <v>20.81</v>
      </c>
      <c r="L1217" s="7" t="s">
        <v>2246</v>
      </c>
      <c r="M1217" s="7">
        <f t="shared" si="78"/>
        <v>2.0809999999999999E-2</v>
      </c>
      <c r="N1217" s="7">
        <f t="shared" si="76"/>
        <v>6.4595072399999998</v>
      </c>
    </row>
    <row r="1218" spans="1:14" ht="15.6" x14ac:dyDescent="0.3">
      <c r="A1218" s="18" t="s">
        <v>1752</v>
      </c>
      <c r="B1218" s="7">
        <v>6</v>
      </c>
      <c r="C1218" s="7">
        <v>13</v>
      </c>
      <c r="D1218" s="7" t="s">
        <v>2261</v>
      </c>
      <c r="E1218" s="7">
        <v>23000000</v>
      </c>
      <c r="F1218" s="7">
        <f t="shared" si="79"/>
        <v>23000000</v>
      </c>
      <c r="G1218" s="7">
        <f t="shared" si="77"/>
        <v>74096.983286297851</v>
      </c>
      <c r="H1218" s="7" t="s">
        <v>2260</v>
      </c>
      <c r="I1218" s="18" t="s">
        <v>1812</v>
      </c>
      <c r="J1218" s="18" t="s">
        <v>1802</v>
      </c>
      <c r="K1218" s="3">
        <v>3.54</v>
      </c>
      <c r="L1218" s="7" t="s">
        <v>2246</v>
      </c>
      <c r="M1218" s="7">
        <f t="shared" si="78"/>
        <v>3.5400000000000002E-3</v>
      </c>
      <c r="N1218" s="7">
        <f t="shared" si="76"/>
        <v>1.0988301600000001</v>
      </c>
    </row>
    <row r="1219" spans="1:14" ht="15.6" x14ac:dyDescent="0.3">
      <c r="A1219" s="18" t="s">
        <v>1752</v>
      </c>
      <c r="B1219" s="7">
        <v>6</v>
      </c>
      <c r="C1219" s="7">
        <v>13</v>
      </c>
      <c r="D1219" s="7" t="s">
        <v>2261</v>
      </c>
      <c r="E1219" s="7">
        <v>23000000</v>
      </c>
      <c r="F1219" s="7">
        <f t="shared" si="79"/>
        <v>23000000</v>
      </c>
      <c r="G1219" s="7">
        <f t="shared" si="77"/>
        <v>74096.983286297851</v>
      </c>
      <c r="H1219" s="7" t="s">
        <v>2260</v>
      </c>
      <c r="I1219" s="18" t="s">
        <v>1812</v>
      </c>
      <c r="J1219" s="18" t="s">
        <v>1802</v>
      </c>
      <c r="K1219" s="3">
        <v>3.51</v>
      </c>
      <c r="L1219" s="7" t="s">
        <v>2246</v>
      </c>
      <c r="M1219" s="7">
        <f t="shared" si="78"/>
        <v>3.5099999999999997E-3</v>
      </c>
      <c r="N1219" s="7">
        <f t="shared" ref="N1219:N1282" si="80">IFERROR((M1219*F1219)/G1219,"ND")</f>
        <v>1.08951804</v>
      </c>
    </row>
    <row r="1220" spans="1:14" ht="15.6" x14ac:dyDescent="0.3">
      <c r="A1220" s="18" t="s">
        <v>1752</v>
      </c>
      <c r="B1220" s="7">
        <v>6</v>
      </c>
      <c r="C1220" s="7">
        <v>13</v>
      </c>
      <c r="D1220" s="7" t="s">
        <v>2261</v>
      </c>
      <c r="E1220" s="7">
        <v>23000000</v>
      </c>
      <c r="F1220" s="7">
        <f t="shared" si="79"/>
        <v>23000000</v>
      </c>
      <c r="G1220" s="7">
        <f t="shared" si="77"/>
        <v>74096.983286297851</v>
      </c>
      <c r="H1220" s="7" t="s">
        <v>2260</v>
      </c>
      <c r="I1220" s="18" t="s">
        <v>1812</v>
      </c>
      <c r="J1220" s="18" t="s">
        <v>1802</v>
      </c>
      <c r="K1220" s="3">
        <v>2.2599999999999998</v>
      </c>
      <c r="L1220" s="7" t="s">
        <v>2246</v>
      </c>
      <c r="M1220" s="7">
        <f t="shared" si="78"/>
        <v>2.2599999999999999E-3</v>
      </c>
      <c r="N1220" s="7">
        <f t="shared" si="80"/>
        <v>0.70151304000000003</v>
      </c>
    </row>
    <row r="1221" spans="1:14" ht="15.6" x14ac:dyDescent="0.3">
      <c r="A1221" s="18" t="s">
        <v>1752</v>
      </c>
      <c r="B1221" s="7">
        <v>6</v>
      </c>
      <c r="C1221" s="7">
        <v>13</v>
      </c>
      <c r="D1221" s="7" t="s">
        <v>2261</v>
      </c>
      <c r="E1221" s="7">
        <v>23000000</v>
      </c>
      <c r="F1221" s="7">
        <f t="shared" si="79"/>
        <v>23000000</v>
      </c>
      <c r="G1221" s="7">
        <f t="shared" si="77"/>
        <v>74096.983286297851</v>
      </c>
      <c r="H1221" s="7" t="s">
        <v>2260</v>
      </c>
      <c r="I1221" s="18" t="s">
        <v>1812</v>
      </c>
      <c r="J1221" s="18" t="s">
        <v>1802</v>
      </c>
      <c r="K1221" s="3">
        <v>2.84</v>
      </c>
      <c r="L1221" s="7" t="s">
        <v>2246</v>
      </c>
      <c r="M1221" s="7">
        <f t="shared" si="78"/>
        <v>2.8399999999999996E-3</v>
      </c>
      <c r="N1221" s="7">
        <f t="shared" si="80"/>
        <v>0.88154736</v>
      </c>
    </row>
    <row r="1222" spans="1:14" ht="15.6" x14ac:dyDescent="0.3">
      <c r="A1222" s="18" t="s">
        <v>1752</v>
      </c>
      <c r="B1222" s="7">
        <v>6</v>
      </c>
      <c r="C1222" s="7">
        <v>13</v>
      </c>
      <c r="D1222" s="7" t="s">
        <v>2261</v>
      </c>
      <c r="E1222" s="7">
        <v>23000000</v>
      </c>
      <c r="F1222" s="7">
        <f t="shared" si="79"/>
        <v>23000000</v>
      </c>
      <c r="G1222" s="7">
        <f t="shared" si="77"/>
        <v>74096.983286297851</v>
      </c>
      <c r="H1222" s="7" t="s">
        <v>2260</v>
      </c>
      <c r="I1222" s="18" t="s">
        <v>1812</v>
      </c>
      <c r="J1222" s="18" t="s">
        <v>1802</v>
      </c>
      <c r="K1222" s="3">
        <v>2.87</v>
      </c>
      <c r="L1222" s="7" t="s">
        <v>2246</v>
      </c>
      <c r="M1222" s="7">
        <f t="shared" si="78"/>
        <v>2.8700000000000002E-3</v>
      </c>
      <c r="N1222" s="7">
        <f t="shared" si="80"/>
        <v>0.89085948000000004</v>
      </c>
    </row>
    <row r="1223" spans="1:14" ht="15.6" x14ac:dyDescent="0.3">
      <c r="A1223" s="18" t="s">
        <v>1752</v>
      </c>
      <c r="B1223" s="7">
        <v>6</v>
      </c>
      <c r="C1223" s="7">
        <v>13</v>
      </c>
      <c r="D1223" s="7" t="s">
        <v>2261</v>
      </c>
      <c r="E1223" s="7">
        <v>23000000</v>
      </c>
      <c r="F1223" s="7">
        <f t="shared" si="79"/>
        <v>23000000</v>
      </c>
      <c r="G1223" s="7">
        <f t="shared" si="77"/>
        <v>74096.983286297851</v>
      </c>
      <c r="H1223" s="7" t="s">
        <v>2260</v>
      </c>
      <c r="I1223" s="18" t="s">
        <v>1812</v>
      </c>
      <c r="J1223" s="18" t="s">
        <v>1802</v>
      </c>
      <c r="K1223" s="3">
        <v>2.35</v>
      </c>
      <c r="L1223" s="7" t="s">
        <v>2246</v>
      </c>
      <c r="M1223" s="7">
        <f t="shared" si="78"/>
        <v>2.3500000000000001E-3</v>
      </c>
      <c r="N1223" s="7">
        <f t="shared" si="80"/>
        <v>0.72944940000000003</v>
      </c>
    </row>
    <row r="1224" spans="1:14" ht="15.6" x14ac:dyDescent="0.3">
      <c r="A1224" s="18" t="s">
        <v>1752</v>
      </c>
      <c r="B1224" s="7">
        <v>6</v>
      </c>
      <c r="C1224" s="7">
        <v>13</v>
      </c>
      <c r="D1224" s="7" t="s">
        <v>2261</v>
      </c>
      <c r="E1224" s="7">
        <v>23000000</v>
      </c>
      <c r="F1224" s="7">
        <f t="shared" si="79"/>
        <v>23000000</v>
      </c>
      <c r="G1224" s="7">
        <f t="shared" si="77"/>
        <v>74096.983286297851</v>
      </c>
      <c r="H1224" s="7" t="s">
        <v>2260</v>
      </c>
      <c r="I1224" s="18" t="s">
        <v>1812</v>
      </c>
      <c r="J1224" s="18" t="s">
        <v>1802</v>
      </c>
      <c r="K1224" s="3">
        <v>10.39</v>
      </c>
      <c r="L1224" s="7" t="s">
        <v>2246</v>
      </c>
      <c r="M1224" s="7">
        <f t="shared" si="78"/>
        <v>1.039E-2</v>
      </c>
      <c r="N1224" s="7">
        <f t="shared" si="80"/>
        <v>3.2250975600000005</v>
      </c>
    </row>
    <row r="1225" spans="1:14" ht="15.6" x14ac:dyDescent="0.3">
      <c r="A1225" s="18" t="s">
        <v>1752</v>
      </c>
      <c r="B1225" s="7">
        <v>6</v>
      </c>
      <c r="C1225" s="7">
        <v>13</v>
      </c>
      <c r="D1225" s="7" t="s">
        <v>2261</v>
      </c>
      <c r="E1225" s="7">
        <v>23000000</v>
      </c>
      <c r="F1225" s="7">
        <f t="shared" si="79"/>
        <v>23000000</v>
      </c>
      <c r="G1225" s="7">
        <f t="shared" si="77"/>
        <v>74096.983286297851</v>
      </c>
      <c r="H1225" s="7" t="s">
        <v>2260</v>
      </c>
      <c r="I1225" s="18" t="s">
        <v>1812</v>
      </c>
      <c r="J1225" s="18" t="s">
        <v>1802</v>
      </c>
      <c r="K1225" s="3">
        <v>17.57</v>
      </c>
      <c r="L1225" s="7" t="s">
        <v>2246</v>
      </c>
      <c r="M1225" s="7">
        <f t="shared" si="78"/>
        <v>1.7569999999999999E-2</v>
      </c>
      <c r="N1225" s="7">
        <f t="shared" si="80"/>
        <v>5.45379828</v>
      </c>
    </row>
    <row r="1226" spans="1:14" ht="15.6" x14ac:dyDescent="0.3">
      <c r="A1226" s="18" t="s">
        <v>1752</v>
      </c>
      <c r="B1226" s="7">
        <v>6</v>
      </c>
      <c r="C1226" s="7">
        <v>13</v>
      </c>
      <c r="D1226" s="7" t="s">
        <v>2261</v>
      </c>
      <c r="E1226" s="7">
        <v>23000000</v>
      </c>
      <c r="F1226" s="7">
        <f t="shared" si="79"/>
        <v>23000000</v>
      </c>
      <c r="G1226" s="7">
        <f t="shared" si="77"/>
        <v>74096.983286297851</v>
      </c>
      <c r="H1226" s="7" t="s">
        <v>2260</v>
      </c>
      <c r="I1226" s="18" t="s">
        <v>1812</v>
      </c>
      <c r="J1226" s="18" t="s">
        <v>1802</v>
      </c>
      <c r="K1226" s="3">
        <v>3.27</v>
      </c>
      <c r="L1226" s="7" t="s">
        <v>2246</v>
      </c>
      <c r="M1226" s="7">
        <f t="shared" si="78"/>
        <v>3.2699999999999999E-3</v>
      </c>
      <c r="N1226" s="7">
        <f t="shared" si="80"/>
        <v>1.0150210800000001</v>
      </c>
    </row>
    <row r="1227" spans="1:14" ht="15.6" x14ac:dyDescent="0.3">
      <c r="A1227" s="18" t="s">
        <v>1752</v>
      </c>
      <c r="B1227" s="7">
        <v>6</v>
      </c>
      <c r="C1227" s="7">
        <v>13</v>
      </c>
      <c r="D1227" s="7" t="s">
        <v>2261</v>
      </c>
      <c r="E1227" s="7">
        <v>23000000</v>
      </c>
      <c r="F1227" s="7">
        <f t="shared" si="79"/>
        <v>23000000</v>
      </c>
      <c r="G1227" s="7">
        <f t="shared" si="77"/>
        <v>74096.983286297851</v>
      </c>
      <c r="H1227" s="7" t="s">
        <v>2260</v>
      </c>
      <c r="I1227" s="18" t="s">
        <v>1812</v>
      </c>
      <c r="J1227" s="18" t="s">
        <v>1802</v>
      </c>
      <c r="K1227" s="3">
        <v>2.36</v>
      </c>
      <c r="L1227" s="7" t="s">
        <v>2246</v>
      </c>
      <c r="M1227" s="7">
        <f t="shared" si="78"/>
        <v>2.3599999999999997E-3</v>
      </c>
      <c r="N1227" s="7">
        <f t="shared" si="80"/>
        <v>0.73255344</v>
      </c>
    </row>
    <row r="1228" spans="1:14" ht="15.6" x14ac:dyDescent="0.3">
      <c r="A1228" s="18" t="s">
        <v>1752</v>
      </c>
      <c r="B1228" s="7">
        <v>6</v>
      </c>
      <c r="C1228" s="7">
        <v>13</v>
      </c>
      <c r="D1228" s="7" t="s">
        <v>2261</v>
      </c>
      <c r="E1228" s="7">
        <v>23000000</v>
      </c>
      <c r="F1228" s="7">
        <f t="shared" si="79"/>
        <v>23000000</v>
      </c>
      <c r="G1228" s="7">
        <f t="shared" si="77"/>
        <v>74096.983286297851</v>
      </c>
      <c r="H1228" s="7" t="s">
        <v>2260</v>
      </c>
      <c r="I1228" s="18" t="s">
        <v>1812</v>
      </c>
      <c r="J1228" s="18" t="s">
        <v>1802</v>
      </c>
      <c r="K1228" s="3">
        <v>5.42</v>
      </c>
      <c r="L1228" s="7" t="s">
        <v>2246</v>
      </c>
      <c r="M1228" s="7">
        <f t="shared" si="78"/>
        <v>5.4200000000000003E-3</v>
      </c>
      <c r="N1228" s="7">
        <f t="shared" si="80"/>
        <v>1.6823896800000004</v>
      </c>
    </row>
    <row r="1229" spans="1:14" ht="15.6" x14ac:dyDescent="0.3">
      <c r="A1229" s="18" t="s">
        <v>1752</v>
      </c>
      <c r="B1229" s="7">
        <v>6</v>
      </c>
      <c r="C1229" s="7">
        <v>13</v>
      </c>
      <c r="D1229" s="7" t="s">
        <v>2261</v>
      </c>
      <c r="E1229" s="7">
        <v>23000000</v>
      </c>
      <c r="F1229" s="7">
        <f t="shared" si="79"/>
        <v>23000000</v>
      </c>
      <c r="G1229" s="7">
        <f t="shared" si="77"/>
        <v>74096.983286297851</v>
      </c>
      <c r="H1229" s="7" t="s">
        <v>2260</v>
      </c>
      <c r="I1229" s="18" t="s">
        <v>1812</v>
      </c>
      <c r="J1229" s="18" t="s">
        <v>1802</v>
      </c>
      <c r="K1229" s="3">
        <v>2.75</v>
      </c>
      <c r="L1229" s="7" t="s">
        <v>2246</v>
      </c>
      <c r="M1229" s="7">
        <f t="shared" si="78"/>
        <v>2.7499999999999998E-3</v>
      </c>
      <c r="N1229" s="7">
        <f t="shared" si="80"/>
        <v>0.85361100000000001</v>
      </c>
    </row>
    <row r="1230" spans="1:14" ht="15.6" x14ac:dyDescent="0.3">
      <c r="A1230" s="18" t="s">
        <v>1752</v>
      </c>
      <c r="B1230" s="7">
        <v>6</v>
      </c>
      <c r="C1230" s="7">
        <v>13</v>
      </c>
      <c r="D1230" s="7" t="s">
        <v>2261</v>
      </c>
      <c r="E1230" s="7">
        <v>23000000</v>
      </c>
      <c r="F1230" s="7">
        <f t="shared" si="79"/>
        <v>23000000</v>
      </c>
      <c r="G1230" s="7">
        <f t="shared" si="77"/>
        <v>74096.983286297851</v>
      </c>
      <c r="H1230" s="7" t="s">
        <v>2260</v>
      </c>
      <c r="I1230" s="18" t="s">
        <v>1812</v>
      </c>
      <c r="J1230" s="18" t="s">
        <v>1802</v>
      </c>
      <c r="K1230" s="3">
        <v>3.49</v>
      </c>
      <c r="L1230" s="7" t="s">
        <v>2246</v>
      </c>
      <c r="M1230" s="7">
        <f t="shared" si="78"/>
        <v>3.49E-3</v>
      </c>
      <c r="N1230" s="7">
        <f t="shared" si="80"/>
        <v>1.08330996</v>
      </c>
    </row>
    <row r="1231" spans="1:14" ht="15.6" x14ac:dyDescent="0.3">
      <c r="A1231" s="18" t="s">
        <v>1752</v>
      </c>
      <c r="B1231" s="7">
        <v>6</v>
      </c>
      <c r="C1231" s="7">
        <v>13</v>
      </c>
      <c r="D1231" s="7" t="s">
        <v>2261</v>
      </c>
      <c r="E1231" s="7">
        <v>23000000</v>
      </c>
      <c r="F1231" s="7">
        <f t="shared" si="79"/>
        <v>23000000</v>
      </c>
      <c r="G1231" s="7">
        <f t="shared" si="77"/>
        <v>74096.983286297851</v>
      </c>
      <c r="H1231" s="7" t="s">
        <v>2260</v>
      </c>
      <c r="I1231" s="18" t="s">
        <v>1812</v>
      </c>
      <c r="J1231" s="18" t="s">
        <v>1802</v>
      </c>
      <c r="K1231" s="3">
        <v>0.11</v>
      </c>
      <c r="L1231" s="7" t="s">
        <v>2246</v>
      </c>
      <c r="M1231" s="7">
        <f t="shared" si="78"/>
        <v>1.1E-4</v>
      </c>
      <c r="N1231" s="7">
        <f t="shared" si="80"/>
        <v>3.4144440000000005E-2</v>
      </c>
    </row>
    <row r="1232" spans="1:14" ht="15.6" x14ac:dyDescent="0.3">
      <c r="A1232" s="18" t="s">
        <v>1752</v>
      </c>
      <c r="B1232" s="7">
        <v>6</v>
      </c>
      <c r="C1232" s="7">
        <v>13</v>
      </c>
      <c r="D1232" s="7" t="s">
        <v>2261</v>
      </c>
      <c r="E1232" s="7">
        <v>23000000</v>
      </c>
      <c r="F1232" s="7">
        <f t="shared" si="79"/>
        <v>23000000</v>
      </c>
      <c r="G1232" s="7">
        <f t="shared" si="77"/>
        <v>74096.983286297851</v>
      </c>
      <c r="H1232" s="7" t="s">
        <v>2260</v>
      </c>
      <c r="I1232" s="18" t="s">
        <v>1812</v>
      </c>
      <c r="J1232" s="18" t="s">
        <v>1802</v>
      </c>
      <c r="K1232" s="3">
        <v>0.98</v>
      </c>
      <c r="L1232" s="7" t="s">
        <v>2246</v>
      </c>
      <c r="M1232" s="7">
        <f t="shared" si="78"/>
        <v>9.7999999999999997E-4</v>
      </c>
      <c r="N1232" s="7">
        <f t="shared" si="80"/>
        <v>0.30419592000000001</v>
      </c>
    </row>
    <row r="1233" spans="1:14" ht="15.6" x14ac:dyDescent="0.3">
      <c r="A1233" s="18" t="s">
        <v>1752</v>
      </c>
      <c r="B1233" s="7">
        <v>6</v>
      </c>
      <c r="C1233" s="7">
        <v>13</v>
      </c>
      <c r="D1233" s="7" t="s">
        <v>2261</v>
      </c>
      <c r="E1233" s="7">
        <v>23000000</v>
      </c>
      <c r="F1233" s="7">
        <f t="shared" si="79"/>
        <v>23000000</v>
      </c>
      <c r="G1233" s="7">
        <f t="shared" si="77"/>
        <v>74096.983286297851</v>
      </c>
      <c r="H1233" s="7" t="s">
        <v>2260</v>
      </c>
      <c r="I1233" s="18" t="s">
        <v>1812</v>
      </c>
      <c r="J1233" s="18" t="s">
        <v>1802</v>
      </c>
      <c r="K1233" s="3">
        <v>4.63</v>
      </c>
      <c r="L1233" s="7" t="s">
        <v>2246</v>
      </c>
      <c r="M1233" s="7">
        <f t="shared" si="78"/>
        <v>4.6299999999999996E-3</v>
      </c>
      <c r="N1233" s="7">
        <f t="shared" si="80"/>
        <v>1.43717052</v>
      </c>
    </row>
    <row r="1234" spans="1:14" ht="15.6" x14ac:dyDescent="0.3">
      <c r="A1234" s="18" t="s">
        <v>1752</v>
      </c>
      <c r="B1234" s="7">
        <v>6</v>
      </c>
      <c r="C1234" s="7">
        <v>13</v>
      </c>
      <c r="D1234" s="7" t="s">
        <v>2261</v>
      </c>
      <c r="E1234" s="7">
        <v>23000000</v>
      </c>
      <c r="F1234" s="7">
        <f t="shared" si="79"/>
        <v>23000000</v>
      </c>
      <c r="G1234" s="7">
        <f t="shared" si="77"/>
        <v>74096.983286297851</v>
      </c>
      <c r="H1234" s="7" t="s">
        <v>2260</v>
      </c>
      <c r="I1234" s="18" t="s">
        <v>1812</v>
      </c>
      <c r="J1234" s="18" t="s">
        <v>1802</v>
      </c>
      <c r="K1234" s="3">
        <v>23.3</v>
      </c>
      <c r="L1234" s="7" t="s">
        <v>2246</v>
      </c>
      <c r="M1234" s="7">
        <f t="shared" si="78"/>
        <v>2.3300000000000001E-2</v>
      </c>
      <c r="N1234" s="7">
        <f t="shared" si="80"/>
        <v>7.2324132000000008</v>
      </c>
    </row>
    <row r="1235" spans="1:14" ht="15.6" x14ac:dyDescent="0.3">
      <c r="A1235" s="18" t="s">
        <v>1752</v>
      </c>
      <c r="B1235" s="7">
        <v>6</v>
      </c>
      <c r="C1235" s="7">
        <v>13</v>
      </c>
      <c r="D1235" s="7" t="s">
        <v>2261</v>
      </c>
      <c r="E1235" s="7">
        <v>23000000</v>
      </c>
      <c r="F1235" s="7">
        <f t="shared" si="79"/>
        <v>23000000</v>
      </c>
      <c r="G1235" s="7">
        <f t="shared" si="77"/>
        <v>74096.983286297851</v>
      </c>
      <c r="H1235" s="7" t="s">
        <v>2260</v>
      </c>
      <c r="I1235" s="18" t="s">
        <v>1812</v>
      </c>
      <c r="J1235" s="18" t="s">
        <v>1802</v>
      </c>
      <c r="K1235" s="3">
        <v>18.73</v>
      </c>
      <c r="L1235" s="7" t="s">
        <v>2246</v>
      </c>
      <c r="M1235" s="7">
        <f t="shared" si="78"/>
        <v>1.873E-2</v>
      </c>
      <c r="N1235" s="7">
        <f t="shared" si="80"/>
        <v>5.8138669200000006</v>
      </c>
    </row>
    <row r="1236" spans="1:14" ht="15.6" x14ac:dyDescent="0.3">
      <c r="A1236" s="18" t="s">
        <v>1752</v>
      </c>
      <c r="B1236" s="7">
        <v>6</v>
      </c>
      <c r="C1236" s="7">
        <v>13</v>
      </c>
      <c r="D1236" s="7" t="s">
        <v>2261</v>
      </c>
      <c r="E1236" s="7">
        <v>23000000</v>
      </c>
      <c r="F1236" s="7">
        <f t="shared" si="79"/>
        <v>23000000</v>
      </c>
      <c r="G1236" s="7">
        <f t="shared" si="77"/>
        <v>74096.983286297851</v>
      </c>
      <c r="H1236" s="7" t="s">
        <v>2260</v>
      </c>
      <c r="I1236" s="18" t="s">
        <v>1812</v>
      </c>
      <c r="J1236" s="18" t="s">
        <v>1802</v>
      </c>
      <c r="K1236" s="3">
        <v>2.65</v>
      </c>
      <c r="L1236" s="7" t="s">
        <v>2246</v>
      </c>
      <c r="M1236" s="7">
        <f t="shared" si="78"/>
        <v>2.65E-3</v>
      </c>
      <c r="N1236" s="7">
        <f t="shared" si="80"/>
        <v>0.82257060000000004</v>
      </c>
    </row>
    <row r="1237" spans="1:14" ht="15.6" x14ac:dyDescent="0.3">
      <c r="A1237" s="18" t="s">
        <v>1752</v>
      </c>
      <c r="B1237" s="7">
        <v>6</v>
      </c>
      <c r="C1237" s="7">
        <v>13</v>
      </c>
      <c r="D1237" s="7" t="s">
        <v>2261</v>
      </c>
      <c r="E1237" s="7">
        <v>23000000</v>
      </c>
      <c r="F1237" s="7">
        <f t="shared" si="79"/>
        <v>23000000</v>
      </c>
      <c r="G1237" s="7">
        <f t="shared" si="77"/>
        <v>74096.983286297851</v>
      </c>
      <c r="H1237" s="7" t="s">
        <v>2260</v>
      </c>
      <c r="I1237" s="18" t="s">
        <v>1812</v>
      </c>
      <c r="J1237" s="18" t="s">
        <v>1802</v>
      </c>
      <c r="K1237" s="3">
        <v>62.59</v>
      </c>
      <c r="L1237" s="7" t="s">
        <v>2246</v>
      </c>
      <c r="M1237" s="7">
        <f t="shared" si="78"/>
        <v>6.2590000000000007E-2</v>
      </c>
      <c r="N1237" s="7">
        <f t="shared" si="80"/>
        <v>19.428186360000005</v>
      </c>
    </row>
    <row r="1238" spans="1:14" ht="15.6" x14ac:dyDescent="0.3">
      <c r="A1238" s="18" t="s">
        <v>1752</v>
      </c>
      <c r="B1238" s="7">
        <v>6</v>
      </c>
      <c r="C1238" s="7">
        <v>13</v>
      </c>
      <c r="D1238" s="7" t="s">
        <v>2261</v>
      </c>
      <c r="E1238" s="7">
        <v>23000000</v>
      </c>
      <c r="F1238" s="7">
        <f t="shared" si="79"/>
        <v>23000000</v>
      </c>
      <c r="G1238" s="7">
        <f t="shared" si="77"/>
        <v>74096.983286297851</v>
      </c>
      <c r="H1238" s="7" t="s">
        <v>2260</v>
      </c>
      <c r="I1238" s="18" t="s">
        <v>1812</v>
      </c>
      <c r="J1238" s="18" t="s">
        <v>1802</v>
      </c>
      <c r="K1238" s="3">
        <v>19.47</v>
      </c>
      <c r="L1238" s="7" t="s">
        <v>2246</v>
      </c>
      <c r="M1238" s="7">
        <f t="shared" si="78"/>
        <v>1.9469999999999998E-2</v>
      </c>
      <c r="N1238" s="7">
        <f t="shared" si="80"/>
        <v>6.0435658800000001</v>
      </c>
    </row>
    <row r="1239" spans="1:14" ht="15.6" x14ac:dyDescent="0.3">
      <c r="A1239" s="18" t="s">
        <v>1752</v>
      </c>
      <c r="B1239" s="7">
        <v>6</v>
      </c>
      <c r="C1239" s="7">
        <v>13</v>
      </c>
      <c r="D1239" s="7" t="s">
        <v>2261</v>
      </c>
      <c r="E1239" s="7">
        <v>23000000</v>
      </c>
      <c r="F1239" s="7">
        <f t="shared" si="79"/>
        <v>23000000</v>
      </c>
      <c r="G1239" s="7">
        <f t="shared" si="77"/>
        <v>74096.983286297851</v>
      </c>
      <c r="H1239" s="7" t="s">
        <v>2260</v>
      </c>
      <c r="I1239" s="18" t="s">
        <v>1812</v>
      </c>
      <c r="J1239" s="18" t="s">
        <v>1802</v>
      </c>
      <c r="K1239" s="3">
        <v>33.81</v>
      </c>
      <c r="L1239" s="7" t="s">
        <v>2246</v>
      </c>
      <c r="M1239" s="7">
        <f t="shared" si="78"/>
        <v>3.381E-2</v>
      </c>
      <c r="N1239" s="7">
        <f t="shared" si="80"/>
        <v>10.49475924</v>
      </c>
    </row>
    <row r="1240" spans="1:14" ht="15.6" x14ac:dyDescent="0.3">
      <c r="A1240" s="18" t="s">
        <v>1752</v>
      </c>
      <c r="B1240" s="7">
        <v>6</v>
      </c>
      <c r="C1240" s="7">
        <v>13</v>
      </c>
      <c r="D1240" s="7" t="s">
        <v>2261</v>
      </c>
      <c r="E1240" s="7">
        <v>23000000</v>
      </c>
      <c r="F1240" s="7">
        <f t="shared" si="79"/>
        <v>23000000</v>
      </c>
      <c r="G1240" s="7">
        <f t="shared" si="77"/>
        <v>74096.983286297851</v>
      </c>
      <c r="H1240" s="7" t="s">
        <v>2260</v>
      </c>
      <c r="I1240" s="18" t="s">
        <v>1812</v>
      </c>
      <c r="J1240" s="18" t="s">
        <v>1802</v>
      </c>
      <c r="K1240" s="3">
        <v>22.04</v>
      </c>
      <c r="L1240" s="7" t="s">
        <v>2246</v>
      </c>
      <c r="M1240" s="7">
        <f t="shared" si="78"/>
        <v>2.2040000000000001E-2</v>
      </c>
      <c r="N1240" s="7">
        <f t="shared" si="80"/>
        <v>6.8413041600000009</v>
      </c>
    </row>
    <row r="1241" spans="1:14" ht="15.6" x14ac:dyDescent="0.3">
      <c r="A1241" s="18" t="s">
        <v>1752</v>
      </c>
      <c r="B1241" s="7">
        <v>6</v>
      </c>
      <c r="C1241" s="7">
        <v>13</v>
      </c>
      <c r="D1241" s="7" t="s">
        <v>2261</v>
      </c>
      <c r="E1241" s="7">
        <v>23000000</v>
      </c>
      <c r="F1241" s="7">
        <f t="shared" si="79"/>
        <v>23000000</v>
      </c>
      <c r="G1241" s="7">
        <f t="shared" ref="G1241:G1270" si="81">F1241/310.404</f>
        <v>74096.983286297851</v>
      </c>
      <c r="H1241" s="7" t="s">
        <v>2260</v>
      </c>
      <c r="I1241" s="18" t="s">
        <v>1812</v>
      </c>
      <c r="J1241" s="18" t="s">
        <v>1802</v>
      </c>
      <c r="K1241" s="3">
        <v>5.03</v>
      </c>
      <c r="L1241" s="7" t="s">
        <v>2246</v>
      </c>
      <c r="M1241" s="7">
        <f t="shared" si="78"/>
        <v>5.0300000000000006E-3</v>
      </c>
      <c r="N1241" s="7">
        <f t="shared" si="80"/>
        <v>1.5613321200000003</v>
      </c>
    </row>
    <row r="1242" spans="1:14" ht="15.6" x14ac:dyDescent="0.3">
      <c r="A1242" s="18" t="s">
        <v>1752</v>
      </c>
      <c r="B1242" s="7">
        <v>6</v>
      </c>
      <c r="C1242" s="7">
        <v>13</v>
      </c>
      <c r="D1242" s="7" t="s">
        <v>2261</v>
      </c>
      <c r="E1242" s="7">
        <v>23000000</v>
      </c>
      <c r="F1242" s="7">
        <f t="shared" si="79"/>
        <v>23000000</v>
      </c>
      <c r="G1242" s="7">
        <f t="shared" si="81"/>
        <v>74096.983286297851</v>
      </c>
      <c r="H1242" s="7" t="s">
        <v>2260</v>
      </c>
      <c r="I1242" s="18" t="s">
        <v>1812</v>
      </c>
      <c r="J1242" s="18" t="s">
        <v>1802</v>
      </c>
      <c r="K1242" s="3">
        <v>18.440000000000001</v>
      </c>
      <c r="L1242" s="7" t="s">
        <v>2246</v>
      </c>
      <c r="M1242" s="7">
        <f t="shared" si="78"/>
        <v>1.8440000000000002E-2</v>
      </c>
      <c r="N1242" s="7">
        <f t="shared" si="80"/>
        <v>5.7238497600000011</v>
      </c>
    </row>
    <row r="1243" spans="1:14" ht="15.6" x14ac:dyDescent="0.3">
      <c r="A1243" s="18" t="s">
        <v>1752</v>
      </c>
      <c r="B1243" s="7">
        <v>6</v>
      </c>
      <c r="C1243" s="7">
        <v>13</v>
      </c>
      <c r="D1243" s="7" t="s">
        <v>2261</v>
      </c>
      <c r="E1243" s="7">
        <v>23000000</v>
      </c>
      <c r="F1243" s="7">
        <f t="shared" si="79"/>
        <v>23000000</v>
      </c>
      <c r="G1243" s="7">
        <f t="shared" si="81"/>
        <v>74096.983286297851</v>
      </c>
      <c r="H1243" s="7" t="s">
        <v>2260</v>
      </c>
      <c r="I1243" s="18" t="s">
        <v>1812</v>
      </c>
      <c r="J1243" s="18" t="s">
        <v>1802</v>
      </c>
      <c r="K1243" s="3">
        <v>3.92</v>
      </c>
      <c r="L1243" s="7" t="s">
        <v>2246</v>
      </c>
      <c r="M1243" s="7">
        <f t="shared" si="78"/>
        <v>3.9199999999999999E-3</v>
      </c>
      <c r="N1243" s="7">
        <f t="shared" si="80"/>
        <v>1.21678368</v>
      </c>
    </row>
    <row r="1244" spans="1:14" ht="15.6" x14ac:dyDescent="0.3">
      <c r="A1244" s="18" t="s">
        <v>1752</v>
      </c>
      <c r="B1244" s="7">
        <v>6</v>
      </c>
      <c r="C1244" s="7">
        <v>13</v>
      </c>
      <c r="D1244" s="7" t="s">
        <v>2261</v>
      </c>
      <c r="E1244" s="7">
        <v>23000000</v>
      </c>
      <c r="F1244" s="7">
        <f t="shared" si="79"/>
        <v>23000000</v>
      </c>
      <c r="G1244" s="7">
        <f t="shared" si="81"/>
        <v>74096.983286297851</v>
      </c>
      <c r="H1244" s="7" t="s">
        <v>2260</v>
      </c>
      <c r="I1244" s="18" t="s">
        <v>1812</v>
      </c>
      <c r="J1244" s="18" t="s">
        <v>1802</v>
      </c>
      <c r="K1244" s="3">
        <v>6.04</v>
      </c>
      <c r="L1244" s="7" t="s">
        <v>2246</v>
      </c>
      <c r="M1244" s="7">
        <f t="shared" si="78"/>
        <v>6.0400000000000002E-3</v>
      </c>
      <c r="N1244" s="7">
        <f t="shared" si="80"/>
        <v>1.8748401600000002</v>
      </c>
    </row>
    <row r="1245" spans="1:14" ht="15.6" x14ac:dyDescent="0.3">
      <c r="A1245" s="18" t="s">
        <v>1752</v>
      </c>
      <c r="B1245" s="7">
        <v>6</v>
      </c>
      <c r="C1245" s="7">
        <v>13</v>
      </c>
      <c r="D1245" s="7" t="s">
        <v>2261</v>
      </c>
      <c r="E1245" s="7">
        <v>23000000</v>
      </c>
      <c r="F1245" s="7">
        <f t="shared" si="79"/>
        <v>23000000</v>
      </c>
      <c r="G1245" s="7">
        <f t="shared" si="81"/>
        <v>74096.983286297851</v>
      </c>
      <c r="H1245" s="7" t="s">
        <v>2260</v>
      </c>
      <c r="I1245" s="18" t="s">
        <v>1812</v>
      </c>
      <c r="J1245" s="18" t="s">
        <v>1802</v>
      </c>
      <c r="K1245" s="3">
        <v>3.74</v>
      </c>
      <c r="L1245" s="7" t="s">
        <v>2246</v>
      </c>
      <c r="M1245" s="7">
        <f t="shared" si="78"/>
        <v>3.7400000000000003E-3</v>
      </c>
      <c r="N1245" s="7">
        <f t="shared" si="80"/>
        <v>1.16091096</v>
      </c>
    </row>
    <row r="1246" spans="1:14" ht="15.6" x14ac:dyDescent="0.3">
      <c r="A1246" s="18" t="s">
        <v>1752</v>
      </c>
      <c r="B1246" s="7">
        <v>6</v>
      </c>
      <c r="C1246" s="7">
        <v>13</v>
      </c>
      <c r="D1246" s="7" t="s">
        <v>2261</v>
      </c>
      <c r="E1246" s="7">
        <v>23000000</v>
      </c>
      <c r="F1246" s="7">
        <f t="shared" si="79"/>
        <v>23000000</v>
      </c>
      <c r="G1246" s="7">
        <f t="shared" si="81"/>
        <v>74096.983286297851</v>
      </c>
      <c r="H1246" s="7" t="s">
        <v>2260</v>
      </c>
      <c r="I1246" s="18" t="s">
        <v>1812</v>
      </c>
      <c r="J1246" s="18" t="s">
        <v>1802</v>
      </c>
      <c r="K1246" s="3">
        <v>1.0900000000000001</v>
      </c>
      <c r="L1246" s="7" t="s">
        <v>2246</v>
      </c>
      <c r="M1246" s="7">
        <f t="shared" si="78"/>
        <v>1.09E-3</v>
      </c>
      <c r="N1246" s="7">
        <f t="shared" si="80"/>
        <v>0.33834036000000001</v>
      </c>
    </row>
    <row r="1247" spans="1:14" ht="15.6" x14ac:dyDescent="0.3">
      <c r="A1247" s="18" t="s">
        <v>1763</v>
      </c>
      <c r="B1247" s="7">
        <v>6</v>
      </c>
      <c r="C1247" s="7">
        <v>12</v>
      </c>
      <c r="D1247" s="7" t="s">
        <v>2259</v>
      </c>
      <c r="E1247" s="7">
        <v>11000000</v>
      </c>
      <c r="F1247" s="7">
        <f t="shared" si="79"/>
        <v>11000000</v>
      </c>
      <c r="G1247" s="7">
        <f t="shared" si="81"/>
        <v>35437.687658664196</v>
      </c>
      <c r="H1247" s="7" t="s">
        <v>2260</v>
      </c>
      <c r="I1247" s="18" t="s">
        <v>1812</v>
      </c>
      <c r="J1247" s="18" t="s">
        <v>1802</v>
      </c>
      <c r="K1247" s="3" t="s">
        <v>2262</v>
      </c>
      <c r="L1247" s="7" t="s">
        <v>2246</v>
      </c>
      <c r="M1247" s="7">
        <f t="shared" si="78"/>
        <v>1.1560000000000001E-2</v>
      </c>
      <c r="N1247" s="7">
        <f t="shared" si="80"/>
        <v>3.5882702399999999</v>
      </c>
    </row>
    <row r="1248" spans="1:14" ht="15.6" x14ac:dyDescent="0.3">
      <c r="A1248" s="18" t="s">
        <v>1763</v>
      </c>
      <c r="B1248" s="7">
        <v>6</v>
      </c>
      <c r="C1248" s="7">
        <v>12</v>
      </c>
      <c r="D1248" s="7" t="s">
        <v>2259</v>
      </c>
      <c r="E1248" s="7">
        <v>11000000</v>
      </c>
      <c r="F1248" s="7">
        <f t="shared" si="79"/>
        <v>11000000</v>
      </c>
      <c r="G1248" s="7">
        <f t="shared" si="81"/>
        <v>35437.687658664196</v>
      </c>
      <c r="H1248" s="7" t="s">
        <v>2260</v>
      </c>
      <c r="I1248" s="18" t="s">
        <v>1812</v>
      </c>
      <c r="J1248" s="18" t="s">
        <v>1802</v>
      </c>
      <c r="K1248" s="3" t="s">
        <v>2263</v>
      </c>
      <c r="L1248" s="7" t="s">
        <v>2246</v>
      </c>
      <c r="M1248" s="7">
        <f t="shared" si="78"/>
        <v>7.3099999999999997E-3</v>
      </c>
      <c r="N1248" s="7">
        <f t="shared" si="80"/>
        <v>2.2690532399999999</v>
      </c>
    </row>
    <row r="1249" spans="1:14" ht="15.6" x14ac:dyDescent="0.3">
      <c r="A1249" s="18" t="s">
        <v>1763</v>
      </c>
      <c r="B1249" s="7">
        <v>6</v>
      </c>
      <c r="C1249" s="7">
        <v>12</v>
      </c>
      <c r="D1249" s="7" t="s">
        <v>2259</v>
      </c>
      <c r="E1249" s="7">
        <v>11000000</v>
      </c>
      <c r="F1249" s="7">
        <f t="shared" si="79"/>
        <v>11000000</v>
      </c>
      <c r="G1249" s="7">
        <f t="shared" si="81"/>
        <v>35437.687658664196</v>
      </c>
      <c r="H1249" s="7" t="s">
        <v>2260</v>
      </c>
      <c r="I1249" s="18" t="s">
        <v>1812</v>
      </c>
      <c r="J1249" s="18" t="s">
        <v>1802</v>
      </c>
      <c r="K1249" s="3" t="s">
        <v>2264</v>
      </c>
      <c r="L1249" s="7" t="s">
        <v>2246</v>
      </c>
      <c r="M1249" s="7">
        <f t="shared" si="78"/>
        <v>7.2300000000000003E-3</v>
      </c>
      <c r="N1249" s="7">
        <f t="shared" si="80"/>
        <v>2.2442209199999996</v>
      </c>
    </row>
    <row r="1250" spans="1:14" ht="15.6" x14ac:dyDescent="0.3">
      <c r="A1250" s="18" t="s">
        <v>1763</v>
      </c>
      <c r="B1250" s="7">
        <v>6</v>
      </c>
      <c r="C1250" s="7">
        <v>12</v>
      </c>
      <c r="D1250" s="7" t="s">
        <v>2259</v>
      </c>
      <c r="E1250" s="7">
        <v>11000000</v>
      </c>
      <c r="F1250" s="7">
        <f t="shared" si="79"/>
        <v>11000000</v>
      </c>
      <c r="G1250" s="7">
        <f t="shared" si="81"/>
        <v>35437.687658664196</v>
      </c>
      <c r="H1250" s="7" t="s">
        <v>2260</v>
      </c>
      <c r="I1250" s="18" t="s">
        <v>1812</v>
      </c>
      <c r="J1250" s="18" t="s">
        <v>1802</v>
      </c>
      <c r="K1250" s="3" t="s">
        <v>2265</v>
      </c>
      <c r="L1250" s="7" t="s">
        <v>2246</v>
      </c>
      <c r="M1250" s="7">
        <f t="shared" si="78"/>
        <v>6.9100000000000003E-3</v>
      </c>
      <c r="N1250" s="7">
        <f t="shared" si="80"/>
        <v>2.14489164</v>
      </c>
    </row>
    <row r="1251" spans="1:14" ht="15.6" x14ac:dyDescent="0.3">
      <c r="A1251" s="18" t="s">
        <v>1763</v>
      </c>
      <c r="B1251" s="7">
        <v>6</v>
      </c>
      <c r="C1251" s="7">
        <v>12</v>
      </c>
      <c r="D1251" s="7" t="s">
        <v>2259</v>
      </c>
      <c r="E1251" s="7">
        <v>11000000</v>
      </c>
      <c r="F1251" s="7">
        <f t="shared" si="79"/>
        <v>11000000</v>
      </c>
      <c r="G1251" s="7">
        <f t="shared" si="81"/>
        <v>35437.687658664196</v>
      </c>
      <c r="H1251" s="7" t="s">
        <v>2260</v>
      </c>
      <c r="I1251" s="18" t="s">
        <v>1812</v>
      </c>
      <c r="J1251" s="18" t="s">
        <v>1802</v>
      </c>
      <c r="K1251" s="3" t="s">
        <v>2266</v>
      </c>
      <c r="L1251" s="7" t="s">
        <v>2246</v>
      </c>
      <c r="M1251" s="7">
        <f t="shared" si="78"/>
        <v>1.6969999999999999E-2</v>
      </c>
      <c r="N1251" s="7">
        <f t="shared" si="80"/>
        <v>5.2675558799999997</v>
      </c>
    </row>
    <row r="1252" spans="1:14" ht="15.6" x14ac:dyDescent="0.3">
      <c r="A1252" s="18" t="s">
        <v>1763</v>
      </c>
      <c r="B1252" s="7">
        <v>6</v>
      </c>
      <c r="C1252" s="7">
        <v>12</v>
      </c>
      <c r="D1252" s="7" t="s">
        <v>2259</v>
      </c>
      <c r="E1252" s="7">
        <v>11000000</v>
      </c>
      <c r="F1252" s="7">
        <f t="shared" si="79"/>
        <v>11000000</v>
      </c>
      <c r="G1252" s="7">
        <f t="shared" si="81"/>
        <v>35437.687658664196</v>
      </c>
      <c r="H1252" s="7" t="s">
        <v>2260</v>
      </c>
      <c r="I1252" s="18" t="s">
        <v>1812</v>
      </c>
      <c r="J1252" s="18" t="s">
        <v>1802</v>
      </c>
      <c r="K1252" s="3" t="s">
        <v>2267</v>
      </c>
      <c r="L1252" s="7" t="s">
        <v>2246</v>
      </c>
      <c r="M1252" s="7">
        <f t="shared" si="78"/>
        <v>1.6109999999999999E-2</v>
      </c>
      <c r="N1252" s="7">
        <f t="shared" si="80"/>
        <v>5.0006084399999997</v>
      </c>
    </row>
    <row r="1253" spans="1:14" ht="15.6" x14ac:dyDescent="0.3">
      <c r="A1253" s="18" t="s">
        <v>1763</v>
      </c>
      <c r="B1253" s="7">
        <v>6</v>
      </c>
      <c r="C1253" s="7">
        <v>12</v>
      </c>
      <c r="D1253" s="7" t="s">
        <v>2259</v>
      </c>
      <c r="E1253" s="7">
        <v>11000000</v>
      </c>
      <c r="F1253" s="7">
        <f t="shared" si="79"/>
        <v>11000000</v>
      </c>
      <c r="G1253" s="7">
        <f t="shared" si="81"/>
        <v>35437.687658664196</v>
      </c>
      <c r="H1253" s="7" t="s">
        <v>2260</v>
      </c>
      <c r="I1253" s="18" t="s">
        <v>1812</v>
      </c>
      <c r="J1253" s="18" t="s">
        <v>1802</v>
      </c>
      <c r="K1253" s="3" t="s">
        <v>2268</v>
      </c>
      <c r="L1253" s="7" t="s">
        <v>2246</v>
      </c>
      <c r="M1253" s="7">
        <f t="shared" si="78"/>
        <v>1.072E-2</v>
      </c>
      <c r="N1253" s="7">
        <f t="shared" si="80"/>
        <v>3.3275308799999999</v>
      </c>
    </row>
    <row r="1254" spans="1:14" ht="15.6" x14ac:dyDescent="0.3">
      <c r="A1254" s="18" t="s">
        <v>1763</v>
      </c>
      <c r="B1254" s="7">
        <v>6</v>
      </c>
      <c r="C1254" s="7">
        <v>12</v>
      </c>
      <c r="D1254" s="7" t="s">
        <v>2259</v>
      </c>
      <c r="E1254" s="7">
        <v>11000000</v>
      </c>
      <c r="F1254" s="7">
        <f t="shared" si="79"/>
        <v>11000000</v>
      </c>
      <c r="G1254" s="7">
        <f t="shared" si="81"/>
        <v>35437.687658664196</v>
      </c>
      <c r="H1254" s="7" t="s">
        <v>2260</v>
      </c>
      <c r="I1254" s="18" t="s">
        <v>1812</v>
      </c>
      <c r="J1254" s="18" t="s">
        <v>1802</v>
      </c>
      <c r="K1254" s="3">
        <v>12.98</v>
      </c>
      <c r="L1254" s="7" t="s">
        <v>2246</v>
      </c>
      <c r="M1254" s="7">
        <f t="shared" si="78"/>
        <v>1.298E-2</v>
      </c>
      <c r="N1254" s="7">
        <f t="shared" si="80"/>
        <v>4.0290439199999994</v>
      </c>
    </row>
    <row r="1255" spans="1:14" ht="15.6" x14ac:dyDescent="0.3">
      <c r="A1255" s="18" t="s">
        <v>1763</v>
      </c>
      <c r="B1255" s="7">
        <v>6</v>
      </c>
      <c r="C1255" s="7">
        <v>12</v>
      </c>
      <c r="D1255" s="7" t="s">
        <v>2259</v>
      </c>
      <c r="E1255" s="7">
        <v>11000000</v>
      </c>
      <c r="F1255" s="7">
        <f t="shared" si="79"/>
        <v>11000000</v>
      </c>
      <c r="G1255" s="7">
        <f t="shared" si="81"/>
        <v>35437.687658664196</v>
      </c>
      <c r="H1255" s="7" t="s">
        <v>2260</v>
      </c>
      <c r="I1255" s="18" t="s">
        <v>1812</v>
      </c>
      <c r="J1255" s="18" t="s">
        <v>1802</v>
      </c>
      <c r="K1255" s="3">
        <v>11.79</v>
      </c>
      <c r="L1255" s="7" t="s">
        <v>2246</v>
      </c>
      <c r="M1255" s="7">
        <f t="shared" si="78"/>
        <v>1.1789999999999998E-2</v>
      </c>
      <c r="N1255" s="7">
        <f t="shared" si="80"/>
        <v>3.6596631599999991</v>
      </c>
    </row>
    <row r="1256" spans="1:14" ht="15.6" x14ac:dyDescent="0.3">
      <c r="A1256" s="18" t="s">
        <v>1763</v>
      </c>
      <c r="B1256" s="7">
        <v>6</v>
      </c>
      <c r="C1256" s="7">
        <v>12</v>
      </c>
      <c r="D1256" s="7" t="s">
        <v>2259</v>
      </c>
      <c r="E1256" s="7">
        <v>11000000</v>
      </c>
      <c r="F1256" s="7">
        <f t="shared" si="79"/>
        <v>11000000</v>
      </c>
      <c r="G1256" s="7">
        <f t="shared" si="81"/>
        <v>35437.687658664196</v>
      </c>
      <c r="H1256" s="7" t="s">
        <v>2260</v>
      </c>
      <c r="I1256" s="18" t="s">
        <v>1812</v>
      </c>
      <c r="J1256" s="18" t="s">
        <v>1802</v>
      </c>
      <c r="K1256" s="3">
        <v>13.8</v>
      </c>
      <c r="L1256" s="7" t="s">
        <v>2246</v>
      </c>
      <c r="M1256" s="7">
        <f t="shared" si="78"/>
        <v>1.3800000000000002E-2</v>
      </c>
      <c r="N1256" s="7">
        <f t="shared" si="80"/>
        <v>4.2835752000000005</v>
      </c>
    </row>
    <row r="1257" spans="1:14" ht="15.6" x14ac:dyDescent="0.3">
      <c r="A1257" s="18" t="s">
        <v>1763</v>
      </c>
      <c r="B1257" s="7">
        <v>6</v>
      </c>
      <c r="C1257" s="7">
        <v>12</v>
      </c>
      <c r="D1257" s="7" t="s">
        <v>2259</v>
      </c>
      <c r="E1257" s="7">
        <v>11000000</v>
      </c>
      <c r="F1257" s="7">
        <f t="shared" si="79"/>
        <v>11000000</v>
      </c>
      <c r="G1257" s="7">
        <f t="shared" si="81"/>
        <v>35437.687658664196</v>
      </c>
      <c r="H1257" s="7" t="s">
        <v>2260</v>
      </c>
      <c r="I1257" s="18" t="s">
        <v>1812</v>
      </c>
      <c r="J1257" s="18" t="s">
        <v>1802</v>
      </c>
      <c r="K1257" s="3">
        <v>10.5</v>
      </c>
      <c r="L1257" s="7" t="s">
        <v>2246</v>
      </c>
      <c r="M1257" s="7">
        <f t="shared" si="78"/>
        <v>1.0500000000000001E-2</v>
      </c>
      <c r="N1257" s="7">
        <f t="shared" si="80"/>
        <v>3.2592419999999995</v>
      </c>
    </row>
    <row r="1258" spans="1:14" ht="15.6" x14ac:dyDescent="0.3">
      <c r="A1258" s="18" t="s">
        <v>1763</v>
      </c>
      <c r="B1258" s="7">
        <v>6</v>
      </c>
      <c r="C1258" s="7">
        <v>12</v>
      </c>
      <c r="D1258" s="7" t="s">
        <v>2259</v>
      </c>
      <c r="E1258" s="7">
        <v>11000000</v>
      </c>
      <c r="F1258" s="7">
        <f t="shared" si="79"/>
        <v>11000000</v>
      </c>
      <c r="G1258" s="7">
        <f t="shared" si="81"/>
        <v>35437.687658664196</v>
      </c>
      <c r="H1258" s="7" t="s">
        <v>2260</v>
      </c>
      <c r="I1258" s="18" t="s">
        <v>1812</v>
      </c>
      <c r="J1258" s="18" t="s">
        <v>1802</v>
      </c>
      <c r="K1258" s="3" t="s">
        <v>2269</v>
      </c>
      <c r="L1258" s="7" t="s">
        <v>2246</v>
      </c>
      <c r="M1258" s="7">
        <f t="shared" ref="M1258:M1321" si="82">IFERROR(K1258/1000,"ND")</f>
        <v>1.3529999999999999E-2</v>
      </c>
      <c r="N1258" s="7">
        <f t="shared" si="80"/>
        <v>4.1997661199999987</v>
      </c>
    </row>
    <row r="1259" spans="1:14" ht="15.6" x14ac:dyDescent="0.3">
      <c r="A1259" s="18" t="s">
        <v>1752</v>
      </c>
      <c r="B1259" s="7">
        <v>6</v>
      </c>
      <c r="C1259" s="7">
        <v>12</v>
      </c>
      <c r="D1259" s="7" t="s">
        <v>2259</v>
      </c>
      <c r="E1259" s="7">
        <v>11000000</v>
      </c>
      <c r="F1259" s="7">
        <f t="shared" si="79"/>
        <v>11000000</v>
      </c>
      <c r="G1259" s="7">
        <f t="shared" si="81"/>
        <v>35437.687658664196</v>
      </c>
      <c r="H1259" s="7" t="s">
        <v>2260</v>
      </c>
      <c r="I1259" s="18" t="s">
        <v>1812</v>
      </c>
      <c r="J1259" s="18" t="s">
        <v>1802</v>
      </c>
      <c r="K1259" s="3" t="s">
        <v>2270</v>
      </c>
      <c r="L1259" s="7" t="s">
        <v>2246</v>
      </c>
      <c r="M1259" s="7">
        <f t="shared" si="82"/>
        <v>1.3789999999999998E-2</v>
      </c>
      <c r="N1259" s="7">
        <f t="shared" si="80"/>
        <v>4.2804711599999985</v>
      </c>
    </row>
    <row r="1260" spans="1:14" ht="15.6" x14ac:dyDescent="0.3">
      <c r="A1260" s="18" t="s">
        <v>1752</v>
      </c>
      <c r="B1260" s="7">
        <v>6</v>
      </c>
      <c r="C1260" s="7">
        <v>12</v>
      </c>
      <c r="D1260" s="7" t="s">
        <v>2259</v>
      </c>
      <c r="E1260" s="7">
        <v>11000000</v>
      </c>
      <c r="F1260" s="7">
        <f t="shared" si="79"/>
        <v>11000000</v>
      </c>
      <c r="G1260" s="7">
        <f t="shared" si="81"/>
        <v>35437.687658664196</v>
      </c>
      <c r="H1260" s="7" t="s">
        <v>2260</v>
      </c>
      <c r="I1260" s="18" t="s">
        <v>1812</v>
      </c>
      <c r="J1260" s="18" t="s">
        <v>1802</v>
      </c>
      <c r="K1260" s="3" t="s">
        <v>2271</v>
      </c>
      <c r="L1260" s="7" t="s">
        <v>2246</v>
      </c>
      <c r="M1260" s="7">
        <f t="shared" si="82"/>
        <v>2.64E-3</v>
      </c>
      <c r="N1260" s="7">
        <f t="shared" si="80"/>
        <v>0.81946655999999996</v>
      </c>
    </row>
    <row r="1261" spans="1:14" ht="15.6" x14ac:dyDescent="0.3">
      <c r="A1261" s="18" t="s">
        <v>1752</v>
      </c>
      <c r="B1261" s="7">
        <v>6</v>
      </c>
      <c r="C1261" s="7">
        <v>12</v>
      </c>
      <c r="D1261" s="7" t="s">
        <v>2259</v>
      </c>
      <c r="E1261" s="7">
        <v>11000000</v>
      </c>
      <c r="F1261" s="7">
        <f t="shared" si="79"/>
        <v>11000000</v>
      </c>
      <c r="G1261" s="7">
        <f t="shared" si="81"/>
        <v>35437.687658664196</v>
      </c>
      <c r="H1261" s="7" t="s">
        <v>2260</v>
      </c>
      <c r="I1261" s="18" t="s">
        <v>1812</v>
      </c>
      <c r="J1261" s="18" t="s">
        <v>1802</v>
      </c>
      <c r="K1261" s="3" t="s">
        <v>2272</v>
      </c>
      <c r="L1261" s="7" t="s">
        <v>2246</v>
      </c>
      <c r="M1261" s="7">
        <f t="shared" si="82"/>
        <v>1.34E-3</v>
      </c>
      <c r="N1261" s="7">
        <f t="shared" si="80"/>
        <v>0.41594135999999998</v>
      </c>
    </row>
    <row r="1262" spans="1:14" ht="15.6" x14ac:dyDescent="0.3">
      <c r="A1262" s="18" t="s">
        <v>1752</v>
      </c>
      <c r="B1262" s="7">
        <v>6</v>
      </c>
      <c r="C1262" s="7">
        <v>12</v>
      </c>
      <c r="D1262" s="7" t="s">
        <v>2259</v>
      </c>
      <c r="E1262" s="7">
        <v>11000000</v>
      </c>
      <c r="F1262" s="7">
        <f t="shared" si="79"/>
        <v>11000000</v>
      </c>
      <c r="G1262" s="7">
        <f t="shared" si="81"/>
        <v>35437.687658664196</v>
      </c>
      <c r="H1262" s="7" t="s">
        <v>2260</v>
      </c>
      <c r="I1262" s="18" t="s">
        <v>1812</v>
      </c>
      <c r="J1262" s="18" t="s">
        <v>1802</v>
      </c>
      <c r="K1262" s="3">
        <v>0.24</v>
      </c>
      <c r="L1262" s="7" t="s">
        <v>2246</v>
      </c>
      <c r="M1262" s="7">
        <f t="shared" si="82"/>
        <v>2.3999999999999998E-4</v>
      </c>
      <c r="N1262" s="7">
        <f t="shared" si="80"/>
        <v>7.4496959999999987E-2</v>
      </c>
    </row>
    <row r="1263" spans="1:14" ht="15.6" x14ac:dyDescent="0.3">
      <c r="A1263" s="18" t="s">
        <v>1752</v>
      </c>
      <c r="B1263" s="7">
        <v>6</v>
      </c>
      <c r="C1263" s="7">
        <v>12</v>
      </c>
      <c r="D1263" s="7" t="s">
        <v>2259</v>
      </c>
      <c r="E1263" s="7">
        <v>11000000</v>
      </c>
      <c r="F1263" s="7">
        <f t="shared" si="79"/>
        <v>11000000</v>
      </c>
      <c r="G1263" s="7">
        <f t="shared" si="81"/>
        <v>35437.687658664196</v>
      </c>
      <c r="H1263" s="7" t="s">
        <v>2260</v>
      </c>
      <c r="I1263" s="18" t="s">
        <v>1812</v>
      </c>
      <c r="J1263" s="18" t="s">
        <v>1802</v>
      </c>
      <c r="K1263" s="3">
        <v>0.47</v>
      </c>
      <c r="L1263" s="7" t="s">
        <v>2246</v>
      </c>
      <c r="M1263" s="7">
        <f t="shared" si="82"/>
        <v>4.6999999999999999E-4</v>
      </c>
      <c r="N1263" s="7">
        <f t="shared" si="80"/>
        <v>0.14588988</v>
      </c>
    </row>
    <row r="1264" spans="1:14" ht="15.6" x14ac:dyDescent="0.3">
      <c r="A1264" s="18" t="s">
        <v>1752</v>
      </c>
      <c r="B1264" s="7">
        <v>6</v>
      </c>
      <c r="C1264" s="7">
        <v>12</v>
      </c>
      <c r="D1264" s="7" t="s">
        <v>2259</v>
      </c>
      <c r="E1264" s="7">
        <v>11000000</v>
      </c>
      <c r="F1264" s="7">
        <f t="shared" si="79"/>
        <v>11000000</v>
      </c>
      <c r="G1264" s="7">
        <f t="shared" si="81"/>
        <v>35437.687658664196</v>
      </c>
      <c r="H1264" s="7" t="s">
        <v>2260</v>
      </c>
      <c r="I1264" s="18" t="s">
        <v>1812</v>
      </c>
      <c r="J1264" s="18" t="s">
        <v>1802</v>
      </c>
      <c r="K1264" s="3">
        <v>0.11</v>
      </c>
      <c r="L1264" s="7" t="s">
        <v>2246</v>
      </c>
      <c r="M1264" s="7">
        <f t="shared" si="82"/>
        <v>1.1E-4</v>
      </c>
      <c r="N1264" s="7">
        <f t="shared" si="80"/>
        <v>3.4144439999999998E-2</v>
      </c>
    </row>
    <row r="1265" spans="1:14" ht="15.6" x14ac:dyDescent="0.3">
      <c r="A1265" s="18" t="s">
        <v>1752</v>
      </c>
      <c r="B1265" s="7">
        <v>6</v>
      </c>
      <c r="C1265" s="7">
        <v>12</v>
      </c>
      <c r="D1265" s="7" t="s">
        <v>2259</v>
      </c>
      <c r="E1265" s="7">
        <v>11000000</v>
      </c>
      <c r="F1265" s="7">
        <f t="shared" si="79"/>
        <v>11000000</v>
      </c>
      <c r="G1265" s="7">
        <f t="shared" si="81"/>
        <v>35437.687658664196</v>
      </c>
      <c r="H1265" s="7" t="s">
        <v>2260</v>
      </c>
      <c r="I1265" s="18" t="s">
        <v>1812</v>
      </c>
      <c r="J1265" s="18" t="s">
        <v>1802</v>
      </c>
      <c r="K1265" s="3" t="s">
        <v>2273</v>
      </c>
      <c r="L1265" s="7" t="s">
        <v>2246</v>
      </c>
      <c r="M1265" s="7">
        <f t="shared" si="82"/>
        <v>4.7099999999999998E-3</v>
      </c>
      <c r="N1265" s="7">
        <f t="shared" si="80"/>
        <v>1.4620028399999998</v>
      </c>
    </row>
    <row r="1266" spans="1:14" ht="15.6" x14ac:dyDescent="0.3">
      <c r="A1266" s="18" t="s">
        <v>1752</v>
      </c>
      <c r="B1266" s="7">
        <v>6</v>
      </c>
      <c r="C1266" s="7">
        <v>12</v>
      </c>
      <c r="D1266" s="7" t="s">
        <v>2259</v>
      </c>
      <c r="E1266" s="7">
        <v>11000000</v>
      </c>
      <c r="F1266" s="7">
        <f t="shared" si="79"/>
        <v>11000000</v>
      </c>
      <c r="G1266" s="7">
        <f t="shared" si="81"/>
        <v>35437.687658664196</v>
      </c>
      <c r="H1266" s="7" t="s">
        <v>2260</v>
      </c>
      <c r="I1266" s="18" t="s">
        <v>1812</v>
      </c>
      <c r="J1266" s="18" t="s">
        <v>1802</v>
      </c>
      <c r="K1266" s="3">
        <v>2.39</v>
      </c>
      <c r="L1266" s="7" t="s">
        <v>2246</v>
      </c>
      <c r="M1266" s="7">
        <f t="shared" si="82"/>
        <v>2.3900000000000002E-3</v>
      </c>
      <c r="N1266" s="7">
        <f t="shared" si="80"/>
        <v>0.74186556000000003</v>
      </c>
    </row>
    <row r="1267" spans="1:14" ht="15.6" x14ac:dyDescent="0.3">
      <c r="A1267" s="18" t="s">
        <v>1752</v>
      </c>
      <c r="B1267" s="7">
        <v>6</v>
      </c>
      <c r="C1267" s="7">
        <v>12</v>
      </c>
      <c r="D1267" s="7" t="s">
        <v>2259</v>
      </c>
      <c r="E1267" s="7">
        <v>11000000</v>
      </c>
      <c r="F1267" s="7">
        <f t="shared" si="79"/>
        <v>11000000</v>
      </c>
      <c r="G1267" s="7">
        <f t="shared" si="81"/>
        <v>35437.687658664196</v>
      </c>
      <c r="H1267" s="7" t="s">
        <v>2260</v>
      </c>
      <c r="I1267" s="18" t="s">
        <v>1812</v>
      </c>
      <c r="J1267" s="18" t="s">
        <v>1802</v>
      </c>
      <c r="K1267" s="3">
        <v>5.5</v>
      </c>
      <c r="L1267" s="7" t="s">
        <v>2246</v>
      </c>
      <c r="M1267" s="7">
        <f t="shared" si="82"/>
        <v>5.4999999999999997E-3</v>
      </c>
      <c r="N1267" s="7">
        <f t="shared" si="80"/>
        <v>1.7072219999999998</v>
      </c>
    </row>
    <row r="1268" spans="1:14" ht="15.6" x14ac:dyDescent="0.3">
      <c r="A1268" s="18" t="s">
        <v>1752</v>
      </c>
      <c r="B1268" s="7">
        <v>6</v>
      </c>
      <c r="C1268" s="7">
        <v>12</v>
      </c>
      <c r="D1268" s="7" t="s">
        <v>2259</v>
      </c>
      <c r="E1268" s="7">
        <v>11000000</v>
      </c>
      <c r="F1268" s="7">
        <f t="shared" si="79"/>
        <v>11000000</v>
      </c>
      <c r="G1268" s="7">
        <f t="shared" si="81"/>
        <v>35437.687658664196</v>
      </c>
      <c r="H1268" s="7" t="s">
        <v>2260</v>
      </c>
      <c r="I1268" s="18" t="s">
        <v>1812</v>
      </c>
      <c r="J1268" s="18" t="s">
        <v>1802</v>
      </c>
      <c r="K1268" s="3">
        <v>1.19</v>
      </c>
      <c r="L1268" s="7" t="s">
        <v>2246</v>
      </c>
      <c r="M1268" s="7">
        <f t="shared" si="82"/>
        <v>1.1899999999999999E-3</v>
      </c>
      <c r="N1268" s="7">
        <f t="shared" si="80"/>
        <v>0.36938075999999992</v>
      </c>
    </row>
    <row r="1269" spans="1:14" ht="15.6" x14ac:dyDescent="0.3">
      <c r="A1269" s="18" t="s">
        <v>1752</v>
      </c>
      <c r="B1269" s="7">
        <v>6</v>
      </c>
      <c r="C1269" s="7">
        <v>12</v>
      </c>
      <c r="D1269" s="7" t="s">
        <v>2259</v>
      </c>
      <c r="E1269" s="7">
        <v>11000000</v>
      </c>
      <c r="F1269" s="7">
        <f t="shared" si="79"/>
        <v>11000000</v>
      </c>
      <c r="G1269" s="7">
        <f t="shared" si="81"/>
        <v>35437.687658664196</v>
      </c>
      <c r="H1269" s="7" t="s">
        <v>2260</v>
      </c>
      <c r="I1269" s="18" t="s">
        <v>1812</v>
      </c>
      <c r="J1269" s="18" t="s">
        <v>1802</v>
      </c>
      <c r="K1269" s="3" t="s">
        <v>2274</v>
      </c>
      <c r="L1269" s="7" t="s">
        <v>2246</v>
      </c>
      <c r="M1269" s="7">
        <f t="shared" si="82"/>
        <v>1.08E-3</v>
      </c>
      <c r="N1269" s="7">
        <f t="shared" si="80"/>
        <v>0.33523631999999998</v>
      </c>
    </row>
    <row r="1270" spans="1:14" ht="15.6" x14ac:dyDescent="0.3">
      <c r="A1270" s="18" t="s">
        <v>1752</v>
      </c>
      <c r="B1270" s="7">
        <v>6</v>
      </c>
      <c r="C1270" s="7">
        <v>12</v>
      </c>
      <c r="D1270" s="7" t="s">
        <v>2259</v>
      </c>
      <c r="E1270" s="7">
        <v>11000000</v>
      </c>
      <c r="F1270" s="7">
        <f t="shared" si="79"/>
        <v>11000000</v>
      </c>
      <c r="G1270" s="7">
        <f t="shared" si="81"/>
        <v>35437.687658664196</v>
      </c>
      <c r="H1270" s="7" t="s">
        <v>2260</v>
      </c>
      <c r="I1270" s="18" t="s">
        <v>1812</v>
      </c>
      <c r="J1270" s="18" t="s">
        <v>1802</v>
      </c>
      <c r="K1270" s="3" t="s">
        <v>2275</v>
      </c>
      <c r="L1270" s="7" t="s">
        <v>2246</v>
      </c>
      <c r="M1270" s="7">
        <f t="shared" si="82"/>
        <v>1.1970000000000001E-2</v>
      </c>
      <c r="N1270" s="7">
        <f t="shared" si="80"/>
        <v>3.7155358800000005</v>
      </c>
    </row>
    <row r="1271" spans="1:14" ht="15.6" x14ac:dyDescent="0.3">
      <c r="A1271" s="18" t="s">
        <v>1718</v>
      </c>
      <c r="B1271" s="7">
        <v>7</v>
      </c>
      <c r="C1271" s="7">
        <v>14</v>
      </c>
      <c r="D1271" s="7" t="s">
        <v>2276</v>
      </c>
      <c r="E1271" s="18">
        <f>G1271*310.404</f>
        <v>40352520</v>
      </c>
      <c r="F1271" s="18">
        <f>E1271</f>
        <v>40352520</v>
      </c>
      <c r="G1271" s="7">
        <v>130000</v>
      </c>
      <c r="H1271" s="7" t="s">
        <v>2277</v>
      </c>
      <c r="I1271" s="18" t="s">
        <v>1814</v>
      </c>
      <c r="J1271" s="18" t="s">
        <v>1802</v>
      </c>
      <c r="K1271" s="3">
        <v>17.8</v>
      </c>
      <c r="L1271" s="7" t="s">
        <v>2246</v>
      </c>
      <c r="M1271" s="7">
        <f t="shared" si="82"/>
        <v>1.78E-2</v>
      </c>
      <c r="N1271" s="7">
        <f t="shared" si="80"/>
        <v>5.5251912000000001</v>
      </c>
    </row>
    <row r="1272" spans="1:14" ht="15.6" x14ac:dyDescent="0.3">
      <c r="A1272" s="18" t="s">
        <v>1718</v>
      </c>
      <c r="B1272" s="7">
        <v>7</v>
      </c>
      <c r="C1272" s="7">
        <v>15</v>
      </c>
      <c r="D1272" s="7" t="s">
        <v>2278</v>
      </c>
      <c r="E1272" s="18">
        <f>G1272*310.404</f>
        <v>13968180</v>
      </c>
      <c r="F1272" s="18">
        <f>E1272</f>
        <v>13968180</v>
      </c>
      <c r="G1272" s="7">
        <v>45000</v>
      </c>
      <c r="H1272" s="7" t="s">
        <v>2277</v>
      </c>
      <c r="I1272" s="18" t="s">
        <v>1814</v>
      </c>
      <c r="J1272" s="18" t="s">
        <v>1802</v>
      </c>
      <c r="K1272" s="3">
        <v>78</v>
      </c>
      <c r="L1272" s="7" t="s">
        <v>2246</v>
      </c>
      <c r="M1272" s="7">
        <f t="shared" si="82"/>
        <v>7.8E-2</v>
      </c>
      <c r="N1272" s="7">
        <f t="shared" si="80"/>
        <v>24.211512000000003</v>
      </c>
    </row>
    <row r="1273" spans="1:14" ht="15.6" x14ac:dyDescent="0.3">
      <c r="A1273" s="18" t="s">
        <v>1715</v>
      </c>
      <c r="B1273" s="7">
        <v>7</v>
      </c>
      <c r="C1273" s="7">
        <v>16</v>
      </c>
      <c r="D1273" s="7" t="s">
        <v>2279</v>
      </c>
      <c r="E1273" s="18">
        <v>14000000</v>
      </c>
      <c r="F1273" s="7">
        <f>E1273/3.78541</f>
        <v>3698410.4760118453</v>
      </c>
      <c r="G1273" s="7">
        <f>F1273/310.404</f>
        <v>11914.828662039939</v>
      </c>
      <c r="H1273" s="11">
        <v>42282</v>
      </c>
      <c r="I1273" s="18" t="s">
        <v>2280</v>
      </c>
      <c r="J1273" s="18" t="s">
        <v>1807</v>
      </c>
      <c r="K1273" s="3">
        <v>3.66</v>
      </c>
      <c r="L1273" s="7" t="s">
        <v>2246</v>
      </c>
      <c r="M1273" s="7">
        <f t="shared" si="82"/>
        <v>3.6600000000000001E-3</v>
      </c>
      <c r="N1273" s="7">
        <f t="shared" si="80"/>
        <v>1.13607864</v>
      </c>
    </row>
    <row r="1274" spans="1:14" ht="15.6" x14ac:dyDescent="0.3">
      <c r="A1274" s="18" t="s">
        <v>1715</v>
      </c>
      <c r="B1274" s="7">
        <v>7</v>
      </c>
      <c r="C1274" s="7">
        <v>16</v>
      </c>
      <c r="D1274" s="7" t="s">
        <v>2279</v>
      </c>
      <c r="E1274" s="18">
        <v>14000000</v>
      </c>
      <c r="F1274" s="7">
        <f t="shared" ref="F1274:F1325" si="83">E1274/3.78541</f>
        <v>3698410.4760118453</v>
      </c>
      <c r="G1274" s="7">
        <f t="shared" ref="G1274:G1298" si="84">F1274/310.404</f>
        <v>11914.828662039939</v>
      </c>
      <c r="H1274" s="11">
        <v>42409</v>
      </c>
      <c r="I1274" s="18" t="s">
        <v>2280</v>
      </c>
      <c r="J1274" s="18" t="s">
        <v>1807</v>
      </c>
      <c r="K1274" s="3">
        <v>3.01</v>
      </c>
      <c r="L1274" s="7" t="s">
        <v>2246</v>
      </c>
      <c r="M1274" s="7">
        <f t="shared" si="82"/>
        <v>3.0099999999999997E-3</v>
      </c>
      <c r="N1274" s="7">
        <f t="shared" si="80"/>
        <v>0.9343160399999999</v>
      </c>
    </row>
    <row r="1275" spans="1:14" ht="15.6" x14ac:dyDescent="0.3">
      <c r="A1275" s="18" t="s">
        <v>1715</v>
      </c>
      <c r="B1275" s="7">
        <v>7</v>
      </c>
      <c r="C1275" s="7">
        <v>16</v>
      </c>
      <c r="D1275" s="7" t="s">
        <v>2279</v>
      </c>
      <c r="E1275" s="18">
        <v>14000000</v>
      </c>
      <c r="F1275" s="7">
        <f t="shared" si="83"/>
        <v>3698410.4760118453</v>
      </c>
      <c r="G1275" s="7">
        <f t="shared" si="84"/>
        <v>11914.828662039939</v>
      </c>
      <c r="H1275" s="11">
        <v>42451</v>
      </c>
      <c r="I1275" s="18" t="s">
        <v>2280</v>
      </c>
      <c r="J1275" s="18" t="s">
        <v>1807</v>
      </c>
      <c r="K1275" s="3">
        <v>4.2</v>
      </c>
      <c r="L1275" s="7" t="s">
        <v>2246</v>
      </c>
      <c r="M1275" s="7">
        <f t="shared" si="82"/>
        <v>4.2000000000000006E-3</v>
      </c>
      <c r="N1275" s="7">
        <f t="shared" si="80"/>
        <v>1.3036968000000002</v>
      </c>
    </row>
    <row r="1276" spans="1:14" ht="15.6" x14ac:dyDescent="0.3">
      <c r="A1276" s="18" t="s">
        <v>1718</v>
      </c>
      <c r="B1276" s="7">
        <v>7</v>
      </c>
      <c r="C1276" s="7">
        <v>16</v>
      </c>
      <c r="D1276" s="7" t="s">
        <v>2279</v>
      </c>
      <c r="E1276" s="18">
        <v>14000000</v>
      </c>
      <c r="F1276" s="7">
        <f t="shared" si="83"/>
        <v>3698410.4760118453</v>
      </c>
      <c r="G1276" s="7">
        <f t="shared" si="84"/>
        <v>11914.828662039939</v>
      </c>
      <c r="H1276" s="11">
        <v>42282</v>
      </c>
      <c r="I1276" s="18" t="s">
        <v>2280</v>
      </c>
      <c r="J1276" s="18" t="s">
        <v>1807</v>
      </c>
      <c r="K1276" s="3">
        <v>7.26</v>
      </c>
      <c r="L1276" s="7" t="s">
        <v>2246</v>
      </c>
      <c r="M1276" s="7">
        <f t="shared" si="82"/>
        <v>7.26E-3</v>
      </c>
      <c r="N1276" s="7">
        <f t="shared" si="80"/>
        <v>2.2535330399999998</v>
      </c>
    </row>
    <row r="1277" spans="1:14" ht="15.6" x14ac:dyDescent="0.3">
      <c r="A1277" s="18" t="s">
        <v>1718</v>
      </c>
      <c r="B1277" s="7">
        <v>7</v>
      </c>
      <c r="C1277" s="7">
        <v>16</v>
      </c>
      <c r="D1277" s="7" t="s">
        <v>2279</v>
      </c>
      <c r="E1277" s="18">
        <v>14000000</v>
      </c>
      <c r="F1277" s="7">
        <f t="shared" si="83"/>
        <v>3698410.4760118453</v>
      </c>
      <c r="G1277" s="7">
        <f t="shared" si="84"/>
        <v>11914.828662039939</v>
      </c>
      <c r="H1277" s="11">
        <v>42409</v>
      </c>
      <c r="I1277" s="18" t="s">
        <v>2280</v>
      </c>
      <c r="J1277" s="18" t="s">
        <v>1807</v>
      </c>
      <c r="K1277" s="3">
        <v>5.39</v>
      </c>
      <c r="L1277" s="7" t="s">
        <v>2246</v>
      </c>
      <c r="M1277" s="7">
        <f t="shared" si="82"/>
        <v>5.3899999999999998E-3</v>
      </c>
      <c r="N1277" s="7">
        <f t="shared" si="80"/>
        <v>1.6730775599999999</v>
      </c>
    </row>
    <row r="1278" spans="1:14" ht="15.6" x14ac:dyDescent="0.3">
      <c r="A1278" s="18" t="s">
        <v>1718</v>
      </c>
      <c r="B1278" s="7">
        <v>7</v>
      </c>
      <c r="C1278" s="7">
        <v>16</v>
      </c>
      <c r="D1278" s="7" t="s">
        <v>2279</v>
      </c>
      <c r="E1278" s="18">
        <v>14000000</v>
      </c>
      <c r="F1278" s="7">
        <f t="shared" si="83"/>
        <v>3698410.4760118453</v>
      </c>
      <c r="G1278" s="7">
        <f t="shared" si="84"/>
        <v>11914.828662039939</v>
      </c>
      <c r="H1278" s="11">
        <v>42451</v>
      </c>
      <c r="I1278" s="18" t="s">
        <v>2280</v>
      </c>
      <c r="J1278" s="18" t="s">
        <v>1807</v>
      </c>
      <c r="K1278" s="3">
        <v>8.23</v>
      </c>
      <c r="L1278" s="7" t="s">
        <v>2246</v>
      </c>
      <c r="M1278" s="7">
        <f t="shared" si="82"/>
        <v>8.2300000000000012E-3</v>
      </c>
      <c r="N1278" s="7">
        <f t="shared" si="80"/>
        <v>2.5546249200000002</v>
      </c>
    </row>
    <row r="1279" spans="1:14" ht="15.6" x14ac:dyDescent="0.3">
      <c r="A1279" s="18" t="s">
        <v>1715</v>
      </c>
      <c r="B1279" s="7">
        <v>7</v>
      </c>
      <c r="C1279" s="7">
        <v>16</v>
      </c>
      <c r="D1279" s="7" t="s">
        <v>3521</v>
      </c>
      <c r="E1279" s="18">
        <v>14000000</v>
      </c>
      <c r="F1279" s="7">
        <f t="shared" si="83"/>
        <v>3698410.4760118453</v>
      </c>
      <c r="G1279" s="7">
        <f t="shared" si="84"/>
        <v>11914.828662039939</v>
      </c>
      <c r="H1279" s="10">
        <v>42649</v>
      </c>
      <c r="I1279" s="18" t="s">
        <v>2280</v>
      </c>
      <c r="J1279" s="18" t="s">
        <v>1807</v>
      </c>
      <c r="K1279" s="3">
        <v>7.79</v>
      </c>
      <c r="L1279" s="7" t="s">
        <v>2246</v>
      </c>
      <c r="M1279" s="7">
        <f t="shared" si="82"/>
        <v>7.79E-3</v>
      </c>
      <c r="N1279" s="7">
        <f t="shared" si="80"/>
        <v>2.41804716</v>
      </c>
    </row>
    <row r="1280" spans="1:14" ht="15.6" x14ac:dyDescent="0.3">
      <c r="A1280" s="18" t="s">
        <v>1715</v>
      </c>
      <c r="B1280" s="7">
        <v>7</v>
      </c>
      <c r="C1280" s="7">
        <v>16</v>
      </c>
      <c r="D1280" s="7" t="s">
        <v>3521</v>
      </c>
      <c r="E1280" s="18">
        <v>14000000</v>
      </c>
      <c r="F1280" s="7">
        <f t="shared" si="83"/>
        <v>3698410.4760118453</v>
      </c>
      <c r="G1280" s="7">
        <f t="shared" si="84"/>
        <v>11914.828662039939</v>
      </c>
      <c r="H1280" s="10">
        <v>42794</v>
      </c>
      <c r="I1280" s="18" t="s">
        <v>2280</v>
      </c>
      <c r="J1280" s="18" t="s">
        <v>1807</v>
      </c>
      <c r="K1280" s="3">
        <v>2.1</v>
      </c>
      <c r="L1280" s="7" t="s">
        <v>2246</v>
      </c>
      <c r="M1280" s="7">
        <f t="shared" si="82"/>
        <v>2.1000000000000003E-3</v>
      </c>
      <c r="N1280" s="7">
        <f t="shared" si="80"/>
        <v>0.65184840000000011</v>
      </c>
    </row>
    <row r="1281" spans="1:14" ht="15.6" x14ac:dyDescent="0.3">
      <c r="A1281" s="18" t="s">
        <v>1715</v>
      </c>
      <c r="B1281" s="7">
        <v>7</v>
      </c>
      <c r="C1281" s="7">
        <v>16</v>
      </c>
      <c r="D1281" s="7" t="s">
        <v>3521</v>
      </c>
      <c r="E1281" s="18">
        <v>14000000</v>
      </c>
      <c r="F1281" s="7">
        <f t="shared" si="83"/>
        <v>3698410.4760118453</v>
      </c>
      <c r="G1281" s="7">
        <f t="shared" si="84"/>
        <v>11914.828662039939</v>
      </c>
      <c r="H1281" s="10">
        <v>43081</v>
      </c>
      <c r="I1281" s="18" t="s">
        <v>2280</v>
      </c>
      <c r="J1281" s="18" t="s">
        <v>1807</v>
      </c>
      <c r="K1281" s="3">
        <v>1.92</v>
      </c>
      <c r="L1281" s="7" t="s">
        <v>2246</v>
      </c>
      <c r="M1281" s="7">
        <f t="shared" si="82"/>
        <v>1.9199999999999998E-3</v>
      </c>
      <c r="N1281" s="7">
        <f t="shared" si="80"/>
        <v>0.59597568000000001</v>
      </c>
    </row>
    <row r="1282" spans="1:14" ht="15.6" x14ac:dyDescent="0.3">
      <c r="A1282" s="18" t="s">
        <v>1718</v>
      </c>
      <c r="B1282" s="7">
        <v>7</v>
      </c>
      <c r="C1282" s="7">
        <v>16</v>
      </c>
      <c r="D1282" s="7" t="s">
        <v>3521</v>
      </c>
      <c r="E1282" s="18">
        <v>14000000</v>
      </c>
      <c r="F1282" s="7">
        <f t="shared" si="83"/>
        <v>3698410.4760118453</v>
      </c>
      <c r="G1282" s="7">
        <f t="shared" si="84"/>
        <v>11914.828662039939</v>
      </c>
      <c r="H1282" s="10">
        <v>42649</v>
      </c>
      <c r="I1282" s="18" t="s">
        <v>2280</v>
      </c>
      <c r="J1282" s="18" t="s">
        <v>1807</v>
      </c>
      <c r="K1282" s="3">
        <v>0.56000000000000005</v>
      </c>
      <c r="L1282" s="7" t="s">
        <v>2246</v>
      </c>
      <c r="M1282" s="7">
        <f t="shared" si="82"/>
        <v>5.6000000000000006E-4</v>
      </c>
      <c r="N1282" s="7">
        <f t="shared" si="80"/>
        <v>0.17382624000000002</v>
      </c>
    </row>
    <row r="1283" spans="1:14" ht="15.6" x14ac:dyDescent="0.3">
      <c r="A1283" s="18" t="s">
        <v>1718</v>
      </c>
      <c r="B1283" s="7">
        <v>7</v>
      </c>
      <c r="C1283" s="7">
        <v>16</v>
      </c>
      <c r="D1283" s="7" t="s">
        <v>3521</v>
      </c>
      <c r="E1283" s="18">
        <v>14000000</v>
      </c>
      <c r="F1283" s="7">
        <f t="shared" si="83"/>
        <v>3698410.4760118453</v>
      </c>
      <c r="G1283" s="7">
        <f t="shared" si="84"/>
        <v>11914.828662039939</v>
      </c>
      <c r="H1283" s="10">
        <v>42794</v>
      </c>
      <c r="I1283" s="18" t="s">
        <v>2280</v>
      </c>
      <c r="J1283" s="18" t="s">
        <v>1807</v>
      </c>
      <c r="K1283" s="3">
        <v>0.38</v>
      </c>
      <c r="L1283" s="7" t="s">
        <v>2246</v>
      </c>
      <c r="M1283" s="7">
        <f t="shared" si="82"/>
        <v>3.8000000000000002E-4</v>
      </c>
      <c r="N1283" s="7">
        <f t="shared" ref="N1283:N1346" si="85">IFERROR((M1283*F1283)/G1283,"ND")</f>
        <v>0.11795352000000001</v>
      </c>
    </row>
    <row r="1284" spans="1:14" ht="15.6" x14ac:dyDescent="0.3">
      <c r="A1284" s="18" t="s">
        <v>1718</v>
      </c>
      <c r="B1284" s="7">
        <v>7</v>
      </c>
      <c r="C1284" s="7">
        <v>16</v>
      </c>
      <c r="D1284" s="7" t="s">
        <v>3521</v>
      </c>
      <c r="E1284" s="18">
        <v>14000000</v>
      </c>
      <c r="F1284" s="7">
        <f t="shared" si="83"/>
        <v>3698410.4760118453</v>
      </c>
      <c r="G1284" s="7">
        <f t="shared" si="84"/>
        <v>11914.828662039939</v>
      </c>
      <c r="H1284" s="10">
        <v>43081</v>
      </c>
      <c r="I1284" s="18" t="s">
        <v>2280</v>
      </c>
      <c r="J1284" s="18" t="s">
        <v>1807</v>
      </c>
      <c r="K1284" s="3" t="s">
        <v>1716</v>
      </c>
      <c r="L1284" s="7" t="s">
        <v>2246</v>
      </c>
      <c r="M1284" s="7" t="str">
        <f t="shared" si="82"/>
        <v>ND</v>
      </c>
      <c r="N1284" s="7" t="str">
        <f t="shared" si="85"/>
        <v>ND</v>
      </c>
    </row>
    <row r="1285" spans="1:14" ht="15.6" x14ac:dyDescent="0.3">
      <c r="A1285" s="18" t="s">
        <v>1715</v>
      </c>
      <c r="B1285" s="7">
        <v>7</v>
      </c>
      <c r="C1285" s="7">
        <v>16</v>
      </c>
      <c r="D1285" s="7" t="s">
        <v>3521</v>
      </c>
      <c r="E1285" s="18">
        <v>14000000</v>
      </c>
      <c r="F1285" s="7">
        <f t="shared" si="83"/>
        <v>3698410.4760118453</v>
      </c>
      <c r="G1285" s="7">
        <f t="shared" si="84"/>
        <v>11914.828662039939</v>
      </c>
      <c r="H1285" s="11">
        <v>43678</v>
      </c>
      <c r="I1285" s="18" t="s">
        <v>2280</v>
      </c>
      <c r="J1285" s="18" t="s">
        <v>1807</v>
      </c>
      <c r="K1285" s="3" t="s">
        <v>1716</v>
      </c>
      <c r="L1285" s="7" t="s">
        <v>2246</v>
      </c>
      <c r="M1285" s="7" t="str">
        <f t="shared" si="82"/>
        <v>ND</v>
      </c>
      <c r="N1285" s="7" t="str">
        <f t="shared" si="85"/>
        <v>ND</v>
      </c>
    </row>
    <row r="1286" spans="1:14" ht="15.6" x14ac:dyDescent="0.3">
      <c r="A1286" s="18" t="s">
        <v>1715</v>
      </c>
      <c r="B1286" s="7">
        <v>7</v>
      </c>
      <c r="C1286" s="7">
        <v>16</v>
      </c>
      <c r="D1286" s="7" t="s">
        <v>3521</v>
      </c>
      <c r="E1286" s="18">
        <v>14000000</v>
      </c>
      <c r="F1286" s="7">
        <f t="shared" si="83"/>
        <v>3698410.4760118453</v>
      </c>
      <c r="G1286" s="7">
        <f t="shared" si="84"/>
        <v>11914.828662039939</v>
      </c>
      <c r="H1286" s="11">
        <v>43683</v>
      </c>
      <c r="I1286" s="18" t="s">
        <v>2280</v>
      </c>
      <c r="J1286" s="18" t="s">
        <v>1807</v>
      </c>
      <c r="K1286" s="3">
        <v>33</v>
      </c>
      <c r="L1286" s="7" t="s">
        <v>2246</v>
      </c>
      <c r="M1286" s="7">
        <f t="shared" si="82"/>
        <v>3.3000000000000002E-2</v>
      </c>
      <c r="N1286" s="7">
        <f t="shared" si="85"/>
        <v>10.243332000000001</v>
      </c>
    </row>
    <row r="1287" spans="1:14" ht="15.6" x14ac:dyDescent="0.3">
      <c r="A1287" s="18" t="s">
        <v>1715</v>
      </c>
      <c r="B1287" s="7">
        <v>7</v>
      </c>
      <c r="C1287" s="7">
        <v>16</v>
      </c>
      <c r="D1287" s="7" t="s">
        <v>3521</v>
      </c>
      <c r="E1287" s="18">
        <v>14000000</v>
      </c>
      <c r="F1287" s="7">
        <f t="shared" si="83"/>
        <v>3698410.4760118453</v>
      </c>
      <c r="G1287" s="7">
        <f t="shared" si="84"/>
        <v>11914.828662039939</v>
      </c>
      <c r="H1287" s="11">
        <v>43692</v>
      </c>
      <c r="I1287" s="18" t="s">
        <v>2280</v>
      </c>
      <c r="J1287" s="18" t="s">
        <v>1807</v>
      </c>
      <c r="K1287" s="3" t="s">
        <v>1716</v>
      </c>
      <c r="L1287" s="7" t="s">
        <v>2246</v>
      </c>
      <c r="M1287" s="7" t="str">
        <f t="shared" si="82"/>
        <v>ND</v>
      </c>
      <c r="N1287" s="7" t="str">
        <f t="shared" si="85"/>
        <v>ND</v>
      </c>
    </row>
    <row r="1288" spans="1:14" ht="15.6" x14ac:dyDescent="0.3">
      <c r="A1288" s="18" t="s">
        <v>1718</v>
      </c>
      <c r="B1288" s="7">
        <v>7</v>
      </c>
      <c r="C1288" s="7">
        <v>16</v>
      </c>
      <c r="D1288" s="7" t="s">
        <v>3521</v>
      </c>
      <c r="E1288" s="18">
        <v>14000000</v>
      </c>
      <c r="F1288" s="7">
        <f t="shared" si="83"/>
        <v>3698410.4760118453</v>
      </c>
      <c r="G1288" s="7">
        <f t="shared" si="84"/>
        <v>11914.828662039939</v>
      </c>
      <c r="H1288" s="11">
        <v>43678</v>
      </c>
      <c r="I1288" s="18" t="s">
        <v>2280</v>
      </c>
      <c r="J1288" s="18" t="s">
        <v>1807</v>
      </c>
      <c r="K1288" s="3" t="s">
        <v>1716</v>
      </c>
      <c r="L1288" s="7" t="s">
        <v>2246</v>
      </c>
      <c r="M1288" s="7" t="str">
        <f t="shared" si="82"/>
        <v>ND</v>
      </c>
      <c r="N1288" s="7" t="str">
        <f t="shared" si="85"/>
        <v>ND</v>
      </c>
    </row>
    <row r="1289" spans="1:14" ht="15.6" x14ac:dyDescent="0.3">
      <c r="A1289" s="18" t="s">
        <v>1718</v>
      </c>
      <c r="B1289" s="7">
        <v>7</v>
      </c>
      <c r="C1289" s="7">
        <v>16</v>
      </c>
      <c r="D1289" s="7" t="s">
        <v>3521</v>
      </c>
      <c r="E1289" s="18">
        <v>14000000</v>
      </c>
      <c r="F1289" s="7">
        <f t="shared" si="83"/>
        <v>3698410.4760118453</v>
      </c>
      <c r="G1289" s="7">
        <f t="shared" si="84"/>
        <v>11914.828662039939</v>
      </c>
      <c r="H1289" s="11">
        <v>43683</v>
      </c>
      <c r="I1289" s="18" t="s">
        <v>2280</v>
      </c>
      <c r="J1289" s="18" t="s">
        <v>1807</v>
      </c>
      <c r="K1289" s="3" t="s">
        <v>1716</v>
      </c>
      <c r="L1289" s="7" t="s">
        <v>2246</v>
      </c>
      <c r="M1289" s="7" t="str">
        <f t="shared" si="82"/>
        <v>ND</v>
      </c>
      <c r="N1289" s="7" t="str">
        <f t="shared" si="85"/>
        <v>ND</v>
      </c>
    </row>
    <row r="1290" spans="1:14" ht="15.6" x14ac:dyDescent="0.3">
      <c r="A1290" s="18" t="s">
        <v>1718</v>
      </c>
      <c r="B1290" s="7">
        <v>7</v>
      </c>
      <c r="C1290" s="7">
        <v>16</v>
      </c>
      <c r="D1290" s="7" t="s">
        <v>3521</v>
      </c>
      <c r="E1290" s="18">
        <v>14000000</v>
      </c>
      <c r="F1290" s="7">
        <f t="shared" si="83"/>
        <v>3698410.4760118453</v>
      </c>
      <c r="G1290" s="7">
        <f t="shared" si="84"/>
        <v>11914.828662039939</v>
      </c>
      <c r="H1290" s="11">
        <v>43692</v>
      </c>
      <c r="I1290" s="18" t="s">
        <v>2280</v>
      </c>
      <c r="J1290" s="18" t="s">
        <v>1807</v>
      </c>
      <c r="K1290" s="3" t="s">
        <v>1716</v>
      </c>
      <c r="L1290" s="7" t="s">
        <v>2246</v>
      </c>
      <c r="M1290" s="7" t="str">
        <f t="shared" si="82"/>
        <v>ND</v>
      </c>
      <c r="N1290" s="7" t="str">
        <f t="shared" si="85"/>
        <v>ND</v>
      </c>
    </row>
    <row r="1291" spans="1:14" ht="15.6" x14ac:dyDescent="0.3">
      <c r="A1291" s="18" t="s">
        <v>1726</v>
      </c>
      <c r="B1291" s="7">
        <v>7</v>
      </c>
      <c r="C1291" s="7">
        <v>16</v>
      </c>
      <c r="D1291" s="7" t="s">
        <v>3521</v>
      </c>
      <c r="E1291" s="18">
        <v>14000000</v>
      </c>
      <c r="F1291" s="7">
        <f t="shared" si="83"/>
        <v>3698410.4760118453</v>
      </c>
      <c r="G1291" s="7">
        <f t="shared" si="84"/>
        <v>11914.828662039939</v>
      </c>
      <c r="H1291" s="11">
        <v>43678</v>
      </c>
      <c r="I1291" s="18" t="s">
        <v>2280</v>
      </c>
      <c r="J1291" s="18" t="s">
        <v>1807</v>
      </c>
      <c r="K1291" s="3">
        <v>15.1</v>
      </c>
      <c r="L1291" s="7" t="s">
        <v>2246</v>
      </c>
      <c r="M1291" s="7">
        <f t="shared" si="82"/>
        <v>1.5099999999999999E-2</v>
      </c>
      <c r="N1291" s="7">
        <f t="shared" si="85"/>
        <v>4.6871003999999994</v>
      </c>
    </row>
    <row r="1292" spans="1:14" ht="15.6" x14ac:dyDescent="0.3">
      <c r="A1292" s="18" t="s">
        <v>1726</v>
      </c>
      <c r="B1292" s="7">
        <v>7</v>
      </c>
      <c r="C1292" s="7">
        <v>16</v>
      </c>
      <c r="D1292" s="7" t="s">
        <v>3521</v>
      </c>
      <c r="E1292" s="18">
        <v>14000000</v>
      </c>
      <c r="F1292" s="7">
        <f t="shared" si="83"/>
        <v>3698410.4760118453</v>
      </c>
      <c r="G1292" s="7">
        <f t="shared" si="84"/>
        <v>11914.828662039939</v>
      </c>
      <c r="H1292" s="11">
        <v>43683</v>
      </c>
      <c r="I1292" s="18" t="s">
        <v>2280</v>
      </c>
      <c r="J1292" s="18" t="s">
        <v>1807</v>
      </c>
      <c r="K1292" s="3">
        <v>30.4</v>
      </c>
      <c r="L1292" s="7" t="s">
        <v>2246</v>
      </c>
      <c r="M1292" s="7">
        <f t="shared" si="82"/>
        <v>3.04E-2</v>
      </c>
      <c r="N1292" s="7">
        <f t="shared" si="85"/>
        <v>9.4362815999999992</v>
      </c>
    </row>
    <row r="1293" spans="1:14" ht="15.6" x14ac:dyDescent="0.3">
      <c r="A1293" s="18" t="s">
        <v>1726</v>
      </c>
      <c r="B1293" s="7">
        <v>7</v>
      </c>
      <c r="C1293" s="7">
        <v>16</v>
      </c>
      <c r="D1293" s="7" t="s">
        <v>3521</v>
      </c>
      <c r="E1293" s="18">
        <v>14000000</v>
      </c>
      <c r="F1293" s="7">
        <f t="shared" si="83"/>
        <v>3698410.4760118453</v>
      </c>
      <c r="G1293" s="7">
        <f t="shared" si="84"/>
        <v>11914.828662039939</v>
      </c>
      <c r="H1293" s="11">
        <v>43692</v>
      </c>
      <c r="I1293" s="18" t="s">
        <v>2280</v>
      </c>
      <c r="J1293" s="18" t="s">
        <v>1807</v>
      </c>
      <c r="K1293" s="3">
        <v>23.8</v>
      </c>
      <c r="L1293" s="7" t="s">
        <v>2246</v>
      </c>
      <c r="M1293" s="7">
        <f t="shared" si="82"/>
        <v>2.3800000000000002E-2</v>
      </c>
      <c r="N1293" s="7">
        <f t="shared" si="85"/>
        <v>7.3876151999999999</v>
      </c>
    </row>
    <row r="1294" spans="1:14" ht="15.6" x14ac:dyDescent="0.3">
      <c r="A1294" s="7" t="s">
        <v>1726</v>
      </c>
      <c r="B1294" s="7">
        <v>8</v>
      </c>
      <c r="C1294" s="7">
        <v>16</v>
      </c>
      <c r="D1294" s="7" t="s">
        <v>2279</v>
      </c>
      <c r="E1294" s="18">
        <v>14000000</v>
      </c>
      <c r="F1294" s="7">
        <f t="shared" si="83"/>
        <v>3698410.4760118453</v>
      </c>
      <c r="G1294" s="7">
        <f t="shared" si="84"/>
        <v>11914.828662039939</v>
      </c>
      <c r="H1294" s="10">
        <v>39871</v>
      </c>
      <c r="I1294" s="18" t="s">
        <v>2280</v>
      </c>
      <c r="J1294" s="18" t="s">
        <v>1807</v>
      </c>
      <c r="K1294" s="7" t="s">
        <v>2281</v>
      </c>
      <c r="L1294" s="7" t="s">
        <v>2246</v>
      </c>
      <c r="M1294" s="7" t="str">
        <f t="shared" si="82"/>
        <v>ND</v>
      </c>
      <c r="N1294" s="7" t="str">
        <f t="shared" si="85"/>
        <v>ND</v>
      </c>
    </row>
    <row r="1295" spans="1:14" ht="15.6" x14ac:dyDescent="0.3">
      <c r="A1295" s="7" t="s">
        <v>1726</v>
      </c>
      <c r="B1295" s="7">
        <v>8</v>
      </c>
      <c r="C1295" s="7">
        <v>16</v>
      </c>
      <c r="D1295" s="7" t="s">
        <v>2279</v>
      </c>
      <c r="E1295" s="18">
        <v>14000000</v>
      </c>
      <c r="F1295" s="7">
        <f t="shared" si="83"/>
        <v>3698410.4760118453</v>
      </c>
      <c r="G1295" s="7">
        <f t="shared" si="84"/>
        <v>11914.828662039939</v>
      </c>
      <c r="H1295" s="10">
        <v>39884</v>
      </c>
      <c r="I1295" s="18" t="s">
        <v>2280</v>
      </c>
      <c r="J1295" s="18" t="s">
        <v>1807</v>
      </c>
      <c r="K1295" s="7" t="s">
        <v>2281</v>
      </c>
      <c r="L1295" s="7" t="s">
        <v>2246</v>
      </c>
      <c r="M1295" s="7" t="str">
        <f t="shared" si="82"/>
        <v>ND</v>
      </c>
      <c r="N1295" s="7" t="str">
        <f t="shared" si="85"/>
        <v>ND</v>
      </c>
    </row>
    <row r="1296" spans="1:14" ht="15.6" x14ac:dyDescent="0.3">
      <c r="A1296" s="7" t="s">
        <v>1726</v>
      </c>
      <c r="B1296" s="7">
        <v>8</v>
      </c>
      <c r="C1296" s="7">
        <v>16</v>
      </c>
      <c r="D1296" s="7" t="s">
        <v>2279</v>
      </c>
      <c r="E1296" s="18">
        <v>14000000</v>
      </c>
      <c r="F1296" s="7">
        <f t="shared" si="83"/>
        <v>3698410.4760118453</v>
      </c>
      <c r="G1296" s="7">
        <f t="shared" si="84"/>
        <v>11914.828662039939</v>
      </c>
      <c r="H1296" s="10">
        <v>40051</v>
      </c>
      <c r="I1296" s="18" t="s">
        <v>2280</v>
      </c>
      <c r="J1296" s="18" t="s">
        <v>1807</v>
      </c>
      <c r="K1296" s="7">
        <v>54.1</v>
      </c>
      <c r="L1296" s="7" t="s">
        <v>2246</v>
      </c>
      <c r="M1296" s="7">
        <f t="shared" si="82"/>
        <v>5.4100000000000002E-2</v>
      </c>
      <c r="N1296" s="7">
        <f t="shared" si="85"/>
        <v>16.792856400000002</v>
      </c>
    </row>
    <row r="1297" spans="1:14" ht="15.6" x14ac:dyDescent="0.3">
      <c r="A1297" s="7" t="s">
        <v>1726</v>
      </c>
      <c r="B1297" s="7">
        <v>8</v>
      </c>
      <c r="C1297" s="7">
        <v>16</v>
      </c>
      <c r="D1297" s="7" t="s">
        <v>2279</v>
      </c>
      <c r="E1297" s="18">
        <v>14000000</v>
      </c>
      <c r="F1297" s="7">
        <f t="shared" si="83"/>
        <v>3698410.4760118453</v>
      </c>
      <c r="G1297" s="7">
        <f t="shared" si="84"/>
        <v>11914.828662039939</v>
      </c>
      <c r="H1297" s="10">
        <v>40051</v>
      </c>
      <c r="I1297" s="18" t="s">
        <v>2280</v>
      </c>
      <c r="J1297" s="18" t="s">
        <v>1802</v>
      </c>
      <c r="K1297" s="7">
        <v>55.8</v>
      </c>
      <c r="L1297" s="7" t="s">
        <v>2246</v>
      </c>
      <c r="M1297" s="7">
        <f t="shared" si="82"/>
        <v>5.5799999999999995E-2</v>
      </c>
      <c r="N1297" s="7">
        <f t="shared" si="85"/>
        <v>17.320543199999996</v>
      </c>
    </row>
    <row r="1298" spans="1:14" ht="15.6" x14ac:dyDescent="0.3">
      <c r="A1298" s="7" t="s">
        <v>1726</v>
      </c>
      <c r="B1298" s="7">
        <v>8</v>
      </c>
      <c r="C1298" s="7">
        <v>16</v>
      </c>
      <c r="D1298" s="7" t="s">
        <v>2279</v>
      </c>
      <c r="E1298" s="18">
        <v>14000000</v>
      </c>
      <c r="F1298" s="7">
        <f t="shared" si="83"/>
        <v>3698410.4760118453</v>
      </c>
      <c r="G1298" s="7">
        <f t="shared" si="84"/>
        <v>11914.828662039939</v>
      </c>
      <c r="H1298" s="10">
        <v>40119</v>
      </c>
      <c r="I1298" s="18" t="s">
        <v>2280</v>
      </c>
      <c r="J1298" s="18" t="s">
        <v>1807</v>
      </c>
      <c r="K1298" s="7">
        <v>86.4</v>
      </c>
      <c r="L1298" s="7" t="s">
        <v>2246</v>
      </c>
      <c r="M1298" s="7">
        <f t="shared" si="82"/>
        <v>8.6400000000000005E-2</v>
      </c>
      <c r="N1298" s="7">
        <f t="shared" si="85"/>
        <v>26.818905600000004</v>
      </c>
    </row>
    <row r="1299" spans="1:14" ht="15.6" x14ac:dyDescent="0.3">
      <c r="A1299" s="18" t="s">
        <v>1721</v>
      </c>
      <c r="B1299" s="7">
        <v>9</v>
      </c>
      <c r="C1299" s="7">
        <v>17</v>
      </c>
      <c r="D1299" s="7" t="s">
        <v>2282</v>
      </c>
      <c r="E1299" s="18">
        <v>7600000</v>
      </c>
      <c r="F1299" s="7">
        <f t="shared" si="83"/>
        <v>2007708.5441207159</v>
      </c>
      <c r="G1299" s="7">
        <v>56428</v>
      </c>
      <c r="H1299" s="18" t="s">
        <v>1815</v>
      </c>
      <c r="I1299" s="18" t="s">
        <v>1816</v>
      </c>
      <c r="J1299" s="18" t="s">
        <v>1817</v>
      </c>
      <c r="K1299" s="3" t="s">
        <v>1716</v>
      </c>
      <c r="L1299" s="7" t="s">
        <v>2246</v>
      </c>
      <c r="M1299" s="7" t="str">
        <f t="shared" si="82"/>
        <v>ND</v>
      </c>
      <c r="N1299" s="7" t="str">
        <f t="shared" si="85"/>
        <v>ND</v>
      </c>
    </row>
    <row r="1300" spans="1:14" ht="15.6" x14ac:dyDescent="0.3">
      <c r="A1300" s="18" t="s">
        <v>1765</v>
      </c>
      <c r="B1300" s="7">
        <v>9</v>
      </c>
      <c r="C1300" s="7">
        <v>17</v>
      </c>
      <c r="D1300" s="7" t="s">
        <v>2282</v>
      </c>
      <c r="E1300" s="18">
        <v>7600000</v>
      </c>
      <c r="F1300" s="7">
        <f t="shared" si="83"/>
        <v>2007708.5441207159</v>
      </c>
      <c r="G1300" s="7">
        <v>56428</v>
      </c>
      <c r="H1300" s="18" t="s">
        <v>1815</v>
      </c>
      <c r="I1300" s="18" t="s">
        <v>1816</v>
      </c>
      <c r="J1300" s="18" t="s">
        <v>1817</v>
      </c>
      <c r="K1300" s="3">
        <v>53</v>
      </c>
      <c r="L1300" s="7" t="s">
        <v>2246</v>
      </c>
      <c r="M1300" s="7">
        <f t="shared" si="82"/>
        <v>5.2999999999999999E-2</v>
      </c>
      <c r="N1300" s="7">
        <f t="shared" si="85"/>
        <v>1.8857402856453878</v>
      </c>
    </row>
    <row r="1301" spans="1:14" ht="15.6" x14ac:dyDescent="0.3">
      <c r="A1301" s="18" t="s">
        <v>1722</v>
      </c>
      <c r="B1301" s="7">
        <v>9</v>
      </c>
      <c r="C1301" s="7">
        <v>17</v>
      </c>
      <c r="D1301" s="7" t="s">
        <v>2282</v>
      </c>
      <c r="E1301" s="18">
        <v>7600000</v>
      </c>
      <c r="F1301" s="7">
        <f t="shared" si="83"/>
        <v>2007708.5441207159</v>
      </c>
      <c r="G1301" s="7">
        <v>56428</v>
      </c>
      <c r="H1301" s="18" t="s">
        <v>1815</v>
      </c>
      <c r="I1301" s="18" t="s">
        <v>1816</v>
      </c>
      <c r="J1301" s="18" t="s">
        <v>1817</v>
      </c>
      <c r="K1301" s="3" t="s">
        <v>1716</v>
      </c>
      <c r="L1301" s="7" t="s">
        <v>2246</v>
      </c>
      <c r="M1301" s="7" t="str">
        <f t="shared" si="82"/>
        <v>ND</v>
      </c>
      <c r="N1301" s="7" t="str">
        <f t="shared" si="85"/>
        <v>ND</v>
      </c>
    </row>
    <row r="1302" spans="1:14" ht="15.6" x14ac:dyDescent="0.3">
      <c r="A1302" s="18" t="s">
        <v>1766</v>
      </c>
      <c r="B1302" s="7">
        <v>9</v>
      </c>
      <c r="C1302" s="7">
        <v>17</v>
      </c>
      <c r="D1302" s="7" t="s">
        <v>2282</v>
      </c>
      <c r="E1302" s="18">
        <v>7600000</v>
      </c>
      <c r="F1302" s="7">
        <f t="shared" si="83"/>
        <v>2007708.5441207159</v>
      </c>
      <c r="G1302" s="7">
        <v>56428</v>
      </c>
      <c r="H1302" s="18" t="s">
        <v>1815</v>
      </c>
      <c r="I1302" s="18" t="s">
        <v>1816</v>
      </c>
      <c r="J1302" s="18" t="s">
        <v>1817</v>
      </c>
      <c r="K1302" s="3">
        <v>248</v>
      </c>
      <c r="L1302" s="7" t="s">
        <v>2246</v>
      </c>
      <c r="M1302" s="7">
        <f t="shared" si="82"/>
        <v>0.248</v>
      </c>
      <c r="N1302" s="7">
        <f t="shared" si="85"/>
        <v>8.8238413366048327</v>
      </c>
    </row>
    <row r="1303" spans="1:14" ht="15.6" x14ac:dyDescent="0.3">
      <c r="A1303" s="18" t="s">
        <v>1723</v>
      </c>
      <c r="B1303" s="7">
        <v>9</v>
      </c>
      <c r="C1303" s="7">
        <v>17</v>
      </c>
      <c r="D1303" s="7" t="s">
        <v>2282</v>
      </c>
      <c r="E1303" s="18">
        <v>7600000</v>
      </c>
      <c r="F1303" s="7">
        <f t="shared" si="83"/>
        <v>2007708.5441207159</v>
      </c>
      <c r="G1303" s="7">
        <v>56428</v>
      </c>
      <c r="H1303" s="18" t="s">
        <v>1815</v>
      </c>
      <c r="I1303" s="18" t="s">
        <v>1816</v>
      </c>
      <c r="J1303" s="18" t="s">
        <v>1817</v>
      </c>
      <c r="K1303" s="3">
        <v>118</v>
      </c>
      <c r="L1303" s="7" t="s">
        <v>2246</v>
      </c>
      <c r="M1303" s="7">
        <f t="shared" si="82"/>
        <v>0.11799999999999999</v>
      </c>
      <c r="N1303" s="7">
        <f t="shared" si="85"/>
        <v>4.1984406359652029</v>
      </c>
    </row>
    <row r="1304" spans="1:14" ht="15.6" x14ac:dyDescent="0.3">
      <c r="A1304" s="18" t="s">
        <v>1727</v>
      </c>
      <c r="B1304" s="7">
        <v>9</v>
      </c>
      <c r="C1304" s="7">
        <v>17</v>
      </c>
      <c r="D1304" s="7" t="s">
        <v>2282</v>
      </c>
      <c r="E1304" s="18">
        <v>7600000</v>
      </c>
      <c r="F1304" s="7">
        <f t="shared" si="83"/>
        <v>2007708.5441207159</v>
      </c>
      <c r="G1304" s="7">
        <v>56428</v>
      </c>
      <c r="H1304" s="18" t="s">
        <v>1815</v>
      </c>
      <c r="I1304" s="18" t="s">
        <v>1816</v>
      </c>
      <c r="J1304" s="18" t="s">
        <v>1817</v>
      </c>
      <c r="K1304" s="3">
        <v>12</v>
      </c>
      <c r="L1304" s="7" t="s">
        <v>2246</v>
      </c>
      <c r="M1304" s="7">
        <f t="shared" si="82"/>
        <v>1.2E-2</v>
      </c>
      <c r="N1304" s="7">
        <f t="shared" si="85"/>
        <v>0.42696006467442749</v>
      </c>
    </row>
    <row r="1305" spans="1:14" ht="15.6" x14ac:dyDescent="0.3">
      <c r="A1305" s="18" t="s">
        <v>1728</v>
      </c>
      <c r="B1305" s="7">
        <v>10</v>
      </c>
      <c r="C1305" s="7">
        <v>18</v>
      </c>
      <c r="D1305" s="18" t="s">
        <v>1818</v>
      </c>
      <c r="E1305" s="18">
        <v>26000000</v>
      </c>
      <c r="F1305" s="7">
        <f t="shared" si="83"/>
        <v>6868476.5983077129</v>
      </c>
      <c r="G1305" s="7">
        <f>F1305/310.404</f>
        <v>22127.538943788459</v>
      </c>
      <c r="H1305" s="19">
        <v>37438</v>
      </c>
      <c r="I1305" s="18" t="s">
        <v>1818</v>
      </c>
      <c r="J1305" s="18" t="s">
        <v>1807</v>
      </c>
      <c r="K1305" s="3">
        <v>40.4</v>
      </c>
      <c r="L1305" s="7" t="s">
        <v>2246</v>
      </c>
      <c r="M1305" s="7">
        <f t="shared" si="82"/>
        <v>4.0399999999999998E-2</v>
      </c>
      <c r="N1305" s="7">
        <f t="shared" si="85"/>
        <v>12.5403216</v>
      </c>
    </row>
    <row r="1306" spans="1:14" ht="15.6" x14ac:dyDescent="0.3">
      <c r="A1306" s="18" t="s">
        <v>1728</v>
      </c>
      <c r="B1306" s="7">
        <v>10</v>
      </c>
      <c r="C1306" s="7">
        <v>19</v>
      </c>
      <c r="D1306" s="18" t="s">
        <v>1819</v>
      </c>
      <c r="E1306" s="18">
        <v>85000000</v>
      </c>
      <c r="F1306" s="7">
        <f t="shared" si="83"/>
        <v>22454635.032929059</v>
      </c>
      <c r="G1306" s="7">
        <f>F1306/310.404</f>
        <v>72340.031162385334</v>
      </c>
      <c r="H1306" s="19">
        <v>38384</v>
      </c>
      <c r="I1306" s="18" t="s">
        <v>1819</v>
      </c>
      <c r="J1306" s="18" t="s">
        <v>1807</v>
      </c>
      <c r="K1306" s="3">
        <v>600</v>
      </c>
      <c r="L1306" s="7" t="s">
        <v>2246</v>
      </c>
      <c r="M1306" s="7">
        <f t="shared" si="82"/>
        <v>0.6</v>
      </c>
      <c r="N1306" s="7">
        <f t="shared" si="85"/>
        <v>186.2424</v>
      </c>
    </row>
    <row r="1307" spans="1:14" ht="15.6" x14ac:dyDescent="0.3">
      <c r="A1307" s="18" t="s">
        <v>1728</v>
      </c>
      <c r="B1307" s="7">
        <v>10</v>
      </c>
      <c r="C1307" s="7">
        <v>20</v>
      </c>
      <c r="D1307" s="18" t="s">
        <v>1820</v>
      </c>
      <c r="E1307" s="18">
        <v>25000000</v>
      </c>
      <c r="F1307" s="7">
        <f t="shared" si="83"/>
        <v>6604304.4214497237</v>
      </c>
      <c r="G1307" s="7">
        <f t="shared" ref="G1307:G1316" si="86">F1307/310.404</f>
        <v>21276.479753642747</v>
      </c>
      <c r="H1307" s="19">
        <v>38718</v>
      </c>
      <c r="I1307" s="18" t="s">
        <v>2283</v>
      </c>
      <c r="J1307" s="18" t="s">
        <v>1807</v>
      </c>
      <c r="K1307" s="3">
        <v>27.1</v>
      </c>
      <c r="L1307" s="7" t="s">
        <v>2246</v>
      </c>
      <c r="M1307" s="7">
        <f t="shared" si="82"/>
        <v>2.7100000000000003E-2</v>
      </c>
      <c r="N1307" s="7">
        <f t="shared" si="85"/>
        <v>8.4119484</v>
      </c>
    </row>
    <row r="1308" spans="1:14" ht="15.6" x14ac:dyDescent="0.3">
      <c r="A1308" s="18" t="s">
        <v>1744</v>
      </c>
      <c r="B1308" s="7">
        <v>10</v>
      </c>
      <c r="C1308" s="7">
        <v>20</v>
      </c>
      <c r="D1308" s="18" t="s">
        <v>1820</v>
      </c>
      <c r="E1308" s="18">
        <v>25000000</v>
      </c>
      <c r="F1308" s="7">
        <f t="shared" si="83"/>
        <v>6604304.4214497237</v>
      </c>
      <c r="G1308" s="7">
        <f t="shared" si="86"/>
        <v>21276.479753642747</v>
      </c>
      <c r="H1308" s="19">
        <v>38718</v>
      </c>
      <c r="I1308" s="18" t="s">
        <v>2283</v>
      </c>
      <c r="J1308" s="18" t="s">
        <v>1807</v>
      </c>
      <c r="K1308" s="3">
        <v>60</v>
      </c>
      <c r="L1308" s="7" t="s">
        <v>2246</v>
      </c>
      <c r="M1308" s="7">
        <f t="shared" si="82"/>
        <v>0.06</v>
      </c>
      <c r="N1308" s="7">
        <f t="shared" si="85"/>
        <v>18.62424</v>
      </c>
    </row>
    <row r="1309" spans="1:14" ht="15.6" x14ac:dyDescent="0.3">
      <c r="A1309" s="18" t="s">
        <v>1742</v>
      </c>
      <c r="B1309" s="7">
        <v>10</v>
      </c>
      <c r="C1309" s="7">
        <v>20</v>
      </c>
      <c r="D1309" s="18" t="s">
        <v>1820</v>
      </c>
      <c r="E1309" s="18">
        <v>25000000</v>
      </c>
      <c r="F1309" s="7">
        <f t="shared" si="83"/>
        <v>6604304.4214497237</v>
      </c>
      <c r="G1309" s="7">
        <f t="shared" si="86"/>
        <v>21276.479753642747</v>
      </c>
      <c r="H1309" s="19">
        <v>38718</v>
      </c>
      <c r="I1309" s="18" t="s">
        <v>2283</v>
      </c>
      <c r="J1309" s="18" t="s">
        <v>1807</v>
      </c>
      <c r="K1309" s="3">
        <v>10.5</v>
      </c>
      <c r="L1309" s="7" t="s">
        <v>2246</v>
      </c>
      <c r="M1309" s="7">
        <f t="shared" si="82"/>
        <v>1.0500000000000001E-2</v>
      </c>
      <c r="N1309" s="7">
        <f t="shared" si="85"/>
        <v>3.2592420000000009</v>
      </c>
    </row>
    <row r="1310" spans="1:14" ht="15.6" x14ac:dyDescent="0.3">
      <c r="A1310" s="18" t="s">
        <v>1735</v>
      </c>
      <c r="B1310" s="7">
        <v>10</v>
      </c>
      <c r="C1310" s="7">
        <v>20</v>
      </c>
      <c r="D1310" s="18" t="s">
        <v>1820</v>
      </c>
      <c r="E1310" s="18">
        <v>25000000</v>
      </c>
      <c r="F1310" s="7">
        <f t="shared" si="83"/>
        <v>6604304.4214497237</v>
      </c>
      <c r="G1310" s="7">
        <f t="shared" si="86"/>
        <v>21276.479753642747</v>
      </c>
      <c r="H1310" s="19">
        <v>38718</v>
      </c>
      <c r="I1310" s="18" t="s">
        <v>2283</v>
      </c>
      <c r="J1310" s="18" t="s">
        <v>1807</v>
      </c>
      <c r="K1310" s="3">
        <v>78.900000000000006</v>
      </c>
      <c r="L1310" s="7" t="s">
        <v>2246</v>
      </c>
      <c r="M1310" s="7">
        <f t="shared" si="82"/>
        <v>7.8900000000000012E-2</v>
      </c>
      <c r="N1310" s="7">
        <f t="shared" si="85"/>
        <v>24.490875600000006</v>
      </c>
    </row>
    <row r="1311" spans="1:14" ht="15.6" x14ac:dyDescent="0.3">
      <c r="A1311" s="18" t="s">
        <v>1728</v>
      </c>
      <c r="B1311" s="7">
        <v>10</v>
      </c>
      <c r="C1311" s="7">
        <v>21</v>
      </c>
      <c r="D1311" s="18" t="s">
        <v>1822</v>
      </c>
      <c r="E1311" s="18">
        <v>36000000</v>
      </c>
      <c r="F1311" s="7">
        <f t="shared" si="83"/>
        <v>9510198.366887603</v>
      </c>
      <c r="G1311" s="7">
        <f t="shared" si="86"/>
        <v>30638.13084524556</v>
      </c>
      <c r="H1311" s="18" t="s">
        <v>1821</v>
      </c>
      <c r="I1311" s="18" t="s">
        <v>2284</v>
      </c>
      <c r="J1311" s="18" t="s">
        <v>1802</v>
      </c>
      <c r="K1311" s="3">
        <v>29</v>
      </c>
      <c r="L1311" s="7" t="s">
        <v>2246</v>
      </c>
      <c r="M1311" s="7">
        <f t="shared" si="82"/>
        <v>2.9000000000000001E-2</v>
      </c>
      <c r="N1311" s="7">
        <f t="shared" si="85"/>
        <v>9.0017160000000001</v>
      </c>
    </row>
    <row r="1312" spans="1:14" ht="15.6" x14ac:dyDescent="0.3">
      <c r="A1312" s="18" t="s">
        <v>1742</v>
      </c>
      <c r="B1312" s="7">
        <v>10</v>
      </c>
      <c r="C1312" s="7">
        <v>21</v>
      </c>
      <c r="D1312" s="18" t="s">
        <v>1822</v>
      </c>
      <c r="E1312" s="18">
        <v>36000000</v>
      </c>
      <c r="F1312" s="7">
        <f t="shared" si="83"/>
        <v>9510198.366887603</v>
      </c>
      <c r="G1312" s="7">
        <f t="shared" si="86"/>
        <v>30638.13084524556</v>
      </c>
      <c r="H1312" s="18" t="s">
        <v>1821</v>
      </c>
      <c r="I1312" s="18" t="s">
        <v>2284</v>
      </c>
      <c r="J1312" s="18" t="s">
        <v>1802</v>
      </c>
      <c r="K1312" s="3">
        <v>10</v>
      </c>
      <c r="L1312" s="7" t="s">
        <v>2246</v>
      </c>
      <c r="M1312" s="7">
        <f t="shared" si="82"/>
        <v>0.01</v>
      </c>
      <c r="N1312" s="7">
        <f t="shared" si="85"/>
        <v>3.1040399999999999</v>
      </c>
    </row>
    <row r="1313" spans="1:14" ht="15.6" x14ac:dyDescent="0.3">
      <c r="A1313" s="18" t="s">
        <v>1728</v>
      </c>
      <c r="B1313" s="7">
        <v>10</v>
      </c>
      <c r="C1313" s="7">
        <v>22</v>
      </c>
      <c r="D1313" s="18" t="s">
        <v>1822</v>
      </c>
      <c r="E1313" s="18">
        <v>20000000</v>
      </c>
      <c r="F1313" s="7">
        <f t="shared" si="83"/>
        <v>5283443.5371597791</v>
      </c>
      <c r="G1313" s="7">
        <f t="shared" si="86"/>
        <v>17021.183802914198</v>
      </c>
      <c r="H1313" s="18" t="s">
        <v>1821</v>
      </c>
      <c r="I1313" s="18" t="s">
        <v>2284</v>
      </c>
      <c r="J1313" s="18" t="s">
        <v>1802</v>
      </c>
      <c r="K1313" s="3">
        <v>29</v>
      </c>
      <c r="L1313" s="7" t="s">
        <v>2246</v>
      </c>
      <c r="M1313" s="7">
        <f t="shared" si="82"/>
        <v>2.9000000000000001E-2</v>
      </c>
      <c r="N1313" s="7">
        <f t="shared" si="85"/>
        <v>9.0017160000000018</v>
      </c>
    </row>
    <row r="1314" spans="1:14" ht="15.6" x14ac:dyDescent="0.3">
      <c r="A1314" s="18" t="s">
        <v>1742</v>
      </c>
      <c r="B1314" s="7">
        <v>10</v>
      </c>
      <c r="C1314" s="7">
        <v>22</v>
      </c>
      <c r="D1314" s="18" t="s">
        <v>1822</v>
      </c>
      <c r="E1314" s="18">
        <v>20000000</v>
      </c>
      <c r="F1314" s="7">
        <f t="shared" si="83"/>
        <v>5283443.5371597791</v>
      </c>
      <c r="G1314" s="7">
        <f t="shared" si="86"/>
        <v>17021.183802914198</v>
      </c>
      <c r="H1314" s="18" t="s">
        <v>1821</v>
      </c>
      <c r="I1314" s="18" t="s">
        <v>2284</v>
      </c>
      <c r="J1314" s="18" t="s">
        <v>1802</v>
      </c>
      <c r="K1314" s="3">
        <v>7</v>
      </c>
      <c r="L1314" s="7" t="s">
        <v>2246</v>
      </c>
      <c r="M1314" s="7">
        <f t="shared" si="82"/>
        <v>7.0000000000000001E-3</v>
      </c>
      <c r="N1314" s="7">
        <f t="shared" si="85"/>
        <v>2.172828</v>
      </c>
    </row>
    <row r="1315" spans="1:14" ht="15.6" x14ac:dyDescent="0.3">
      <c r="A1315" s="18" t="s">
        <v>1728</v>
      </c>
      <c r="B1315" s="7">
        <v>10</v>
      </c>
      <c r="C1315" s="7">
        <v>23</v>
      </c>
      <c r="D1315" s="18" t="s">
        <v>1824</v>
      </c>
      <c r="E1315" s="18">
        <v>24000000</v>
      </c>
      <c r="F1315" s="7">
        <f t="shared" si="83"/>
        <v>6340132.2445917344</v>
      </c>
      <c r="G1315" s="7">
        <f t="shared" si="86"/>
        <v>20425.420563497039</v>
      </c>
      <c r="H1315" s="18" t="s">
        <v>1823</v>
      </c>
      <c r="I1315" s="18" t="s">
        <v>2285</v>
      </c>
      <c r="J1315" s="18" t="s">
        <v>2286</v>
      </c>
      <c r="K1315" s="3">
        <v>14.1</v>
      </c>
      <c r="L1315" s="7" t="s">
        <v>2246</v>
      </c>
      <c r="M1315" s="7">
        <f t="shared" si="82"/>
        <v>1.41E-2</v>
      </c>
      <c r="N1315" s="7">
        <f t="shared" si="85"/>
        <v>4.3766964000000002</v>
      </c>
    </row>
    <row r="1316" spans="1:14" ht="15.6" x14ac:dyDescent="0.3">
      <c r="A1316" s="18" t="s">
        <v>1728</v>
      </c>
      <c r="B1316" s="7">
        <v>10</v>
      </c>
      <c r="C1316" s="7">
        <v>23</v>
      </c>
      <c r="D1316" s="18" t="s">
        <v>1824</v>
      </c>
      <c r="E1316" s="18">
        <v>24000000</v>
      </c>
      <c r="F1316" s="7">
        <f t="shared" si="83"/>
        <v>6340132.2445917344</v>
      </c>
      <c r="G1316" s="7">
        <f t="shared" si="86"/>
        <v>20425.420563497039</v>
      </c>
      <c r="H1316" s="18" t="s">
        <v>1823</v>
      </c>
      <c r="I1316" s="18" t="s">
        <v>2285</v>
      </c>
      <c r="J1316" s="18" t="s">
        <v>2286</v>
      </c>
      <c r="K1316" s="3">
        <v>61.7</v>
      </c>
      <c r="L1316" s="7" t="s">
        <v>2246</v>
      </c>
      <c r="M1316" s="7">
        <f t="shared" si="82"/>
        <v>6.1700000000000005E-2</v>
      </c>
      <c r="N1316" s="7">
        <f t="shared" si="85"/>
        <v>19.151926799999998</v>
      </c>
    </row>
    <row r="1317" spans="1:14" ht="15.6" x14ac:dyDescent="0.3">
      <c r="A1317" s="18" t="s">
        <v>1744</v>
      </c>
      <c r="B1317" s="7">
        <v>10</v>
      </c>
      <c r="C1317" s="7">
        <v>24</v>
      </c>
      <c r="D1317" s="18" t="s">
        <v>1825</v>
      </c>
      <c r="E1317" s="18">
        <v>2500000</v>
      </c>
      <c r="F1317" s="7">
        <f t="shared" si="83"/>
        <v>660430.44214497239</v>
      </c>
      <c r="G1317" s="7">
        <v>15000</v>
      </c>
      <c r="H1317" s="19">
        <v>41456</v>
      </c>
      <c r="I1317" s="18" t="s">
        <v>2287</v>
      </c>
      <c r="J1317" s="18" t="s">
        <v>1802</v>
      </c>
      <c r="K1317" s="3">
        <v>80.8</v>
      </c>
      <c r="L1317" s="7" t="s">
        <v>2246</v>
      </c>
      <c r="M1317" s="7">
        <f t="shared" si="82"/>
        <v>8.0799999999999997E-2</v>
      </c>
      <c r="N1317" s="7">
        <f t="shared" si="85"/>
        <v>3.5575186483542511</v>
      </c>
    </row>
    <row r="1318" spans="1:14" ht="15.6" x14ac:dyDescent="0.3">
      <c r="A1318" s="18" t="s">
        <v>1735</v>
      </c>
      <c r="B1318" s="7">
        <v>10</v>
      </c>
      <c r="C1318" s="7">
        <v>24</v>
      </c>
      <c r="D1318" s="18" t="s">
        <v>1825</v>
      </c>
      <c r="E1318" s="18">
        <v>2500000</v>
      </c>
      <c r="F1318" s="7">
        <f t="shared" si="83"/>
        <v>660430.44214497239</v>
      </c>
      <c r="G1318" s="7">
        <v>15000</v>
      </c>
      <c r="H1318" s="19">
        <v>41456</v>
      </c>
      <c r="I1318" s="18" t="s">
        <v>2287</v>
      </c>
      <c r="J1318" s="18" t="s">
        <v>1802</v>
      </c>
      <c r="K1318" s="3">
        <v>133</v>
      </c>
      <c r="L1318" s="7" t="s">
        <v>2246</v>
      </c>
      <c r="M1318" s="7">
        <f t="shared" si="82"/>
        <v>0.13300000000000001</v>
      </c>
      <c r="N1318" s="7">
        <f t="shared" si="85"/>
        <v>5.8558165870187553</v>
      </c>
    </row>
    <row r="1319" spans="1:14" ht="15.6" x14ac:dyDescent="0.3">
      <c r="A1319" s="18" t="s">
        <v>1744</v>
      </c>
      <c r="B1319" s="7">
        <v>10</v>
      </c>
      <c r="C1319" s="7">
        <v>25</v>
      </c>
      <c r="D1319" s="18" t="s">
        <v>1825</v>
      </c>
      <c r="E1319" s="18">
        <v>35000000</v>
      </c>
      <c r="F1319" s="7">
        <f t="shared" si="83"/>
        <v>9246026.1900296137</v>
      </c>
      <c r="G1319" s="7">
        <v>100000</v>
      </c>
      <c r="H1319" s="19">
        <v>41456</v>
      </c>
      <c r="I1319" s="18" t="s">
        <v>2287</v>
      </c>
      <c r="J1319" s="18" t="s">
        <v>1802</v>
      </c>
      <c r="K1319" s="3">
        <v>43.1</v>
      </c>
      <c r="L1319" s="7" t="s">
        <v>2246</v>
      </c>
      <c r="M1319" s="7">
        <f t="shared" si="82"/>
        <v>4.3099999999999999E-2</v>
      </c>
      <c r="N1319" s="7">
        <f t="shared" si="85"/>
        <v>3.9850372879027631</v>
      </c>
    </row>
    <row r="1320" spans="1:14" ht="15.6" x14ac:dyDescent="0.3">
      <c r="A1320" s="18" t="s">
        <v>1735</v>
      </c>
      <c r="B1320" s="7">
        <v>10</v>
      </c>
      <c r="C1320" s="7">
        <v>25</v>
      </c>
      <c r="D1320" s="18" t="s">
        <v>1825</v>
      </c>
      <c r="E1320" s="18">
        <v>35000000</v>
      </c>
      <c r="F1320" s="7">
        <f t="shared" si="83"/>
        <v>9246026.1900296137</v>
      </c>
      <c r="G1320" s="7">
        <v>100000</v>
      </c>
      <c r="H1320" s="19">
        <v>41456</v>
      </c>
      <c r="I1320" s="18" t="s">
        <v>2287</v>
      </c>
      <c r="J1320" s="18" t="s">
        <v>1802</v>
      </c>
      <c r="K1320" s="3">
        <v>59.4</v>
      </c>
      <c r="L1320" s="7" t="s">
        <v>2246</v>
      </c>
      <c r="M1320" s="7">
        <f t="shared" si="82"/>
        <v>5.9400000000000001E-2</v>
      </c>
      <c r="N1320" s="7">
        <f t="shared" si="85"/>
        <v>5.492139556877591</v>
      </c>
    </row>
    <row r="1321" spans="1:14" ht="15.6" x14ac:dyDescent="0.3">
      <c r="A1321" s="18" t="s">
        <v>1735</v>
      </c>
      <c r="B1321" s="7">
        <v>10</v>
      </c>
      <c r="C1321" s="7">
        <v>26</v>
      </c>
      <c r="D1321" s="18" t="s">
        <v>1827</v>
      </c>
      <c r="E1321" s="18">
        <v>75000000</v>
      </c>
      <c r="F1321" s="7">
        <f t="shared" si="83"/>
        <v>19812913.26434917</v>
      </c>
      <c r="G1321" s="7">
        <f>F1321/310.404</f>
        <v>63829.439260928244</v>
      </c>
      <c r="H1321" s="18" t="s">
        <v>1826</v>
      </c>
      <c r="I1321" s="18" t="s">
        <v>2288</v>
      </c>
      <c r="J1321" s="18" t="s">
        <v>1807</v>
      </c>
      <c r="K1321" s="3">
        <v>3861</v>
      </c>
      <c r="L1321" s="7" t="s">
        <v>2246</v>
      </c>
      <c r="M1321" s="7">
        <f t="shared" si="82"/>
        <v>3.8610000000000002</v>
      </c>
      <c r="N1321" s="7">
        <f t="shared" si="85"/>
        <v>1198.4698440000002</v>
      </c>
    </row>
    <row r="1322" spans="1:14" ht="15.6" x14ac:dyDescent="0.3">
      <c r="A1322" s="18" t="s">
        <v>1742</v>
      </c>
      <c r="B1322" s="7">
        <v>10</v>
      </c>
      <c r="C1322" s="7">
        <v>26</v>
      </c>
      <c r="D1322" s="18" t="s">
        <v>1827</v>
      </c>
      <c r="E1322" s="18">
        <v>75000000</v>
      </c>
      <c r="F1322" s="7">
        <f t="shared" si="83"/>
        <v>19812913.26434917</v>
      </c>
      <c r="G1322" s="7">
        <f t="shared" ref="G1322:G1325" si="87">F1322/310.404</f>
        <v>63829.439260928244</v>
      </c>
      <c r="H1322" s="18" t="s">
        <v>1826</v>
      </c>
      <c r="I1322" s="18" t="s">
        <v>2288</v>
      </c>
      <c r="J1322" s="18" t="s">
        <v>1807</v>
      </c>
      <c r="K1322" s="3">
        <v>293</v>
      </c>
      <c r="L1322" s="7" t="s">
        <v>2246</v>
      </c>
      <c r="M1322" s="7">
        <f t="shared" ref="M1322:M1385" si="88">IFERROR(K1322/1000,"ND")</f>
        <v>0.29299999999999998</v>
      </c>
      <c r="N1322" s="7">
        <f t="shared" si="85"/>
        <v>90.948371999999992</v>
      </c>
    </row>
    <row r="1323" spans="1:14" ht="15.6" x14ac:dyDescent="0.3">
      <c r="A1323" s="18" t="s">
        <v>1744</v>
      </c>
      <c r="B1323" s="7">
        <v>10</v>
      </c>
      <c r="C1323" s="7">
        <v>26</v>
      </c>
      <c r="D1323" s="18" t="s">
        <v>1827</v>
      </c>
      <c r="E1323" s="18">
        <v>75000000</v>
      </c>
      <c r="F1323" s="7">
        <f t="shared" si="83"/>
        <v>19812913.26434917</v>
      </c>
      <c r="G1323" s="7">
        <f t="shared" si="87"/>
        <v>63829.439260928244</v>
      </c>
      <c r="H1323" s="18" t="s">
        <v>1826</v>
      </c>
      <c r="I1323" s="18" t="s">
        <v>2288</v>
      </c>
      <c r="J1323" s="18" t="s">
        <v>1807</v>
      </c>
      <c r="K1323" s="3">
        <v>588</v>
      </c>
      <c r="L1323" s="7" t="s">
        <v>2246</v>
      </c>
      <c r="M1323" s="7">
        <f t="shared" si="88"/>
        <v>0.58799999999999997</v>
      </c>
      <c r="N1323" s="7">
        <f t="shared" si="85"/>
        <v>182.51755199999999</v>
      </c>
    </row>
    <row r="1324" spans="1:14" ht="15.6" x14ac:dyDescent="0.3">
      <c r="A1324" s="18" t="s">
        <v>1735</v>
      </c>
      <c r="B1324" s="7">
        <v>10</v>
      </c>
      <c r="C1324" s="7">
        <v>27</v>
      </c>
      <c r="D1324" s="18" t="s">
        <v>1827</v>
      </c>
      <c r="E1324" s="18">
        <v>60000000</v>
      </c>
      <c r="F1324" s="7">
        <f t="shared" si="83"/>
        <v>15850330.611479336</v>
      </c>
      <c r="G1324" s="7">
        <f t="shared" si="87"/>
        <v>51063.551408742598</v>
      </c>
      <c r="H1324" s="18" t="s">
        <v>1826</v>
      </c>
      <c r="I1324" s="18" t="s">
        <v>2288</v>
      </c>
      <c r="J1324" s="18" t="s">
        <v>1807</v>
      </c>
      <c r="K1324" s="3">
        <v>2505</v>
      </c>
      <c r="L1324" s="7" t="s">
        <v>2246</v>
      </c>
      <c r="M1324" s="7">
        <f t="shared" si="88"/>
        <v>2.5049999999999999</v>
      </c>
      <c r="N1324" s="7">
        <f t="shared" si="85"/>
        <v>777.56201999999996</v>
      </c>
    </row>
    <row r="1325" spans="1:14" ht="15.6" x14ac:dyDescent="0.3">
      <c r="A1325" s="18" t="s">
        <v>1742</v>
      </c>
      <c r="B1325" s="7">
        <v>10</v>
      </c>
      <c r="C1325" s="7">
        <v>27</v>
      </c>
      <c r="D1325" s="18" t="s">
        <v>1827</v>
      </c>
      <c r="E1325" s="18">
        <v>60000000</v>
      </c>
      <c r="F1325" s="7">
        <f t="shared" si="83"/>
        <v>15850330.611479336</v>
      </c>
      <c r="G1325" s="7">
        <f t="shared" si="87"/>
        <v>51063.551408742598</v>
      </c>
      <c r="H1325" s="18" t="s">
        <v>1826</v>
      </c>
      <c r="I1325" s="18" t="s">
        <v>2288</v>
      </c>
      <c r="J1325" s="18" t="s">
        <v>1807</v>
      </c>
      <c r="K1325" s="3">
        <v>351</v>
      </c>
      <c r="L1325" s="7" t="s">
        <v>2246</v>
      </c>
      <c r="M1325" s="7">
        <f t="shared" si="88"/>
        <v>0.35099999999999998</v>
      </c>
      <c r="N1325" s="7">
        <f t="shared" si="85"/>
        <v>108.951804</v>
      </c>
    </row>
    <row r="1326" spans="1:14" ht="15.6" x14ac:dyDescent="0.3">
      <c r="A1326" s="18" t="s">
        <v>1744</v>
      </c>
      <c r="B1326" s="7">
        <v>10</v>
      </c>
      <c r="C1326" s="7">
        <v>27</v>
      </c>
      <c r="D1326" s="18" t="s">
        <v>1827</v>
      </c>
      <c r="E1326" s="18">
        <v>60000000</v>
      </c>
      <c r="F1326" s="7">
        <f>E1326/3.78541</f>
        <v>15850330.611479336</v>
      </c>
      <c r="G1326" s="7">
        <f>F1326/310.404</f>
        <v>51063.551408742598</v>
      </c>
      <c r="H1326" s="18" t="s">
        <v>1826</v>
      </c>
      <c r="I1326" s="18" t="s">
        <v>2288</v>
      </c>
      <c r="J1326" s="18" t="s">
        <v>1807</v>
      </c>
      <c r="K1326" s="3">
        <v>997</v>
      </c>
      <c r="L1326" s="7" t="s">
        <v>2246</v>
      </c>
      <c r="M1326" s="7">
        <f t="shared" si="88"/>
        <v>0.997</v>
      </c>
      <c r="N1326" s="7">
        <f t="shared" si="85"/>
        <v>309.47278799999998</v>
      </c>
    </row>
    <row r="1327" spans="1:14" ht="15.6" x14ac:dyDescent="0.3">
      <c r="A1327" s="18" t="s">
        <v>1729</v>
      </c>
      <c r="B1327" s="7">
        <v>11</v>
      </c>
      <c r="C1327" s="7">
        <v>28</v>
      </c>
      <c r="D1327" s="18" t="s">
        <v>2259</v>
      </c>
      <c r="E1327" s="18">
        <v>6650000</v>
      </c>
      <c r="F1327" s="18">
        <f>E1327</f>
        <v>6650000</v>
      </c>
      <c r="G1327" s="7">
        <f t="shared" ref="G1327:G1364" si="89">F1327/310.404</f>
        <v>21423.69299364699</v>
      </c>
      <c r="H1327" s="18" t="s">
        <v>1828</v>
      </c>
      <c r="I1327" s="18" t="s">
        <v>1812</v>
      </c>
      <c r="J1327" s="18" t="s">
        <v>1802</v>
      </c>
      <c r="K1327" s="3">
        <f>1000*198.66</f>
        <v>198660</v>
      </c>
      <c r="L1327" s="7" t="s">
        <v>2246</v>
      </c>
      <c r="M1327" s="7">
        <f t="shared" si="88"/>
        <v>198.66</v>
      </c>
      <c r="N1327" s="7">
        <f t="shared" si="85"/>
        <v>61664.858639999999</v>
      </c>
    </row>
    <row r="1328" spans="1:14" ht="15.6" x14ac:dyDescent="0.3">
      <c r="A1328" s="18" t="s">
        <v>1760</v>
      </c>
      <c r="B1328" s="7">
        <v>11</v>
      </c>
      <c r="C1328" s="7">
        <v>28</v>
      </c>
      <c r="D1328" s="18" t="s">
        <v>2259</v>
      </c>
      <c r="E1328" s="18">
        <v>6650000</v>
      </c>
      <c r="F1328" s="18">
        <f t="shared" ref="F1328:F1351" si="90">E1328</f>
        <v>6650000</v>
      </c>
      <c r="G1328" s="7">
        <f t="shared" si="89"/>
        <v>21423.69299364699</v>
      </c>
      <c r="H1328" s="18" t="s">
        <v>1828</v>
      </c>
      <c r="I1328" s="18" t="s">
        <v>1812</v>
      </c>
      <c r="J1328" s="18" t="s">
        <v>1802</v>
      </c>
      <c r="K1328" s="3">
        <f>1000*1.02</f>
        <v>1020</v>
      </c>
      <c r="L1328" s="7" t="s">
        <v>2246</v>
      </c>
      <c r="M1328" s="7">
        <f t="shared" si="88"/>
        <v>1.02</v>
      </c>
      <c r="N1328" s="7">
        <f t="shared" si="85"/>
        <v>316.61207999999999</v>
      </c>
    </row>
    <row r="1329" spans="1:14" ht="15.6" x14ac:dyDescent="0.3">
      <c r="A1329" s="18" t="s">
        <v>1741</v>
      </c>
      <c r="B1329" s="7">
        <v>11</v>
      </c>
      <c r="C1329" s="7">
        <v>28</v>
      </c>
      <c r="D1329" s="18" t="s">
        <v>2259</v>
      </c>
      <c r="E1329" s="18">
        <v>6650000</v>
      </c>
      <c r="F1329" s="18">
        <f t="shared" si="90"/>
        <v>6650000</v>
      </c>
      <c r="G1329" s="7">
        <f t="shared" si="89"/>
        <v>21423.69299364699</v>
      </c>
      <c r="H1329" s="18" t="s">
        <v>1828</v>
      </c>
      <c r="I1329" s="18" t="s">
        <v>1812</v>
      </c>
      <c r="J1329" s="18" t="s">
        <v>1802</v>
      </c>
      <c r="K1329" s="3">
        <f>1000*28.7</f>
        <v>28700</v>
      </c>
      <c r="L1329" s="7" t="s">
        <v>2246</v>
      </c>
      <c r="M1329" s="7">
        <f t="shared" si="88"/>
        <v>28.7</v>
      </c>
      <c r="N1329" s="7">
        <f t="shared" si="85"/>
        <v>8908.5947999999989</v>
      </c>
    </row>
    <row r="1330" spans="1:14" ht="15.6" x14ac:dyDescent="0.3">
      <c r="A1330" s="18" t="s">
        <v>1745</v>
      </c>
      <c r="B1330" s="7">
        <v>11</v>
      </c>
      <c r="C1330" s="7">
        <v>28</v>
      </c>
      <c r="D1330" s="18" t="s">
        <v>2259</v>
      </c>
      <c r="E1330" s="18">
        <v>6650000</v>
      </c>
      <c r="F1330" s="18">
        <f t="shared" si="90"/>
        <v>6650000</v>
      </c>
      <c r="G1330" s="7">
        <f t="shared" si="89"/>
        <v>21423.69299364699</v>
      </c>
      <c r="H1330" s="18" t="s">
        <v>1828</v>
      </c>
      <c r="I1330" s="18" t="s">
        <v>1812</v>
      </c>
      <c r="J1330" s="18" t="s">
        <v>1802</v>
      </c>
      <c r="K1330" s="3">
        <f>1000*0.89</f>
        <v>890</v>
      </c>
      <c r="L1330" s="7" t="s">
        <v>2246</v>
      </c>
      <c r="M1330" s="7">
        <f t="shared" si="88"/>
        <v>0.89</v>
      </c>
      <c r="N1330" s="7">
        <f t="shared" si="85"/>
        <v>276.25955999999996</v>
      </c>
    </row>
    <row r="1331" spans="1:14" ht="15.6" x14ac:dyDescent="0.3">
      <c r="A1331" s="18" t="s">
        <v>1746</v>
      </c>
      <c r="B1331" s="7">
        <v>11</v>
      </c>
      <c r="C1331" s="7">
        <v>28</v>
      </c>
      <c r="D1331" s="18" t="s">
        <v>2259</v>
      </c>
      <c r="E1331" s="18">
        <v>6650000</v>
      </c>
      <c r="F1331" s="18">
        <f t="shared" si="90"/>
        <v>6650000</v>
      </c>
      <c r="G1331" s="7">
        <f t="shared" si="89"/>
        <v>21423.69299364699</v>
      </c>
      <c r="H1331" s="18" t="s">
        <v>1828</v>
      </c>
      <c r="I1331" s="18" t="s">
        <v>1812</v>
      </c>
      <c r="J1331" s="18" t="s">
        <v>1802</v>
      </c>
      <c r="K1331" s="3">
        <f>1000*2.19</f>
        <v>2190</v>
      </c>
      <c r="L1331" s="7" t="s">
        <v>2246</v>
      </c>
      <c r="M1331" s="7">
        <f t="shared" si="88"/>
        <v>2.19</v>
      </c>
      <c r="N1331" s="7">
        <f t="shared" si="85"/>
        <v>679.78476000000001</v>
      </c>
    </row>
    <row r="1332" spans="1:14" ht="15.6" x14ac:dyDescent="0.3">
      <c r="A1332" s="18" t="s">
        <v>1729</v>
      </c>
      <c r="B1332" s="7">
        <v>11</v>
      </c>
      <c r="C1332" s="7">
        <v>28</v>
      </c>
      <c r="D1332" s="18" t="s">
        <v>2259</v>
      </c>
      <c r="E1332" s="18">
        <v>6650000</v>
      </c>
      <c r="F1332" s="18">
        <f t="shared" si="90"/>
        <v>6650000</v>
      </c>
      <c r="G1332" s="7">
        <f t="shared" si="89"/>
        <v>21423.69299364699</v>
      </c>
      <c r="H1332" s="18" t="s">
        <v>1828</v>
      </c>
      <c r="I1332" s="18" t="s">
        <v>1812</v>
      </c>
      <c r="J1332" s="18" t="s">
        <v>1802</v>
      </c>
      <c r="K1332" s="3">
        <f>1000*173.38</f>
        <v>173380</v>
      </c>
      <c r="L1332" s="7" t="s">
        <v>2246</v>
      </c>
      <c r="M1332" s="7">
        <f t="shared" si="88"/>
        <v>173.38</v>
      </c>
      <c r="N1332" s="7">
        <f t="shared" si="85"/>
        <v>53817.845519999995</v>
      </c>
    </row>
    <row r="1333" spans="1:14" ht="15.6" x14ac:dyDescent="0.3">
      <c r="A1333" s="18" t="s">
        <v>1760</v>
      </c>
      <c r="B1333" s="7">
        <v>11</v>
      </c>
      <c r="C1333" s="7">
        <v>28</v>
      </c>
      <c r="D1333" s="18" t="s">
        <v>2259</v>
      </c>
      <c r="E1333" s="18">
        <v>6650000</v>
      </c>
      <c r="F1333" s="18">
        <f t="shared" si="90"/>
        <v>6650000</v>
      </c>
      <c r="G1333" s="7">
        <f t="shared" si="89"/>
        <v>21423.69299364699</v>
      </c>
      <c r="H1333" s="18" t="s">
        <v>1828</v>
      </c>
      <c r="I1333" s="18" t="s">
        <v>1812</v>
      </c>
      <c r="J1333" s="18" t="s">
        <v>1802</v>
      </c>
      <c r="K1333" s="3">
        <f>1000*0.08</f>
        <v>80</v>
      </c>
      <c r="L1333" s="7" t="s">
        <v>2246</v>
      </c>
      <c r="M1333" s="7">
        <f t="shared" si="88"/>
        <v>0.08</v>
      </c>
      <c r="N1333" s="7">
        <f t="shared" si="85"/>
        <v>24.832319999999999</v>
      </c>
    </row>
    <row r="1334" spans="1:14" ht="15.6" x14ac:dyDescent="0.3">
      <c r="A1334" s="18" t="s">
        <v>1741</v>
      </c>
      <c r="B1334" s="7">
        <v>11</v>
      </c>
      <c r="C1334" s="7">
        <v>28</v>
      </c>
      <c r="D1334" s="18" t="s">
        <v>2259</v>
      </c>
      <c r="E1334" s="18">
        <v>6650000</v>
      </c>
      <c r="F1334" s="18">
        <f t="shared" si="90"/>
        <v>6650000</v>
      </c>
      <c r="G1334" s="7">
        <f t="shared" si="89"/>
        <v>21423.69299364699</v>
      </c>
      <c r="H1334" s="18" t="s">
        <v>1828</v>
      </c>
      <c r="I1334" s="18" t="s">
        <v>1812</v>
      </c>
      <c r="J1334" s="18" t="s">
        <v>1802</v>
      </c>
      <c r="K1334" s="3">
        <f>1000*37.8</f>
        <v>37800</v>
      </c>
      <c r="L1334" s="7" t="s">
        <v>2246</v>
      </c>
      <c r="M1334" s="7">
        <f t="shared" si="88"/>
        <v>37.799999999999997</v>
      </c>
      <c r="N1334" s="7">
        <f t="shared" si="85"/>
        <v>11733.271199999997</v>
      </c>
    </row>
    <row r="1335" spans="1:14" ht="15.6" x14ac:dyDescent="0.3">
      <c r="A1335" s="18" t="s">
        <v>1745</v>
      </c>
      <c r="B1335" s="7">
        <v>11</v>
      </c>
      <c r="C1335" s="7">
        <v>28</v>
      </c>
      <c r="D1335" s="18" t="s">
        <v>2259</v>
      </c>
      <c r="E1335" s="18">
        <v>6650000</v>
      </c>
      <c r="F1335" s="18">
        <f t="shared" si="90"/>
        <v>6650000</v>
      </c>
      <c r="G1335" s="7">
        <f t="shared" si="89"/>
        <v>21423.69299364699</v>
      </c>
      <c r="H1335" s="18" t="s">
        <v>1828</v>
      </c>
      <c r="I1335" s="18" t="s">
        <v>1812</v>
      </c>
      <c r="J1335" s="18" t="s">
        <v>1802</v>
      </c>
      <c r="K1335" s="3">
        <f>1000*0.51</f>
        <v>510</v>
      </c>
      <c r="L1335" s="7" t="s">
        <v>2246</v>
      </c>
      <c r="M1335" s="7">
        <f t="shared" si="88"/>
        <v>0.51</v>
      </c>
      <c r="N1335" s="7">
        <f t="shared" si="85"/>
        <v>158.30604</v>
      </c>
    </row>
    <row r="1336" spans="1:14" ht="15.6" x14ac:dyDescent="0.3">
      <c r="A1336" s="18" t="s">
        <v>1746</v>
      </c>
      <c r="B1336" s="7">
        <v>11</v>
      </c>
      <c r="C1336" s="7">
        <v>28</v>
      </c>
      <c r="D1336" s="18" t="s">
        <v>2259</v>
      </c>
      <c r="E1336" s="18">
        <v>6650000</v>
      </c>
      <c r="F1336" s="18">
        <f t="shared" si="90"/>
        <v>6650000</v>
      </c>
      <c r="G1336" s="7">
        <f t="shared" si="89"/>
        <v>21423.69299364699</v>
      </c>
      <c r="H1336" s="18" t="s">
        <v>1828</v>
      </c>
      <c r="I1336" s="18" t="s">
        <v>1812</v>
      </c>
      <c r="J1336" s="18" t="s">
        <v>1802</v>
      </c>
      <c r="K1336" s="3">
        <f>1000*1.91</f>
        <v>1910</v>
      </c>
      <c r="L1336" s="7" t="s">
        <v>2246</v>
      </c>
      <c r="M1336" s="7">
        <f t="shared" si="88"/>
        <v>1.91</v>
      </c>
      <c r="N1336" s="7">
        <f t="shared" si="85"/>
        <v>592.87163999999996</v>
      </c>
    </row>
    <row r="1337" spans="1:14" ht="15.6" x14ac:dyDescent="0.3">
      <c r="A1337" s="18" t="s">
        <v>1729</v>
      </c>
      <c r="B1337" s="7">
        <v>11</v>
      </c>
      <c r="C1337" s="7">
        <v>28</v>
      </c>
      <c r="D1337" s="18" t="s">
        <v>2259</v>
      </c>
      <c r="E1337" s="18">
        <v>6650000</v>
      </c>
      <c r="F1337" s="18">
        <f t="shared" si="90"/>
        <v>6650000</v>
      </c>
      <c r="G1337" s="7">
        <f t="shared" si="89"/>
        <v>21423.69299364699</v>
      </c>
      <c r="H1337" s="18" t="s">
        <v>1828</v>
      </c>
      <c r="I1337" s="18" t="s">
        <v>1812</v>
      </c>
      <c r="J1337" s="18" t="s">
        <v>1802</v>
      </c>
      <c r="K1337" s="3">
        <f>1000*1760.8</f>
        <v>1760800</v>
      </c>
      <c r="L1337" s="7" t="s">
        <v>2246</v>
      </c>
      <c r="M1337" s="7">
        <f t="shared" si="88"/>
        <v>1760.8</v>
      </c>
      <c r="N1337" s="7">
        <f t="shared" si="85"/>
        <v>546559.36320000002</v>
      </c>
    </row>
    <row r="1338" spans="1:14" ht="15.6" x14ac:dyDescent="0.3">
      <c r="A1338" s="18" t="s">
        <v>1760</v>
      </c>
      <c r="B1338" s="7">
        <v>11</v>
      </c>
      <c r="C1338" s="7">
        <v>28</v>
      </c>
      <c r="D1338" s="18" t="s">
        <v>2259</v>
      </c>
      <c r="E1338" s="18">
        <v>6650000</v>
      </c>
      <c r="F1338" s="18">
        <f t="shared" si="90"/>
        <v>6650000</v>
      </c>
      <c r="G1338" s="7">
        <f t="shared" si="89"/>
        <v>21423.69299364699</v>
      </c>
      <c r="H1338" s="18" t="s">
        <v>1828</v>
      </c>
      <c r="I1338" s="18" t="s">
        <v>1812</v>
      </c>
      <c r="J1338" s="18" t="s">
        <v>1802</v>
      </c>
      <c r="K1338" s="3">
        <f>1000*560.42</f>
        <v>560420</v>
      </c>
      <c r="L1338" s="7" t="s">
        <v>2246</v>
      </c>
      <c r="M1338" s="7">
        <f t="shared" si="88"/>
        <v>560.41999999999996</v>
      </c>
      <c r="N1338" s="7">
        <f t="shared" si="85"/>
        <v>173956.60967999997</v>
      </c>
    </row>
    <row r="1339" spans="1:14" ht="15.6" x14ac:dyDescent="0.3">
      <c r="A1339" s="18" t="s">
        <v>1741</v>
      </c>
      <c r="B1339" s="7">
        <v>11</v>
      </c>
      <c r="C1339" s="7">
        <v>28</v>
      </c>
      <c r="D1339" s="18" t="s">
        <v>2259</v>
      </c>
      <c r="E1339" s="18">
        <v>6650000</v>
      </c>
      <c r="F1339" s="18">
        <f t="shared" si="90"/>
        <v>6650000</v>
      </c>
      <c r="G1339" s="7">
        <f t="shared" si="89"/>
        <v>21423.69299364699</v>
      </c>
      <c r="H1339" s="18" t="s">
        <v>1828</v>
      </c>
      <c r="I1339" s="18" t="s">
        <v>1812</v>
      </c>
      <c r="J1339" s="18" t="s">
        <v>1802</v>
      </c>
      <c r="K1339" s="3">
        <f>1000*8.19</f>
        <v>8189.9999999999991</v>
      </c>
      <c r="L1339" s="7" t="s">
        <v>2246</v>
      </c>
      <c r="M1339" s="7">
        <f t="shared" si="88"/>
        <v>8.19</v>
      </c>
      <c r="N1339" s="7">
        <f t="shared" si="85"/>
        <v>2542.20876</v>
      </c>
    </row>
    <row r="1340" spans="1:14" ht="15.6" x14ac:dyDescent="0.3">
      <c r="A1340" s="18" t="s">
        <v>1745</v>
      </c>
      <c r="B1340" s="7">
        <v>11</v>
      </c>
      <c r="C1340" s="7">
        <v>28</v>
      </c>
      <c r="D1340" s="18" t="s">
        <v>2259</v>
      </c>
      <c r="E1340" s="18">
        <v>6650000</v>
      </c>
      <c r="F1340" s="18">
        <f t="shared" si="90"/>
        <v>6650000</v>
      </c>
      <c r="G1340" s="7">
        <f t="shared" si="89"/>
        <v>21423.69299364699</v>
      </c>
      <c r="H1340" s="18" t="s">
        <v>1828</v>
      </c>
      <c r="I1340" s="18" t="s">
        <v>1812</v>
      </c>
      <c r="J1340" s="18" t="s">
        <v>1802</v>
      </c>
      <c r="K1340" s="3">
        <f>1000*60.18</f>
        <v>60180</v>
      </c>
      <c r="L1340" s="7" t="s">
        <v>2246</v>
      </c>
      <c r="M1340" s="7">
        <f t="shared" si="88"/>
        <v>60.18</v>
      </c>
      <c r="N1340" s="7">
        <f t="shared" si="85"/>
        <v>18680.112720000001</v>
      </c>
    </row>
    <row r="1341" spans="1:14" ht="15.6" x14ac:dyDescent="0.3">
      <c r="A1341" s="18" t="s">
        <v>1746</v>
      </c>
      <c r="B1341" s="7">
        <v>11</v>
      </c>
      <c r="C1341" s="7">
        <v>28</v>
      </c>
      <c r="D1341" s="18" t="s">
        <v>2259</v>
      </c>
      <c r="E1341" s="18">
        <v>6650000</v>
      </c>
      <c r="F1341" s="18">
        <f t="shared" si="90"/>
        <v>6650000</v>
      </c>
      <c r="G1341" s="7">
        <f t="shared" si="89"/>
        <v>21423.69299364699</v>
      </c>
      <c r="H1341" s="18" t="s">
        <v>1828</v>
      </c>
      <c r="I1341" s="18" t="s">
        <v>1812</v>
      </c>
      <c r="J1341" s="18" t="s">
        <v>1802</v>
      </c>
      <c r="K1341" s="3">
        <f>1000*3.12</f>
        <v>3120</v>
      </c>
      <c r="L1341" s="7" t="s">
        <v>2246</v>
      </c>
      <c r="M1341" s="7">
        <f t="shared" si="88"/>
        <v>3.12</v>
      </c>
      <c r="N1341" s="7">
        <f t="shared" si="85"/>
        <v>968.46047999999996</v>
      </c>
    </row>
    <row r="1342" spans="1:14" ht="15.6" x14ac:dyDescent="0.3">
      <c r="A1342" s="18" t="s">
        <v>1729</v>
      </c>
      <c r="B1342" s="7">
        <v>11</v>
      </c>
      <c r="C1342" s="7">
        <v>28</v>
      </c>
      <c r="D1342" s="18" t="s">
        <v>2259</v>
      </c>
      <c r="E1342" s="18">
        <v>6650000</v>
      </c>
      <c r="F1342" s="18">
        <f t="shared" si="90"/>
        <v>6650000</v>
      </c>
      <c r="G1342" s="7">
        <f t="shared" si="89"/>
        <v>21423.69299364699</v>
      </c>
      <c r="H1342" s="18" t="s">
        <v>1828</v>
      </c>
      <c r="I1342" s="18" t="s">
        <v>1812</v>
      </c>
      <c r="J1342" s="18" t="s">
        <v>1802</v>
      </c>
      <c r="K1342" s="3">
        <f>1000*10.87</f>
        <v>10870</v>
      </c>
      <c r="L1342" s="7" t="s">
        <v>2246</v>
      </c>
      <c r="M1342" s="7">
        <f t="shared" si="88"/>
        <v>10.87</v>
      </c>
      <c r="N1342" s="7">
        <f t="shared" si="85"/>
        <v>3374.09148</v>
      </c>
    </row>
    <row r="1343" spans="1:14" ht="15.6" x14ac:dyDescent="0.3">
      <c r="A1343" s="18" t="s">
        <v>1760</v>
      </c>
      <c r="B1343" s="7">
        <v>11</v>
      </c>
      <c r="C1343" s="7">
        <v>28</v>
      </c>
      <c r="D1343" s="18" t="s">
        <v>2259</v>
      </c>
      <c r="E1343" s="18">
        <v>6650000</v>
      </c>
      <c r="F1343" s="18">
        <f t="shared" si="90"/>
        <v>6650000</v>
      </c>
      <c r="G1343" s="7">
        <f t="shared" si="89"/>
        <v>21423.69299364699</v>
      </c>
      <c r="H1343" s="18" t="s">
        <v>1828</v>
      </c>
      <c r="I1343" s="18" t="s">
        <v>1812</v>
      </c>
      <c r="J1343" s="18" t="s">
        <v>1802</v>
      </c>
      <c r="K1343" s="3">
        <f>1000*46.51</f>
        <v>46510</v>
      </c>
      <c r="L1343" s="7" t="s">
        <v>2246</v>
      </c>
      <c r="M1343" s="7">
        <f t="shared" si="88"/>
        <v>46.51</v>
      </c>
      <c r="N1343" s="7">
        <f t="shared" si="85"/>
        <v>14436.89004</v>
      </c>
    </row>
    <row r="1344" spans="1:14" ht="15.6" x14ac:dyDescent="0.3">
      <c r="A1344" s="18" t="s">
        <v>1741</v>
      </c>
      <c r="B1344" s="7">
        <v>11</v>
      </c>
      <c r="C1344" s="7">
        <v>28</v>
      </c>
      <c r="D1344" s="18" t="s">
        <v>2259</v>
      </c>
      <c r="E1344" s="18">
        <v>6650000</v>
      </c>
      <c r="F1344" s="18">
        <f t="shared" si="90"/>
        <v>6650000</v>
      </c>
      <c r="G1344" s="7">
        <f t="shared" si="89"/>
        <v>21423.69299364699</v>
      </c>
      <c r="H1344" s="18" t="s">
        <v>1828</v>
      </c>
      <c r="I1344" s="18" t="s">
        <v>1812</v>
      </c>
      <c r="J1344" s="18" t="s">
        <v>1802</v>
      </c>
      <c r="K1344" s="3">
        <f>1000*2063.84</f>
        <v>2063840.0000000002</v>
      </c>
      <c r="L1344" s="7" t="s">
        <v>2246</v>
      </c>
      <c r="M1344" s="7">
        <f t="shared" si="88"/>
        <v>2063.84</v>
      </c>
      <c r="N1344" s="7">
        <f t="shared" si="85"/>
        <v>640624.19136000006</v>
      </c>
    </row>
    <row r="1345" spans="1:14" ht="15.6" x14ac:dyDescent="0.3">
      <c r="A1345" s="18" t="s">
        <v>1745</v>
      </c>
      <c r="B1345" s="7">
        <v>11</v>
      </c>
      <c r="C1345" s="7">
        <v>28</v>
      </c>
      <c r="D1345" s="18" t="s">
        <v>2259</v>
      </c>
      <c r="E1345" s="18">
        <v>6650000</v>
      </c>
      <c r="F1345" s="18">
        <f t="shared" si="90"/>
        <v>6650000</v>
      </c>
      <c r="G1345" s="7">
        <f t="shared" si="89"/>
        <v>21423.69299364699</v>
      </c>
      <c r="H1345" s="18" t="s">
        <v>1828</v>
      </c>
      <c r="I1345" s="18" t="s">
        <v>1812</v>
      </c>
      <c r="J1345" s="18" t="s">
        <v>1802</v>
      </c>
      <c r="K1345" s="3">
        <f>1000*0.29</f>
        <v>290</v>
      </c>
      <c r="L1345" s="7" t="s">
        <v>2246</v>
      </c>
      <c r="M1345" s="7">
        <f t="shared" si="88"/>
        <v>0.28999999999999998</v>
      </c>
      <c r="N1345" s="7">
        <f t="shared" si="85"/>
        <v>90.01715999999999</v>
      </c>
    </row>
    <row r="1346" spans="1:14" ht="15.6" x14ac:dyDescent="0.3">
      <c r="A1346" s="18" t="s">
        <v>1746</v>
      </c>
      <c r="B1346" s="7">
        <v>11</v>
      </c>
      <c r="C1346" s="7">
        <v>28</v>
      </c>
      <c r="D1346" s="18" t="s">
        <v>2259</v>
      </c>
      <c r="E1346" s="18">
        <v>6650000</v>
      </c>
      <c r="F1346" s="18">
        <f t="shared" si="90"/>
        <v>6650000</v>
      </c>
      <c r="G1346" s="7">
        <f t="shared" si="89"/>
        <v>21423.69299364699</v>
      </c>
      <c r="H1346" s="18" t="s">
        <v>1828</v>
      </c>
      <c r="I1346" s="18" t="s">
        <v>1812</v>
      </c>
      <c r="J1346" s="18" t="s">
        <v>1802</v>
      </c>
      <c r="K1346" s="3">
        <f>1000*72.01</f>
        <v>72010</v>
      </c>
      <c r="L1346" s="7" t="s">
        <v>2246</v>
      </c>
      <c r="M1346" s="7">
        <f t="shared" si="88"/>
        <v>72.010000000000005</v>
      </c>
      <c r="N1346" s="7">
        <f t="shared" si="85"/>
        <v>22352.192040000002</v>
      </c>
    </row>
    <row r="1347" spans="1:14" ht="15.6" x14ac:dyDescent="0.3">
      <c r="A1347" s="18" t="s">
        <v>1729</v>
      </c>
      <c r="B1347" s="7">
        <v>11</v>
      </c>
      <c r="C1347" s="7">
        <v>28</v>
      </c>
      <c r="D1347" s="18" t="s">
        <v>2259</v>
      </c>
      <c r="E1347" s="18">
        <v>6650000</v>
      </c>
      <c r="F1347" s="18">
        <f t="shared" si="90"/>
        <v>6650000</v>
      </c>
      <c r="G1347" s="7">
        <f t="shared" si="89"/>
        <v>21423.69299364699</v>
      </c>
      <c r="H1347" s="18" t="s">
        <v>1828</v>
      </c>
      <c r="I1347" s="18" t="s">
        <v>1812</v>
      </c>
      <c r="J1347" s="18" t="s">
        <v>1802</v>
      </c>
      <c r="K1347" s="3">
        <f>1000*65.02</f>
        <v>65019.999999999993</v>
      </c>
      <c r="L1347" s="7" t="s">
        <v>2246</v>
      </c>
      <c r="M1347" s="7">
        <f t="shared" si="88"/>
        <v>65.02</v>
      </c>
      <c r="N1347" s="7">
        <f t="shared" ref="N1347:N1371" si="91">IFERROR((M1347*F1347)/G1347,"ND")</f>
        <v>20182.468079999999</v>
      </c>
    </row>
    <row r="1348" spans="1:14" ht="15.6" x14ac:dyDescent="0.3">
      <c r="A1348" s="18" t="s">
        <v>1760</v>
      </c>
      <c r="B1348" s="7">
        <v>11</v>
      </c>
      <c r="C1348" s="7">
        <v>28</v>
      </c>
      <c r="D1348" s="18" t="s">
        <v>2259</v>
      </c>
      <c r="E1348" s="18">
        <v>6650000</v>
      </c>
      <c r="F1348" s="18">
        <f t="shared" si="90"/>
        <v>6650000</v>
      </c>
      <c r="G1348" s="7">
        <f t="shared" si="89"/>
        <v>21423.69299364699</v>
      </c>
      <c r="H1348" s="18" t="s">
        <v>1828</v>
      </c>
      <c r="I1348" s="18" t="s">
        <v>1812</v>
      </c>
      <c r="J1348" s="18" t="s">
        <v>1802</v>
      </c>
      <c r="K1348" s="3">
        <f>1000*61.2</f>
        <v>61200</v>
      </c>
      <c r="L1348" s="7" t="s">
        <v>2246</v>
      </c>
      <c r="M1348" s="7">
        <f t="shared" si="88"/>
        <v>61.2</v>
      </c>
      <c r="N1348" s="7">
        <f t="shared" si="91"/>
        <v>18996.7248</v>
      </c>
    </row>
    <row r="1349" spans="1:14" ht="15.6" x14ac:dyDescent="0.3">
      <c r="A1349" s="18" t="s">
        <v>1741</v>
      </c>
      <c r="B1349" s="7">
        <v>11</v>
      </c>
      <c r="C1349" s="7">
        <v>28</v>
      </c>
      <c r="D1349" s="18" t="s">
        <v>2259</v>
      </c>
      <c r="E1349" s="18">
        <v>6650000</v>
      </c>
      <c r="F1349" s="18">
        <f t="shared" si="90"/>
        <v>6650000</v>
      </c>
      <c r="G1349" s="7">
        <f t="shared" si="89"/>
        <v>21423.69299364699</v>
      </c>
      <c r="H1349" s="18" t="s">
        <v>1828</v>
      </c>
      <c r="I1349" s="18" t="s">
        <v>1812</v>
      </c>
      <c r="J1349" s="18" t="s">
        <v>1802</v>
      </c>
      <c r="K1349" s="3">
        <f>1000*793.03</f>
        <v>793030</v>
      </c>
      <c r="L1349" s="7" t="s">
        <v>2246</v>
      </c>
      <c r="M1349" s="7">
        <f t="shared" si="88"/>
        <v>793.03</v>
      </c>
      <c r="N1349" s="7">
        <f t="shared" si="91"/>
        <v>246159.68411999999</v>
      </c>
    </row>
    <row r="1350" spans="1:14" ht="15.6" x14ac:dyDescent="0.3">
      <c r="A1350" s="18" t="s">
        <v>1745</v>
      </c>
      <c r="B1350" s="7">
        <v>11</v>
      </c>
      <c r="C1350" s="7">
        <v>28</v>
      </c>
      <c r="D1350" s="18" t="s">
        <v>2259</v>
      </c>
      <c r="E1350" s="18">
        <v>6650000</v>
      </c>
      <c r="F1350" s="18">
        <f t="shared" si="90"/>
        <v>6650000</v>
      </c>
      <c r="G1350" s="7">
        <f t="shared" si="89"/>
        <v>21423.69299364699</v>
      </c>
      <c r="H1350" s="18" t="s">
        <v>1828</v>
      </c>
      <c r="I1350" s="18" t="s">
        <v>1812</v>
      </c>
      <c r="J1350" s="18" t="s">
        <v>1802</v>
      </c>
      <c r="K1350" s="3">
        <f>1000*1.54</f>
        <v>1540</v>
      </c>
      <c r="L1350" s="7" t="s">
        <v>2246</v>
      </c>
      <c r="M1350" s="7">
        <f t="shared" si="88"/>
        <v>1.54</v>
      </c>
      <c r="N1350" s="7">
        <f t="shared" si="91"/>
        <v>478.02215999999999</v>
      </c>
    </row>
    <row r="1351" spans="1:14" ht="15.6" x14ac:dyDescent="0.3">
      <c r="A1351" s="18" t="s">
        <v>1746</v>
      </c>
      <c r="B1351" s="7">
        <v>11</v>
      </c>
      <c r="C1351" s="7">
        <v>28</v>
      </c>
      <c r="D1351" s="18" t="s">
        <v>2259</v>
      </c>
      <c r="E1351" s="18">
        <v>6650000</v>
      </c>
      <c r="F1351" s="18">
        <f t="shared" si="90"/>
        <v>6650000</v>
      </c>
      <c r="G1351" s="7">
        <f t="shared" si="89"/>
        <v>21423.69299364699</v>
      </c>
      <c r="H1351" s="18" t="s">
        <v>1828</v>
      </c>
      <c r="I1351" s="18" t="s">
        <v>1812</v>
      </c>
      <c r="J1351" s="18" t="s">
        <v>1802</v>
      </c>
      <c r="K1351" s="3">
        <f>1000*1.84</f>
        <v>1840</v>
      </c>
      <c r="L1351" s="7" t="s">
        <v>2246</v>
      </c>
      <c r="M1351" s="7">
        <f t="shared" si="88"/>
        <v>1.84</v>
      </c>
      <c r="N1351" s="7">
        <f t="shared" si="91"/>
        <v>571.14336000000003</v>
      </c>
    </row>
    <row r="1352" spans="1:14" ht="15.6" x14ac:dyDescent="0.3">
      <c r="A1352" s="18" t="s">
        <v>1752</v>
      </c>
      <c r="B1352" s="7">
        <v>11</v>
      </c>
      <c r="C1352" s="7">
        <v>28</v>
      </c>
      <c r="D1352" s="18" t="s">
        <v>2259</v>
      </c>
      <c r="E1352" s="18">
        <v>6650000</v>
      </c>
      <c r="F1352" s="18">
        <f>E1352</f>
        <v>6650000</v>
      </c>
      <c r="G1352" s="7">
        <f t="shared" si="89"/>
        <v>21423.69299364699</v>
      </c>
      <c r="H1352" s="18" t="s">
        <v>1828</v>
      </c>
      <c r="I1352" s="18" t="s">
        <v>1812</v>
      </c>
      <c r="J1352" s="18" t="s">
        <v>1802</v>
      </c>
      <c r="K1352" s="3">
        <v>1500</v>
      </c>
      <c r="L1352" s="7" t="s">
        <v>2246</v>
      </c>
      <c r="M1352" s="7">
        <f t="shared" si="88"/>
        <v>1.5</v>
      </c>
      <c r="N1352" s="7">
        <f t="shared" si="91"/>
        <v>465.60599999999999</v>
      </c>
    </row>
    <row r="1353" spans="1:14" ht="15.6" x14ac:dyDescent="0.3">
      <c r="A1353" s="18" t="s">
        <v>1752</v>
      </c>
      <c r="B1353" s="7">
        <v>11</v>
      </c>
      <c r="C1353" s="7">
        <v>28</v>
      </c>
      <c r="D1353" s="18" t="s">
        <v>2259</v>
      </c>
      <c r="E1353" s="18">
        <v>6650000</v>
      </c>
      <c r="F1353" s="18">
        <f t="shared" ref="F1353:F1356" si="92">E1353</f>
        <v>6650000</v>
      </c>
      <c r="G1353" s="7">
        <f t="shared" si="89"/>
        <v>21423.69299364699</v>
      </c>
      <c r="H1353" s="18" t="s">
        <v>1828</v>
      </c>
      <c r="I1353" s="18" t="s">
        <v>1812</v>
      </c>
      <c r="J1353" s="18" t="s">
        <v>1802</v>
      </c>
      <c r="K1353" s="3">
        <f>19.25*1000</f>
        <v>19250</v>
      </c>
      <c r="L1353" s="7" t="s">
        <v>2246</v>
      </c>
      <c r="M1353" s="7">
        <f t="shared" si="88"/>
        <v>19.25</v>
      </c>
      <c r="N1353" s="7">
        <f t="shared" si="91"/>
        <v>5975.277</v>
      </c>
    </row>
    <row r="1354" spans="1:14" ht="15.6" x14ac:dyDescent="0.3">
      <c r="A1354" s="18" t="s">
        <v>1752</v>
      </c>
      <c r="B1354" s="7">
        <v>11</v>
      </c>
      <c r="C1354" s="7">
        <v>28</v>
      </c>
      <c r="D1354" s="18" t="s">
        <v>2259</v>
      </c>
      <c r="E1354" s="18">
        <v>6650000</v>
      </c>
      <c r="F1354" s="18">
        <f t="shared" si="92"/>
        <v>6650000</v>
      </c>
      <c r="G1354" s="7">
        <f t="shared" si="89"/>
        <v>21423.69299364699</v>
      </c>
      <c r="H1354" s="18" t="s">
        <v>1828</v>
      </c>
      <c r="I1354" s="18" t="s">
        <v>1812</v>
      </c>
      <c r="J1354" s="18" t="s">
        <v>1802</v>
      </c>
      <c r="K1354" s="3">
        <f>1.5*1000</f>
        <v>1500</v>
      </c>
      <c r="L1354" s="7" t="s">
        <v>2246</v>
      </c>
      <c r="M1354" s="7">
        <f t="shared" si="88"/>
        <v>1.5</v>
      </c>
      <c r="N1354" s="7">
        <f t="shared" si="91"/>
        <v>465.60599999999999</v>
      </c>
    </row>
    <row r="1355" spans="1:14" ht="15.6" x14ac:dyDescent="0.3">
      <c r="A1355" s="18" t="s">
        <v>1752</v>
      </c>
      <c r="B1355" s="7">
        <v>11</v>
      </c>
      <c r="C1355" s="7">
        <v>28</v>
      </c>
      <c r="D1355" s="18" t="s">
        <v>2259</v>
      </c>
      <c r="E1355" s="18">
        <v>6650000</v>
      </c>
      <c r="F1355" s="18">
        <f t="shared" si="92"/>
        <v>6650000</v>
      </c>
      <c r="G1355" s="7">
        <f t="shared" si="89"/>
        <v>21423.69299364699</v>
      </c>
      <c r="H1355" s="18" t="s">
        <v>1828</v>
      </c>
      <c r="I1355" s="18" t="s">
        <v>1812</v>
      </c>
      <c r="J1355" s="18" t="s">
        <v>1802</v>
      </c>
      <c r="K1355" s="3">
        <f>843.2*1000</f>
        <v>843200</v>
      </c>
      <c r="L1355" s="7" t="s">
        <v>2246</v>
      </c>
      <c r="M1355" s="7">
        <f t="shared" si="88"/>
        <v>843.2</v>
      </c>
      <c r="N1355" s="7">
        <f t="shared" si="91"/>
        <v>261732.65279999998</v>
      </c>
    </row>
    <row r="1356" spans="1:14" ht="15.6" x14ac:dyDescent="0.3">
      <c r="A1356" s="18" t="s">
        <v>1752</v>
      </c>
      <c r="B1356" s="7">
        <v>11</v>
      </c>
      <c r="C1356" s="7">
        <v>28</v>
      </c>
      <c r="D1356" s="18" t="s">
        <v>2259</v>
      </c>
      <c r="E1356" s="18">
        <v>6650000</v>
      </c>
      <c r="F1356" s="18">
        <f t="shared" si="92"/>
        <v>6650000</v>
      </c>
      <c r="G1356" s="7">
        <f t="shared" si="89"/>
        <v>21423.69299364699</v>
      </c>
      <c r="H1356" s="18" t="s">
        <v>1828</v>
      </c>
      <c r="I1356" s="18" t="s">
        <v>1812</v>
      </c>
      <c r="J1356" s="18" t="s">
        <v>1802</v>
      </c>
      <c r="K1356" s="3">
        <f>2.15*1000</f>
        <v>2150</v>
      </c>
      <c r="L1356" s="7" t="s">
        <v>2246</v>
      </c>
      <c r="M1356" s="7">
        <f t="shared" si="88"/>
        <v>2.15</v>
      </c>
      <c r="N1356" s="7">
        <f t="shared" si="91"/>
        <v>667.36860000000001</v>
      </c>
    </row>
    <row r="1357" spans="1:14" ht="15.6" x14ac:dyDescent="0.3">
      <c r="A1357" s="20" t="s">
        <v>1767</v>
      </c>
      <c r="B1357" s="7">
        <v>12</v>
      </c>
      <c r="C1357" s="7">
        <v>29</v>
      </c>
      <c r="D1357" s="18" t="s">
        <v>2289</v>
      </c>
      <c r="E1357" s="18">
        <v>2600</v>
      </c>
      <c r="F1357" s="7">
        <f>E1357*1000</f>
        <v>2600000</v>
      </c>
      <c r="G1357" s="7">
        <f t="shared" si="89"/>
        <v>8376.1807193206278</v>
      </c>
      <c r="H1357" s="18" t="s">
        <v>1829</v>
      </c>
      <c r="I1357" s="18" t="s">
        <v>1819</v>
      </c>
      <c r="J1357" s="18" t="s">
        <v>1802</v>
      </c>
      <c r="K1357" s="21">
        <v>16</v>
      </c>
      <c r="L1357" s="7" t="s">
        <v>2246</v>
      </c>
      <c r="M1357" s="7">
        <f t="shared" si="88"/>
        <v>1.6E-2</v>
      </c>
      <c r="N1357" s="7">
        <f t="shared" si="91"/>
        <v>4.9664639999999993</v>
      </c>
    </row>
    <row r="1358" spans="1:14" ht="15.6" x14ac:dyDescent="0.3">
      <c r="A1358" s="20" t="s">
        <v>1767</v>
      </c>
      <c r="B1358" s="7">
        <v>12</v>
      </c>
      <c r="C1358" s="7">
        <v>30</v>
      </c>
      <c r="D1358" s="18" t="s">
        <v>2290</v>
      </c>
      <c r="E1358" s="18">
        <v>1300</v>
      </c>
      <c r="F1358" s="7">
        <f t="shared" ref="F1358:F1364" si="93">E1358*1000</f>
        <v>1300000</v>
      </c>
      <c r="G1358" s="7">
        <f t="shared" si="89"/>
        <v>4188.0903596603139</v>
      </c>
      <c r="H1358" s="18" t="s">
        <v>1829</v>
      </c>
      <c r="I1358" s="18" t="s">
        <v>1819</v>
      </c>
      <c r="J1358" s="18" t="s">
        <v>1802</v>
      </c>
      <c r="K1358" s="21">
        <v>34</v>
      </c>
      <c r="L1358" s="7" t="s">
        <v>2246</v>
      </c>
      <c r="M1358" s="7">
        <f t="shared" si="88"/>
        <v>3.4000000000000002E-2</v>
      </c>
      <c r="N1358" s="7">
        <f t="shared" si="91"/>
        <v>10.553735999999999</v>
      </c>
    </row>
    <row r="1359" spans="1:14" ht="15.6" x14ac:dyDescent="0.3">
      <c r="A1359" s="20" t="s">
        <v>1767</v>
      </c>
      <c r="B1359" s="7">
        <v>12</v>
      </c>
      <c r="C1359" s="7">
        <v>30</v>
      </c>
      <c r="D1359" s="18" t="s">
        <v>2290</v>
      </c>
      <c r="E1359" s="18">
        <v>1300</v>
      </c>
      <c r="F1359" s="7">
        <f t="shared" si="93"/>
        <v>1300000</v>
      </c>
      <c r="G1359" s="7">
        <f t="shared" si="89"/>
        <v>4188.0903596603139</v>
      </c>
      <c r="H1359" s="18" t="s">
        <v>1829</v>
      </c>
      <c r="I1359" s="18" t="s">
        <v>1819</v>
      </c>
      <c r="J1359" s="18" t="s">
        <v>1802</v>
      </c>
      <c r="K1359" s="21">
        <v>37</v>
      </c>
      <c r="L1359" s="7" t="s">
        <v>2246</v>
      </c>
      <c r="M1359" s="7">
        <f t="shared" si="88"/>
        <v>3.6999999999999998E-2</v>
      </c>
      <c r="N1359" s="7">
        <f t="shared" si="91"/>
        <v>11.484947999999999</v>
      </c>
    </row>
    <row r="1360" spans="1:14" ht="15.6" x14ac:dyDescent="0.3">
      <c r="A1360" s="20" t="s">
        <v>1767</v>
      </c>
      <c r="B1360" s="7">
        <v>12</v>
      </c>
      <c r="C1360" s="7">
        <v>30</v>
      </c>
      <c r="D1360" s="18" t="s">
        <v>2290</v>
      </c>
      <c r="E1360" s="18">
        <v>1300</v>
      </c>
      <c r="F1360" s="7">
        <f t="shared" si="93"/>
        <v>1300000</v>
      </c>
      <c r="G1360" s="7">
        <f t="shared" si="89"/>
        <v>4188.0903596603139</v>
      </c>
      <c r="H1360" s="18" t="s">
        <v>1829</v>
      </c>
      <c r="I1360" s="18" t="s">
        <v>1819</v>
      </c>
      <c r="J1360" s="18" t="s">
        <v>1802</v>
      </c>
      <c r="K1360" s="21">
        <v>92</v>
      </c>
      <c r="L1360" s="7" t="s">
        <v>2246</v>
      </c>
      <c r="M1360" s="7">
        <f t="shared" si="88"/>
        <v>9.1999999999999998E-2</v>
      </c>
      <c r="N1360" s="7">
        <f t="shared" si="91"/>
        <v>28.557167999999997</v>
      </c>
    </row>
    <row r="1361" spans="1:14" ht="15.6" x14ac:dyDescent="0.3">
      <c r="A1361" s="20" t="s">
        <v>1767</v>
      </c>
      <c r="B1361" s="7">
        <v>12</v>
      </c>
      <c r="C1361" s="7">
        <v>30</v>
      </c>
      <c r="D1361" s="18" t="s">
        <v>2290</v>
      </c>
      <c r="E1361" s="18">
        <v>1300</v>
      </c>
      <c r="F1361" s="7">
        <f t="shared" si="93"/>
        <v>1300000</v>
      </c>
      <c r="G1361" s="7">
        <f t="shared" si="89"/>
        <v>4188.0903596603139</v>
      </c>
      <c r="H1361" s="18" t="s">
        <v>1829</v>
      </c>
      <c r="I1361" s="18" t="s">
        <v>1819</v>
      </c>
      <c r="J1361" s="18" t="s">
        <v>1802</v>
      </c>
      <c r="K1361" s="21">
        <v>70</v>
      </c>
      <c r="L1361" s="7" t="s">
        <v>2246</v>
      </c>
      <c r="M1361" s="7">
        <f t="shared" si="88"/>
        <v>7.0000000000000007E-2</v>
      </c>
      <c r="N1361" s="7">
        <f t="shared" si="91"/>
        <v>21.728280000000002</v>
      </c>
    </row>
    <row r="1362" spans="1:14" ht="15.6" x14ac:dyDescent="0.3">
      <c r="A1362" s="20" t="s">
        <v>1767</v>
      </c>
      <c r="B1362" s="7">
        <v>12</v>
      </c>
      <c r="C1362" s="7">
        <v>31</v>
      </c>
      <c r="D1362" s="18" t="s">
        <v>2291</v>
      </c>
      <c r="E1362" s="18">
        <v>6800</v>
      </c>
      <c r="F1362" s="7">
        <f t="shared" si="93"/>
        <v>6800000</v>
      </c>
      <c r="G1362" s="7">
        <f t="shared" si="89"/>
        <v>21906.934188992411</v>
      </c>
      <c r="H1362" s="18" t="s">
        <v>1829</v>
      </c>
      <c r="I1362" s="18" t="s">
        <v>1819</v>
      </c>
      <c r="J1362" s="18" t="s">
        <v>1802</v>
      </c>
      <c r="K1362" s="21">
        <v>13</v>
      </c>
      <c r="L1362" s="7" t="s">
        <v>2246</v>
      </c>
      <c r="M1362" s="7">
        <f t="shared" si="88"/>
        <v>1.2999999999999999E-2</v>
      </c>
      <c r="N1362" s="7">
        <f t="shared" si="91"/>
        <v>4.0352519999999998</v>
      </c>
    </row>
    <row r="1363" spans="1:14" ht="15.6" x14ac:dyDescent="0.3">
      <c r="A1363" s="20" t="s">
        <v>1767</v>
      </c>
      <c r="B1363" s="7">
        <v>12</v>
      </c>
      <c r="C1363" s="7">
        <v>31</v>
      </c>
      <c r="D1363" s="18" t="s">
        <v>2291</v>
      </c>
      <c r="E1363" s="18">
        <v>6800</v>
      </c>
      <c r="F1363" s="7">
        <f t="shared" si="93"/>
        <v>6800000</v>
      </c>
      <c r="G1363" s="7">
        <f t="shared" si="89"/>
        <v>21906.934188992411</v>
      </c>
      <c r="H1363" s="18" t="s">
        <v>1829</v>
      </c>
      <c r="I1363" s="18" t="s">
        <v>1819</v>
      </c>
      <c r="J1363" s="18" t="s">
        <v>1802</v>
      </c>
      <c r="K1363" s="21">
        <v>41</v>
      </c>
      <c r="L1363" s="7" t="s">
        <v>2246</v>
      </c>
      <c r="M1363" s="7">
        <f t="shared" si="88"/>
        <v>4.1000000000000002E-2</v>
      </c>
      <c r="N1363" s="7">
        <f t="shared" si="91"/>
        <v>12.726564</v>
      </c>
    </row>
    <row r="1364" spans="1:14" ht="15.6" x14ac:dyDescent="0.3">
      <c r="A1364" s="20" t="s">
        <v>1767</v>
      </c>
      <c r="B1364" s="7">
        <v>12</v>
      </c>
      <c r="C1364" s="7">
        <v>31</v>
      </c>
      <c r="D1364" s="18" t="s">
        <v>2291</v>
      </c>
      <c r="E1364" s="18">
        <v>6800</v>
      </c>
      <c r="F1364" s="7">
        <f t="shared" si="93"/>
        <v>6800000</v>
      </c>
      <c r="G1364" s="7">
        <f t="shared" si="89"/>
        <v>21906.934188992411</v>
      </c>
      <c r="H1364" s="18" t="s">
        <v>1829</v>
      </c>
      <c r="I1364" s="18" t="s">
        <v>1819</v>
      </c>
      <c r="J1364" s="18" t="s">
        <v>1802</v>
      </c>
      <c r="K1364" s="21">
        <v>14</v>
      </c>
      <c r="L1364" s="7" t="s">
        <v>2246</v>
      </c>
      <c r="M1364" s="7">
        <f t="shared" si="88"/>
        <v>1.4E-2</v>
      </c>
      <c r="N1364" s="7">
        <f t="shared" si="91"/>
        <v>4.345656</v>
      </c>
    </row>
    <row r="1365" spans="1:14" ht="15.6" x14ac:dyDescent="0.3">
      <c r="A1365" s="20" t="s">
        <v>1768</v>
      </c>
      <c r="B1365" s="7">
        <v>12</v>
      </c>
      <c r="C1365" s="7">
        <v>24</v>
      </c>
      <c r="D1365" s="18" t="s">
        <v>2292</v>
      </c>
      <c r="E1365" s="18">
        <v>2500000</v>
      </c>
      <c r="F1365" s="7">
        <f>E1365/3.78541</f>
        <v>660430.44214497239</v>
      </c>
      <c r="G1365" s="7">
        <v>15000</v>
      </c>
      <c r="H1365" s="19">
        <v>41456</v>
      </c>
      <c r="I1365" s="18" t="s">
        <v>2287</v>
      </c>
      <c r="J1365" s="18" t="s">
        <v>1802</v>
      </c>
      <c r="K1365" s="22">
        <v>5.58</v>
      </c>
      <c r="L1365" s="7" t="s">
        <v>2246</v>
      </c>
      <c r="M1365" s="7">
        <f t="shared" si="88"/>
        <v>5.5799999999999999E-3</v>
      </c>
      <c r="N1365" s="7">
        <f t="shared" si="91"/>
        <v>0.24568012447792972</v>
      </c>
    </row>
    <row r="1366" spans="1:14" ht="15.6" x14ac:dyDescent="0.3">
      <c r="A1366" s="20" t="s">
        <v>1767</v>
      </c>
      <c r="B1366" s="7">
        <v>12</v>
      </c>
      <c r="C1366" s="7">
        <v>24</v>
      </c>
      <c r="D1366" s="18" t="s">
        <v>2292</v>
      </c>
      <c r="E1366" s="18">
        <v>2500000</v>
      </c>
      <c r="F1366" s="7">
        <f t="shared" ref="F1366:F1371" si="94">E1366/3.78541</f>
        <v>660430.44214497239</v>
      </c>
      <c r="G1366" s="7">
        <v>15000</v>
      </c>
      <c r="H1366" s="19">
        <v>41456</v>
      </c>
      <c r="I1366" s="18" t="s">
        <v>2287</v>
      </c>
      <c r="J1366" s="18" t="s">
        <v>1802</v>
      </c>
      <c r="K1366" s="22">
        <v>24.4</v>
      </c>
      <c r="L1366" s="7" t="s">
        <v>2246</v>
      </c>
      <c r="M1366" s="7">
        <f t="shared" si="88"/>
        <v>2.4399999999999998E-2</v>
      </c>
      <c r="N1366" s="7">
        <f t="shared" si="91"/>
        <v>1.074300185889155</v>
      </c>
    </row>
    <row r="1367" spans="1:14" ht="15.6" x14ac:dyDescent="0.3">
      <c r="A1367" s="20" t="s">
        <v>1768</v>
      </c>
      <c r="B1367" s="7">
        <v>12</v>
      </c>
      <c r="C1367" s="7">
        <v>25</v>
      </c>
      <c r="D1367" s="18" t="s">
        <v>2293</v>
      </c>
      <c r="E1367" s="18">
        <v>35000000</v>
      </c>
      <c r="F1367" s="7">
        <f t="shared" si="94"/>
        <v>9246026.1900296137</v>
      </c>
      <c r="G1367" s="7">
        <v>100000</v>
      </c>
      <c r="H1367" s="19">
        <v>41456</v>
      </c>
      <c r="I1367" s="18" t="s">
        <v>2287</v>
      </c>
      <c r="J1367" s="18" t="s">
        <v>1802</v>
      </c>
      <c r="K1367" s="22">
        <v>5.43</v>
      </c>
      <c r="L1367" s="7" t="s">
        <v>2246</v>
      </c>
      <c r="M1367" s="7">
        <f t="shared" si="88"/>
        <v>5.4299999999999999E-3</v>
      </c>
      <c r="N1367" s="7">
        <f t="shared" si="91"/>
        <v>0.50205922211860798</v>
      </c>
    </row>
    <row r="1368" spans="1:14" ht="15.6" x14ac:dyDescent="0.3">
      <c r="A1368" s="20" t="s">
        <v>1767</v>
      </c>
      <c r="B1368" s="7">
        <v>12</v>
      </c>
      <c r="C1368" s="7">
        <v>25</v>
      </c>
      <c r="D1368" s="18" t="s">
        <v>2293</v>
      </c>
      <c r="E1368" s="18">
        <v>35000000</v>
      </c>
      <c r="F1368" s="7">
        <f t="shared" si="94"/>
        <v>9246026.1900296137</v>
      </c>
      <c r="G1368" s="7">
        <v>100000</v>
      </c>
      <c r="H1368" s="19">
        <v>41456</v>
      </c>
      <c r="I1368" s="18" t="s">
        <v>2287</v>
      </c>
      <c r="J1368" s="18" t="s">
        <v>1802</v>
      </c>
      <c r="K1368" s="22">
        <v>15.5</v>
      </c>
      <c r="L1368" s="7" t="s">
        <v>2246</v>
      </c>
      <c r="M1368" s="7">
        <f t="shared" si="88"/>
        <v>1.55E-2</v>
      </c>
      <c r="N1368" s="7">
        <f t="shared" si="91"/>
        <v>1.43313405945459</v>
      </c>
    </row>
    <row r="1369" spans="1:14" ht="15.6" x14ac:dyDescent="0.3">
      <c r="A1369" s="23" t="s">
        <v>1767</v>
      </c>
      <c r="B1369" s="7">
        <v>12</v>
      </c>
      <c r="C1369" s="7">
        <v>32</v>
      </c>
      <c r="D1369" s="18" t="s">
        <v>2292</v>
      </c>
      <c r="E1369" s="18">
        <v>27200000</v>
      </c>
      <c r="F1369" s="7">
        <f t="shared" si="94"/>
        <v>7185483.2105372995</v>
      </c>
      <c r="G1369" s="7">
        <v>190000</v>
      </c>
      <c r="H1369" s="18" t="s">
        <v>1830</v>
      </c>
      <c r="I1369" s="18" t="s">
        <v>1831</v>
      </c>
      <c r="J1369" s="18" t="s">
        <v>1802</v>
      </c>
      <c r="K1369" s="22">
        <v>57.3</v>
      </c>
      <c r="L1369" s="7" t="s">
        <v>2246</v>
      </c>
      <c r="M1369" s="7">
        <f t="shared" si="88"/>
        <v>5.7299999999999997E-2</v>
      </c>
      <c r="N1369" s="7">
        <f t="shared" si="91"/>
        <v>2.1669904629673011</v>
      </c>
    </row>
    <row r="1370" spans="1:14" ht="15.6" x14ac:dyDescent="0.3">
      <c r="A1370" s="23" t="s">
        <v>1767</v>
      </c>
      <c r="B1370" s="7">
        <v>12</v>
      </c>
      <c r="C1370" s="7">
        <v>33</v>
      </c>
      <c r="D1370" s="18" t="s">
        <v>2293</v>
      </c>
      <c r="E1370" s="18">
        <v>21000000</v>
      </c>
      <c r="F1370" s="7">
        <f t="shared" si="94"/>
        <v>5547615.7140177684</v>
      </c>
      <c r="G1370" s="7">
        <v>150000</v>
      </c>
      <c r="H1370" s="18" t="s">
        <v>1830</v>
      </c>
      <c r="I1370" s="18" t="s">
        <v>1831</v>
      </c>
      <c r="J1370" s="18" t="s">
        <v>1802</v>
      </c>
      <c r="K1370" s="22">
        <v>63.5</v>
      </c>
      <c r="L1370" s="7" t="s">
        <v>2246</v>
      </c>
      <c r="M1370" s="7">
        <f t="shared" si="88"/>
        <v>6.3500000000000001E-2</v>
      </c>
      <c r="N1370" s="7">
        <f t="shared" si="91"/>
        <v>2.3484906522675217</v>
      </c>
    </row>
    <row r="1371" spans="1:14" ht="15.6" x14ac:dyDescent="0.3">
      <c r="A1371" s="23" t="s">
        <v>1768</v>
      </c>
      <c r="B1371" s="7">
        <v>12</v>
      </c>
      <c r="C1371" s="7">
        <v>33</v>
      </c>
      <c r="D1371" s="18" t="s">
        <v>2293</v>
      </c>
      <c r="E1371" s="18">
        <v>21000000</v>
      </c>
      <c r="F1371" s="7">
        <f t="shared" si="94"/>
        <v>5547615.7140177684</v>
      </c>
      <c r="G1371" s="7">
        <v>150000</v>
      </c>
      <c r="H1371" s="18" t="s">
        <v>1830</v>
      </c>
      <c r="I1371" s="18" t="s">
        <v>1831</v>
      </c>
      <c r="J1371" s="18" t="s">
        <v>1802</v>
      </c>
      <c r="K1371" s="22">
        <v>5.69</v>
      </c>
      <c r="L1371" s="7" t="s">
        <v>2246</v>
      </c>
      <c r="M1371" s="7">
        <f t="shared" si="88"/>
        <v>5.6900000000000006E-3</v>
      </c>
      <c r="N1371" s="7">
        <f t="shared" si="91"/>
        <v>0.21043955608507406</v>
      </c>
    </row>
    <row r="1372" spans="1:14" ht="15.6" x14ac:dyDescent="0.3">
      <c r="A1372" s="23" t="s">
        <v>1768</v>
      </c>
      <c r="B1372" s="24">
        <v>12</v>
      </c>
      <c r="C1372" s="7">
        <v>34</v>
      </c>
      <c r="D1372" s="25" t="s">
        <v>2294</v>
      </c>
      <c r="E1372" s="25">
        <f>F1372</f>
        <v>734726.26800000004</v>
      </c>
      <c r="F1372" s="25">
        <f>G1372*310.404</f>
        <v>734726.26800000004</v>
      </c>
      <c r="G1372" s="25">
        <v>2367</v>
      </c>
      <c r="H1372" s="25" t="s">
        <v>1832</v>
      </c>
      <c r="I1372" s="25" t="s">
        <v>1831</v>
      </c>
      <c r="J1372" s="25" t="s">
        <v>2295</v>
      </c>
      <c r="K1372" s="24">
        <v>420</v>
      </c>
      <c r="L1372" s="24" t="s">
        <v>2296</v>
      </c>
      <c r="M1372" s="25">
        <f>K1372</f>
        <v>420</v>
      </c>
      <c r="N1372" s="24">
        <f>K1372</f>
        <v>420</v>
      </c>
    </row>
    <row r="1373" spans="1:14" ht="15.6" x14ac:dyDescent="0.3">
      <c r="A1373" s="23" t="s">
        <v>1768</v>
      </c>
      <c r="B1373" s="24">
        <v>12</v>
      </c>
      <c r="C1373" s="7">
        <v>34</v>
      </c>
      <c r="D1373" s="25" t="s">
        <v>2294</v>
      </c>
      <c r="E1373" s="25">
        <f>F1373</f>
        <v>305747.94</v>
      </c>
      <c r="F1373" s="25">
        <f>G1373*310.404</f>
        <v>305747.94</v>
      </c>
      <c r="G1373" s="25">
        <v>985</v>
      </c>
      <c r="H1373" s="25" t="s">
        <v>1832</v>
      </c>
      <c r="I1373" s="25" t="s">
        <v>1831</v>
      </c>
      <c r="J1373" s="25" t="s">
        <v>2295</v>
      </c>
      <c r="K1373" s="24">
        <v>30</v>
      </c>
      <c r="L1373" s="24" t="s">
        <v>2296</v>
      </c>
      <c r="M1373" s="25">
        <f t="shared" ref="M1373:M1375" si="95">K1373</f>
        <v>30</v>
      </c>
      <c r="N1373" s="24">
        <f t="shared" ref="N1373:N1375" si="96">K1373</f>
        <v>30</v>
      </c>
    </row>
    <row r="1374" spans="1:14" ht="15.6" x14ac:dyDescent="0.3">
      <c r="A1374" s="23" t="s">
        <v>1767</v>
      </c>
      <c r="B1374" s="24">
        <v>12</v>
      </c>
      <c r="C1374" s="7">
        <v>34</v>
      </c>
      <c r="D1374" s="25" t="s">
        <v>2294</v>
      </c>
      <c r="E1374" s="25">
        <f>F1374</f>
        <v>734726.26800000004</v>
      </c>
      <c r="F1374" s="25">
        <f>G1374*310.404</f>
        <v>734726.26800000004</v>
      </c>
      <c r="G1374" s="25">
        <v>2367</v>
      </c>
      <c r="H1374" s="25" t="s">
        <v>1832</v>
      </c>
      <c r="I1374" s="25" t="s">
        <v>1831</v>
      </c>
      <c r="J1374" s="25" t="s">
        <v>2295</v>
      </c>
      <c r="K1374" s="22">
        <v>810</v>
      </c>
      <c r="L1374" s="24" t="s">
        <v>2296</v>
      </c>
      <c r="M1374" s="25">
        <f t="shared" si="95"/>
        <v>810</v>
      </c>
      <c r="N1374" s="24">
        <f t="shared" si="96"/>
        <v>810</v>
      </c>
    </row>
    <row r="1375" spans="1:14" ht="15.6" x14ac:dyDescent="0.3">
      <c r="A1375" s="23" t="s">
        <v>1767</v>
      </c>
      <c r="B1375" s="24">
        <v>12</v>
      </c>
      <c r="C1375" s="7">
        <v>34</v>
      </c>
      <c r="D1375" s="25" t="s">
        <v>2294</v>
      </c>
      <c r="E1375" s="25">
        <f>F1375</f>
        <v>305747.94</v>
      </c>
      <c r="F1375" s="25">
        <f>G1375*310.404</f>
        <v>305747.94</v>
      </c>
      <c r="G1375" s="25">
        <v>985</v>
      </c>
      <c r="H1375" s="25" t="s">
        <v>1832</v>
      </c>
      <c r="I1375" s="25" t="s">
        <v>1831</v>
      </c>
      <c r="J1375" s="25" t="s">
        <v>2295</v>
      </c>
      <c r="K1375" s="22">
        <v>750</v>
      </c>
      <c r="L1375" s="24" t="s">
        <v>2296</v>
      </c>
      <c r="M1375" s="25">
        <f t="shared" si="95"/>
        <v>750</v>
      </c>
      <c r="N1375" s="24">
        <f t="shared" si="96"/>
        <v>750</v>
      </c>
    </row>
    <row r="1376" spans="1:14" ht="15.6" x14ac:dyDescent="0.3">
      <c r="A1376" s="26" t="s">
        <v>1767</v>
      </c>
      <c r="B1376" s="7">
        <v>12</v>
      </c>
      <c r="C1376" s="7">
        <v>35</v>
      </c>
      <c r="D1376" s="18" t="s">
        <v>2297</v>
      </c>
      <c r="E1376" s="7">
        <v>5000000</v>
      </c>
      <c r="F1376" s="7">
        <f>E1376/3.78541</f>
        <v>1320860.8842899448</v>
      </c>
      <c r="G1376" s="7">
        <v>20000</v>
      </c>
      <c r="H1376" s="19">
        <v>43009</v>
      </c>
      <c r="I1376" s="18" t="s">
        <v>1831</v>
      </c>
      <c r="J1376" s="18" t="s">
        <v>1802</v>
      </c>
      <c r="K1376" s="27">
        <v>41.9</v>
      </c>
      <c r="L1376" s="7" t="s">
        <v>2246</v>
      </c>
      <c r="M1376" s="7">
        <f t="shared" si="88"/>
        <v>4.19E-2</v>
      </c>
      <c r="N1376" s="7">
        <f t="shared" ref="N1376:N1439" si="97">IFERROR((M1376*F1376)/G1376,"ND")</f>
        <v>2.7672035525874343</v>
      </c>
    </row>
    <row r="1377" spans="1:14" ht="15.6" x14ac:dyDescent="0.3">
      <c r="A1377" s="7" t="s">
        <v>1729</v>
      </c>
      <c r="B1377" s="7">
        <v>13</v>
      </c>
      <c r="C1377" s="7">
        <v>36</v>
      </c>
      <c r="D1377" s="7" t="s">
        <v>2244</v>
      </c>
      <c r="E1377" s="18">
        <v>20000000</v>
      </c>
      <c r="F1377" s="7">
        <f>E1377/3.78541</f>
        <v>5283443.5371597791</v>
      </c>
      <c r="G1377" s="7">
        <f>F1377/310.404</f>
        <v>17021.183802914198</v>
      </c>
      <c r="H1377" s="10">
        <v>42663</v>
      </c>
      <c r="I1377" s="18" t="s">
        <v>1833</v>
      </c>
      <c r="J1377" s="18" t="s">
        <v>1807</v>
      </c>
      <c r="K1377" s="7">
        <v>54600</v>
      </c>
      <c r="L1377" s="7" t="s">
        <v>2246</v>
      </c>
      <c r="M1377" s="7">
        <f t="shared" si="88"/>
        <v>54.6</v>
      </c>
      <c r="N1377" s="7">
        <f t="shared" si="97"/>
        <v>16948.058400000002</v>
      </c>
    </row>
    <row r="1378" spans="1:14" ht="15.6" x14ac:dyDescent="0.3">
      <c r="A1378" s="7" t="s">
        <v>1769</v>
      </c>
      <c r="B1378" s="7">
        <v>13</v>
      </c>
      <c r="C1378" s="7">
        <v>36</v>
      </c>
      <c r="D1378" s="7" t="s">
        <v>2244</v>
      </c>
      <c r="E1378" s="18">
        <v>20000000</v>
      </c>
      <c r="F1378" s="7">
        <f t="shared" ref="F1378:F1441" si="98">E1378/3.78541</f>
        <v>5283443.5371597791</v>
      </c>
      <c r="G1378" s="7">
        <f t="shared" ref="G1378:G1441" si="99">F1378/310.404</f>
        <v>17021.183802914198</v>
      </c>
      <c r="H1378" s="10">
        <v>42663</v>
      </c>
      <c r="I1378" s="18" t="s">
        <v>1833</v>
      </c>
      <c r="J1378" s="18" t="s">
        <v>1807</v>
      </c>
      <c r="K1378" s="7">
        <v>5450</v>
      </c>
      <c r="L1378" s="7" t="s">
        <v>2246</v>
      </c>
      <c r="M1378" s="7">
        <f t="shared" si="88"/>
        <v>5.45</v>
      </c>
      <c r="N1378" s="7">
        <f t="shared" si="97"/>
        <v>1691.7018000000003</v>
      </c>
    </row>
    <row r="1379" spans="1:14" ht="15.6" x14ac:dyDescent="0.3">
      <c r="A1379" s="7" t="s">
        <v>1759</v>
      </c>
      <c r="B1379" s="7">
        <v>13</v>
      </c>
      <c r="C1379" s="7">
        <v>36</v>
      </c>
      <c r="D1379" s="7" t="s">
        <v>2244</v>
      </c>
      <c r="E1379" s="18">
        <v>20000000</v>
      </c>
      <c r="F1379" s="7">
        <f t="shared" si="98"/>
        <v>5283443.5371597791</v>
      </c>
      <c r="G1379" s="7">
        <f t="shared" si="99"/>
        <v>17021.183802914198</v>
      </c>
      <c r="H1379" s="10">
        <v>42663</v>
      </c>
      <c r="I1379" s="18" t="s">
        <v>1833</v>
      </c>
      <c r="J1379" s="18" t="s">
        <v>1807</v>
      </c>
      <c r="K1379" s="7">
        <v>21.9</v>
      </c>
      <c r="L1379" s="7" t="s">
        <v>2246</v>
      </c>
      <c r="M1379" s="7">
        <f t="shared" si="88"/>
        <v>2.1899999999999999E-2</v>
      </c>
      <c r="N1379" s="7">
        <f t="shared" si="97"/>
        <v>6.7978475999999999</v>
      </c>
    </row>
    <row r="1380" spans="1:14" ht="15.6" x14ac:dyDescent="0.3">
      <c r="A1380" s="7" t="s">
        <v>1730</v>
      </c>
      <c r="B1380" s="7">
        <v>13</v>
      </c>
      <c r="C1380" s="7">
        <v>36</v>
      </c>
      <c r="D1380" s="7" t="s">
        <v>2244</v>
      </c>
      <c r="E1380" s="18">
        <v>20000000</v>
      </c>
      <c r="F1380" s="7">
        <f t="shared" si="98"/>
        <v>5283443.5371597791</v>
      </c>
      <c r="G1380" s="7">
        <f t="shared" si="99"/>
        <v>17021.183802914198</v>
      </c>
      <c r="H1380" s="10">
        <v>42663</v>
      </c>
      <c r="I1380" s="18" t="s">
        <v>1833</v>
      </c>
      <c r="J1380" s="18" t="s">
        <v>1807</v>
      </c>
      <c r="K1380" s="7" t="s">
        <v>1716</v>
      </c>
      <c r="L1380" s="7" t="s">
        <v>2246</v>
      </c>
      <c r="M1380" s="7" t="str">
        <f t="shared" si="88"/>
        <v>ND</v>
      </c>
      <c r="N1380" s="7" t="str">
        <f t="shared" si="97"/>
        <v>ND</v>
      </c>
    </row>
    <row r="1381" spans="1:14" ht="15.6" x14ac:dyDescent="0.3">
      <c r="A1381" s="7" t="s">
        <v>1726</v>
      </c>
      <c r="B1381" s="7">
        <v>13</v>
      </c>
      <c r="C1381" s="7">
        <v>36</v>
      </c>
      <c r="D1381" s="7" t="s">
        <v>2244</v>
      </c>
      <c r="E1381" s="18">
        <v>20000000</v>
      </c>
      <c r="F1381" s="7">
        <f t="shared" si="98"/>
        <v>5283443.5371597791</v>
      </c>
      <c r="G1381" s="7">
        <f t="shared" si="99"/>
        <v>17021.183802914198</v>
      </c>
      <c r="H1381" s="10">
        <v>42663</v>
      </c>
      <c r="I1381" s="18" t="s">
        <v>1833</v>
      </c>
      <c r="J1381" s="18" t="s">
        <v>1807</v>
      </c>
      <c r="K1381" s="7">
        <v>289</v>
      </c>
      <c r="L1381" s="7" t="s">
        <v>2246</v>
      </c>
      <c r="M1381" s="7">
        <f t="shared" si="88"/>
        <v>0.28899999999999998</v>
      </c>
      <c r="N1381" s="7">
        <f t="shared" si="97"/>
        <v>89.706755999999999</v>
      </c>
    </row>
    <row r="1382" spans="1:14" ht="15.6" x14ac:dyDescent="0.3">
      <c r="A1382" s="7" t="s">
        <v>1753</v>
      </c>
      <c r="B1382" s="7">
        <v>13</v>
      </c>
      <c r="C1382" s="7">
        <v>36</v>
      </c>
      <c r="D1382" s="7" t="s">
        <v>2244</v>
      </c>
      <c r="E1382" s="18">
        <v>20000000</v>
      </c>
      <c r="F1382" s="7">
        <f t="shared" si="98"/>
        <v>5283443.5371597791</v>
      </c>
      <c r="G1382" s="7">
        <f t="shared" si="99"/>
        <v>17021.183802914198</v>
      </c>
      <c r="H1382" s="10">
        <v>42663</v>
      </c>
      <c r="I1382" s="18" t="s">
        <v>1833</v>
      </c>
      <c r="J1382" s="18" t="s">
        <v>1807</v>
      </c>
      <c r="K1382" s="7">
        <v>1430</v>
      </c>
      <c r="L1382" s="7" t="s">
        <v>2246</v>
      </c>
      <c r="M1382" s="7">
        <f t="shared" si="88"/>
        <v>1.43</v>
      </c>
      <c r="N1382" s="7">
        <f t="shared" si="97"/>
        <v>443.87772000000001</v>
      </c>
    </row>
    <row r="1383" spans="1:14" ht="15.6" x14ac:dyDescent="0.3">
      <c r="A1383" s="7" t="s">
        <v>1732</v>
      </c>
      <c r="B1383" s="7">
        <v>13</v>
      </c>
      <c r="C1383" s="7">
        <v>36</v>
      </c>
      <c r="D1383" s="7" t="s">
        <v>2244</v>
      </c>
      <c r="E1383" s="18">
        <v>20000000</v>
      </c>
      <c r="F1383" s="7">
        <f t="shared" si="98"/>
        <v>5283443.5371597791</v>
      </c>
      <c r="G1383" s="7">
        <f t="shared" si="99"/>
        <v>17021.183802914198</v>
      </c>
      <c r="H1383" s="10">
        <v>42663</v>
      </c>
      <c r="I1383" s="18" t="s">
        <v>1833</v>
      </c>
      <c r="J1383" s="18" t="s">
        <v>1807</v>
      </c>
      <c r="K1383" s="7">
        <v>176</v>
      </c>
      <c r="L1383" s="7" t="s">
        <v>2246</v>
      </c>
      <c r="M1383" s="7">
        <f t="shared" si="88"/>
        <v>0.17599999999999999</v>
      </c>
      <c r="N1383" s="7">
        <f t="shared" si="97"/>
        <v>54.631104000000001</v>
      </c>
    </row>
    <row r="1384" spans="1:14" ht="15.6" x14ac:dyDescent="0.3">
      <c r="A1384" s="7" t="s">
        <v>1733</v>
      </c>
      <c r="B1384" s="7">
        <v>13</v>
      </c>
      <c r="C1384" s="7">
        <v>36</v>
      </c>
      <c r="D1384" s="7" t="s">
        <v>2244</v>
      </c>
      <c r="E1384" s="18">
        <v>20000000</v>
      </c>
      <c r="F1384" s="7">
        <f t="shared" si="98"/>
        <v>5283443.5371597791</v>
      </c>
      <c r="G1384" s="7">
        <f t="shared" si="99"/>
        <v>17021.183802914198</v>
      </c>
      <c r="H1384" s="10">
        <v>42663</v>
      </c>
      <c r="I1384" s="18" t="s">
        <v>1833</v>
      </c>
      <c r="J1384" s="18" t="s">
        <v>1807</v>
      </c>
      <c r="K1384" s="7">
        <v>163</v>
      </c>
      <c r="L1384" s="7" t="s">
        <v>2246</v>
      </c>
      <c r="M1384" s="7">
        <f t="shared" si="88"/>
        <v>0.16300000000000001</v>
      </c>
      <c r="N1384" s="7">
        <f t="shared" si="97"/>
        <v>50.595852000000008</v>
      </c>
    </row>
    <row r="1385" spans="1:14" ht="15.6" x14ac:dyDescent="0.3">
      <c r="A1385" s="7" t="s">
        <v>1735</v>
      </c>
      <c r="B1385" s="7">
        <v>13</v>
      </c>
      <c r="C1385" s="7">
        <v>36</v>
      </c>
      <c r="D1385" s="7" t="s">
        <v>2244</v>
      </c>
      <c r="E1385" s="18">
        <v>20000000</v>
      </c>
      <c r="F1385" s="7">
        <f t="shared" si="98"/>
        <v>5283443.5371597791</v>
      </c>
      <c r="G1385" s="7">
        <f t="shared" si="99"/>
        <v>17021.183802914198</v>
      </c>
      <c r="H1385" s="10">
        <v>42663</v>
      </c>
      <c r="I1385" s="18" t="s">
        <v>1833</v>
      </c>
      <c r="J1385" s="18" t="s">
        <v>1807</v>
      </c>
      <c r="K1385" s="7">
        <v>150</v>
      </c>
      <c r="L1385" s="7" t="s">
        <v>2246</v>
      </c>
      <c r="M1385" s="7">
        <f t="shared" si="88"/>
        <v>0.15</v>
      </c>
      <c r="N1385" s="7">
        <f t="shared" si="97"/>
        <v>46.560600000000001</v>
      </c>
    </row>
    <row r="1386" spans="1:14" ht="15.6" x14ac:dyDescent="0.3">
      <c r="A1386" s="7" t="s">
        <v>1713</v>
      </c>
      <c r="B1386" s="7">
        <v>13</v>
      </c>
      <c r="C1386" s="7">
        <v>36</v>
      </c>
      <c r="D1386" s="7" t="s">
        <v>2244</v>
      </c>
      <c r="E1386" s="18">
        <v>20000000</v>
      </c>
      <c r="F1386" s="7">
        <f t="shared" si="98"/>
        <v>5283443.5371597791</v>
      </c>
      <c r="G1386" s="7">
        <f t="shared" si="99"/>
        <v>17021.183802914198</v>
      </c>
      <c r="H1386" s="10">
        <v>42663</v>
      </c>
      <c r="I1386" s="18" t="s">
        <v>1833</v>
      </c>
      <c r="J1386" s="18" t="s">
        <v>1807</v>
      </c>
      <c r="K1386" s="7">
        <v>148</v>
      </c>
      <c r="L1386" s="7" t="s">
        <v>2246</v>
      </c>
      <c r="M1386" s="7">
        <f t="shared" ref="M1386:M1454" si="100">IFERROR(K1386/1000,"ND")</f>
        <v>0.14799999999999999</v>
      </c>
      <c r="N1386" s="7">
        <f t="shared" si="97"/>
        <v>45.939791999999997</v>
      </c>
    </row>
    <row r="1387" spans="1:14" ht="15.6" x14ac:dyDescent="0.3">
      <c r="A1387" s="7" t="s">
        <v>1764</v>
      </c>
      <c r="B1387" s="7">
        <v>13</v>
      </c>
      <c r="C1387" s="7">
        <v>36</v>
      </c>
      <c r="D1387" s="7" t="s">
        <v>2244</v>
      </c>
      <c r="E1387" s="18">
        <v>20000000</v>
      </c>
      <c r="F1387" s="7">
        <f t="shared" si="98"/>
        <v>5283443.5371597791</v>
      </c>
      <c r="G1387" s="7">
        <f t="shared" si="99"/>
        <v>17021.183802914198</v>
      </c>
      <c r="H1387" s="10">
        <v>42663</v>
      </c>
      <c r="I1387" s="18" t="s">
        <v>1833</v>
      </c>
      <c r="J1387" s="18" t="s">
        <v>1807</v>
      </c>
      <c r="K1387" s="7">
        <v>765</v>
      </c>
      <c r="L1387" s="7" t="s">
        <v>2246</v>
      </c>
      <c r="M1387" s="7">
        <f t="shared" si="100"/>
        <v>0.76500000000000001</v>
      </c>
      <c r="N1387" s="7">
        <f t="shared" si="97"/>
        <v>237.45906000000002</v>
      </c>
    </row>
    <row r="1388" spans="1:14" ht="15.6" x14ac:dyDescent="0.3">
      <c r="A1388" s="7" t="s">
        <v>1770</v>
      </c>
      <c r="B1388" s="7">
        <v>13</v>
      </c>
      <c r="C1388" s="7">
        <v>36</v>
      </c>
      <c r="D1388" s="7" t="s">
        <v>2244</v>
      </c>
      <c r="E1388" s="18">
        <v>20000000</v>
      </c>
      <c r="F1388" s="7">
        <f t="shared" si="98"/>
        <v>5283443.5371597791</v>
      </c>
      <c r="G1388" s="7">
        <f t="shared" si="99"/>
        <v>17021.183802914198</v>
      </c>
      <c r="H1388" s="10">
        <v>42663</v>
      </c>
      <c r="I1388" s="18" t="s">
        <v>1833</v>
      </c>
      <c r="J1388" s="18" t="s">
        <v>1807</v>
      </c>
      <c r="K1388" s="7">
        <v>84.7</v>
      </c>
      <c r="L1388" s="7" t="s">
        <v>2246</v>
      </c>
      <c r="M1388" s="7">
        <f t="shared" si="100"/>
        <v>8.4699999999999998E-2</v>
      </c>
      <c r="N1388" s="7">
        <f t="shared" si="97"/>
        <v>26.291218799999999</v>
      </c>
    </row>
    <row r="1389" spans="1:14" ht="15.6" x14ac:dyDescent="0.3">
      <c r="A1389" s="7" t="s">
        <v>1722</v>
      </c>
      <c r="B1389" s="7">
        <v>13</v>
      </c>
      <c r="C1389" s="7">
        <v>36</v>
      </c>
      <c r="D1389" s="7" t="s">
        <v>2244</v>
      </c>
      <c r="E1389" s="18">
        <v>20000000</v>
      </c>
      <c r="F1389" s="7">
        <f t="shared" si="98"/>
        <v>5283443.5371597791</v>
      </c>
      <c r="G1389" s="7">
        <f t="shared" si="99"/>
        <v>17021.183802914198</v>
      </c>
      <c r="H1389" s="10">
        <v>42663</v>
      </c>
      <c r="I1389" s="18" t="s">
        <v>1833</v>
      </c>
      <c r="J1389" s="18" t="s">
        <v>1807</v>
      </c>
      <c r="K1389" s="7" t="s">
        <v>1716</v>
      </c>
      <c r="L1389" s="7" t="s">
        <v>2246</v>
      </c>
      <c r="M1389" s="7" t="str">
        <f t="shared" si="100"/>
        <v>ND</v>
      </c>
      <c r="N1389" s="7" t="str">
        <f t="shared" si="97"/>
        <v>ND</v>
      </c>
    </row>
    <row r="1390" spans="1:14" ht="15.6" x14ac:dyDescent="0.3">
      <c r="A1390" s="7" t="s">
        <v>1749</v>
      </c>
      <c r="B1390" s="7">
        <v>13</v>
      </c>
      <c r="C1390" s="7">
        <v>36</v>
      </c>
      <c r="D1390" s="7" t="s">
        <v>2244</v>
      </c>
      <c r="E1390" s="18">
        <v>20000000</v>
      </c>
      <c r="F1390" s="7">
        <f t="shared" si="98"/>
        <v>5283443.5371597791</v>
      </c>
      <c r="G1390" s="7">
        <f t="shared" si="99"/>
        <v>17021.183802914198</v>
      </c>
      <c r="H1390" s="10">
        <v>42663</v>
      </c>
      <c r="I1390" s="18" t="s">
        <v>1833</v>
      </c>
      <c r="J1390" s="18" t="s">
        <v>1807</v>
      </c>
      <c r="K1390" s="7">
        <v>148</v>
      </c>
      <c r="L1390" s="7" t="s">
        <v>2246</v>
      </c>
      <c r="M1390" s="7">
        <f t="shared" si="100"/>
        <v>0.14799999999999999</v>
      </c>
      <c r="N1390" s="7">
        <f t="shared" si="97"/>
        <v>45.939791999999997</v>
      </c>
    </row>
    <row r="1391" spans="1:14" ht="15.6" x14ac:dyDescent="0.3">
      <c r="A1391" s="7" t="s">
        <v>1748</v>
      </c>
      <c r="B1391" s="7">
        <v>13</v>
      </c>
      <c r="C1391" s="7">
        <v>36</v>
      </c>
      <c r="D1391" s="7" t="s">
        <v>2244</v>
      </c>
      <c r="E1391" s="18">
        <v>20000000</v>
      </c>
      <c r="F1391" s="7">
        <f t="shared" si="98"/>
        <v>5283443.5371597791</v>
      </c>
      <c r="G1391" s="7">
        <f t="shared" si="99"/>
        <v>17021.183802914198</v>
      </c>
      <c r="H1391" s="10">
        <v>42663</v>
      </c>
      <c r="I1391" s="18" t="s">
        <v>1833</v>
      </c>
      <c r="J1391" s="18" t="s">
        <v>1807</v>
      </c>
      <c r="K1391" s="7">
        <v>1410</v>
      </c>
      <c r="L1391" s="7" t="s">
        <v>2246</v>
      </c>
      <c r="M1391" s="7">
        <f t="shared" si="100"/>
        <v>1.41</v>
      </c>
      <c r="N1391" s="7">
        <f t="shared" si="97"/>
        <v>437.66964000000002</v>
      </c>
    </row>
    <row r="1392" spans="1:14" ht="15.6" x14ac:dyDescent="0.3">
      <c r="A1392" s="7" t="s">
        <v>1738</v>
      </c>
      <c r="B1392" s="7">
        <v>13</v>
      </c>
      <c r="C1392" s="7">
        <v>36</v>
      </c>
      <c r="D1392" s="7" t="s">
        <v>2244</v>
      </c>
      <c r="E1392" s="18">
        <v>20000000</v>
      </c>
      <c r="F1392" s="7">
        <f t="shared" si="98"/>
        <v>5283443.5371597791</v>
      </c>
      <c r="G1392" s="7">
        <f t="shared" si="99"/>
        <v>17021.183802914198</v>
      </c>
      <c r="H1392" s="10">
        <v>42663</v>
      </c>
      <c r="I1392" s="18" t="s">
        <v>1833</v>
      </c>
      <c r="J1392" s="18" t="s">
        <v>1807</v>
      </c>
      <c r="K1392" s="7">
        <v>12.5</v>
      </c>
      <c r="L1392" s="7" t="s">
        <v>2246</v>
      </c>
      <c r="M1392" s="7">
        <f t="shared" si="100"/>
        <v>1.2500000000000001E-2</v>
      </c>
      <c r="N1392" s="7">
        <f t="shared" si="97"/>
        <v>3.8800500000000007</v>
      </c>
    </row>
    <row r="1393" spans="1:14" ht="15.6" x14ac:dyDescent="0.3">
      <c r="A1393" s="7" t="s">
        <v>1771</v>
      </c>
      <c r="B1393" s="7">
        <v>13</v>
      </c>
      <c r="C1393" s="7">
        <v>36</v>
      </c>
      <c r="D1393" s="7" t="s">
        <v>2244</v>
      </c>
      <c r="E1393" s="18">
        <v>20000000</v>
      </c>
      <c r="F1393" s="7">
        <f t="shared" si="98"/>
        <v>5283443.5371597791</v>
      </c>
      <c r="G1393" s="7">
        <f t="shared" si="99"/>
        <v>17021.183802914198</v>
      </c>
      <c r="H1393" s="10">
        <v>42663</v>
      </c>
      <c r="I1393" s="18" t="s">
        <v>1833</v>
      </c>
      <c r="J1393" s="18" t="s">
        <v>1807</v>
      </c>
      <c r="K1393" s="7">
        <v>168</v>
      </c>
      <c r="L1393" s="7" t="s">
        <v>2246</v>
      </c>
      <c r="M1393" s="7">
        <f t="shared" si="100"/>
        <v>0.16800000000000001</v>
      </c>
      <c r="N1393" s="7">
        <f t="shared" si="97"/>
        <v>52.147872000000007</v>
      </c>
    </row>
    <row r="1394" spans="1:14" ht="15.6" x14ac:dyDescent="0.3">
      <c r="A1394" s="7" t="s">
        <v>1754</v>
      </c>
      <c r="B1394" s="7">
        <v>13</v>
      </c>
      <c r="C1394" s="7">
        <v>36</v>
      </c>
      <c r="D1394" s="7" t="s">
        <v>2244</v>
      </c>
      <c r="E1394" s="18">
        <v>20000000</v>
      </c>
      <c r="F1394" s="7">
        <f t="shared" si="98"/>
        <v>5283443.5371597791</v>
      </c>
      <c r="G1394" s="7">
        <f t="shared" si="99"/>
        <v>17021.183802914198</v>
      </c>
      <c r="H1394" s="10">
        <v>42663</v>
      </c>
      <c r="I1394" s="18" t="s">
        <v>1833</v>
      </c>
      <c r="J1394" s="18" t="s">
        <v>1807</v>
      </c>
      <c r="K1394" s="7">
        <v>19.100000000000001</v>
      </c>
      <c r="L1394" s="7" t="s">
        <v>2246</v>
      </c>
      <c r="M1394" s="7">
        <f t="shared" si="100"/>
        <v>1.9100000000000002E-2</v>
      </c>
      <c r="N1394" s="7">
        <f t="shared" si="97"/>
        <v>5.9287164000000017</v>
      </c>
    </row>
    <row r="1395" spans="1:14" ht="15.6" x14ac:dyDescent="0.3">
      <c r="A1395" s="7" t="s">
        <v>1772</v>
      </c>
      <c r="B1395" s="7">
        <v>13</v>
      </c>
      <c r="C1395" s="7">
        <v>36</v>
      </c>
      <c r="D1395" s="7" t="s">
        <v>2244</v>
      </c>
      <c r="E1395" s="18">
        <v>20000000</v>
      </c>
      <c r="F1395" s="7">
        <f t="shared" si="98"/>
        <v>5283443.5371597791</v>
      </c>
      <c r="G1395" s="7">
        <f t="shared" si="99"/>
        <v>17021.183802914198</v>
      </c>
      <c r="H1395" s="10">
        <v>42663</v>
      </c>
      <c r="I1395" s="18" t="s">
        <v>1833</v>
      </c>
      <c r="J1395" s="18" t="s">
        <v>1807</v>
      </c>
      <c r="K1395" s="7">
        <v>1680</v>
      </c>
      <c r="L1395" s="7" t="s">
        <v>2246</v>
      </c>
      <c r="M1395" s="7">
        <f t="shared" si="100"/>
        <v>1.68</v>
      </c>
      <c r="N1395" s="7">
        <f t="shared" si="97"/>
        <v>521.47871999999995</v>
      </c>
    </row>
    <row r="1396" spans="1:14" ht="15.6" x14ac:dyDescent="0.3">
      <c r="A1396" s="7" t="s">
        <v>1773</v>
      </c>
      <c r="B1396" s="7">
        <v>13</v>
      </c>
      <c r="C1396" s="7">
        <v>36</v>
      </c>
      <c r="D1396" s="7" t="s">
        <v>2244</v>
      </c>
      <c r="E1396" s="18">
        <v>20000000</v>
      </c>
      <c r="F1396" s="7">
        <f t="shared" si="98"/>
        <v>5283443.5371597791</v>
      </c>
      <c r="G1396" s="7">
        <f t="shared" si="99"/>
        <v>17021.183802914198</v>
      </c>
      <c r="H1396" s="10">
        <v>42663</v>
      </c>
      <c r="I1396" s="18" t="s">
        <v>1833</v>
      </c>
      <c r="J1396" s="18" t="s">
        <v>1807</v>
      </c>
      <c r="K1396" s="7">
        <v>248</v>
      </c>
      <c r="L1396" s="7" t="s">
        <v>2246</v>
      </c>
      <c r="M1396" s="7">
        <f t="shared" si="100"/>
        <v>0.248</v>
      </c>
      <c r="N1396" s="7">
        <f t="shared" si="97"/>
        <v>76.980192000000002</v>
      </c>
    </row>
    <row r="1397" spans="1:14" ht="15.6" x14ac:dyDescent="0.3">
      <c r="A1397" s="7" t="s">
        <v>1728</v>
      </c>
      <c r="B1397" s="7">
        <v>13</v>
      </c>
      <c r="C1397" s="7">
        <v>36</v>
      </c>
      <c r="D1397" s="7" t="s">
        <v>2244</v>
      </c>
      <c r="E1397" s="18">
        <v>20000000</v>
      </c>
      <c r="F1397" s="7">
        <f t="shared" si="98"/>
        <v>5283443.5371597791</v>
      </c>
      <c r="G1397" s="7">
        <f t="shared" si="99"/>
        <v>17021.183802914198</v>
      </c>
      <c r="H1397" s="10">
        <v>42663</v>
      </c>
      <c r="I1397" s="18" t="s">
        <v>1833</v>
      </c>
      <c r="J1397" s="18" t="s">
        <v>1807</v>
      </c>
      <c r="K1397" s="7" t="s">
        <v>1716</v>
      </c>
      <c r="L1397" s="7" t="s">
        <v>2246</v>
      </c>
      <c r="M1397" s="7" t="str">
        <f t="shared" si="100"/>
        <v>ND</v>
      </c>
      <c r="N1397" s="7" t="str">
        <f t="shared" si="97"/>
        <v>ND</v>
      </c>
    </row>
    <row r="1398" spans="1:14" ht="15.6" x14ac:dyDescent="0.3">
      <c r="A1398" s="7" t="s">
        <v>1774</v>
      </c>
      <c r="B1398" s="7">
        <v>13</v>
      </c>
      <c r="C1398" s="7">
        <v>36</v>
      </c>
      <c r="D1398" s="7" t="s">
        <v>2244</v>
      </c>
      <c r="E1398" s="18">
        <v>20000000</v>
      </c>
      <c r="F1398" s="7">
        <f t="shared" si="98"/>
        <v>5283443.5371597791</v>
      </c>
      <c r="G1398" s="7">
        <f t="shared" si="99"/>
        <v>17021.183802914198</v>
      </c>
      <c r="H1398" s="10">
        <v>42663</v>
      </c>
      <c r="I1398" s="18" t="s">
        <v>1833</v>
      </c>
      <c r="J1398" s="18" t="s">
        <v>1807</v>
      </c>
      <c r="K1398" s="7">
        <v>5.9</v>
      </c>
      <c r="L1398" s="7" t="s">
        <v>2246</v>
      </c>
      <c r="M1398" s="7">
        <f t="shared" si="100"/>
        <v>5.9000000000000007E-3</v>
      </c>
      <c r="N1398" s="7">
        <f t="shared" si="97"/>
        <v>1.8313836000000003</v>
      </c>
    </row>
    <row r="1399" spans="1:14" ht="15.6" x14ac:dyDescent="0.3">
      <c r="A1399" s="7" t="s">
        <v>1715</v>
      </c>
      <c r="B1399" s="7">
        <v>13</v>
      </c>
      <c r="C1399" s="7">
        <v>36</v>
      </c>
      <c r="D1399" s="7" t="s">
        <v>2244</v>
      </c>
      <c r="E1399" s="18">
        <v>20000000</v>
      </c>
      <c r="F1399" s="7">
        <f t="shared" si="98"/>
        <v>5283443.5371597791</v>
      </c>
      <c r="G1399" s="7">
        <f t="shared" si="99"/>
        <v>17021.183802914198</v>
      </c>
      <c r="H1399" s="10">
        <v>42663</v>
      </c>
      <c r="I1399" s="18" t="s">
        <v>1833</v>
      </c>
      <c r="J1399" s="18" t="s">
        <v>1807</v>
      </c>
      <c r="K1399" s="7">
        <v>36.299999999999997</v>
      </c>
      <c r="L1399" s="7" t="s">
        <v>2246</v>
      </c>
      <c r="M1399" s="7">
        <f t="shared" si="100"/>
        <v>3.6299999999999999E-2</v>
      </c>
      <c r="N1399" s="7">
        <f t="shared" si="97"/>
        <v>11.267665200000001</v>
      </c>
    </row>
    <row r="1400" spans="1:14" ht="15.6" x14ac:dyDescent="0.3">
      <c r="A1400" s="7" t="s">
        <v>1775</v>
      </c>
      <c r="B1400" s="7">
        <v>13</v>
      </c>
      <c r="C1400" s="7">
        <v>36</v>
      </c>
      <c r="D1400" s="7" t="s">
        <v>2244</v>
      </c>
      <c r="E1400" s="18">
        <v>20000000</v>
      </c>
      <c r="F1400" s="7">
        <f t="shared" si="98"/>
        <v>5283443.5371597791</v>
      </c>
      <c r="G1400" s="7">
        <f t="shared" si="99"/>
        <v>17021.183802914198</v>
      </c>
      <c r="H1400" s="10">
        <v>42663</v>
      </c>
      <c r="I1400" s="18" t="s">
        <v>1833</v>
      </c>
      <c r="J1400" s="18" t="s">
        <v>1807</v>
      </c>
      <c r="K1400" s="7">
        <v>37.9</v>
      </c>
      <c r="L1400" s="7" t="s">
        <v>2246</v>
      </c>
      <c r="M1400" s="7">
        <f t="shared" si="100"/>
        <v>3.7899999999999996E-2</v>
      </c>
      <c r="N1400" s="7">
        <f t="shared" si="97"/>
        <v>11.764311599999999</v>
      </c>
    </row>
    <row r="1401" spans="1:14" ht="15.6" x14ac:dyDescent="0.3">
      <c r="A1401" s="7" t="s">
        <v>1776</v>
      </c>
      <c r="B1401" s="7">
        <v>13</v>
      </c>
      <c r="C1401" s="7">
        <v>36</v>
      </c>
      <c r="D1401" s="7" t="s">
        <v>2244</v>
      </c>
      <c r="E1401" s="18">
        <v>20000000</v>
      </c>
      <c r="F1401" s="7">
        <f t="shared" si="98"/>
        <v>5283443.5371597791</v>
      </c>
      <c r="G1401" s="7">
        <f t="shared" si="99"/>
        <v>17021.183802914198</v>
      </c>
      <c r="H1401" s="10">
        <v>42663</v>
      </c>
      <c r="I1401" s="18" t="s">
        <v>1833</v>
      </c>
      <c r="J1401" s="18" t="s">
        <v>1807</v>
      </c>
      <c r="K1401" s="7">
        <v>30.4</v>
      </c>
      <c r="L1401" s="7" t="s">
        <v>2246</v>
      </c>
      <c r="M1401" s="7">
        <f t="shared" si="100"/>
        <v>3.04E-2</v>
      </c>
      <c r="N1401" s="7">
        <f t="shared" si="97"/>
        <v>9.4362816000000009</v>
      </c>
    </row>
    <row r="1402" spans="1:14" ht="15.6" x14ac:dyDescent="0.3">
      <c r="A1402" s="7" t="s">
        <v>1777</v>
      </c>
      <c r="B1402" s="7">
        <v>13</v>
      </c>
      <c r="C1402" s="7">
        <v>36</v>
      </c>
      <c r="D1402" s="7" t="s">
        <v>2244</v>
      </c>
      <c r="E1402" s="18">
        <v>20000000</v>
      </c>
      <c r="F1402" s="7">
        <f t="shared" si="98"/>
        <v>5283443.5371597791</v>
      </c>
      <c r="G1402" s="7">
        <f t="shared" si="99"/>
        <v>17021.183802914198</v>
      </c>
      <c r="H1402" s="10">
        <v>42663</v>
      </c>
      <c r="I1402" s="18" t="s">
        <v>1833</v>
      </c>
      <c r="J1402" s="18" t="s">
        <v>1807</v>
      </c>
      <c r="K1402" s="7">
        <v>31800</v>
      </c>
      <c r="L1402" s="7" t="s">
        <v>2246</v>
      </c>
      <c r="M1402" s="7">
        <f t="shared" si="100"/>
        <v>31.8</v>
      </c>
      <c r="N1402" s="7">
        <f t="shared" si="97"/>
        <v>9870.847200000002</v>
      </c>
    </row>
    <row r="1403" spans="1:14" ht="15.6" x14ac:dyDescent="0.3">
      <c r="A1403" s="7" t="s">
        <v>1778</v>
      </c>
      <c r="B1403" s="7">
        <v>13</v>
      </c>
      <c r="C1403" s="7">
        <v>36</v>
      </c>
      <c r="D1403" s="7" t="s">
        <v>2244</v>
      </c>
      <c r="E1403" s="18">
        <v>20000000</v>
      </c>
      <c r="F1403" s="7">
        <f t="shared" si="98"/>
        <v>5283443.5371597791</v>
      </c>
      <c r="G1403" s="7">
        <f t="shared" si="99"/>
        <v>17021.183802914198</v>
      </c>
      <c r="H1403" s="10">
        <v>42663</v>
      </c>
      <c r="I1403" s="18" t="s">
        <v>1833</v>
      </c>
      <c r="J1403" s="18" t="s">
        <v>1807</v>
      </c>
      <c r="K1403" s="7">
        <v>1880</v>
      </c>
      <c r="L1403" s="7" t="s">
        <v>2246</v>
      </c>
      <c r="M1403" s="7">
        <f t="shared" si="100"/>
        <v>1.88</v>
      </c>
      <c r="N1403" s="7">
        <f t="shared" si="97"/>
        <v>583.55952000000002</v>
      </c>
    </row>
    <row r="1404" spans="1:14" ht="15.6" x14ac:dyDescent="0.3">
      <c r="A1404" s="7" t="s">
        <v>1756</v>
      </c>
      <c r="B1404" s="7">
        <v>13</v>
      </c>
      <c r="C1404" s="7">
        <v>36</v>
      </c>
      <c r="D1404" s="7" t="s">
        <v>2244</v>
      </c>
      <c r="E1404" s="18">
        <v>20000000</v>
      </c>
      <c r="F1404" s="7">
        <f t="shared" si="98"/>
        <v>5283443.5371597791</v>
      </c>
      <c r="G1404" s="7">
        <f t="shared" si="99"/>
        <v>17021.183802914198</v>
      </c>
      <c r="H1404" s="10">
        <v>42663</v>
      </c>
      <c r="I1404" s="18" t="s">
        <v>1833</v>
      </c>
      <c r="J1404" s="18" t="s">
        <v>1807</v>
      </c>
      <c r="K1404" s="7">
        <v>237</v>
      </c>
      <c r="L1404" s="7" t="s">
        <v>2246</v>
      </c>
      <c r="M1404" s="7">
        <f t="shared" si="100"/>
        <v>0.23699999999999999</v>
      </c>
      <c r="N1404" s="7">
        <f t="shared" si="97"/>
        <v>73.565747999999999</v>
      </c>
    </row>
    <row r="1405" spans="1:14" ht="15.6" x14ac:dyDescent="0.3">
      <c r="A1405" s="7" t="s">
        <v>1714</v>
      </c>
      <c r="B1405" s="7">
        <v>13</v>
      </c>
      <c r="C1405" s="7">
        <v>36</v>
      </c>
      <c r="D1405" s="7" t="s">
        <v>2244</v>
      </c>
      <c r="E1405" s="18">
        <v>20000000</v>
      </c>
      <c r="F1405" s="7">
        <f t="shared" si="98"/>
        <v>5283443.5371597791</v>
      </c>
      <c r="G1405" s="7">
        <f t="shared" si="99"/>
        <v>17021.183802914198</v>
      </c>
      <c r="H1405" s="10">
        <v>42663</v>
      </c>
      <c r="I1405" s="18" t="s">
        <v>1833</v>
      </c>
      <c r="J1405" s="18" t="s">
        <v>1807</v>
      </c>
      <c r="K1405" s="7">
        <v>555</v>
      </c>
      <c r="L1405" s="7" t="s">
        <v>2246</v>
      </c>
      <c r="M1405" s="7">
        <f t="shared" si="100"/>
        <v>0.55500000000000005</v>
      </c>
      <c r="N1405" s="7">
        <f t="shared" si="97"/>
        <v>172.27422000000001</v>
      </c>
    </row>
    <row r="1406" spans="1:14" ht="15.6" x14ac:dyDescent="0.3">
      <c r="A1406" s="7" t="s">
        <v>1779</v>
      </c>
      <c r="B1406" s="7">
        <v>13</v>
      </c>
      <c r="C1406" s="7">
        <v>36</v>
      </c>
      <c r="D1406" s="7" t="s">
        <v>2244</v>
      </c>
      <c r="E1406" s="18">
        <v>20000000</v>
      </c>
      <c r="F1406" s="7">
        <f t="shared" si="98"/>
        <v>5283443.5371597791</v>
      </c>
      <c r="G1406" s="7">
        <f t="shared" si="99"/>
        <v>17021.183802914198</v>
      </c>
      <c r="H1406" s="10">
        <v>42663</v>
      </c>
      <c r="I1406" s="18" t="s">
        <v>1833</v>
      </c>
      <c r="J1406" s="18" t="s">
        <v>1807</v>
      </c>
      <c r="K1406" s="7">
        <v>15.1</v>
      </c>
      <c r="L1406" s="7" t="s">
        <v>2246</v>
      </c>
      <c r="M1406" s="7">
        <f t="shared" si="100"/>
        <v>1.5099999999999999E-2</v>
      </c>
      <c r="N1406" s="7">
        <f t="shared" si="97"/>
        <v>4.6871004000000003</v>
      </c>
    </row>
    <row r="1407" spans="1:14" ht="15.6" x14ac:dyDescent="0.3">
      <c r="A1407" s="7" t="s">
        <v>1718</v>
      </c>
      <c r="B1407" s="7">
        <v>13</v>
      </c>
      <c r="C1407" s="7">
        <v>36</v>
      </c>
      <c r="D1407" s="7" t="s">
        <v>2244</v>
      </c>
      <c r="E1407" s="18">
        <v>20000000</v>
      </c>
      <c r="F1407" s="7">
        <f t="shared" si="98"/>
        <v>5283443.5371597791</v>
      </c>
      <c r="G1407" s="7">
        <f t="shared" si="99"/>
        <v>17021.183802914198</v>
      </c>
      <c r="H1407" s="10">
        <v>42663</v>
      </c>
      <c r="I1407" s="18" t="s">
        <v>1833</v>
      </c>
      <c r="J1407" s="18" t="s">
        <v>1807</v>
      </c>
      <c r="K1407" s="7">
        <v>77.2</v>
      </c>
      <c r="L1407" s="7" t="s">
        <v>2246</v>
      </c>
      <c r="M1407" s="7">
        <f t="shared" si="100"/>
        <v>7.7200000000000005E-2</v>
      </c>
      <c r="N1407" s="7">
        <f t="shared" si="97"/>
        <v>23.963188800000005</v>
      </c>
    </row>
    <row r="1408" spans="1:14" ht="15.6" x14ac:dyDescent="0.3">
      <c r="A1408" s="7" t="s">
        <v>1780</v>
      </c>
      <c r="B1408" s="7">
        <v>13</v>
      </c>
      <c r="C1408" s="7">
        <v>36</v>
      </c>
      <c r="D1408" s="7" t="s">
        <v>2244</v>
      </c>
      <c r="E1408" s="18">
        <v>20000000</v>
      </c>
      <c r="F1408" s="7">
        <f t="shared" si="98"/>
        <v>5283443.5371597791</v>
      </c>
      <c r="G1408" s="7">
        <f t="shared" si="99"/>
        <v>17021.183802914198</v>
      </c>
      <c r="H1408" s="10">
        <v>42663</v>
      </c>
      <c r="I1408" s="18" t="s">
        <v>1833</v>
      </c>
      <c r="J1408" s="18" t="s">
        <v>1807</v>
      </c>
      <c r="K1408" s="7">
        <v>84.4</v>
      </c>
      <c r="L1408" s="7" t="s">
        <v>2246</v>
      </c>
      <c r="M1408" s="7">
        <f t="shared" si="100"/>
        <v>8.4400000000000003E-2</v>
      </c>
      <c r="N1408" s="7">
        <f t="shared" si="97"/>
        <v>26.198097600000001</v>
      </c>
    </row>
    <row r="1409" spans="1:14" ht="15.6" x14ac:dyDescent="0.3">
      <c r="A1409" s="7" t="s">
        <v>1757</v>
      </c>
      <c r="B1409" s="7">
        <v>13</v>
      </c>
      <c r="C1409" s="7">
        <v>36</v>
      </c>
      <c r="D1409" s="7" t="s">
        <v>2244</v>
      </c>
      <c r="E1409" s="18">
        <v>20000000</v>
      </c>
      <c r="F1409" s="7">
        <f t="shared" si="98"/>
        <v>5283443.5371597791</v>
      </c>
      <c r="G1409" s="7">
        <f t="shared" si="99"/>
        <v>17021.183802914198</v>
      </c>
      <c r="H1409" s="10">
        <v>42663</v>
      </c>
      <c r="I1409" s="18" t="s">
        <v>1833</v>
      </c>
      <c r="J1409" s="18" t="s">
        <v>1807</v>
      </c>
      <c r="K1409" s="7">
        <v>53.2</v>
      </c>
      <c r="L1409" s="7" t="s">
        <v>2246</v>
      </c>
      <c r="M1409" s="7">
        <f t="shared" si="100"/>
        <v>5.3200000000000004E-2</v>
      </c>
      <c r="N1409" s="7">
        <f t="shared" si="97"/>
        <v>16.513492800000005</v>
      </c>
    </row>
    <row r="1410" spans="1:14" ht="15.6" x14ac:dyDescent="0.3">
      <c r="A1410" s="7" t="s">
        <v>1781</v>
      </c>
      <c r="B1410" s="7">
        <v>13</v>
      </c>
      <c r="C1410" s="7">
        <v>36</v>
      </c>
      <c r="D1410" s="7" t="s">
        <v>2244</v>
      </c>
      <c r="E1410" s="18">
        <v>20000000</v>
      </c>
      <c r="F1410" s="7">
        <f t="shared" si="98"/>
        <v>5283443.5371597791</v>
      </c>
      <c r="G1410" s="7">
        <f t="shared" si="99"/>
        <v>17021.183802914198</v>
      </c>
      <c r="H1410" s="10">
        <v>42663</v>
      </c>
      <c r="I1410" s="18" t="s">
        <v>1833</v>
      </c>
      <c r="J1410" s="18" t="s">
        <v>1807</v>
      </c>
      <c r="K1410" s="7">
        <v>1330</v>
      </c>
      <c r="L1410" s="7" t="s">
        <v>2246</v>
      </c>
      <c r="M1410" s="7">
        <f t="shared" si="100"/>
        <v>1.33</v>
      </c>
      <c r="N1410" s="7">
        <f t="shared" si="97"/>
        <v>412.83732000000003</v>
      </c>
    </row>
    <row r="1411" spans="1:14" ht="15.6" x14ac:dyDescent="0.3">
      <c r="A1411" s="7" t="s">
        <v>2298</v>
      </c>
      <c r="B1411" s="7">
        <v>13</v>
      </c>
      <c r="C1411" s="7">
        <v>36</v>
      </c>
      <c r="D1411" s="7" t="s">
        <v>2244</v>
      </c>
      <c r="E1411" s="18">
        <v>20000000</v>
      </c>
      <c r="F1411" s="7">
        <f t="shared" si="98"/>
        <v>5283443.5371597791</v>
      </c>
      <c r="G1411" s="7">
        <f t="shared" si="99"/>
        <v>17021.183802914198</v>
      </c>
      <c r="H1411" s="10">
        <v>42663</v>
      </c>
      <c r="I1411" s="18" t="s">
        <v>1833</v>
      </c>
      <c r="J1411" s="18" t="s">
        <v>1807</v>
      </c>
      <c r="K1411" s="7">
        <v>21.65</v>
      </c>
      <c r="L1411" s="7" t="s">
        <v>2246</v>
      </c>
      <c r="M1411" s="7">
        <f t="shared" si="100"/>
        <v>2.1649999999999999E-2</v>
      </c>
      <c r="N1411" s="7">
        <f t="shared" si="97"/>
        <v>6.7202466000000003</v>
      </c>
    </row>
    <row r="1412" spans="1:14" ht="15.6" x14ac:dyDescent="0.3">
      <c r="A1412" s="7" t="s">
        <v>1758</v>
      </c>
      <c r="B1412" s="7">
        <v>13</v>
      </c>
      <c r="C1412" s="7">
        <v>36</v>
      </c>
      <c r="D1412" s="7" t="s">
        <v>2244</v>
      </c>
      <c r="E1412" s="18">
        <v>20000000</v>
      </c>
      <c r="F1412" s="7">
        <f t="shared" si="98"/>
        <v>5283443.5371597791</v>
      </c>
      <c r="G1412" s="7">
        <f t="shared" si="99"/>
        <v>17021.183802914198</v>
      </c>
      <c r="H1412" s="10">
        <v>42663</v>
      </c>
      <c r="I1412" s="18" t="s">
        <v>1833</v>
      </c>
      <c r="J1412" s="18" t="s">
        <v>1807</v>
      </c>
      <c r="K1412" s="7">
        <v>542</v>
      </c>
      <c r="L1412" s="7" t="s">
        <v>2246</v>
      </c>
      <c r="M1412" s="7">
        <f t="shared" si="100"/>
        <v>0.54200000000000004</v>
      </c>
      <c r="N1412" s="7">
        <f t="shared" si="97"/>
        <v>168.238968</v>
      </c>
    </row>
    <row r="1413" spans="1:14" ht="15.6" x14ac:dyDescent="0.3">
      <c r="A1413" s="7" t="s">
        <v>1744</v>
      </c>
      <c r="B1413" s="7">
        <v>13</v>
      </c>
      <c r="C1413" s="7">
        <v>36</v>
      </c>
      <c r="D1413" s="7" t="s">
        <v>2244</v>
      </c>
      <c r="E1413" s="18">
        <v>20000000</v>
      </c>
      <c r="F1413" s="7">
        <f t="shared" si="98"/>
        <v>5283443.5371597791</v>
      </c>
      <c r="G1413" s="7">
        <f t="shared" si="99"/>
        <v>17021.183802914198</v>
      </c>
      <c r="H1413" s="10">
        <v>42663</v>
      </c>
      <c r="I1413" s="18" t="s">
        <v>1833</v>
      </c>
      <c r="J1413" s="18" t="s">
        <v>1807</v>
      </c>
      <c r="K1413" s="7" t="s">
        <v>1716</v>
      </c>
      <c r="L1413" s="7" t="s">
        <v>2246</v>
      </c>
      <c r="M1413" s="7" t="str">
        <f t="shared" si="100"/>
        <v>ND</v>
      </c>
      <c r="N1413" s="7" t="str">
        <f t="shared" si="97"/>
        <v>ND</v>
      </c>
    </row>
    <row r="1414" spans="1:14" ht="15.6" x14ac:dyDescent="0.3">
      <c r="A1414" s="7" t="s">
        <v>1745</v>
      </c>
      <c r="B1414" s="7">
        <v>13</v>
      </c>
      <c r="C1414" s="7">
        <v>36</v>
      </c>
      <c r="D1414" s="7" t="s">
        <v>2244</v>
      </c>
      <c r="E1414" s="18">
        <v>20000000</v>
      </c>
      <c r="F1414" s="7">
        <f t="shared" si="98"/>
        <v>5283443.5371597791</v>
      </c>
      <c r="G1414" s="7">
        <f t="shared" si="99"/>
        <v>17021.183802914198</v>
      </c>
      <c r="H1414" s="10">
        <v>42663</v>
      </c>
      <c r="I1414" s="18" t="s">
        <v>1833</v>
      </c>
      <c r="J1414" s="18" t="s">
        <v>1807</v>
      </c>
      <c r="K1414" s="7">
        <v>2000</v>
      </c>
      <c r="L1414" s="7" t="s">
        <v>2246</v>
      </c>
      <c r="M1414" s="7">
        <f t="shared" si="100"/>
        <v>2</v>
      </c>
      <c r="N1414" s="7">
        <f t="shared" si="97"/>
        <v>620.80799999999999</v>
      </c>
    </row>
    <row r="1415" spans="1:14" ht="15.6" x14ac:dyDescent="0.3">
      <c r="A1415" s="7" t="s">
        <v>1723</v>
      </c>
      <c r="B1415" s="7">
        <v>13</v>
      </c>
      <c r="C1415" s="7">
        <v>36</v>
      </c>
      <c r="D1415" s="7" t="s">
        <v>2244</v>
      </c>
      <c r="E1415" s="18">
        <v>20000000</v>
      </c>
      <c r="F1415" s="7">
        <f t="shared" si="98"/>
        <v>5283443.5371597791</v>
      </c>
      <c r="G1415" s="7">
        <f t="shared" si="99"/>
        <v>17021.183802914198</v>
      </c>
      <c r="H1415" s="10">
        <v>42663</v>
      </c>
      <c r="I1415" s="18" t="s">
        <v>1833</v>
      </c>
      <c r="J1415" s="18" t="s">
        <v>1807</v>
      </c>
      <c r="K1415" s="7">
        <v>173</v>
      </c>
      <c r="L1415" s="7" t="s">
        <v>2246</v>
      </c>
      <c r="M1415" s="7">
        <f t="shared" si="100"/>
        <v>0.17299999999999999</v>
      </c>
      <c r="N1415" s="7">
        <f t="shared" si="97"/>
        <v>53.699891999999998</v>
      </c>
    </row>
    <row r="1416" spans="1:14" ht="15.6" x14ac:dyDescent="0.3">
      <c r="A1416" s="7" t="s">
        <v>1719</v>
      </c>
      <c r="B1416" s="7">
        <v>13</v>
      </c>
      <c r="C1416" s="7">
        <v>36</v>
      </c>
      <c r="D1416" s="7" t="s">
        <v>2244</v>
      </c>
      <c r="E1416" s="18">
        <v>20000000</v>
      </c>
      <c r="F1416" s="7">
        <f t="shared" si="98"/>
        <v>5283443.5371597791</v>
      </c>
      <c r="G1416" s="7">
        <f t="shared" si="99"/>
        <v>17021.183802914198</v>
      </c>
      <c r="H1416" s="10">
        <v>42663</v>
      </c>
      <c r="I1416" s="18" t="s">
        <v>1833</v>
      </c>
      <c r="J1416" s="18" t="s">
        <v>1807</v>
      </c>
      <c r="K1416" s="7">
        <v>668</v>
      </c>
      <c r="L1416" s="7" t="s">
        <v>2246</v>
      </c>
      <c r="M1416" s="7">
        <f t="shared" si="100"/>
        <v>0.66800000000000004</v>
      </c>
      <c r="N1416" s="7">
        <f t="shared" si="97"/>
        <v>207.34987200000003</v>
      </c>
    </row>
    <row r="1417" spans="1:14" ht="15.6" x14ac:dyDescent="0.3">
      <c r="A1417" s="7" t="s">
        <v>1782</v>
      </c>
      <c r="B1417" s="7">
        <v>13</v>
      </c>
      <c r="C1417" s="7">
        <v>36</v>
      </c>
      <c r="D1417" s="7" t="s">
        <v>2244</v>
      </c>
      <c r="E1417" s="18">
        <v>20000000</v>
      </c>
      <c r="F1417" s="7">
        <f t="shared" si="98"/>
        <v>5283443.5371597791</v>
      </c>
      <c r="G1417" s="7">
        <f t="shared" si="99"/>
        <v>17021.183802914198</v>
      </c>
      <c r="H1417" s="10">
        <v>42663</v>
      </c>
      <c r="I1417" s="18" t="s">
        <v>1833</v>
      </c>
      <c r="J1417" s="18" t="s">
        <v>1807</v>
      </c>
      <c r="K1417" s="7">
        <v>62</v>
      </c>
      <c r="L1417" s="7" t="s">
        <v>2246</v>
      </c>
      <c r="M1417" s="7">
        <f t="shared" si="100"/>
        <v>6.2E-2</v>
      </c>
      <c r="N1417" s="7">
        <f t="shared" si="97"/>
        <v>19.245048000000001</v>
      </c>
    </row>
    <row r="1418" spans="1:14" ht="15.6" x14ac:dyDescent="0.3">
      <c r="A1418" s="7" t="s">
        <v>1746</v>
      </c>
      <c r="B1418" s="7">
        <v>13</v>
      </c>
      <c r="C1418" s="7">
        <v>36</v>
      </c>
      <c r="D1418" s="7" t="s">
        <v>2244</v>
      </c>
      <c r="E1418" s="18">
        <v>20000000</v>
      </c>
      <c r="F1418" s="7">
        <f t="shared" si="98"/>
        <v>5283443.5371597791</v>
      </c>
      <c r="G1418" s="7">
        <f t="shared" si="99"/>
        <v>17021.183802914198</v>
      </c>
      <c r="H1418" s="10">
        <v>42663</v>
      </c>
      <c r="I1418" s="18" t="s">
        <v>1833</v>
      </c>
      <c r="J1418" s="18" t="s">
        <v>1807</v>
      </c>
      <c r="K1418" s="7">
        <v>582</v>
      </c>
      <c r="L1418" s="7" t="s">
        <v>2246</v>
      </c>
      <c r="M1418" s="7">
        <f t="shared" si="100"/>
        <v>0.58199999999999996</v>
      </c>
      <c r="N1418" s="7">
        <f t="shared" si="97"/>
        <v>180.65512799999999</v>
      </c>
    </row>
    <row r="1419" spans="1:14" ht="15.6" x14ac:dyDescent="0.3">
      <c r="A1419" s="7" t="s">
        <v>1783</v>
      </c>
      <c r="B1419" s="7">
        <v>13</v>
      </c>
      <c r="C1419" s="7">
        <v>36</v>
      </c>
      <c r="D1419" s="7" t="s">
        <v>2244</v>
      </c>
      <c r="E1419" s="18">
        <v>20000000</v>
      </c>
      <c r="F1419" s="7">
        <f t="shared" si="98"/>
        <v>5283443.5371597791</v>
      </c>
      <c r="G1419" s="7">
        <f t="shared" si="99"/>
        <v>17021.183802914198</v>
      </c>
      <c r="H1419" s="10">
        <v>42663</v>
      </c>
      <c r="I1419" s="18" t="s">
        <v>1833</v>
      </c>
      <c r="J1419" s="18" t="s">
        <v>1807</v>
      </c>
      <c r="K1419" s="7">
        <v>224</v>
      </c>
      <c r="L1419" s="7" t="s">
        <v>2246</v>
      </c>
      <c r="M1419" s="7">
        <f t="shared" si="100"/>
        <v>0.224</v>
      </c>
      <c r="N1419" s="7">
        <f t="shared" si="97"/>
        <v>69.530495999999999</v>
      </c>
    </row>
    <row r="1420" spans="1:14" ht="15.6" x14ac:dyDescent="0.3">
      <c r="A1420" s="7" t="s">
        <v>1747</v>
      </c>
      <c r="B1420" s="7">
        <v>13</v>
      </c>
      <c r="C1420" s="7">
        <v>36</v>
      </c>
      <c r="D1420" s="7" t="s">
        <v>2244</v>
      </c>
      <c r="E1420" s="18">
        <v>20000000</v>
      </c>
      <c r="F1420" s="7">
        <f t="shared" si="98"/>
        <v>5283443.5371597791</v>
      </c>
      <c r="G1420" s="7">
        <f t="shared" si="99"/>
        <v>17021.183802914198</v>
      </c>
      <c r="H1420" s="10">
        <v>42663</v>
      </c>
      <c r="I1420" s="18" t="s">
        <v>1833</v>
      </c>
      <c r="J1420" s="18" t="s">
        <v>1807</v>
      </c>
      <c r="K1420" s="7">
        <v>233</v>
      </c>
      <c r="L1420" s="7" t="s">
        <v>2246</v>
      </c>
      <c r="M1420" s="7">
        <f t="shared" si="100"/>
        <v>0.23300000000000001</v>
      </c>
      <c r="N1420" s="7">
        <f t="shared" si="97"/>
        <v>72.324132000000006</v>
      </c>
    </row>
    <row r="1421" spans="1:14" ht="15.6" x14ac:dyDescent="0.3">
      <c r="A1421" s="7" t="s">
        <v>1784</v>
      </c>
      <c r="B1421" s="7">
        <v>13</v>
      </c>
      <c r="C1421" s="7">
        <v>36</v>
      </c>
      <c r="D1421" s="7" t="s">
        <v>2244</v>
      </c>
      <c r="E1421" s="18">
        <v>20000000</v>
      </c>
      <c r="F1421" s="7">
        <f t="shared" si="98"/>
        <v>5283443.5371597791</v>
      </c>
      <c r="G1421" s="7">
        <f t="shared" si="99"/>
        <v>17021.183802914198</v>
      </c>
      <c r="H1421" s="10">
        <v>42663</v>
      </c>
      <c r="I1421" s="18" t="s">
        <v>1833</v>
      </c>
      <c r="J1421" s="18" t="s">
        <v>1807</v>
      </c>
      <c r="K1421" s="7">
        <v>34.6</v>
      </c>
      <c r="L1421" s="7" t="s">
        <v>2246</v>
      </c>
      <c r="M1421" s="7">
        <f t="shared" si="100"/>
        <v>3.4599999999999999E-2</v>
      </c>
      <c r="N1421" s="7">
        <f t="shared" si="97"/>
        <v>10.7399784</v>
      </c>
    </row>
    <row r="1422" spans="1:14" ht="15.6" x14ac:dyDescent="0.3">
      <c r="A1422" s="7" t="s">
        <v>2299</v>
      </c>
      <c r="B1422" s="7">
        <v>13</v>
      </c>
      <c r="C1422" s="7">
        <v>36</v>
      </c>
      <c r="D1422" s="7" t="s">
        <v>2244</v>
      </c>
      <c r="E1422" s="18">
        <v>20000000</v>
      </c>
      <c r="F1422" s="7">
        <f t="shared" si="98"/>
        <v>5283443.5371597791</v>
      </c>
      <c r="G1422" s="7">
        <f t="shared" si="99"/>
        <v>17021.183802914198</v>
      </c>
      <c r="H1422" s="10">
        <v>42663</v>
      </c>
      <c r="I1422" s="18" t="s">
        <v>1833</v>
      </c>
      <c r="J1422" s="18" t="s">
        <v>1807</v>
      </c>
      <c r="K1422" s="7">
        <v>530</v>
      </c>
      <c r="L1422" s="7" t="s">
        <v>2246</v>
      </c>
      <c r="M1422" s="7">
        <f t="shared" si="100"/>
        <v>0.53</v>
      </c>
      <c r="N1422" s="7">
        <f t="shared" si="97"/>
        <v>164.51412000000002</v>
      </c>
    </row>
    <row r="1423" spans="1:14" ht="15.6" x14ac:dyDescent="0.3">
      <c r="A1423" s="7" t="s">
        <v>1785</v>
      </c>
      <c r="B1423" s="7">
        <v>13</v>
      </c>
      <c r="C1423" s="7">
        <v>36</v>
      </c>
      <c r="D1423" s="7" t="s">
        <v>2244</v>
      </c>
      <c r="E1423" s="18">
        <v>20000000</v>
      </c>
      <c r="F1423" s="7">
        <f t="shared" si="98"/>
        <v>5283443.5371597791</v>
      </c>
      <c r="G1423" s="7">
        <f t="shared" si="99"/>
        <v>17021.183802914198</v>
      </c>
      <c r="H1423" s="10">
        <v>42663</v>
      </c>
      <c r="I1423" s="18" t="s">
        <v>1833</v>
      </c>
      <c r="J1423" s="18" t="s">
        <v>1807</v>
      </c>
      <c r="K1423" s="7">
        <v>1280</v>
      </c>
      <c r="L1423" s="7" t="s">
        <v>2246</v>
      </c>
      <c r="M1423" s="7">
        <f t="shared" si="100"/>
        <v>1.28</v>
      </c>
      <c r="N1423" s="7">
        <f t="shared" si="97"/>
        <v>397.31712000000005</v>
      </c>
    </row>
    <row r="1424" spans="1:14" ht="15.6" x14ac:dyDescent="0.3">
      <c r="A1424" s="7" t="s">
        <v>1729</v>
      </c>
      <c r="B1424" s="7">
        <v>13</v>
      </c>
      <c r="C1424" s="7">
        <v>37</v>
      </c>
      <c r="D1424" s="7" t="s">
        <v>2247</v>
      </c>
      <c r="E1424" s="18">
        <v>1700000</v>
      </c>
      <c r="F1424" s="7">
        <f t="shared" si="98"/>
        <v>449092.70065858122</v>
      </c>
      <c r="G1424" s="7">
        <f t="shared" si="99"/>
        <v>1446.8006232477069</v>
      </c>
      <c r="H1424" s="10">
        <v>42628</v>
      </c>
      <c r="I1424" s="18" t="s">
        <v>1833</v>
      </c>
      <c r="J1424" s="18" t="s">
        <v>1807</v>
      </c>
      <c r="K1424" s="7" t="s">
        <v>1716</v>
      </c>
      <c r="L1424" s="7" t="s">
        <v>2246</v>
      </c>
      <c r="M1424" s="7" t="str">
        <f t="shared" si="100"/>
        <v>ND</v>
      </c>
      <c r="N1424" s="7" t="str">
        <f t="shared" si="97"/>
        <v>ND</v>
      </c>
    </row>
    <row r="1425" spans="1:14" ht="15.6" x14ac:dyDescent="0.3">
      <c r="A1425" s="7" t="s">
        <v>1769</v>
      </c>
      <c r="B1425" s="7">
        <v>13</v>
      </c>
      <c r="C1425" s="7">
        <v>37</v>
      </c>
      <c r="D1425" s="7" t="s">
        <v>2247</v>
      </c>
      <c r="E1425" s="18">
        <v>1700000</v>
      </c>
      <c r="F1425" s="7">
        <f t="shared" si="98"/>
        <v>449092.70065858122</v>
      </c>
      <c r="G1425" s="7">
        <f t="shared" si="99"/>
        <v>1446.8006232477069</v>
      </c>
      <c r="H1425" s="10">
        <v>42628</v>
      </c>
      <c r="I1425" s="18" t="s">
        <v>1833</v>
      </c>
      <c r="J1425" s="18" t="s">
        <v>1807</v>
      </c>
      <c r="K1425" s="7">
        <v>20700</v>
      </c>
      <c r="L1425" s="7" t="s">
        <v>2246</v>
      </c>
      <c r="M1425" s="7">
        <f t="shared" si="100"/>
        <v>20.7</v>
      </c>
      <c r="N1425" s="7">
        <f t="shared" si="97"/>
        <v>6425.3628000000008</v>
      </c>
    </row>
    <row r="1426" spans="1:14" ht="15.6" x14ac:dyDescent="0.3">
      <c r="A1426" s="7" t="s">
        <v>1759</v>
      </c>
      <c r="B1426" s="7">
        <v>13</v>
      </c>
      <c r="C1426" s="7">
        <v>37</v>
      </c>
      <c r="D1426" s="7" t="s">
        <v>2247</v>
      </c>
      <c r="E1426" s="18">
        <v>1700000</v>
      </c>
      <c r="F1426" s="7">
        <f t="shared" si="98"/>
        <v>449092.70065858122</v>
      </c>
      <c r="G1426" s="7">
        <f t="shared" si="99"/>
        <v>1446.8006232477069</v>
      </c>
      <c r="H1426" s="10">
        <v>42628</v>
      </c>
      <c r="I1426" s="18" t="s">
        <v>1833</v>
      </c>
      <c r="J1426" s="18" t="s">
        <v>1807</v>
      </c>
      <c r="K1426" s="7" t="s">
        <v>1716</v>
      </c>
      <c r="L1426" s="7" t="s">
        <v>2246</v>
      </c>
      <c r="M1426" s="7" t="str">
        <f t="shared" si="100"/>
        <v>ND</v>
      </c>
      <c r="N1426" s="7" t="str">
        <f t="shared" si="97"/>
        <v>ND</v>
      </c>
    </row>
    <row r="1427" spans="1:14" ht="15.6" x14ac:dyDescent="0.3">
      <c r="A1427" s="7" t="s">
        <v>1730</v>
      </c>
      <c r="B1427" s="7">
        <v>13</v>
      </c>
      <c r="C1427" s="7">
        <v>37</v>
      </c>
      <c r="D1427" s="7" t="s">
        <v>2247</v>
      </c>
      <c r="E1427" s="18">
        <v>1700000</v>
      </c>
      <c r="F1427" s="7">
        <f t="shared" si="98"/>
        <v>449092.70065858122</v>
      </c>
      <c r="G1427" s="7">
        <f t="shared" si="99"/>
        <v>1446.8006232477069</v>
      </c>
      <c r="H1427" s="10">
        <v>42628</v>
      </c>
      <c r="I1427" s="18" t="s">
        <v>1833</v>
      </c>
      <c r="J1427" s="18" t="s">
        <v>1807</v>
      </c>
      <c r="K1427" s="7">
        <v>77.7</v>
      </c>
      <c r="L1427" s="7" t="s">
        <v>2246</v>
      </c>
      <c r="M1427" s="7">
        <f t="shared" si="100"/>
        <v>7.7700000000000005E-2</v>
      </c>
      <c r="N1427" s="7">
        <f t="shared" si="97"/>
        <v>24.118390800000004</v>
      </c>
    </row>
    <row r="1428" spans="1:14" ht="15.6" x14ac:dyDescent="0.3">
      <c r="A1428" s="7" t="s">
        <v>1726</v>
      </c>
      <c r="B1428" s="7">
        <v>13</v>
      </c>
      <c r="C1428" s="7">
        <v>37</v>
      </c>
      <c r="D1428" s="7" t="s">
        <v>2247</v>
      </c>
      <c r="E1428" s="18">
        <v>1700000</v>
      </c>
      <c r="F1428" s="7">
        <f t="shared" si="98"/>
        <v>449092.70065858122</v>
      </c>
      <c r="G1428" s="7">
        <f t="shared" si="99"/>
        <v>1446.8006232477069</v>
      </c>
      <c r="H1428" s="10">
        <v>42628</v>
      </c>
      <c r="I1428" s="18" t="s">
        <v>1833</v>
      </c>
      <c r="J1428" s="18" t="s">
        <v>1807</v>
      </c>
      <c r="K1428" s="7">
        <v>394</v>
      </c>
      <c r="L1428" s="7" t="s">
        <v>2246</v>
      </c>
      <c r="M1428" s="7">
        <f t="shared" si="100"/>
        <v>0.39400000000000002</v>
      </c>
      <c r="N1428" s="7">
        <f t="shared" si="97"/>
        <v>122.29917600000002</v>
      </c>
    </row>
    <row r="1429" spans="1:14" ht="15.6" x14ac:dyDescent="0.3">
      <c r="A1429" s="7" t="s">
        <v>1753</v>
      </c>
      <c r="B1429" s="7">
        <v>13</v>
      </c>
      <c r="C1429" s="7">
        <v>37</v>
      </c>
      <c r="D1429" s="7" t="s">
        <v>2247</v>
      </c>
      <c r="E1429" s="18">
        <v>1700000</v>
      </c>
      <c r="F1429" s="7">
        <f t="shared" si="98"/>
        <v>449092.70065858122</v>
      </c>
      <c r="G1429" s="7">
        <f t="shared" si="99"/>
        <v>1446.8006232477069</v>
      </c>
      <c r="H1429" s="10">
        <v>42628</v>
      </c>
      <c r="I1429" s="18" t="s">
        <v>1833</v>
      </c>
      <c r="J1429" s="18" t="s">
        <v>1807</v>
      </c>
      <c r="K1429" s="7">
        <v>3700</v>
      </c>
      <c r="L1429" s="7" t="s">
        <v>2246</v>
      </c>
      <c r="M1429" s="7">
        <f t="shared" si="100"/>
        <v>3.7</v>
      </c>
      <c r="N1429" s="7">
        <f t="shared" si="97"/>
        <v>1148.4948000000002</v>
      </c>
    </row>
    <row r="1430" spans="1:14" ht="15.6" x14ac:dyDescent="0.3">
      <c r="A1430" s="7" t="s">
        <v>1732</v>
      </c>
      <c r="B1430" s="7">
        <v>13</v>
      </c>
      <c r="C1430" s="7">
        <v>37</v>
      </c>
      <c r="D1430" s="7" t="s">
        <v>2247</v>
      </c>
      <c r="E1430" s="18">
        <v>1700000</v>
      </c>
      <c r="F1430" s="7">
        <f t="shared" si="98"/>
        <v>449092.70065858122</v>
      </c>
      <c r="G1430" s="7">
        <f t="shared" si="99"/>
        <v>1446.8006232477069</v>
      </c>
      <c r="H1430" s="10">
        <v>42628</v>
      </c>
      <c r="I1430" s="18" t="s">
        <v>1833</v>
      </c>
      <c r="J1430" s="18" t="s">
        <v>1807</v>
      </c>
      <c r="K1430" s="7">
        <v>166</v>
      </c>
      <c r="L1430" s="7" t="s">
        <v>2246</v>
      </c>
      <c r="M1430" s="7">
        <f t="shared" si="100"/>
        <v>0.16600000000000001</v>
      </c>
      <c r="N1430" s="7">
        <f t="shared" si="97"/>
        <v>51.527064000000003</v>
      </c>
    </row>
    <row r="1431" spans="1:14" ht="15.6" x14ac:dyDescent="0.3">
      <c r="A1431" s="7" t="s">
        <v>1733</v>
      </c>
      <c r="B1431" s="7">
        <v>13</v>
      </c>
      <c r="C1431" s="7">
        <v>37</v>
      </c>
      <c r="D1431" s="7" t="s">
        <v>2247</v>
      </c>
      <c r="E1431" s="18">
        <v>1700000</v>
      </c>
      <c r="F1431" s="7">
        <f t="shared" si="98"/>
        <v>449092.70065858122</v>
      </c>
      <c r="G1431" s="7">
        <f t="shared" si="99"/>
        <v>1446.8006232477069</v>
      </c>
      <c r="H1431" s="10">
        <v>42628</v>
      </c>
      <c r="I1431" s="18" t="s">
        <v>1833</v>
      </c>
      <c r="J1431" s="18" t="s">
        <v>1807</v>
      </c>
      <c r="K1431" s="7">
        <v>209</v>
      </c>
      <c r="L1431" s="7" t="s">
        <v>2246</v>
      </c>
      <c r="M1431" s="7">
        <f t="shared" si="100"/>
        <v>0.20899999999999999</v>
      </c>
      <c r="N1431" s="7">
        <f t="shared" si="97"/>
        <v>64.874436000000003</v>
      </c>
    </row>
    <row r="1432" spans="1:14" ht="15.6" x14ac:dyDescent="0.3">
      <c r="A1432" s="7" t="s">
        <v>1735</v>
      </c>
      <c r="B1432" s="7">
        <v>13</v>
      </c>
      <c r="C1432" s="7">
        <v>37</v>
      </c>
      <c r="D1432" s="7" t="s">
        <v>2247</v>
      </c>
      <c r="E1432" s="18">
        <v>1700000</v>
      </c>
      <c r="F1432" s="7">
        <f t="shared" si="98"/>
        <v>449092.70065858122</v>
      </c>
      <c r="G1432" s="7">
        <f t="shared" si="99"/>
        <v>1446.8006232477069</v>
      </c>
      <c r="H1432" s="10">
        <v>42628</v>
      </c>
      <c r="I1432" s="18" t="s">
        <v>1833</v>
      </c>
      <c r="J1432" s="18" t="s">
        <v>1807</v>
      </c>
      <c r="K1432" s="7">
        <v>389</v>
      </c>
      <c r="L1432" s="7" t="s">
        <v>2246</v>
      </c>
      <c r="M1432" s="7">
        <f t="shared" si="100"/>
        <v>0.38900000000000001</v>
      </c>
      <c r="N1432" s="7">
        <f t="shared" si="97"/>
        <v>120.74715600000002</v>
      </c>
    </row>
    <row r="1433" spans="1:14" ht="15.6" x14ac:dyDescent="0.3">
      <c r="A1433" s="7" t="s">
        <v>1713</v>
      </c>
      <c r="B1433" s="7">
        <v>13</v>
      </c>
      <c r="C1433" s="7">
        <v>37</v>
      </c>
      <c r="D1433" s="7" t="s">
        <v>2247</v>
      </c>
      <c r="E1433" s="18">
        <v>1700000</v>
      </c>
      <c r="F1433" s="7">
        <f t="shared" si="98"/>
        <v>449092.70065858122</v>
      </c>
      <c r="G1433" s="7">
        <f t="shared" si="99"/>
        <v>1446.8006232477069</v>
      </c>
      <c r="H1433" s="10">
        <v>42628</v>
      </c>
      <c r="I1433" s="18" t="s">
        <v>1833</v>
      </c>
      <c r="J1433" s="18" t="s">
        <v>1807</v>
      </c>
      <c r="K1433" s="7">
        <v>242</v>
      </c>
      <c r="L1433" s="7" t="s">
        <v>2246</v>
      </c>
      <c r="M1433" s="7">
        <f t="shared" si="100"/>
        <v>0.24199999999999999</v>
      </c>
      <c r="N1433" s="7">
        <f t="shared" si="97"/>
        <v>75.117767999999998</v>
      </c>
    </row>
    <row r="1434" spans="1:14" ht="15.6" x14ac:dyDescent="0.3">
      <c r="A1434" s="7" t="s">
        <v>1764</v>
      </c>
      <c r="B1434" s="7">
        <v>13</v>
      </c>
      <c r="C1434" s="7">
        <v>37</v>
      </c>
      <c r="D1434" s="7" t="s">
        <v>2247</v>
      </c>
      <c r="E1434" s="18">
        <v>1700000</v>
      </c>
      <c r="F1434" s="7">
        <f t="shared" si="98"/>
        <v>449092.70065858122</v>
      </c>
      <c r="G1434" s="7">
        <f t="shared" si="99"/>
        <v>1446.8006232477069</v>
      </c>
      <c r="H1434" s="10">
        <v>42628</v>
      </c>
      <c r="I1434" s="18" t="s">
        <v>1833</v>
      </c>
      <c r="J1434" s="18" t="s">
        <v>1807</v>
      </c>
      <c r="K1434" s="7">
        <v>2390</v>
      </c>
      <c r="L1434" s="7" t="s">
        <v>2246</v>
      </c>
      <c r="M1434" s="7">
        <f t="shared" si="100"/>
        <v>2.39</v>
      </c>
      <c r="N1434" s="7">
        <f t="shared" si="97"/>
        <v>741.86556000000007</v>
      </c>
    </row>
    <row r="1435" spans="1:14" ht="15.6" x14ac:dyDescent="0.3">
      <c r="A1435" s="7" t="s">
        <v>1770</v>
      </c>
      <c r="B1435" s="7">
        <v>13</v>
      </c>
      <c r="C1435" s="7">
        <v>37</v>
      </c>
      <c r="D1435" s="7" t="s">
        <v>2247</v>
      </c>
      <c r="E1435" s="18">
        <v>1700000</v>
      </c>
      <c r="F1435" s="7">
        <f t="shared" si="98"/>
        <v>449092.70065858122</v>
      </c>
      <c r="G1435" s="7">
        <f t="shared" si="99"/>
        <v>1446.8006232477069</v>
      </c>
      <c r="H1435" s="10">
        <v>42628</v>
      </c>
      <c r="I1435" s="18" t="s">
        <v>1833</v>
      </c>
      <c r="J1435" s="18" t="s">
        <v>1807</v>
      </c>
      <c r="K1435" s="7">
        <v>85</v>
      </c>
      <c r="L1435" s="7" t="s">
        <v>2246</v>
      </c>
      <c r="M1435" s="7">
        <f t="shared" si="100"/>
        <v>8.5000000000000006E-2</v>
      </c>
      <c r="N1435" s="7">
        <f t="shared" si="97"/>
        <v>26.384340000000005</v>
      </c>
    </row>
    <row r="1436" spans="1:14" ht="15.6" x14ac:dyDescent="0.3">
      <c r="A1436" s="7" t="s">
        <v>1722</v>
      </c>
      <c r="B1436" s="7">
        <v>13</v>
      </c>
      <c r="C1436" s="7">
        <v>37</v>
      </c>
      <c r="D1436" s="7" t="s">
        <v>2247</v>
      </c>
      <c r="E1436" s="18">
        <v>1700000</v>
      </c>
      <c r="F1436" s="7">
        <f t="shared" si="98"/>
        <v>449092.70065858122</v>
      </c>
      <c r="G1436" s="7">
        <f t="shared" si="99"/>
        <v>1446.8006232477069</v>
      </c>
      <c r="H1436" s="10">
        <v>42628</v>
      </c>
      <c r="I1436" s="18" t="s">
        <v>1833</v>
      </c>
      <c r="J1436" s="18" t="s">
        <v>1807</v>
      </c>
      <c r="K1436" s="7" t="s">
        <v>1716</v>
      </c>
      <c r="L1436" s="7" t="s">
        <v>2246</v>
      </c>
      <c r="M1436" s="7" t="str">
        <f t="shared" si="100"/>
        <v>ND</v>
      </c>
      <c r="N1436" s="7" t="str">
        <f t="shared" si="97"/>
        <v>ND</v>
      </c>
    </row>
    <row r="1437" spans="1:14" ht="15.6" x14ac:dyDescent="0.3">
      <c r="A1437" s="7" t="s">
        <v>1749</v>
      </c>
      <c r="B1437" s="7">
        <v>13</v>
      </c>
      <c r="C1437" s="7">
        <v>37</v>
      </c>
      <c r="D1437" s="7" t="s">
        <v>2247</v>
      </c>
      <c r="E1437" s="18">
        <v>1700000</v>
      </c>
      <c r="F1437" s="7">
        <f t="shared" si="98"/>
        <v>449092.70065858122</v>
      </c>
      <c r="G1437" s="7">
        <f t="shared" si="99"/>
        <v>1446.8006232477069</v>
      </c>
      <c r="H1437" s="10">
        <v>42628</v>
      </c>
      <c r="I1437" s="18" t="s">
        <v>1833</v>
      </c>
      <c r="J1437" s="18" t="s">
        <v>1807</v>
      </c>
      <c r="K1437" s="7">
        <v>281</v>
      </c>
      <c r="L1437" s="7" t="s">
        <v>2246</v>
      </c>
      <c r="M1437" s="7">
        <f t="shared" si="100"/>
        <v>0.28100000000000003</v>
      </c>
      <c r="N1437" s="7">
        <f t="shared" si="97"/>
        <v>87.223524000000012</v>
      </c>
    </row>
    <row r="1438" spans="1:14" ht="15.6" x14ac:dyDescent="0.3">
      <c r="A1438" s="7" t="s">
        <v>1748</v>
      </c>
      <c r="B1438" s="7">
        <v>13</v>
      </c>
      <c r="C1438" s="7">
        <v>37</v>
      </c>
      <c r="D1438" s="7" t="s">
        <v>2247</v>
      </c>
      <c r="E1438" s="18">
        <v>1700000</v>
      </c>
      <c r="F1438" s="7">
        <f t="shared" si="98"/>
        <v>449092.70065858122</v>
      </c>
      <c r="G1438" s="7">
        <f t="shared" si="99"/>
        <v>1446.8006232477069</v>
      </c>
      <c r="H1438" s="10">
        <v>42628</v>
      </c>
      <c r="I1438" s="18" t="s">
        <v>1833</v>
      </c>
      <c r="J1438" s="18" t="s">
        <v>1807</v>
      </c>
      <c r="K1438" s="7">
        <v>1860</v>
      </c>
      <c r="L1438" s="7" t="s">
        <v>2246</v>
      </c>
      <c r="M1438" s="7">
        <f t="shared" si="100"/>
        <v>1.86</v>
      </c>
      <c r="N1438" s="7">
        <f t="shared" si="97"/>
        <v>577.35144000000003</v>
      </c>
    </row>
    <row r="1439" spans="1:14" ht="15.6" x14ac:dyDescent="0.3">
      <c r="A1439" s="7" t="s">
        <v>1738</v>
      </c>
      <c r="B1439" s="7">
        <v>13</v>
      </c>
      <c r="C1439" s="7">
        <v>37</v>
      </c>
      <c r="D1439" s="7" t="s">
        <v>2247</v>
      </c>
      <c r="E1439" s="18">
        <v>1700000</v>
      </c>
      <c r="F1439" s="7">
        <f t="shared" si="98"/>
        <v>449092.70065858122</v>
      </c>
      <c r="G1439" s="7">
        <f t="shared" si="99"/>
        <v>1446.8006232477069</v>
      </c>
      <c r="H1439" s="10">
        <v>42628</v>
      </c>
      <c r="I1439" s="18" t="s">
        <v>1833</v>
      </c>
      <c r="J1439" s="18" t="s">
        <v>1807</v>
      </c>
      <c r="K1439" s="7" t="s">
        <v>1716</v>
      </c>
      <c r="L1439" s="7" t="s">
        <v>2246</v>
      </c>
      <c r="M1439" s="7" t="str">
        <f t="shared" si="100"/>
        <v>ND</v>
      </c>
      <c r="N1439" s="7" t="str">
        <f t="shared" si="97"/>
        <v>ND</v>
      </c>
    </row>
    <row r="1440" spans="1:14" ht="15.6" x14ac:dyDescent="0.3">
      <c r="A1440" s="7" t="s">
        <v>1771</v>
      </c>
      <c r="B1440" s="7">
        <v>13</v>
      </c>
      <c r="C1440" s="7">
        <v>37</v>
      </c>
      <c r="D1440" s="7" t="s">
        <v>2247</v>
      </c>
      <c r="E1440" s="18">
        <v>1700000</v>
      </c>
      <c r="F1440" s="7">
        <f t="shared" si="98"/>
        <v>449092.70065858122</v>
      </c>
      <c r="G1440" s="7">
        <f t="shared" si="99"/>
        <v>1446.8006232477069</v>
      </c>
      <c r="H1440" s="10">
        <v>42628</v>
      </c>
      <c r="I1440" s="18" t="s">
        <v>1833</v>
      </c>
      <c r="J1440" s="18" t="s">
        <v>1807</v>
      </c>
      <c r="K1440" s="7">
        <v>294</v>
      </c>
      <c r="L1440" s="7" t="s">
        <v>2246</v>
      </c>
      <c r="M1440" s="7">
        <f t="shared" si="100"/>
        <v>0.29399999999999998</v>
      </c>
      <c r="N1440" s="7">
        <f t="shared" ref="N1440:N1503" si="101">IFERROR((M1440*F1440)/G1440,"ND")</f>
        <v>91.258775999999997</v>
      </c>
    </row>
    <row r="1441" spans="1:14" ht="15.6" x14ac:dyDescent="0.3">
      <c r="A1441" s="7" t="s">
        <v>1754</v>
      </c>
      <c r="B1441" s="7">
        <v>13</v>
      </c>
      <c r="C1441" s="7">
        <v>37</v>
      </c>
      <c r="D1441" s="7" t="s">
        <v>2247</v>
      </c>
      <c r="E1441" s="18">
        <v>1700000</v>
      </c>
      <c r="F1441" s="7">
        <f t="shared" si="98"/>
        <v>449092.70065858122</v>
      </c>
      <c r="G1441" s="7">
        <f t="shared" si="99"/>
        <v>1446.8006232477069</v>
      </c>
      <c r="H1441" s="10">
        <v>42628</v>
      </c>
      <c r="I1441" s="18" t="s">
        <v>1833</v>
      </c>
      <c r="J1441" s="18" t="s">
        <v>1807</v>
      </c>
      <c r="K1441" s="7" t="s">
        <v>1716</v>
      </c>
      <c r="L1441" s="7" t="s">
        <v>2246</v>
      </c>
      <c r="M1441" s="7" t="str">
        <f t="shared" si="100"/>
        <v>ND</v>
      </c>
      <c r="N1441" s="7" t="str">
        <f t="shared" si="101"/>
        <v>ND</v>
      </c>
    </row>
    <row r="1442" spans="1:14" ht="15.6" x14ac:dyDescent="0.3">
      <c r="A1442" s="7" t="s">
        <v>1772</v>
      </c>
      <c r="B1442" s="7">
        <v>13</v>
      </c>
      <c r="C1442" s="7">
        <v>37</v>
      </c>
      <c r="D1442" s="7" t="s">
        <v>2247</v>
      </c>
      <c r="E1442" s="18">
        <v>1700000</v>
      </c>
      <c r="F1442" s="7">
        <f t="shared" ref="F1442:F1505" si="102">E1442/3.78541</f>
        <v>449092.70065858122</v>
      </c>
      <c r="G1442" s="7">
        <f t="shared" ref="G1442:G1505" si="103">F1442/310.404</f>
        <v>1446.8006232477069</v>
      </c>
      <c r="H1442" s="10">
        <v>42628</v>
      </c>
      <c r="I1442" s="18" t="s">
        <v>1833</v>
      </c>
      <c r="J1442" s="18" t="s">
        <v>1807</v>
      </c>
      <c r="K1442" s="7">
        <v>2890</v>
      </c>
      <c r="L1442" s="7" t="s">
        <v>2246</v>
      </c>
      <c r="M1442" s="7">
        <f t="shared" si="100"/>
        <v>2.89</v>
      </c>
      <c r="N1442" s="7">
        <f t="shared" si="101"/>
        <v>897.06756000000019</v>
      </c>
    </row>
    <row r="1443" spans="1:14" ht="15.6" x14ac:dyDescent="0.3">
      <c r="A1443" s="7" t="s">
        <v>1773</v>
      </c>
      <c r="B1443" s="7">
        <v>13</v>
      </c>
      <c r="C1443" s="7">
        <v>37</v>
      </c>
      <c r="D1443" s="7" t="s">
        <v>2247</v>
      </c>
      <c r="E1443" s="18">
        <v>1700000</v>
      </c>
      <c r="F1443" s="7">
        <f t="shared" si="102"/>
        <v>449092.70065858122</v>
      </c>
      <c r="G1443" s="7">
        <f t="shared" si="103"/>
        <v>1446.8006232477069</v>
      </c>
      <c r="H1443" s="10">
        <v>42628</v>
      </c>
      <c r="I1443" s="18" t="s">
        <v>1833</v>
      </c>
      <c r="J1443" s="18" t="s">
        <v>1807</v>
      </c>
      <c r="K1443" s="7">
        <v>178</v>
      </c>
      <c r="L1443" s="7" t="s">
        <v>2246</v>
      </c>
      <c r="M1443" s="7">
        <f t="shared" si="100"/>
        <v>0.17799999999999999</v>
      </c>
      <c r="N1443" s="7">
        <f t="shared" si="101"/>
        <v>55.251911999999997</v>
      </c>
    </row>
    <row r="1444" spans="1:14" ht="15.6" x14ac:dyDescent="0.3">
      <c r="A1444" s="7" t="s">
        <v>1728</v>
      </c>
      <c r="B1444" s="7">
        <v>13</v>
      </c>
      <c r="C1444" s="7">
        <v>37</v>
      </c>
      <c r="D1444" s="7" t="s">
        <v>2247</v>
      </c>
      <c r="E1444" s="18">
        <v>1700000</v>
      </c>
      <c r="F1444" s="7">
        <f t="shared" si="102"/>
        <v>449092.70065858122</v>
      </c>
      <c r="G1444" s="7">
        <f t="shared" si="103"/>
        <v>1446.8006232477069</v>
      </c>
      <c r="H1444" s="10">
        <v>42628</v>
      </c>
      <c r="I1444" s="18" t="s">
        <v>1833</v>
      </c>
      <c r="J1444" s="18" t="s">
        <v>1807</v>
      </c>
      <c r="K1444" s="7">
        <v>54.3</v>
      </c>
      <c r="L1444" s="7" t="s">
        <v>2246</v>
      </c>
      <c r="M1444" s="7">
        <f t="shared" si="100"/>
        <v>5.4299999999999994E-2</v>
      </c>
      <c r="N1444" s="7">
        <f t="shared" si="101"/>
        <v>16.854937199999998</v>
      </c>
    </row>
    <row r="1445" spans="1:14" ht="15.6" x14ac:dyDescent="0.3">
      <c r="A1445" s="7" t="s">
        <v>1774</v>
      </c>
      <c r="B1445" s="7">
        <v>13</v>
      </c>
      <c r="C1445" s="7">
        <v>37</v>
      </c>
      <c r="D1445" s="7" t="s">
        <v>2247</v>
      </c>
      <c r="E1445" s="18">
        <v>1700000</v>
      </c>
      <c r="F1445" s="7">
        <f t="shared" si="102"/>
        <v>449092.70065858122</v>
      </c>
      <c r="G1445" s="7">
        <f t="shared" si="103"/>
        <v>1446.8006232477069</v>
      </c>
      <c r="H1445" s="10">
        <v>42628</v>
      </c>
      <c r="I1445" s="18" t="s">
        <v>1833</v>
      </c>
      <c r="J1445" s="18" t="s">
        <v>1807</v>
      </c>
      <c r="K1445" s="7">
        <v>14.2</v>
      </c>
      <c r="L1445" s="7" t="s">
        <v>2246</v>
      </c>
      <c r="M1445" s="7">
        <f t="shared" si="100"/>
        <v>1.4199999999999999E-2</v>
      </c>
      <c r="N1445" s="7">
        <f t="shared" si="101"/>
        <v>4.4077367999999995</v>
      </c>
    </row>
    <row r="1446" spans="1:14" ht="15.6" x14ac:dyDescent="0.3">
      <c r="A1446" s="7" t="s">
        <v>1715</v>
      </c>
      <c r="B1446" s="7">
        <v>13</v>
      </c>
      <c r="C1446" s="7">
        <v>37</v>
      </c>
      <c r="D1446" s="7" t="s">
        <v>2247</v>
      </c>
      <c r="E1446" s="18">
        <v>1700000</v>
      </c>
      <c r="F1446" s="7">
        <f t="shared" si="102"/>
        <v>449092.70065858122</v>
      </c>
      <c r="G1446" s="7">
        <f t="shared" si="103"/>
        <v>1446.8006232477069</v>
      </c>
      <c r="H1446" s="10">
        <v>42628</v>
      </c>
      <c r="I1446" s="18" t="s">
        <v>1833</v>
      </c>
      <c r="J1446" s="18" t="s">
        <v>1807</v>
      </c>
      <c r="K1446" s="7">
        <v>65.7</v>
      </c>
      <c r="L1446" s="7" t="s">
        <v>2246</v>
      </c>
      <c r="M1446" s="7">
        <f t="shared" si="100"/>
        <v>6.5700000000000008E-2</v>
      </c>
      <c r="N1446" s="7">
        <f t="shared" si="101"/>
        <v>20.393542800000002</v>
      </c>
    </row>
    <row r="1447" spans="1:14" ht="15.6" x14ac:dyDescent="0.3">
      <c r="A1447" s="7" t="s">
        <v>1775</v>
      </c>
      <c r="B1447" s="7">
        <v>13</v>
      </c>
      <c r="C1447" s="7">
        <v>37</v>
      </c>
      <c r="D1447" s="7" t="s">
        <v>2247</v>
      </c>
      <c r="E1447" s="18">
        <v>1700000</v>
      </c>
      <c r="F1447" s="7">
        <f t="shared" si="102"/>
        <v>449092.70065858122</v>
      </c>
      <c r="G1447" s="7">
        <f t="shared" si="103"/>
        <v>1446.8006232477069</v>
      </c>
      <c r="H1447" s="10">
        <v>42628</v>
      </c>
      <c r="I1447" s="18" t="s">
        <v>1833</v>
      </c>
      <c r="J1447" s="18" t="s">
        <v>1807</v>
      </c>
      <c r="K1447" s="7">
        <v>22</v>
      </c>
      <c r="L1447" s="7" t="s">
        <v>2246</v>
      </c>
      <c r="M1447" s="7">
        <f t="shared" si="100"/>
        <v>2.1999999999999999E-2</v>
      </c>
      <c r="N1447" s="7">
        <f t="shared" si="101"/>
        <v>6.8288880000000001</v>
      </c>
    </row>
    <row r="1448" spans="1:14" ht="15.6" x14ac:dyDescent="0.3">
      <c r="A1448" s="7" t="s">
        <v>1776</v>
      </c>
      <c r="B1448" s="7">
        <v>13</v>
      </c>
      <c r="C1448" s="7">
        <v>37</v>
      </c>
      <c r="D1448" s="7" t="s">
        <v>2247</v>
      </c>
      <c r="E1448" s="18">
        <v>1700000</v>
      </c>
      <c r="F1448" s="7">
        <f t="shared" si="102"/>
        <v>449092.70065858122</v>
      </c>
      <c r="G1448" s="7">
        <f t="shared" si="103"/>
        <v>1446.8006232477069</v>
      </c>
      <c r="H1448" s="10">
        <v>42628</v>
      </c>
      <c r="I1448" s="18" t="s">
        <v>1833</v>
      </c>
      <c r="J1448" s="18" t="s">
        <v>1807</v>
      </c>
      <c r="K1448" s="7">
        <v>187</v>
      </c>
      <c r="L1448" s="7" t="s">
        <v>2246</v>
      </c>
      <c r="M1448" s="7">
        <f t="shared" si="100"/>
        <v>0.187</v>
      </c>
      <c r="N1448" s="7">
        <f t="shared" si="101"/>
        <v>58.045548000000004</v>
      </c>
    </row>
    <row r="1449" spans="1:14" ht="15.6" x14ac:dyDescent="0.3">
      <c r="A1449" s="7" t="s">
        <v>1777</v>
      </c>
      <c r="B1449" s="7">
        <v>13</v>
      </c>
      <c r="C1449" s="7">
        <v>37</v>
      </c>
      <c r="D1449" s="7" t="s">
        <v>2247</v>
      </c>
      <c r="E1449" s="18">
        <v>1700000</v>
      </c>
      <c r="F1449" s="7">
        <f t="shared" si="102"/>
        <v>449092.70065858122</v>
      </c>
      <c r="G1449" s="7">
        <f t="shared" si="103"/>
        <v>1446.8006232477069</v>
      </c>
      <c r="H1449" s="10">
        <v>42628</v>
      </c>
      <c r="I1449" s="18" t="s">
        <v>1833</v>
      </c>
      <c r="J1449" s="18" t="s">
        <v>1807</v>
      </c>
      <c r="K1449" s="7">
        <v>39900</v>
      </c>
      <c r="L1449" s="7" t="s">
        <v>2246</v>
      </c>
      <c r="M1449" s="7">
        <f t="shared" si="100"/>
        <v>39.9</v>
      </c>
      <c r="N1449" s="7">
        <f t="shared" si="101"/>
        <v>12385.1196</v>
      </c>
    </row>
    <row r="1450" spans="1:14" ht="15.6" x14ac:dyDescent="0.3">
      <c r="A1450" s="7" t="s">
        <v>1778</v>
      </c>
      <c r="B1450" s="7">
        <v>13</v>
      </c>
      <c r="C1450" s="7">
        <v>37</v>
      </c>
      <c r="D1450" s="7" t="s">
        <v>2247</v>
      </c>
      <c r="E1450" s="18">
        <v>1700000</v>
      </c>
      <c r="F1450" s="7">
        <f t="shared" si="102"/>
        <v>449092.70065858122</v>
      </c>
      <c r="G1450" s="7">
        <f t="shared" si="103"/>
        <v>1446.8006232477069</v>
      </c>
      <c r="H1450" s="10">
        <v>42628</v>
      </c>
      <c r="I1450" s="18" t="s">
        <v>1833</v>
      </c>
      <c r="J1450" s="18" t="s">
        <v>1807</v>
      </c>
      <c r="K1450" s="7">
        <v>4940</v>
      </c>
      <c r="L1450" s="7" t="s">
        <v>2246</v>
      </c>
      <c r="M1450" s="7">
        <f t="shared" si="100"/>
        <v>4.9400000000000004</v>
      </c>
      <c r="N1450" s="7">
        <f t="shared" si="101"/>
        <v>1533.3957600000003</v>
      </c>
    </row>
    <row r="1451" spans="1:14" ht="15.6" x14ac:dyDescent="0.3">
      <c r="A1451" s="7" t="s">
        <v>1756</v>
      </c>
      <c r="B1451" s="7">
        <v>13</v>
      </c>
      <c r="C1451" s="7">
        <v>37</v>
      </c>
      <c r="D1451" s="7" t="s">
        <v>2247</v>
      </c>
      <c r="E1451" s="18">
        <v>1700000</v>
      </c>
      <c r="F1451" s="7">
        <f t="shared" si="102"/>
        <v>449092.70065858122</v>
      </c>
      <c r="G1451" s="7">
        <f t="shared" si="103"/>
        <v>1446.8006232477069</v>
      </c>
      <c r="H1451" s="10">
        <v>42628</v>
      </c>
      <c r="I1451" s="18" t="s">
        <v>1833</v>
      </c>
      <c r="J1451" s="18" t="s">
        <v>1807</v>
      </c>
      <c r="K1451" s="7">
        <v>984</v>
      </c>
      <c r="L1451" s="7" t="s">
        <v>2246</v>
      </c>
      <c r="M1451" s="7">
        <f t="shared" si="100"/>
        <v>0.98399999999999999</v>
      </c>
      <c r="N1451" s="7">
        <f t="shared" si="101"/>
        <v>305.43753600000002</v>
      </c>
    </row>
    <row r="1452" spans="1:14" ht="15.6" x14ac:dyDescent="0.3">
      <c r="A1452" s="7" t="s">
        <v>1714</v>
      </c>
      <c r="B1452" s="7">
        <v>13</v>
      </c>
      <c r="C1452" s="7">
        <v>37</v>
      </c>
      <c r="D1452" s="7" t="s">
        <v>2247</v>
      </c>
      <c r="E1452" s="18">
        <v>1700000</v>
      </c>
      <c r="F1452" s="7">
        <f t="shared" si="102"/>
        <v>449092.70065858122</v>
      </c>
      <c r="G1452" s="7">
        <f t="shared" si="103"/>
        <v>1446.8006232477069</v>
      </c>
      <c r="H1452" s="10">
        <v>42628</v>
      </c>
      <c r="I1452" s="18" t="s">
        <v>1833</v>
      </c>
      <c r="J1452" s="18" t="s">
        <v>1807</v>
      </c>
      <c r="K1452" s="7">
        <v>368</v>
      </c>
      <c r="L1452" s="7" t="s">
        <v>2246</v>
      </c>
      <c r="M1452" s="7">
        <f t="shared" si="100"/>
        <v>0.36799999999999999</v>
      </c>
      <c r="N1452" s="7">
        <f t="shared" si="101"/>
        <v>114.228672</v>
      </c>
    </row>
    <row r="1453" spans="1:14" ht="15.6" x14ac:dyDescent="0.3">
      <c r="A1453" s="7" t="s">
        <v>1779</v>
      </c>
      <c r="B1453" s="7">
        <v>13</v>
      </c>
      <c r="C1453" s="7">
        <v>37</v>
      </c>
      <c r="D1453" s="7" t="s">
        <v>2247</v>
      </c>
      <c r="E1453" s="18">
        <v>1700000</v>
      </c>
      <c r="F1453" s="7">
        <f t="shared" si="102"/>
        <v>449092.70065858122</v>
      </c>
      <c r="G1453" s="7">
        <f t="shared" si="103"/>
        <v>1446.8006232477069</v>
      </c>
      <c r="H1453" s="10">
        <v>42628</v>
      </c>
      <c r="I1453" s="18" t="s">
        <v>1833</v>
      </c>
      <c r="J1453" s="18" t="s">
        <v>1807</v>
      </c>
      <c r="K1453" s="7">
        <v>141</v>
      </c>
      <c r="L1453" s="7" t="s">
        <v>2246</v>
      </c>
      <c r="M1453" s="7">
        <f t="shared" si="100"/>
        <v>0.14099999999999999</v>
      </c>
      <c r="N1453" s="7">
        <f t="shared" si="101"/>
        <v>43.766963999999994</v>
      </c>
    </row>
    <row r="1454" spans="1:14" ht="15.6" x14ac:dyDescent="0.3">
      <c r="A1454" s="7" t="s">
        <v>1718</v>
      </c>
      <c r="B1454" s="7">
        <v>13</v>
      </c>
      <c r="C1454" s="7">
        <v>37</v>
      </c>
      <c r="D1454" s="7" t="s">
        <v>2247</v>
      </c>
      <c r="E1454" s="18">
        <v>1700000</v>
      </c>
      <c r="F1454" s="7">
        <f t="shared" si="102"/>
        <v>449092.70065858122</v>
      </c>
      <c r="G1454" s="7">
        <f t="shared" si="103"/>
        <v>1446.8006232477069</v>
      </c>
      <c r="H1454" s="10">
        <v>42628</v>
      </c>
      <c r="I1454" s="18" t="s">
        <v>1833</v>
      </c>
      <c r="J1454" s="18" t="s">
        <v>1807</v>
      </c>
      <c r="K1454" s="7">
        <v>168</v>
      </c>
      <c r="L1454" s="7" t="s">
        <v>2246</v>
      </c>
      <c r="M1454" s="7">
        <f t="shared" si="100"/>
        <v>0.16800000000000001</v>
      </c>
      <c r="N1454" s="7">
        <f t="shared" si="101"/>
        <v>52.147872000000007</v>
      </c>
    </row>
    <row r="1455" spans="1:14" ht="15.6" x14ac:dyDescent="0.3">
      <c r="A1455" s="7" t="s">
        <v>1780</v>
      </c>
      <c r="B1455" s="7">
        <v>13</v>
      </c>
      <c r="C1455" s="7">
        <v>37</v>
      </c>
      <c r="D1455" s="7" t="s">
        <v>2247</v>
      </c>
      <c r="E1455" s="18">
        <v>1700000</v>
      </c>
      <c r="F1455" s="7">
        <f t="shared" si="102"/>
        <v>449092.70065858122</v>
      </c>
      <c r="G1455" s="7">
        <f t="shared" si="103"/>
        <v>1446.8006232477069</v>
      </c>
      <c r="H1455" s="10">
        <v>42628</v>
      </c>
      <c r="I1455" s="18" t="s">
        <v>1833</v>
      </c>
      <c r="J1455" s="18" t="s">
        <v>1807</v>
      </c>
      <c r="K1455" s="7" t="s">
        <v>1716</v>
      </c>
      <c r="L1455" s="7" t="s">
        <v>2246</v>
      </c>
      <c r="M1455" s="7" t="str">
        <f t="shared" ref="M1455:M1518" si="104">IFERROR(K1455/1000,"ND")</f>
        <v>ND</v>
      </c>
      <c r="N1455" s="7" t="str">
        <f t="shared" si="101"/>
        <v>ND</v>
      </c>
    </row>
    <row r="1456" spans="1:14" ht="15.6" x14ac:dyDescent="0.3">
      <c r="A1456" s="7" t="s">
        <v>1757</v>
      </c>
      <c r="B1456" s="7">
        <v>13</v>
      </c>
      <c r="C1456" s="7">
        <v>37</v>
      </c>
      <c r="D1456" s="7" t="s">
        <v>2247</v>
      </c>
      <c r="E1456" s="18">
        <v>1700000</v>
      </c>
      <c r="F1456" s="7">
        <f t="shared" si="102"/>
        <v>449092.70065858122</v>
      </c>
      <c r="G1456" s="7">
        <f t="shared" si="103"/>
        <v>1446.8006232477069</v>
      </c>
      <c r="H1456" s="10">
        <v>42628</v>
      </c>
      <c r="I1456" s="18" t="s">
        <v>1833</v>
      </c>
      <c r="J1456" s="18" t="s">
        <v>1807</v>
      </c>
      <c r="K1456" s="7">
        <v>151</v>
      </c>
      <c r="L1456" s="7" t="s">
        <v>2246</v>
      </c>
      <c r="M1456" s="7">
        <f t="shared" si="104"/>
        <v>0.151</v>
      </c>
      <c r="N1456" s="7">
        <f t="shared" si="101"/>
        <v>46.871003999999999</v>
      </c>
    </row>
    <row r="1457" spans="1:14" ht="15.6" x14ac:dyDescent="0.3">
      <c r="A1457" s="7" t="s">
        <v>1781</v>
      </c>
      <c r="B1457" s="7">
        <v>13</v>
      </c>
      <c r="C1457" s="7">
        <v>37</v>
      </c>
      <c r="D1457" s="7" t="s">
        <v>2247</v>
      </c>
      <c r="E1457" s="18">
        <v>1700000</v>
      </c>
      <c r="F1457" s="7">
        <f t="shared" si="102"/>
        <v>449092.70065858122</v>
      </c>
      <c r="G1457" s="7">
        <f t="shared" si="103"/>
        <v>1446.8006232477069</v>
      </c>
      <c r="H1457" s="10">
        <v>42628</v>
      </c>
      <c r="I1457" s="18" t="s">
        <v>1833</v>
      </c>
      <c r="J1457" s="18" t="s">
        <v>1807</v>
      </c>
      <c r="K1457" s="7">
        <v>1300</v>
      </c>
      <c r="L1457" s="7" t="s">
        <v>2246</v>
      </c>
      <c r="M1457" s="7">
        <f t="shared" si="104"/>
        <v>1.3</v>
      </c>
      <c r="N1457" s="7">
        <f t="shared" si="101"/>
        <v>403.52520000000004</v>
      </c>
    </row>
    <row r="1458" spans="1:14" ht="15.6" x14ac:dyDescent="0.3">
      <c r="A1458" s="7" t="s">
        <v>2298</v>
      </c>
      <c r="B1458" s="7">
        <v>13</v>
      </c>
      <c r="C1458" s="7">
        <v>37</v>
      </c>
      <c r="D1458" s="7" t="s">
        <v>2247</v>
      </c>
      <c r="E1458" s="18">
        <v>1700000</v>
      </c>
      <c r="F1458" s="7">
        <f t="shared" si="102"/>
        <v>449092.70065858122</v>
      </c>
      <c r="G1458" s="7">
        <f t="shared" si="103"/>
        <v>1446.8006232477069</v>
      </c>
      <c r="H1458" s="10">
        <v>42628</v>
      </c>
      <c r="I1458" s="18" t="s">
        <v>1833</v>
      </c>
      <c r="J1458" s="18" t="s">
        <v>1807</v>
      </c>
      <c r="K1458" s="7" t="s">
        <v>1716</v>
      </c>
      <c r="L1458" s="7" t="s">
        <v>2246</v>
      </c>
      <c r="M1458" s="7" t="str">
        <f t="shared" si="104"/>
        <v>ND</v>
      </c>
      <c r="N1458" s="7" t="str">
        <f t="shared" si="101"/>
        <v>ND</v>
      </c>
    </row>
    <row r="1459" spans="1:14" ht="15.6" x14ac:dyDescent="0.3">
      <c r="A1459" s="7" t="s">
        <v>1758</v>
      </c>
      <c r="B1459" s="7">
        <v>13</v>
      </c>
      <c r="C1459" s="7">
        <v>37</v>
      </c>
      <c r="D1459" s="7" t="s">
        <v>2247</v>
      </c>
      <c r="E1459" s="18">
        <v>1700000</v>
      </c>
      <c r="F1459" s="7">
        <f t="shared" si="102"/>
        <v>449092.70065858122</v>
      </c>
      <c r="G1459" s="7">
        <f t="shared" si="103"/>
        <v>1446.8006232477069</v>
      </c>
      <c r="H1459" s="10">
        <v>42628</v>
      </c>
      <c r="I1459" s="18" t="s">
        <v>1833</v>
      </c>
      <c r="J1459" s="18" t="s">
        <v>1807</v>
      </c>
      <c r="K1459" s="7" t="s">
        <v>1716</v>
      </c>
      <c r="L1459" s="7" t="s">
        <v>2246</v>
      </c>
      <c r="M1459" s="7" t="str">
        <f t="shared" si="104"/>
        <v>ND</v>
      </c>
      <c r="N1459" s="7" t="str">
        <f t="shared" si="101"/>
        <v>ND</v>
      </c>
    </row>
    <row r="1460" spans="1:14" ht="15.6" x14ac:dyDescent="0.3">
      <c r="A1460" s="7" t="s">
        <v>1744</v>
      </c>
      <c r="B1460" s="7">
        <v>13</v>
      </c>
      <c r="C1460" s="7">
        <v>37</v>
      </c>
      <c r="D1460" s="7" t="s">
        <v>2247</v>
      </c>
      <c r="E1460" s="18">
        <v>1700000</v>
      </c>
      <c r="F1460" s="7">
        <f t="shared" si="102"/>
        <v>449092.70065858122</v>
      </c>
      <c r="G1460" s="7">
        <f t="shared" si="103"/>
        <v>1446.8006232477069</v>
      </c>
      <c r="H1460" s="10">
        <v>42628</v>
      </c>
      <c r="I1460" s="18" t="s">
        <v>1833</v>
      </c>
      <c r="J1460" s="18" t="s">
        <v>1807</v>
      </c>
      <c r="K1460" s="7">
        <v>23.5</v>
      </c>
      <c r="L1460" s="7" t="s">
        <v>2246</v>
      </c>
      <c r="M1460" s="7">
        <f t="shared" si="104"/>
        <v>2.35E-2</v>
      </c>
      <c r="N1460" s="7">
        <f t="shared" si="101"/>
        <v>7.2944939999999994</v>
      </c>
    </row>
    <row r="1461" spans="1:14" ht="15.6" x14ac:dyDescent="0.3">
      <c r="A1461" s="7" t="s">
        <v>1745</v>
      </c>
      <c r="B1461" s="7">
        <v>13</v>
      </c>
      <c r="C1461" s="7">
        <v>37</v>
      </c>
      <c r="D1461" s="7" t="s">
        <v>2247</v>
      </c>
      <c r="E1461" s="18">
        <v>1700000</v>
      </c>
      <c r="F1461" s="7">
        <f t="shared" si="102"/>
        <v>449092.70065858122</v>
      </c>
      <c r="G1461" s="7">
        <f t="shared" si="103"/>
        <v>1446.8006232477069</v>
      </c>
      <c r="H1461" s="10">
        <v>42628</v>
      </c>
      <c r="I1461" s="18" t="s">
        <v>1833</v>
      </c>
      <c r="J1461" s="18" t="s">
        <v>1807</v>
      </c>
      <c r="K1461" s="7">
        <v>3270</v>
      </c>
      <c r="L1461" s="7" t="s">
        <v>2246</v>
      </c>
      <c r="M1461" s="7">
        <f t="shared" si="104"/>
        <v>3.27</v>
      </c>
      <c r="N1461" s="7">
        <f t="shared" si="101"/>
        <v>1015.0210800000001</v>
      </c>
    </row>
    <row r="1462" spans="1:14" ht="15.6" x14ac:dyDescent="0.3">
      <c r="A1462" s="7" t="s">
        <v>1723</v>
      </c>
      <c r="B1462" s="7">
        <v>13</v>
      </c>
      <c r="C1462" s="7">
        <v>37</v>
      </c>
      <c r="D1462" s="7" t="s">
        <v>2247</v>
      </c>
      <c r="E1462" s="18">
        <v>1700000</v>
      </c>
      <c r="F1462" s="7">
        <f t="shared" si="102"/>
        <v>449092.70065858122</v>
      </c>
      <c r="G1462" s="7">
        <f t="shared" si="103"/>
        <v>1446.8006232477069</v>
      </c>
      <c r="H1462" s="10">
        <v>42628</v>
      </c>
      <c r="I1462" s="18" t="s">
        <v>1833</v>
      </c>
      <c r="J1462" s="18" t="s">
        <v>1807</v>
      </c>
      <c r="K1462" s="7">
        <v>481</v>
      </c>
      <c r="L1462" s="7" t="s">
        <v>2246</v>
      </c>
      <c r="M1462" s="7">
        <f t="shared" si="104"/>
        <v>0.48099999999999998</v>
      </c>
      <c r="N1462" s="7">
        <f t="shared" si="101"/>
        <v>149.30432399999998</v>
      </c>
    </row>
    <row r="1463" spans="1:14" ht="15.6" x14ac:dyDescent="0.3">
      <c r="A1463" s="7" t="s">
        <v>1719</v>
      </c>
      <c r="B1463" s="7">
        <v>13</v>
      </c>
      <c r="C1463" s="7">
        <v>37</v>
      </c>
      <c r="D1463" s="7" t="s">
        <v>2247</v>
      </c>
      <c r="E1463" s="18">
        <v>1700000</v>
      </c>
      <c r="F1463" s="7">
        <f t="shared" si="102"/>
        <v>449092.70065858122</v>
      </c>
      <c r="G1463" s="7">
        <f t="shared" si="103"/>
        <v>1446.8006232477069</v>
      </c>
      <c r="H1463" s="10">
        <v>42628</v>
      </c>
      <c r="I1463" s="18" t="s">
        <v>1833</v>
      </c>
      <c r="J1463" s="18" t="s">
        <v>1807</v>
      </c>
      <c r="K1463" s="7">
        <v>1240</v>
      </c>
      <c r="L1463" s="7" t="s">
        <v>2246</v>
      </c>
      <c r="M1463" s="7">
        <f t="shared" si="104"/>
        <v>1.24</v>
      </c>
      <c r="N1463" s="7">
        <f t="shared" si="101"/>
        <v>384.90095999999994</v>
      </c>
    </row>
    <row r="1464" spans="1:14" ht="15.6" x14ac:dyDescent="0.3">
      <c r="A1464" s="7" t="s">
        <v>1782</v>
      </c>
      <c r="B1464" s="7">
        <v>13</v>
      </c>
      <c r="C1464" s="7">
        <v>37</v>
      </c>
      <c r="D1464" s="7" t="s">
        <v>2247</v>
      </c>
      <c r="E1464" s="18">
        <v>1700000</v>
      </c>
      <c r="F1464" s="7">
        <f t="shared" si="102"/>
        <v>449092.70065858122</v>
      </c>
      <c r="G1464" s="7">
        <f t="shared" si="103"/>
        <v>1446.8006232477069</v>
      </c>
      <c r="H1464" s="10">
        <v>42628</v>
      </c>
      <c r="I1464" s="18" t="s">
        <v>1833</v>
      </c>
      <c r="J1464" s="18" t="s">
        <v>1807</v>
      </c>
      <c r="K1464" s="7">
        <v>249</v>
      </c>
      <c r="L1464" s="7" t="s">
        <v>2246</v>
      </c>
      <c r="M1464" s="7">
        <f t="shared" si="104"/>
        <v>0.249</v>
      </c>
      <c r="N1464" s="7">
        <f t="shared" si="101"/>
        <v>77.290595999999994</v>
      </c>
    </row>
    <row r="1465" spans="1:14" ht="15.6" x14ac:dyDescent="0.3">
      <c r="A1465" s="7" t="s">
        <v>1746</v>
      </c>
      <c r="B1465" s="7">
        <v>13</v>
      </c>
      <c r="C1465" s="7">
        <v>37</v>
      </c>
      <c r="D1465" s="7" t="s">
        <v>2247</v>
      </c>
      <c r="E1465" s="18">
        <v>1700000</v>
      </c>
      <c r="F1465" s="7">
        <f t="shared" si="102"/>
        <v>449092.70065858122</v>
      </c>
      <c r="G1465" s="7">
        <f t="shared" si="103"/>
        <v>1446.8006232477069</v>
      </c>
      <c r="H1465" s="10">
        <v>42628</v>
      </c>
      <c r="I1465" s="18" t="s">
        <v>1833</v>
      </c>
      <c r="J1465" s="18" t="s">
        <v>1807</v>
      </c>
      <c r="K1465" s="7">
        <v>762</v>
      </c>
      <c r="L1465" s="7" t="s">
        <v>2246</v>
      </c>
      <c r="M1465" s="7">
        <f t="shared" si="104"/>
        <v>0.76200000000000001</v>
      </c>
      <c r="N1465" s="7">
        <f t="shared" si="101"/>
        <v>236.52784800000001</v>
      </c>
    </row>
    <row r="1466" spans="1:14" ht="15.6" x14ac:dyDescent="0.3">
      <c r="A1466" s="7" t="s">
        <v>1783</v>
      </c>
      <c r="B1466" s="7">
        <v>13</v>
      </c>
      <c r="C1466" s="7">
        <v>37</v>
      </c>
      <c r="D1466" s="7" t="s">
        <v>2247</v>
      </c>
      <c r="E1466" s="18">
        <v>1700000</v>
      </c>
      <c r="F1466" s="7">
        <f t="shared" si="102"/>
        <v>449092.70065858122</v>
      </c>
      <c r="G1466" s="7">
        <f t="shared" si="103"/>
        <v>1446.8006232477069</v>
      </c>
      <c r="H1466" s="10">
        <v>42628</v>
      </c>
      <c r="I1466" s="18" t="s">
        <v>1833</v>
      </c>
      <c r="J1466" s="18" t="s">
        <v>1807</v>
      </c>
      <c r="K1466" s="7" t="s">
        <v>1716</v>
      </c>
      <c r="L1466" s="7" t="s">
        <v>2246</v>
      </c>
      <c r="M1466" s="7" t="str">
        <f t="shared" si="104"/>
        <v>ND</v>
      </c>
      <c r="N1466" s="7" t="str">
        <f t="shared" si="101"/>
        <v>ND</v>
      </c>
    </row>
    <row r="1467" spans="1:14" ht="15.6" x14ac:dyDescent="0.3">
      <c r="A1467" s="7" t="s">
        <v>1747</v>
      </c>
      <c r="B1467" s="7">
        <v>13</v>
      </c>
      <c r="C1467" s="7">
        <v>37</v>
      </c>
      <c r="D1467" s="7" t="s">
        <v>2247</v>
      </c>
      <c r="E1467" s="18">
        <v>1700000</v>
      </c>
      <c r="F1467" s="7">
        <f t="shared" si="102"/>
        <v>449092.70065858122</v>
      </c>
      <c r="G1467" s="7">
        <f t="shared" si="103"/>
        <v>1446.8006232477069</v>
      </c>
      <c r="H1467" s="10">
        <v>42628</v>
      </c>
      <c r="I1467" s="18" t="s">
        <v>1833</v>
      </c>
      <c r="J1467" s="18" t="s">
        <v>1807</v>
      </c>
      <c r="K1467" s="7">
        <v>635</v>
      </c>
      <c r="L1467" s="7" t="s">
        <v>2246</v>
      </c>
      <c r="M1467" s="7">
        <f t="shared" si="104"/>
        <v>0.63500000000000001</v>
      </c>
      <c r="N1467" s="7">
        <f t="shared" si="101"/>
        <v>197.10654</v>
      </c>
    </row>
    <row r="1468" spans="1:14" ht="15.6" x14ac:dyDescent="0.3">
      <c r="A1468" s="7" t="s">
        <v>1784</v>
      </c>
      <c r="B1468" s="7">
        <v>13</v>
      </c>
      <c r="C1468" s="7">
        <v>37</v>
      </c>
      <c r="D1468" s="7" t="s">
        <v>2247</v>
      </c>
      <c r="E1468" s="18">
        <v>1700000</v>
      </c>
      <c r="F1468" s="7">
        <f t="shared" si="102"/>
        <v>449092.70065858122</v>
      </c>
      <c r="G1468" s="7">
        <f t="shared" si="103"/>
        <v>1446.8006232477069</v>
      </c>
      <c r="H1468" s="10">
        <v>42628</v>
      </c>
      <c r="I1468" s="18" t="s">
        <v>1833</v>
      </c>
      <c r="J1468" s="18" t="s">
        <v>1807</v>
      </c>
      <c r="K1468" s="7">
        <v>52.3</v>
      </c>
      <c r="L1468" s="7" t="s">
        <v>2246</v>
      </c>
      <c r="M1468" s="7">
        <f t="shared" si="104"/>
        <v>5.2299999999999999E-2</v>
      </c>
      <c r="N1468" s="7">
        <f t="shared" si="101"/>
        <v>16.234129200000002</v>
      </c>
    </row>
    <row r="1469" spans="1:14" ht="15.6" x14ac:dyDescent="0.3">
      <c r="A1469" s="7" t="s">
        <v>2299</v>
      </c>
      <c r="B1469" s="7">
        <v>13</v>
      </c>
      <c r="C1469" s="7">
        <v>37</v>
      </c>
      <c r="D1469" s="7" t="s">
        <v>2247</v>
      </c>
      <c r="E1469" s="18">
        <v>1700000</v>
      </c>
      <c r="F1469" s="7">
        <f t="shared" si="102"/>
        <v>449092.70065858122</v>
      </c>
      <c r="G1469" s="7">
        <f t="shared" si="103"/>
        <v>1446.8006232477069</v>
      </c>
      <c r="H1469" s="10">
        <v>42628</v>
      </c>
      <c r="I1469" s="18" t="s">
        <v>1833</v>
      </c>
      <c r="J1469" s="18" t="s">
        <v>1807</v>
      </c>
      <c r="K1469" s="7">
        <v>1170</v>
      </c>
      <c r="L1469" s="7" t="s">
        <v>2246</v>
      </c>
      <c r="M1469" s="7">
        <f t="shared" si="104"/>
        <v>1.17</v>
      </c>
      <c r="N1469" s="7">
        <f t="shared" si="101"/>
        <v>363.17268000000001</v>
      </c>
    </row>
    <row r="1470" spans="1:14" ht="15.6" x14ac:dyDescent="0.3">
      <c r="A1470" s="7" t="s">
        <v>1785</v>
      </c>
      <c r="B1470" s="7">
        <v>13</v>
      </c>
      <c r="C1470" s="7">
        <v>37</v>
      </c>
      <c r="D1470" s="7" t="s">
        <v>2247</v>
      </c>
      <c r="E1470" s="18">
        <v>1700000</v>
      </c>
      <c r="F1470" s="7">
        <f t="shared" si="102"/>
        <v>449092.70065858122</v>
      </c>
      <c r="G1470" s="7">
        <f t="shared" si="103"/>
        <v>1446.8006232477069</v>
      </c>
      <c r="H1470" s="10">
        <v>42628</v>
      </c>
      <c r="I1470" s="18" t="s">
        <v>1833</v>
      </c>
      <c r="J1470" s="18" t="s">
        <v>1807</v>
      </c>
      <c r="K1470" s="7">
        <v>1870</v>
      </c>
      <c r="L1470" s="7" t="s">
        <v>2246</v>
      </c>
      <c r="M1470" s="7">
        <f t="shared" si="104"/>
        <v>1.87</v>
      </c>
      <c r="N1470" s="7">
        <f t="shared" si="101"/>
        <v>580.45548000000008</v>
      </c>
    </row>
    <row r="1471" spans="1:14" ht="15.6" x14ac:dyDescent="0.3">
      <c r="A1471" s="7" t="s">
        <v>1729</v>
      </c>
      <c r="B1471" s="7">
        <v>13</v>
      </c>
      <c r="C1471" s="7">
        <v>38</v>
      </c>
      <c r="D1471" s="7" t="s">
        <v>2300</v>
      </c>
      <c r="E1471" s="18">
        <v>3500000</v>
      </c>
      <c r="F1471" s="7">
        <f t="shared" si="102"/>
        <v>924602.61900296132</v>
      </c>
      <c r="G1471" s="7">
        <f t="shared" si="103"/>
        <v>2978.7071655099849</v>
      </c>
      <c r="H1471" s="10">
        <v>42581</v>
      </c>
      <c r="I1471" s="18" t="s">
        <v>1833</v>
      </c>
      <c r="J1471" s="18" t="s">
        <v>1807</v>
      </c>
      <c r="K1471" s="7">
        <v>58100</v>
      </c>
      <c r="L1471" s="7" t="s">
        <v>2246</v>
      </c>
      <c r="M1471" s="7">
        <f t="shared" si="104"/>
        <v>58.1</v>
      </c>
      <c r="N1471" s="7">
        <f t="shared" si="101"/>
        <v>18034.472399999999</v>
      </c>
    </row>
    <row r="1472" spans="1:14" ht="15.6" x14ac:dyDescent="0.3">
      <c r="A1472" s="7" t="s">
        <v>1769</v>
      </c>
      <c r="B1472" s="7">
        <v>13</v>
      </c>
      <c r="C1472" s="7">
        <v>38</v>
      </c>
      <c r="D1472" s="7" t="s">
        <v>2300</v>
      </c>
      <c r="E1472" s="18">
        <v>3500000</v>
      </c>
      <c r="F1472" s="7">
        <f t="shared" si="102"/>
        <v>924602.61900296132</v>
      </c>
      <c r="G1472" s="7">
        <f t="shared" si="103"/>
        <v>2978.7071655099849</v>
      </c>
      <c r="H1472" s="10">
        <v>42581</v>
      </c>
      <c r="I1472" s="18" t="s">
        <v>1833</v>
      </c>
      <c r="J1472" s="18" t="s">
        <v>1807</v>
      </c>
      <c r="K1472" s="7">
        <v>5070</v>
      </c>
      <c r="L1472" s="7" t="s">
        <v>2246</v>
      </c>
      <c r="M1472" s="7">
        <f t="shared" si="104"/>
        <v>5.07</v>
      </c>
      <c r="N1472" s="7">
        <f t="shared" si="101"/>
        <v>1573.74828</v>
      </c>
    </row>
    <row r="1473" spans="1:14" ht="15.6" x14ac:dyDescent="0.3">
      <c r="A1473" s="7" t="s">
        <v>1759</v>
      </c>
      <c r="B1473" s="7">
        <v>13</v>
      </c>
      <c r="C1473" s="7">
        <v>38</v>
      </c>
      <c r="D1473" s="7" t="s">
        <v>2300</v>
      </c>
      <c r="E1473" s="18">
        <v>3500000</v>
      </c>
      <c r="F1473" s="7">
        <f t="shared" si="102"/>
        <v>924602.61900296132</v>
      </c>
      <c r="G1473" s="7">
        <f t="shared" si="103"/>
        <v>2978.7071655099849</v>
      </c>
      <c r="H1473" s="10">
        <v>42581</v>
      </c>
      <c r="I1473" s="18" t="s">
        <v>1833</v>
      </c>
      <c r="J1473" s="18" t="s">
        <v>1807</v>
      </c>
      <c r="K1473" s="7">
        <v>36.4</v>
      </c>
      <c r="L1473" s="7" t="s">
        <v>2246</v>
      </c>
      <c r="M1473" s="7">
        <f t="shared" si="104"/>
        <v>3.6400000000000002E-2</v>
      </c>
      <c r="N1473" s="7">
        <f t="shared" si="101"/>
        <v>11.298705600000002</v>
      </c>
    </row>
    <row r="1474" spans="1:14" ht="15.6" x14ac:dyDescent="0.3">
      <c r="A1474" s="7" t="s">
        <v>1730</v>
      </c>
      <c r="B1474" s="7">
        <v>13</v>
      </c>
      <c r="C1474" s="7">
        <v>38</v>
      </c>
      <c r="D1474" s="7" t="s">
        <v>2300</v>
      </c>
      <c r="E1474" s="18">
        <v>3500000</v>
      </c>
      <c r="F1474" s="7">
        <f t="shared" si="102"/>
        <v>924602.61900296132</v>
      </c>
      <c r="G1474" s="7">
        <f t="shared" si="103"/>
        <v>2978.7071655099849</v>
      </c>
      <c r="H1474" s="10">
        <v>42581</v>
      </c>
      <c r="I1474" s="18" t="s">
        <v>1833</v>
      </c>
      <c r="J1474" s="18" t="s">
        <v>1807</v>
      </c>
      <c r="K1474" s="7">
        <v>53.4</v>
      </c>
      <c r="L1474" s="7" t="s">
        <v>2246</v>
      </c>
      <c r="M1474" s="7">
        <f t="shared" si="104"/>
        <v>5.3399999999999996E-2</v>
      </c>
      <c r="N1474" s="7">
        <f t="shared" si="101"/>
        <v>16.575573599999998</v>
      </c>
    </row>
    <row r="1475" spans="1:14" ht="15.6" x14ac:dyDescent="0.3">
      <c r="A1475" s="7" t="s">
        <v>1726</v>
      </c>
      <c r="B1475" s="7">
        <v>13</v>
      </c>
      <c r="C1475" s="7">
        <v>38</v>
      </c>
      <c r="D1475" s="7" t="s">
        <v>2300</v>
      </c>
      <c r="E1475" s="18">
        <v>3500000</v>
      </c>
      <c r="F1475" s="7">
        <f t="shared" si="102"/>
        <v>924602.61900296132</v>
      </c>
      <c r="G1475" s="7">
        <f t="shared" si="103"/>
        <v>2978.7071655099849</v>
      </c>
      <c r="H1475" s="10">
        <v>42581</v>
      </c>
      <c r="I1475" s="18" t="s">
        <v>1833</v>
      </c>
      <c r="J1475" s="18" t="s">
        <v>1807</v>
      </c>
      <c r="K1475" s="7">
        <v>303</v>
      </c>
      <c r="L1475" s="7" t="s">
        <v>2246</v>
      </c>
      <c r="M1475" s="7">
        <f t="shared" si="104"/>
        <v>0.30299999999999999</v>
      </c>
      <c r="N1475" s="7">
        <f t="shared" si="101"/>
        <v>94.05241199999999</v>
      </c>
    </row>
    <row r="1476" spans="1:14" ht="15.6" x14ac:dyDescent="0.3">
      <c r="A1476" s="7" t="s">
        <v>1753</v>
      </c>
      <c r="B1476" s="7">
        <v>13</v>
      </c>
      <c r="C1476" s="7">
        <v>38</v>
      </c>
      <c r="D1476" s="7" t="s">
        <v>2300</v>
      </c>
      <c r="E1476" s="18">
        <v>3500000</v>
      </c>
      <c r="F1476" s="7">
        <f t="shared" si="102"/>
        <v>924602.61900296132</v>
      </c>
      <c r="G1476" s="7">
        <f t="shared" si="103"/>
        <v>2978.7071655099849</v>
      </c>
      <c r="H1476" s="10">
        <v>42581</v>
      </c>
      <c r="I1476" s="18" t="s">
        <v>1833</v>
      </c>
      <c r="J1476" s="18" t="s">
        <v>1807</v>
      </c>
      <c r="K1476" s="7">
        <v>2040</v>
      </c>
      <c r="L1476" s="7" t="s">
        <v>2246</v>
      </c>
      <c r="M1476" s="7">
        <f t="shared" si="104"/>
        <v>2.04</v>
      </c>
      <c r="N1476" s="7">
        <f t="shared" si="101"/>
        <v>633.22415999999998</v>
      </c>
    </row>
    <row r="1477" spans="1:14" ht="15.6" x14ac:dyDescent="0.3">
      <c r="A1477" s="7" t="s">
        <v>1732</v>
      </c>
      <c r="B1477" s="7">
        <v>13</v>
      </c>
      <c r="C1477" s="7">
        <v>38</v>
      </c>
      <c r="D1477" s="7" t="s">
        <v>2300</v>
      </c>
      <c r="E1477" s="18">
        <v>3500000</v>
      </c>
      <c r="F1477" s="7">
        <f t="shared" si="102"/>
        <v>924602.61900296132</v>
      </c>
      <c r="G1477" s="7">
        <f t="shared" si="103"/>
        <v>2978.7071655099849</v>
      </c>
      <c r="H1477" s="10">
        <v>42581</v>
      </c>
      <c r="I1477" s="18" t="s">
        <v>1833</v>
      </c>
      <c r="J1477" s="18" t="s">
        <v>1807</v>
      </c>
      <c r="K1477" s="7">
        <v>173</v>
      </c>
      <c r="L1477" s="7" t="s">
        <v>2246</v>
      </c>
      <c r="M1477" s="7">
        <f t="shared" si="104"/>
        <v>0.17299999999999999</v>
      </c>
      <c r="N1477" s="7">
        <f t="shared" si="101"/>
        <v>53.699891999999998</v>
      </c>
    </row>
    <row r="1478" spans="1:14" ht="15.6" x14ac:dyDescent="0.3">
      <c r="A1478" s="7" t="s">
        <v>1733</v>
      </c>
      <c r="B1478" s="7">
        <v>13</v>
      </c>
      <c r="C1478" s="7">
        <v>38</v>
      </c>
      <c r="D1478" s="7" t="s">
        <v>2300</v>
      </c>
      <c r="E1478" s="18">
        <v>3500000</v>
      </c>
      <c r="F1478" s="7">
        <f t="shared" si="102"/>
        <v>924602.61900296132</v>
      </c>
      <c r="G1478" s="7">
        <f t="shared" si="103"/>
        <v>2978.7071655099849</v>
      </c>
      <c r="H1478" s="10">
        <v>42581</v>
      </c>
      <c r="I1478" s="18" t="s">
        <v>1833</v>
      </c>
      <c r="J1478" s="18" t="s">
        <v>1807</v>
      </c>
      <c r="K1478" s="7">
        <v>213</v>
      </c>
      <c r="L1478" s="7" t="s">
        <v>2246</v>
      </c>
      <c r="M1478" s="7">
        <f t="shared" si="104"/>
        <v>0.21299999999999999</v>
      </c>
      <c r="N1478" s="7">
        <f t="shared" si="101"/>
        <v>66.116051999999996</v>
      </c>
    </row>
    <row r="1479" spans="1:14" ht="15.6" x14ac:dyDescent="0.3">
      <c r="A1479" s="7" t="s">
        <v>1735</v>
      </c>
      <c r="B1479" s="7">
        <v>13</v>
      </c>
      <c r="C1479" s="7">
        <v>38</v>
      </c>
      <c r="D1479" s="7" t="s">
        <v>2300</v>
      </c>
      <c r="E1479" s="18">
        <v>3500000</v>
      </c>
      <c r="F1479" s="7">
        <f t="shared" si="102"/>
        <v>924602.61900296132</v>
      </c>
      <c r="G1479" s="7">
        <f t="shared" si="103"/>
        <v>2978.7071655099849</v>
      </c>
      <c r="H1479" s="10">
        <v>42581</v>
      </c>
      <c r="I1479" s="18" t="s">
        <v>1833</v>
      </c>
      <c r="J1479" s="18" t="s">
        <v>1807</v>
      </c>
      <c r="K1479" s="7">
        <v>370</v>
      </c>
      <c r="L1479" s="7" t="s">
        <v>2246</v>
      </c>
      <c r="M1479" s="7">
        <f t="shared" si="104"/>
        <v>0.37</v>
      </c>
      <c r="N1479" s="7">
        <f t="shared" si="101"/>
        <v>114.84948</v>
      </c>
    </row>
    <row r="1480" spans="1:14" ht="15.6" x14ac:dyDescent="0.3">
      <c r="A1480" s="7" t="s">
        <v>1713</v>
      </c>
      <c r="B1480" s="7">
        <v>13</v>
      </c>
      <c r="C1480" s="7">
        <v>38</v>
      </c>
      <c r="D1480" s="7" t="s">
        <v>2300</v>
      </c>
      <c r="E1480" s="18">
        <v>3500000</v>
      </c>
      <c r="F1480" s="7">
        <f t="shared" si="102"/>
        <v>924602.61900296132</v>
      </c>
      <c r="G1480" s="7">
        <f t="shared" si="103"/>
        <v>2978.7071655099849</v>
      </c>
      <c r="H1480" s="10">
        <v>42581</v>
      </c>
      <c r="I1480" s="18" t="s">
        <v>1833</v>
      </c>
      <c r="J1480" s="18" t="s">
        <v>1807</v>
      </c>
      <c r="K1480" s="7">
        <v>94.2</v>
      </c>
      <c r="L1480" s="7" t="s">
        <v>2246</v>
      </c>
      <c r="M1480" s="7">
        <f t="shared" si="104"/>
        <v>9.4200000000000006E-2</v>
      </c>
      <c r="N1480" s="7">
        <f t="shared" si="101"/>
        <v>29.240056800000001</v>
      </c>
    </row>
    <row r="1481" spans="1:14" ht="15.6" x14ac:dyDescent="0.3">
      <c r="A1481" s="7" t="s">
        <v>1764</v>
      </c>
      <c r="B1481" s="7">
        <v>13</v>
      </c>
      <c r="C1481" s="7">
        <v>38</v>
      </c>
      <c r="D1481" s="7" t="s">
        <v>2300</v>
      </c>
      <c r="E1481" s="18">
        <v>3500000</v>
      </c>
      <c r="F1481" s="7">
        <f t="shared" si="102"/>
        <v>924602.61900296132</v>
      </c>
      <c r="G1481" s="7">
        <f t="shared" si="103"/>
        <v>2978.7071655099849</v>
      </c>
      <c r="H1481" s="10">
        <v>42581</v>
      </c>
      <c r="I1481" s="18" t="s">
        <v>1833</v>
      </c>
      <c r="J1481" s="18" t="s">
        <v>1807</v>
      </c>
      <c r="K1481" s="7">
        <v>2000</v>
      </c>
      <c r="L1481" s="7" t="s">
        <v>2246</v>
      </c>
      <c r="M1481" s="7">
        <f t="shared" si="104"/>
        <v>2</v>
      </c>
      <c r="N1481" s="7">
        <f t="shared" si="101"/>
        <v>620.80799999999999</v>
      </c>
    </row>
    <row r="1482" spans="1:14" ht="15.6" x14ac:dyDescent="0.3">
      <c r="A1482" s="7" t="s">
        <v>1770</v>
      </c>
      <c r="B1482" s="7">
        <v>13</v>
      </c>
      <c r="C1482" s="7">
        <v>38</v>
      </c>
      <c r="D1482" s="7" t="s">
        <v>2300</v>
      </c>
      <c r="E1482" s="18">
        <v>3500000</v>
      </c>
      <c r="F1482" s="7">
        <f t="shared" si="102"/>
        <v>924602.61900296132</v>
      </c>
      <c r="G1482" s="7">
        <f t="shared" si="103"/>
        <v>2978.7071655099849</v>
      </c>
      <c r="H1482" s="10">
        <v>42581</v>
      </c>
      <c r="I1482" s="18" t="s">
        <v>1833</v>
      </c>
      <c r="J1482" s="18" t="s">
        <v>1807</v>
      </c>
      <c r="K1482" s="7">
        <v>86.3</v>
      </c>
      <c r="L1482" s="7" t="s">
        <v>2246</v>
      </c>
      <c r="M1482" s="7">
        <f t="shared" si="104"/>
        <v>8.6300000000000002E-2</v>
      </c>
      <c r="N1482" s="7">
        <f t="shared" si="101"/>
        <v>26.787865200000002</v>
      </c>
    </row>
    <row r="1483" spans="1:14" ht="15.6" x14ac:dyDescent="0.3">
      <c r="A1483" s="7" t="s">
        <v>1722</v>
      </c>
      <c r="B1483" s="7">
        <v>13</v>
      </c>
      <c r="C1483" s="7">
        <v>38</v>
      </c>
      <c r="D1483" s="7" t="s">
        <v>2300</v>
      </c>
      <c r="E1483" s="18">
        <v>3500000</v>
      </c>
      <c r="F1483" s="7">
        <f t="shared" si="102"/>
        <v>924602.61900296132</v>
      </c>
      <c r="G1483" s="7">
        <f t="shared" si="103"/>
        <v>2978.7071655099849</v>
      </c>
      <c r="H1483" s="10">
        <v>42581</v>
      </c>
      <c r="I1483" s="18" t="s">
        <v>1833</v>
      </c>
      <c r="J1483" s="18" t="s">
        <v>1807</v>
      </c>
      <c r="K1483" s="7">
        <v>14.6</v>
      </c>
      <c r="L1483" s="7" t="s">
        <v>2246</v>
      </c>
      <c r="M1483" s="7">
        <f t="shared" si="104"/>
        <v>1.46E-2</v>
      </c>
      <c r="N1483" s="7">
        <f t="shared" si="101"/>
        <v>4.5318984000000002</v>
      </c>
    </row>
    <row r="1484" spans="1:14" ht="15.6" x14ac:dyDescent="0.3">
      <c r="A1484" s="7" t="s">
        <v>1749</v>
      </c>
      <c r="B1484" s="7">
        <v>13</v>
      </c>
      <c r="C1484" s="7">
        <v>38</v>
      </c>
      <c r="D1484" s="7" t="s">
        <v>2300</v>
      </c>
      <c r="E1484" s="18">
        <v>3500000</v>
      </c>
      <c r="F1484" s="7">
        <f t="shared" si="102"/>
        <v>924602.61900296132</v>
      </c>
      <c r="G1484" s="7">
        <f t="shared" si="103"/>
        <v>2978.7071655099849</v>
      </c>
      <c r="H1484" s="10">
        <v>42581</v>
      </c>
      <c r="I1484" s="18" t="s">
        <v>1833</v>
      </c>
      <c r="J1484" s="18" t="s">
        <v>1807</v>
      </c>
      <c r="K1484" s="7">
        <v>378</v>
      </c>
      <c r="L1484" s="7" t="s">
        <v>2246</v>
      </c>
      <c r="M1484" s="7">
        <f t="shared" si="104"/>
        <v>0.378</v>
      </c>
      <c r="N1484" s="7">
        <f t="shared" si="101"/>
        <v>117.332712</v>
      </c>
    </row>
    <row r="1485" spans="1:14" ht="15.6" x14ac:dyDescent="0.3">
      <c r="A1485" s="7" t="s">
        <v>1748</v>
      </c>
      <c r="B1485" s="7">
        <v>13</v>
      </c>
      <c r="C1485" s="7">
        <v>38</v>
      </c>
      <c r="D1485" s="7" t="s">
        <v>2300</v>
      </c>
      <c r="E1485" s="18">
        <v>3500000</v>
      </c>
      <c r="F1485" s="7">
        <f t="shared" si="102"/>
        <v>924602.61900296132</v>
      </c>
      <c r="G1485" s="7">
        <f t="shared" si="103"/>
        <v>2978.7071655099849</v>
      </c>
      <c r="H1485" s="10">
        <v>42581</v>
      </c>
      <c r="I1485" s="18" t="s">
        <v>1833</v>
      </c>
      <c r="J1485" s="18" t="s">
        <v>1807</v>
      </c>
      <c r="K1485" s="7">
        <v>2520</v>
      </c>
      <c r="L1485" s="7" t="s">
        <v>2246</v>
      </c>
      <c r="M1485" s="7">
        <f t="shared" si="104"/>
        <v>2.52</v>
      </c>
      <c r="N1485" s="7">
        <f t="shared" si="101"/>
        <v>782.21807999999987</v>
      </c>
    </row>
    <row r="1486" spans="1:14" ht="15.6" x14ac:dyDescent="0.3">
      <c r="A1486" s="7" t="s">
        <v>1738</v>
      </c>
      <c r="B1486" s="7">
        <v>13</v>
      </c>
      <c r="C1486" s="7">
        <v>38</v>
      </c>
      <c r="D1486" s="7" t="s">
        <v>2300</v>
      </c>
      <c r="E1486" s="18">
        <v>3500000</v>
      </c>
      <c r="F1486" s="7">
        <f t="shared" si="102"/>
        <v>924602.61900296132</v>
      </c>
      <c r="G1486" s="7">
        <f t="shared" si="103"/>
        <v>2978.7071655099849</v>
      </c>
      <c r="H1486" s="10">
        <v>42581</v>
      </c>
      <c r="I1486" s="18" t="s">
        <v>1833</v>
      </c>
      <c r="J1486" s="18" t="s">
        <v>1807</v>
      </c>
      <c r="K1486" s="7">
        <v>20.100000000000001</v>
      </c>
      <c r="L1486" s="7" t="s">
        <v>2246</v>
      </c>
      <c r="M1486" s="7">
        <f t="shared" si="104"/>
        <v>2.01E-2</v>
      </c>
      <c r="N1486" s="7">
        <f t="shared" si="101"/>
        <v>6.2391204</v>
      </c>
    </row>
    <row r="1487" spans="1:14" ht="15.6" x14ac:dyDescent="0.3">
      <c r="A1487" s="7" t="s">
        <v>1771</v>
      </c>
      <c r="B1487" s="7">
        <v>13</v>
      </c>
      <c r="C1487" s="7">
        <v>38</v>
      </c>
      <c r="D1487" s="7" t="s">
        <v>2300</v>
      </c>
      <c r="E1487" s="18">
        <v>3500000</v>
      </c>
      <c r="F1487" s="7">
        <f t="shared" si="102"/>
        <v>924602.61900296132</v>
      </c>
      <c r="G1487" s="7">
        <f t="shared" si="103"/>
        <v>2978.7071655099849</v>
      </c>
      <c r="H1487" s="10">
        <v>42581</v>
      </c>
      <c r="I1487" s="18" t="s">
        <v>1833</v>
      </c>
      <c r="J1487" s="18" t="s">
        <v>1807</v>
      </c>
      <c r="K1487" s="7">
        <v>147</v>
      </c>
      <c r="L1487" s="7" t="s">
        <v>2246</v>
      </c>
      <c r="M1487" s="7">
        <f t="shared" si="104"/>
        <v>0.14699999999999999</v>
      </c>
      <c r="N1487" s="7">
        <f t="shared" si="101"/>
        <v>45.629387999999999</v>
      </c>
    </row>
    <row r="1488" spans="1:14" ht="15.6" x14ac:dyDescent="0.3">
      <c r="A1488" s="7" t="s">
        <v>1754</v>
      </c>
      <c r="B1488" s="7">
        <v>13</v>
      </c>
      <c r="C1488" s="7">
        <v>38</v>
      </c>
      <c r="D1488" s="7" t="s">
        <v>2300</v>
      </c>
      <c r="E1488" s="18">
        <v>3500000</v>
      </c>
      <c r="F1488" s="7">
        <f t="shared" si="102"/>
        <v>924602.61900296132</v>
      </c>
      <c r="G1488" s="7">
        <f t="shared" si="103"/>
        <v>2978.7071655099849</v>
      </c>
      <c r="H1488" s="10">
        <v>42581</v>
      </c>
      <c r="I1488" s="18" t="s">
        <v>1833</v>
      </c>
      <c r="J1488" s="18" t="s">
        <v>1807</v>
      </c>
      <c r="K1488" s="7">
        <v>23.1</v>
      </c>
      <c r="L1488" s="7" t="s">
        <v>2246</v>
      </c>
      <c r="M1488" s="7">
        <f t="shared" si="104"/>
        <v>2.3100000000000002E-2</v>
      </c>
      <c r="N1488" s="7">
        <f t="shared" si="101"/>
        <v>7.1703324000000004</v>
      </c>
    </row>
    <row r="1489" spans="1:14" ht="15.6" x14ac:dyDescent="0.3">
      <c r="A1489" s="7" t="s">
        <v>1772</v>
      </c>
      <c r="B1489" s="7">
        <v>13</v>
      </c>
      <c r="C1489" s="7">
        <v>38</v>
      </c>
      <c r="D1489" s="7" t="s">
        <v>2300</v>
      </c>
      <c r="E1489" s="18">
        <v>3500000</v>
      </c>
      <c r="F1489" s="7">
        <f t="shared" si="102"/>
        <v>924602.61900296132</v>
      </c>
      <c r="G1489" s="7">
        <f t="shared" si="103"/>
        <v>2978.7071655099849</v>
      </c>
      <c r="H1489" s="10">
        <v>42581</v>
      </c>
      <c r="I1489" s="18" t="s">
        <v>1833</v>
      </c>
      <c r="J1489" s="18" t="s">
        <v>1807</v>
      </c>
      <c r="K1489" s="7">
        <v>3670</v>
      </c>
      <c r="L1489" s="7" t="s">
        <v>2246</v>
      </c>
      <c r="M1489" s="7">
        <f t="shared" si="104"/>
        <v>3.67</v>
      </c>
      <c r="N1489" s="7">
        <f t="shared" si="101"/>
        <v>1139.1826799999999</v>
      </c>
    </row>
    <row r="1490" spans="1:14" ht="15.6" x14ac:dyDescent="0.3">
      <c r="A1490" s="7" t="s">
        <v>1773</v>
      </c>
      <c r="B1490" s="7">
        <v>13</v>
      </c>
      <c r="C1490" s="7">
        <v>38</v>
      </c>
      <c r="D1490" s="7" t="s">
        <v>2300</v>
      </c>
      <c r="E1490" s="18">
        <v>3500000</v>
      </c>
      <c r="F1490" s="7">
        <f t="shared" si="102"/>
        <v>924602.61900296132</v>
      </c>
      <c r="G1490" s="7">
        <f t="shared" si="103"/>
        <v>2978.7071655099849</v>
      </c>
      <c r="H1490" s="10">
        <v>42581</v>
      </c>
      <c r="I1490" s="18" t="s">
        <v>1833</v>
      </c>
      <c r="J1490" s="18" t="s">
        <v>1807</v>
      </c>
      <c r="K1490" s="7">
        <v>316</v>
      </c>
      <c r="L1490" s="7" t="s">
        <v>2246</v>
      </c>
      <c r="M1490" s="7">
        <f t="shared" si="104"/>
        <v>0.316</v>
      </c>
      <c r="N1490" s="7">
        <f t="shared" si="101"/>
        <v>98.08766399999999</v>
      </c>
    </row>
    <row r="1491" spans="1:14" ht="15.6" x14ac:dyDescent="0.3">
      <c r="A1491" s="7" t="s">
        <v>1728</v>
      </c>
      <c r="B1491" s="7">
        <v>13</v>
      </c>
      <c r="C1491" s="7">
        <v>38</v>
      </c>
      <c r="D1491" s="7" t="s">
        <v>2300</v>
      </c>
      <c r="E1491" s="18">
        <v>3500000</v>
      </c>
      <c r="F1491" s="7">
        <f t="shared" si="102"/>
        <v>924602.61900296132</v>
      </c>
      <c r="G1491" s="7">
        <f t="shared" si="103"/>
        <v>2978.7071655099849</v>
      </c>
      <c r="H1491" s="10">
        <v>42581</v>
      </c>
      <c r="I1491" s="18" t="s">
        <v>1833</v>
      </c>
      <c r="J1491" s="18" t="s">
        <v>1807</v>
      </c>
      <c r="K1491" s="7">
        <v>48.7</v>
      </c>
      <c r="L1491" s="7" t="s">
        <v>2246</v>
      </c>
      <c r="M1491" s="7">
        <f t="shared" si="104"/>
        <v>4.87E-2</v>
      </c>
      <c r="N1491" s="7">
        <f t="shared" si="101"/>
        <v>15.1166748</v>
      </c>
    </row>
    <row r="1492" spans="1:14" ht="15.6" x14ac:dyDescent="0.3">
      <c r="A1492" s="7" t="s">
        <v>1774</v>
      </c>
      <c r="B1492" s="7">
        <v>13</v>
      </c>
      <c r="C1492" s="7">
        <v>38</v>
      </c>
      <c r="D1492" s="7" t="s">
        <v>2300</v>
      </c>
      <c r="E1492" s="18">
        <v>3500000</v>
      </c>
      <c r="F1492" s="7">
        <f t="shared" si="102"/>
        <v>924602.61900296132</v>
      </c>
      <c r="G1492" s="7">
        <f t="shared" si="103"/>
        <v>2978.7071655099849</v>
      </c>
      <c r="H1492" s="10">
        <v>42581</v>
      </c>
      <c r="I1492" s="18" t="s">
        <v>1833</v>
      </c>
      <c r="J1492" s="18" t="s">
        <v>1807</v>
      </c>
      <c r="K1492" s="7">
        <v>6.19</v>
      </c>
      <c r="L1492" s="7" t="s">
        <v>2246</v>
      </c>
      <c r="M1492" s="7">
        <f t="shared" si="104"/>
        <v>6.1900000000000002E-3</v>
      </c>
      <c r="N1492" s="7">
        <f t="shared" si="101"/>
        <v>1.9214007599999998</v>
      </c>
    </row>
    <row r="1493" spans="1:14" ht="15.6" x14ac:dyDescent="0.3">
      <c r="A1493" s="7" t="s">
        <v>1715</v>
      </c>
      <c r="B1493" s="7">
        <v>13</v>
      </c>
      <c r="C1493" s="7">
        <v>38</v>
      </c>
      <c r="D1493" s="7" t="s">
        <v>2300</v>
      </c>
      <c r="E1493" s="18">
        <v>3500000</v>
      </c>
      <c r="F1493" s="7">
        <f t="shared" si="102"/>
        <v>924602.61900296132</v>
      </c>
      <c r="G1493" s="7">
        <f t="shared" si="103"/>
        <v>2978.7071655099849</v>
      </c>
      <c r="H1493" s="10">
        <v>42581</v>
      </c>
      <c r="I1493" s="18" t="s">
        <v>1833</v>
      </c>
      <c r="J1493" s="18" t="s">
        <v>1807</v>
      </c>
      <c r="K1493" s="7">
        <v>71.900000000000006</v>
      </c>
      <c r="L1493" s="7" t="s">
        <v>2246</v>
      </c>
      <c r="M1493" s="7">
        <f t="shared" si="104"/>
        <v>7.1900000000000006E-2</v>
      </c>
      <c r="N1493" s="7">
        <f t="shared" si="101"/>
        <v>22.318047600000003</v>
      </c>
    </row>
    <row r="1494" spans="1:14" ht="15.6" x14ac:dyDescent="0.3">
      <c r="A1494" s="7" t="s">
        <v>1775</v>
      </c>
      <c r="B1494" s="7">
        <v>13</v>
      </c>
      <c r="C1494" s="7">
        <v>38</v>
      </c>
      <c r="D1494" s="7" t="s">
        <v>2300</v>
      </c>
      <c r="E1494" s="18">
        <v>3500000</v>
      </c>
      <c r="F1494" s="7">
        <f t="shared" si="102"/>
        <v>924602.61900296132</v>
      </c>
      <c r="G1494" s="7">
        <f t="shared" si="103"/>
        <v>2978.7071655099849</v>
      </c>
      <c r="H1494" s="10">
        <v>42581</v>
      </c>
      <c r="I1494" s="18" t="s">
        <v>1833</v>
      </c>
      <c r="J1494" s="18" t="s">
        <v>1807</v>
      </c>
      <c r="K1494" s="7">
        <v>8.19</v>
      </c>
      <c r="L1494" s="7" t="s">
        <v>2246</v>
      </c>
      <c r="M1494" s="7">
        <f t="shared" si="104"/>
        <v>8.1899999999999994E-3</v>
      </c>
      <c r="N1494" s="7">
        <f t="shared" si="101"/>
        <v>2.5422087599999998</v>
      </c>
    </row>
    <row r="1495" spans="1:14" ht="15.6" x14ac:dyDescent="0.3">
      <c r="A1495" s="7" t="s">
        <v>1776</v>
      </c>
      <c r="B1495" s="7">
        <v>13</v>
      </c>
      <c r="C1495" s="7">
        <v>38</v>
      </c>
      <c r="D1495" s="7" t="s">
        <v>2300</v>
      </c>
      <c r="E1495" s="18">
        <v>3500000</v>
      </c>
      <c r="F1495" s="7">
        <f t="shared" si="102"/>
        <v>924602.61900296132</v>
      </c>
      <c r="G1495" s="7">
        <f t="shared" si="103"/>
        <v>2978.7071655099849</v>
      </c>
      <c r="H1495" s="10">
        <v>42581</v>
      </c>
      <c r="I1495" s="18" t="s">
        <v>1833</v>
      </c>
      <c r="J1495" s="18" t="s">
        <v>1807</v>
      </c>
      <c r="K1495" s="7">
        <v>63.5</v>
      </c>
      <c r="L1495" s="7" t="s">
        <v>2246</v>
      </c>
      <c r="M1495" s="7">
        <f t="shared" si="104"/>
        <v>6.3500000000000001E-2</v>
      </c>
      <c r="N1495" s="7">
        <f t="shared" si="101"/>
        <v>19.710653999999998</v>
      </c>
    </row>
    <row r="1496" spans="1:14" ht="15.6" x14ac:dyDescent="0.3">
      <c r="A1496" s="7" t="s">
        <v>1777</v>
      </c>
      <c r="B1496" s="7">
        <v>13</v>
      </c>
      <c r="C1496" s="7">
        <v>38</v>
      </c>
      <c r="D1496" s="7" t="s">
        <v>2300</v>
      </c>
      <c r="E1496" s="18">
        <v>3500000</v>
      </c>
      <c r="F1496" s="7">
        <f t="shared" si="102"/>
        <v>924602.61900296132</v>
      </c>
      <c r="G1496" s="7">
        <f t="shared" si="103"/>
        <v>2978.7071655099849</v>
      </c>
      <c r="H1496" s="10">
        <v>42581</v>
      </c>
      <c r="I1496" s="18" t="s">
        <v>1833</v>
      </c>
      <c r="J1496" s="18" t="s">
        <v>1807</v>
      </c>
      <c r="K1496" s="7">
        <v>28400</v>
      </c>
      <c r="L1496" s="7" t="s">
        <v>2246</v>
      </c>
      <c r="M1496" s="7">
        <f t="shared" si="104"/>
        <v>28.4</v>
      </c>
      <c r="N1496" s="7">
        <f t="shared" si="101"/>
        <v>8815.4735999999994</v>
      </c>
    </row>
    <row r="1497" spans="1:14" ht="15.6" x14ac:dyDescent="0.3">
      <c r="A1497" s="7" t="s">
        <v>1778</v>
      </c>
      <c r="B1497" s="7">
        <v>13</v>
      </c>
      <c r="C1497" s="7">
        <v>38</v>
      </c>
      <c r="D1497" s="7" t="s">
        <v>2300</v>
      </c>
      <c r="E1497" s="18">
        <v>3500000</v>
      </c>
      <c r="F1497" s="7">
        <f t="shared" si="102"/>
        <v>924602.61900296132</v>
      </c>
      <c r="G1497" s="7">
        <f t="shared" si="103"/>
        <v>2978.7071655099849</v>
      </c>
      <c r="H1497" s="10">
        <v>42581</v>
      </c>
      <c r="I1497" s="18" t="s">
        <v>1833</v>
      </c>
      <c r="J1497" s="18" t="s">
        <v>1807</v>
      </c>
      <c r="K1497" s="7">
        <v>3510</v>
      </c>
      <c r="L1497" s="7" t="s">
        <v>2246</v>
      </c>
      <c r="M1497" s="7">
        <f t="shared" si="104"/>
        <v>3.51</v>
      </c>
      <c r="N1497" s="7">
        <f t="shared" si="101"/>
        <v>1089.5180399999999</v>
      </c>
    </row>
    <row r="1498" spans="1:14" ht="15.6" x14ac:dyDescent="0.3">
      <c r="A1498" s="7" t="s">
        <v>1756</v>
      </c>
      <c r="B1498" s="7">
        <v>13</v>
      </c>
      <c r="C1498" s="7">
        <v>38</v>
      </c>
      <c r="D1498" s="7" t="s">
        <v>2300</v>
      </c>
      <c r="E1498" s="18">
        <v>3500000</v>
      </c>
      <c r="F1498" s="7">
        <f t="shared" si="102"/>
        <v>924602.61900296132</v>
      </c>
      <c r="G1498" s="7">
        <f t="shared" si="103"/>
        <v>2978.7071655099849</v>
      </c>
      <c r="H1498" s="10">
        <v>42581</v>
      </c>
      <c r="I1498" s="18" t="s">
        <v>1833</v>
      </c>
      <c r="J1498" s="18" t="s">
        <v>1807</v>
      </c>
      <c r="K1498" s="7">
        <v>552</v>
      </c>
      <c r="L1498" s="7" t="s">
        <v>2246</v>
      </c>
      <c r="M1498" s="7">
        <f t="shared" si="104"/>
        <v>0.55200000000000005</v>
      </c>
      <c r="N1498" s="7">
        <f t="shared" si="101"/>
        <v>171.343008</v>
      </c>
    </row>
    <row r="1499" spans="1:14" ht="15.6" x14ac:dyDescent="0.3">
      <c r="A1499" s="7" t="s">
        <v>1714</v>
      </c>
      <c r="B1499" s="7">
        <v>13</v>
      </c>
      <c r="C1499" s="7">
        <v>38</v>
      </c>
      <c r="D1499" s="7" t="s">
        <v>2300</v>
      </c>
      <c r="E1499" s="18">
        <v>3500000</v>
      </c>
      <c r="F1499" s="7">
        <f t="shared" si="102"/>
        <v>924602.61900296132</v>
      </c>
      <c r="G1499" s="7">
        <f t="shared" si="103"/>
        <v>2978.7071655099849</v>
      </c>
      <c r="H1499" s="10">
        <v>42581</v>
      </c>
      <c r="I1499" s="18" t="s">
        <v>1833</v>
      </c>
      <c r="J1499" s="18" t="s">
        <v>1807</v>
      </c>
      <c r="K1499" s="7">
        <v>444</v>
      </c>
      <c r="L1499" s="7" t="s">
        <v>2246</v>
      </c>
      <c r="M1499" s="7">
        <f t="shared" si="104"/>
        <v>0.44400000000000001</v>
      </c>
      <c r="N1499" s="7">
        <f t="shared" si="101"/>
        <v>137.81937600000001</v>
      </c>
    </row>
    <row r="1500" spans="1:14" ht="15.6" x14ac:dyDescent="0.3">
      <c r="A1500" s="7" t="s">
        <v>1779</v>
      </c>
      <c r="B1500" s="7">
        <v>13</v>
      </c>
      <c r="C1500" s="7">
        <v>38</v>
      </c>
      <c r="D1500" s="7" t="s">
        <v>2300</v>
      </c>
      <c r="E1500" s="18">
        <v>3500000</v>
      </c>
      <c r="F1500" s="7">
        <f t="shared" si="102"/>
        <v>924602.61900296132</v>
      </c>
      <c r="G1500" s="7">
        <f t="shared" si="103"/>
        <v>2978.7071655099849</v>
      </c>
      <c r="H1500" s="10">
        <v>42581</v>
      </c>
      <c r="I1500" s="18" t="s">
        <v>1833</v>
      </c>
      <c r="J1500" s="18" t="s">
        <v>1807</v>
      </c>
      <c r="K1500" s="7">
        <v>18</v>
      </c>
      <c r="L1500" s="7" t="s">
        <v>2246</v>
      </c>
      <c r="M1500" s="7">
        <f t="shared" si="104"/>
        <v>1.7999999999999999E-2</v>
      </c>
      <c r="N1500" s="7">
        <f t="shared" si="101"/>
        <v>5.5872719999999996</v>
      </c>
    </row>
    <row r="1501" spans="1:14" ht="15.6" x14ac:dyDescent="0.3">
      <c r="A1501" s="7" t="s">
        <v>1718</v>
      </c>
      <c r="B1501" s="7">
        <v>13</v>
      </c>
      <c r="C1501" s="7">
        <v>38</v>
      </c>
      <c r="D1501" s="7" t="s">
        <v>2300</v>
      </c>
      <c r="E1501" s="18">
        <v>3500000</v>
      </c>
      <c r="F1501" s="7">
        <f t="shared" si="102"/>
        <v>924602.61900296132</v>
      </c>
      <c r="G1501" s="7">
        <f t="shared" si="103"/>
        <v>2978.7071655099849</v>
      </c>
      <c r="H1501" s="10">
        <v>42581</v>
      </c>
      <c r="I1501" s="18" t="s">
        <v>1833</v>
      </c>
      <c r="J1501" s="18" t="s">
        <v>1807</v>
      </c>
      <c r="K1501" s="7">
        <v>157</v>
      </c>
      <c r="L1501" s="7" t="s">
        <v>2246</v>
      </c>
      <c r="M1501" s="7">
        <f t="shared" si="104"/>
        <v>0.157</v>
      </c>
      <c r="N1501" s="7">
        <f t="shared" si="101"/>
        <v>48.733428000000004</v>
      </c>
    </row>
    <row r="1502" spans="1:14" ht="15.6" x14ac:dyDescent="0.3">
      <c r="A1502" s="7" t="s">
        <v>1780</v>
      </c>
      <c r="B1502" s="7">
        <v>13</v>
      </c>
      <c r="C1502" s="7">
        <v>38</v>
      </c>
      <c r="D1502" s="7" t="s">
        <v>2300</v>
      </c>
      <c r="E1502" s="18">
        <v>3500000</v>
      </c>
      <c r="F1502" s="7">
        <f t="shared" si="102"/>
        <v>924602.61900296132</v>
      </c>
      <c r="G1502" s="7">
        <f t="shared" si="103"/>
        <v>2978.7071655099849</v>
      </c>
      <c r="H1502" s="10">
        <v>42581</v>
      </c>
      <c r="I1502" s="18" t="s">
        <v>1833</v>
      </c>
      <c r="J1502" s="18" t="s">
        <v>1807</v>
      </c>
      <c r="K1502" s="7">
        <v>160</v>
      </c>
      <c r="L1502" s="7" t="s">
        <v>2246</v>
      </c>
      <c r="M1502" s="7">
        <f t="shared" si="104"/>
        <v>0.16</v>
      </c>
      <c r="N1502" s="7">
        <f t="shared" si="101"/>
        <v>49.664639999999999</v>
      </c>
    </row>
    <row r="1503" spans="1:14" ht="15.6" x14ac:dyDescent="0.3">
      <c r="A1503" s="7" t="s">
        <v>1757</v>
      </c>
      <c r="B1503" s="7">
        <v>13</v>
      </c>
      <c r="C1503" s="7">
        <v>38</v>
      </c>
      <c r="D1503" s="7" t="s">
        <v>2300</v>
      </c>
      <c r="E1503" s="18">
        <v>3500000</v>
      </c>
      <c r="F1503" s="7">
        <f t="shared" si="102"/>
        <v>924602.61900296132</v>
      </c>
      <c r="G1503" s="7">
        <f t="shared" si="103"/>
        <v>2978.7071655099849</v>
      </c>
      <c r="H1503" s="10">
        <v>42581</v>
      </c>
      <c r="I1503" s="18" t="s">
        <v>1833</v>
      </c>
      <c r="J1503" s="18" t="s">
        <v>1807</v>
      </c>
      <c r="K1503" s="7">
        <v>156</v>
      </c>
      <c r="L1503" s="7" t="s">
        <v>2246</v>
      </c>
      <c r="M1503" s="7">
        <f t="shared" si="104"/>
        <v>0.156</v>
      </c>
      <c r="N1503" s="7">
        <f t="shared" si="101"/>
        <v>48.423023999999998</v>
      </c>
    </row>
    <row r="1504" spans="1:14" ht="15.6" x14ac:dyDescent="0.3">
      <c r="A1504" s="7" t="s">
        <v>1781</v>
      </c>
      <c r="B1504" s="7">
        <v>13</v>
      </c>
      <c r="C1504" s="7">
        <v>38</v>
      </c>
      <c r="D1504" s="7" t="s">
        <v>2300</v>
      </c>
      <c r="E1504" s="18">
        <v>3500000</v>
      </c>
      <c r="F1504" s="7">
        <f t="shared" si="102"/>
        <v>924602.61900296132</v>
      </c>
      <c r="G1504" s="7">
        <f t="shared" si="103"/>
        <v>2978.7071655099849</v>
      </c>
      <c r="H1504" s="10">
        <v>42581</v>
      </c>
      <c r="I1504" s="18" t="s">
        <v>1833</v>
      </c>
      <c r="J1504" s="18" t="s">
        <v>1807</v>
      </c>
      <c r="K1504" s="7">
        <v>1810</v>
      </c>
      <c r="L1504" s="7" t="s">
        <v>2246</v>
      </c>
      <c r="M1504" s="7">
        <f t="shared" si="104"/>
        <v>1.81</v>
      </c>
      <c r="N1504" s="7">
        <f t="shared" ref="N1504:N1567" si="105">IFERROR((M1504*F1504)/G1504,"ND")</f>
        <v>561.83123999999998</v>
      </c>
    </row>
    <row r="1505" spans="1:14" ht="15.6" x14ac:dyDescent="0.3">
      <c r="A1505" s="7" t="s">
        <v>2298</v>
      </c>
      <c r="B1505" s="7">
        <v>13</v>
      </c>
      <c r="C1505" s="7">
        <v>38</v>
      </c>
      <c r="D1505" s="7" t="s">
        <v>2300</v>
      </c>
      <c r="E1505" s="18">
        <v>3500000</v>
      </c>
      <c r="F1505" s="7">
        <f t="shared" si="102"/>
        <v>924602.61900296132</v>
      </c>
      <c r="G1505" s="7">
        <f t="shared" si="103"/>
        <v>2978.7071655099849</v>
      </c>
      <c r="H1505" s="10">
        <v>42581</v>
      </c>
      <c r="I1505" s="18" t="s">
        <v>1833</v>
      </c>
      <c r="J1505" s="18" t="s">
        <v>1807</v>
      </c>
      <c r="K1505" s="7">
        <v>109</v>
      </c>
      <c r="L1505" s="7" t="s">
        <v>2246</v>
      </c>
      <c r="M1505" s="7">
        <f t="shared" si="104"/>
        <v>0.109</v>
      </c>
      <c r="N1505" s="7">
        <f t="shared" si="105"/>
        <v>33.834035999999998</v>
      </c>
    </row>
    <row r="1506" spans="1:14" ht="15.6" x14ac:dyDescent="0.3">
      <c r="A1506" s="7" t="s">
        <v>1758</v>
      </c>
      <c r="B1506" s="7">
        <v>13</v>
      </c>
      <c r="C1506" s="7">
        <v>38</v>
      </c>
      <c r="D1506" s="7" t="s">
        <v>2300</v>
      </c>
      <c r="E1506" s="18">
        <v>3500000</v>
      </c>
      <c r="F1506" s="7">
        <f t="shared" ref="F1506:F1569" si="106">E1506/3.78541</f>
        <v>924602.61900296132</v>
      </c>
      <c r="G1506" s="7">
        <f t="shared" ref="G1506:G1569" si="107">F1506/310.404</f>
        <v>2978.7071655099849</v>
      </c>
      <c r="H1506" s="10">
        <v>42581</v>
      </c>
      <c r="I1506" s="18" t="s">
        <v>1833</v>
      </c>
      <c r="J1506" s="18" t="s">
        <v>1807</v>
      </c>
      <c r="K1506" s="7" t="s">
        <v>1716</v>
      </c>
      <c r="L1506" s="7" t="s">
        <v>2246</v>
      </c>
      <c r="M1506" s="7" t="str">
        <f t="shared" si="104"/>
        <v>ND</v>
      </c>
      <c r="N1506" s="7" t="str">
        <f t="shared" si="105"/>
        <v>ND</v>
      </c>
    </row>
    <row r="1507" spans="1:14" ht="15.6" x14ac:dyDescent="0.3">
      <c r="A1507" s="7" t="s">
        <v>1744</v>
      </c>
      <c r="B1507" s="7">
        <v>13</v>
      </c>
      <c r="C1507" s="7">
        <v>38</v>
      </c>
      <c r="D1507" s="7" t="s">
        <v>2300</v>
      </c>
      <c r="E1507" s="18">
        <v>3500000</v>
      </c>
      <c r="F1507" s="7">
        <f t="shared" si="106"/>
        <v>924602.61900296132</v>
      </c>
      <c r="G1507" s="7">
        <f t="shared" si="107"/>
        <v>2978.7071655099849</v>
      </c>
      <c r="H1507" s="10">
        <v>42581</v>
      </c>
      <c r="I1507" s="18" t="s">
        <v>1833</v>
      </c>
      <c r="J1507" s="18" t="s">
        <v>1807</v>
      </c>
      <c r="K1507" s="7">
        <v>16.5</v>
      </c>
      <c r="L1507" s="7" t="s">
        <v>2246</v>
      </c>
      <c r="M1507" s="7">
        <f t="shared" si="104"/>
        <v>1.6500000000000001E-2</v>
      </c>
      <c r="N1507" s="7">
        <f t="shared" si="105"/>
        <v>5.1216660000000003</v>
      </c>
    </row>
    <row r="1508" spans="1:14" ht="15.6" x14ac:dyDescent="0.3">
      <c r="A1508" s="7" t="s">
        <v>1745</v>
      </c>
      <c r="B1508" s="7">
        <v>13</v>
      </c>
      <c r="C1508" s="7">
        <v>38</v>
      </c>
      <c r="D1508" s="7" t="s">
        <v>2300</v>
      </c>
      <c r="E1508" s="18">
        <v>3500000</v>
      </c>
      <c r="F1508" s="7">
        <f t="shared" si="106"/>
        <v>924602.61900296132</v>
      </c>
      <c r="G1508" s="7">
        <f t="shared" si="107"/>
        <v>2978.7071655099849</v>
      </c>
      <c r="H1508" s="10">
        <v>42581</v>
      </c>
      <c r="I1508" s="18" t="s">
        <v>1833</v>
      </c>
      <c r="J1508" s="18" t="s">
        <v>1807</v>
      </c>
      <c r="K1508" s="7">
        <v>4030</v>
      </c>
      <c r="L1508" s="7" t="s">
        <v>2246</v>
      </c>
      <c r="M1508" s="7">
        <f t="shared" si="104"/>
        <v>4.03</v>
      </c>
      <c r="N1508" s="7">
        <f t="shared" si="105"/>
        <v>1250.92812</v>
      </c>
    </row>
    <row r="1509" spans="1:14" ht="15.6" x14ac:dyDescent="0.3">
      <c r="A1509" s="7" t="s">
        <v>1723</v>
      </c>
      <c r="B1509" s="7">
        <v>13</v>
      </c>
      <c r="C1509" s="7">
        <v>38</v>
      </c>
      <c r="D1509" s="7" t="s">
        <v>2300</v>
      </c>
      <c r="E1509" s="18">
        <v>3500000</v>
      </c>
      <c r="F1509" s="7">
        <f t="shared" si="106"/>
        <v>924602.61900296132</v>
      </c>
      <c r="G1509" s="7">
        <f t="shared" si="107"/>
        <v>2978.7071655099849</v>
      </c>
      <c r="H1509" s="10">
        <v>42581</v>
      </c>
      <c r="I1509" s="18" t="s">
        <v>1833</v>
      </c>
      <c r="J1509" s="18" t="s">
        <v>1807</v>
      </c>
      <c r="K1509" s="7">
        <v>231</v>
      </c>
      <c r="L1509" s="7" t="s">
        <v>2246</v>
      </c>
      <c r="M1509" s="7">
        <f t="shared" si="104"/>
        <v>0.23100000000000001</v>
      </c>
      <c r="N1509" s="7">
        <f t="shared" si="105"/>
        <v>71.703324000000009</v>
      </c>
    </row>
    <row r="1510" spans="1:14" ht="15.6" x14ac:dyDescent="0.3">
      <c r="A1510" s="7" t="s">
        <v>1719</v>
      </c>
      <c r="B1510" s="7">
        <v>13</v>
      </c>
      <c r="C1510" s="7">
        <v>38</v>
      </c>
      <c r="D1510" s="7" t="s">
        <v>2300</v>
      </c>
      <c r="E1510" s="18">
        <v>3500000</v>
      </c>
      <c r="F1510" s="7">
        <f t="shared" si="106"/>
        <v>924602.61900296132</v>
      </c>
      <c r="G1510" s="7">
        <f t="shared" si="107"/>
        <v>2978.7071655099849</v>
      </c>
      <c r="H1510" s="10">
        <v>42581</v>
      </c>
      <c r="I1510" s="18" t="s">
        <v>1833</v>
      </c>
      <c r="J1510" s="18" t="s">
        <v>1807</v>
      </c>
      <c r="K1510" s="7">
        <v>908</v>
      </c>
      <c r="L1510" s="7" t="s">
        <v>2246</v>
      </c>
      <c r="M1510" s="7">
        <f t="shared" si="104"/>
        <v>0.90800000000000003</v>
      </c>
      <c r="N1510" s="7">
        <f t="shared" si="105"/>
        <v>281.84683200000001</v>
      </c>
    </row>
    <row r="1511" spans="1:14" ht="15.6" x14ac:dyDescent="0.3">
      <c r="A1511" s="7" t="s">
        <v>1782</v>
      </c>
      <c r="B1511" s="7">
        <v>13</v>
      </c>
      <c r="C1511" s="7">
        <v>38</v>
      </c>
      <c r="D1511" s="7" t="s">
        <v>2300</v>
      </c>
      <c r="E1511" s="18">
        <v>3500000</v>
      </c>
      <c r="F1511" s="7">
        <f t="shared" si="106"/>
        <v>924602.61900296132</v>
      </c>
      <c r="G1511" s="7">
        <f t="shared" si="107"/>
        <v>2978.7071655099849</v>
      </c>
      <c r="H1511" s="10">
        <v>42581</v>
      </c>
      <c r="I1511" s="18" t="s">
        <v>1833</v>
      </c>
      <c r="J1511" s="18" t="s">
        <v>1807</v>
      </c>
      <c r="K1511" s="7">
        <v>189</v>
      </c>
      <c r="L1511" s="7" t="s">
        <v>2246</v>
      </c>
      <c r="M1511" s="7">
        <f t="shared" si="104"/>
        <v>0.189</v>
      </c>
      <c r="N1511" s="7">
        <f t="shared" si="105"/>
        <v>58.666356</v>
      </c>
    </row>
    <row r="1512" spans="1:14" ht="15.6" x14ac:dyDescent="0.3">
      <c r="A1512" s="7" t="s">
        <v>1746</v>
      </c>
      <c r="B1512" s="7">
        <v>13</v>
      </c>
      <c r="C1512" s="7">
        <v>38</v>
      </c>
      <c r="D1512" s="7" t="s">
        <v>2300</v>
      </c>
      <c r="E1512" s="18">
        <v>3500000</v>
      </c>
      <c r="F1512" s="7">
        <f t="shared" si="106"/>
        <v>924602.61900296132</v>
      </c>
      <c r="G1512" s="7">
        <f t="shared" si="107"/>
        <v>2978.7071655099849</v>
      </c>
      <c r="H1512" s="10">
        <v>42581</v>
      </c>
      <c r="I1512" s="18" t="s">
        <v>1833</v>
      </c>
      <c r="J1512" s="18" t="s">
        <v>1807</v>
      </c>
      <c r="K1512" s="7">
        <v>797</v>
      </c>
      <c r="L1512" s="7" t="s">
        <v>2246</v>
      </c>
      <c r="M1512" s="7">
        <f t="shared" si="104"/>
        <v>0.79700000000000004</v>
      </c>
      <c r="N1512" s="7">
        <f t="shared" si="105"/>
        <v>247.39198800000003</v>
      </c>
    </row>
    <row r="1513" spans="1:14" ht="15.6" x14ac:dyDescent="0.3">
      <c r="A1513" s="7" t="s">
        <v>1783</v>
      </c>
      <c r="B1513" s="7">
        <v>13</v>
      </c>
      <c r="C1513" s="7">
        <v>38</v>
      </c>
      <c r="D1513" s="7" t="s">
        <v>2300</v>
      </c>
      <c r="E1513" s="18">
        <v>3500000</v>
      </c>
      <c r="F1513" s="7">
        <f t="shared" si="106"/>
        <v>924602.61900296132</v>
      </c>
      <c r="G1513" s="7">
        <f t="shared" si="107"/>
        <v>2978.7071655099849</v>
      </c>
      <c r="H1513" s="10">
        <v>42581</v>
      </c>
      <c r="I1513" s="18" t="s">
        <v>1833</v>
      </c>
      <c r="J1513" s="18" t="s">
        <v>1807</v>
      </c>
      <c r="K1513" s="7" t="s">
        <v>1716</v>
      </c>
      <c r="L1513" s="7" t="s">
        <v>2246</v>
      </c>
      <c r="M1513" s="7" t="str">
        <f t="shared" si="104"/>
        <v>ND</v>
      </c>
      <c r="N1513" s="7" t="str">
        <f t="shared" si="105"/>
        <v>ND</v>
      </c>
    </row>
    <row r="1514" spans="1:14" ht="15.6" x14ac:dyDescent="0.3">
      <c r="A1514" s="7" t="s">
        <v>1747</v>
      </c>
      <c r="B1514" s="7">
        <v>13</v>
      </c>
      <c r="C1514" s="7">
        <v>38</v>
      </c>
      <c r="D1514" s="7" t="s">
        <v>2300</v>
      </c>
      <c r="E1514" s="18">
        <v>3500000</v>
      </c>
      <c r="F1514" s="7">
        <f t="shared" si="106"/>
        <v>924602.61900296132</v>
      </c>
      <c r="G1514" s="7">
        <f t="shared" si="107"/>
        <v>2978.7071655099849</v>
      </c>
      <c r="H1514" s="10">
        <v>42581</v>
      </c>
      <c r="I1514" s="18" t="s">
        <v>1833</v>
      </c>
      <c r="J1514" s="18" t="s">
        <v>1807</v>
      </c>
      <c r="K1514" s="7">
        <v>554</v>
      </c>
      <c r="L1514" s="7" t="s">
        <v>2246</v>
      </c>
      <c r="M1514" s="7">
        <f t="shared" si="104"/>
        <v>0.55400000000000005</v>
      </c>
      <c r="N1514" s="7">
        <f t="shared" si="105"/>
        <v>171.96381600000001</v>
      </c>
    </row>
    <row r="1515" spans="1:14" ht="15.6" x14ac:dyDescent="0.3">
      <c r="A1515" s="7" t="s">
        <v>1784</v>
      </c>
      <c r="B1515" s="7">
        <v>13</v>
      </c>
      <c r="C1515" s="7">
        <v>38</v>
      </c>
      <c r="D1515" s="7" t="s">
        <v>2300</v>
      </c>
      <c r="E1515" s="18">
        <v>3500000</v>
      </c>
      <c r="F1515" s="7">
        <f t="shared" si="106"/>
        <v>924602.61900296132</v>
      </c>
      <c r="G1515" s="7">
        <f t="shared" si="107"/>
        <v>2978.7071655099849</v>
      </c>
      <c r="H1515" s="10">
        <v>42581</v>
      </c>
      <c r="I1515" s="18" t="s">
        <v>1833</v>
      </c>
      <c r="J1515" s="18" t="s">
        <v>1807</v>
      </c>
      <c r="K1515" s="7">
        <v>90.8</v>
      </c>
      <c r="L1515" s="7" t="s">
        <v>2246</v>
      </c>
      <c r="M1515" s="7">
        <f t="shared" si="104"/>
        <v>9.0799999999999992E-2</v>
      </c>
      <c r="N1515" s="7">
        <f t="shared" si="105"/>
        <v>28.184683199999998</v>
      </c>
    </row>
    <row r="1516" spans="1:14" ht="15.6" x14ac:dyDescent="0.3">
      <c r="A1516" s="7" t="s">
        <v>2299</v>
      </c>
      <c r="B1516" s="7">
        <v>13</v>
      </c>
      <c r="C1516" s="7">
        <v>38</v>
      </c>
      <c r="D1516" s="7" t="s">
        <v>2300</v>
      </c>
      <c r="E1516" s="18">
        <v>3500000</v>
      </c>
      <c r="F1516" s="7">
        <f t="shared" si="106"/>
        <v>924602.61900296132</v>
      </c>
      <c r="G1516" s="7">
        <f t="shared" si="107"/>
        <v>2978.7071655099849</v>
      </c>
      <c r="H1516" s="10">
        <v>42581</v>
      </c>
      <c r="I1516" s="18" t="s">
        <v>1833</v>
      </c>
      <c r="J1516" s="18" t="s">
        <v>1807</v>
      </c>
      <c r="K1516" s="7">
        <v>791</v>
      </c>
      <c r="L1516" s="7" t="s">
        <v>2246</v>
      </c>
      <c r="M1516" s="7">
        <f t="shared" si="104"/>
        <v>0.79100000000000004</v>
      </c>
      <c r="N1516" s="7">
        <f t="shared" si="105"/>
        <v>245.52956399999999</v>
      </c>
    </row>
    <row r="1517" spans="1:14" ht="15.6" x14ac:dyDescent="0.3">
      <c r="A1517" s="7" t="s">
        <v>1785</v>
      </c>
      <c r="B1517" s="7">
        <v>13</v>
      </c>
      <c r="C1517" s="7">
        <v>38</v>
      </c>
      <c r="D1517" s="7" t="s">
        <v>2300</v>
      </c>
      <c r="E1517" s="18">
        <v>3500000</v>
      </c>
      <c r="F1517" s="7">
        <f t="shared" si="106"/>
        <v>924602.61900296132</v>
      </c>
      <c r="G1517" s="7">
        <f t="shared" si="107"/>
        <v>2978.7071655099849</v>
      </c>
      <c r="H1517" s="10">
        <v>42581</v>
      </c>
      <c r="I1517" s="18" t="s">
        <v>1833</v>
      </c>
      <c r="J1517" s="18" t="s">
        <v>1807</v>
      </c>
      <c r="K1517" s="7">
        <v>2070</v>
      </c>
      <c r="L1517" s="7" t="s">
        <v>2246</v>
      </c>
      <c r="M1517" s="7">
        <f t="shared" si="104"/>
        <v>2.0699999999999998</v>
      </c>
      <c r="N1517" s="7">
        <f t="shared" si="105"/>
        <v>642.53627999999992</v>
      </c>
    </row>
    <row r="1518" spans="1:14" ht="15.6" x14ac:dyDescent="0.3">
      <c r="A1518" s="7" t="s">
        <v>1729</v>
      </c>
      <c r="B1518" s="7">
        <v>13</v>
      </c>
      <c r="C1518" s="7">
        <v>39</v>
      </c>
      <c r="D1518" s="7" t="s">
        <v>2301</v>
      </c>
      <c r="E1518" s="18">
        <v>5500000</v>
      </c>
      <c r="F1518" s="7">
        <f t="shared" si="106"/>
        <v>1452946.9727189392</v>
      </c>
      <c r="G1518" s="7">
        <f t="shared" si="107"/>
        <v>4680.8255458014046</v>
      </c>
      <c r="H1518" s="10">
        <v>42561</v>
      </c>
      <c r="I1518" s="18" t="s">
        <v>1833</v>
      </c>
      <c r="J1518" s="18" t="s">
        <v>1807</v>
      </c>
      <c r="K1518" s="7">
        <v>22200</v>
      </c>
      <c r="L1518" s="7" t="s">
        <v>2246</v>
      </c>
      <c r="M1518" s="7">
        <f t="shared" si="104"/>
        <v>22.2</v>
      </c>
      <c r="N1518" s="7">
        <f t="shared" si="105"/>
        <v>6890.9687999999996</v>
      </c>
    </row>
    <row r="1519" spans="1:14" ht="15.6" x14ac:dyDescent="0.3">
      <c r="A1519" s="7" t="s">
        <v>1769</v>
      </c>
      <c r="B1519" s="7">
        <v>13</v>
      </c>
      <c r="C1519" s="7">
        <v>39</v>
      </c>
      <c r="D1519" s="7" t="s">
        <v>2301</v>
      </c>
      <c r="E1519" s="18">
        <v>5500000</v>
      </c>
      <c r="F1519" s="7">
        <f t="shared" si="106"/>
        <v>1452946.9727189392</v>
      </c>
      <c r="G1519" s="7">
        <f t="shared" si="107"/>
        <v>4680.8255458014046</v>
      </c>
      <c r="H1519" s="10">
        <v>42561</v>
      </c>
      <c r="I1519" s="18" t="s">
        <v>1833</v>
      </c>
      <c r="J1519" s="18" t="s">
        <v>1807</v>
      </c>
      <c r="K1519" s="7">
        <v>4730</v>
      </c>
      <c r="L1519" s="7" t="s">
        <v>2246</v>
      </c>
      <c r="M1519" s="7">
        <f t="shared" ref="M1519:M1582" si="108">IFERROR(K1519/1000,"ND")</f>
        <v>4.7300000000000004</v>
      </c>
      <c r="N1519" s="7">
        <f t="shared" si="105"/>
        <v>1468.21092</v>
      </c>
    </row>
    <row r="1520" spans="1:14" ht="15.6" x14ac:dyDescent="0.3">
      <c r="A1520" s="7" t="s">
        <v>1759</v>
      </c>
      <c r="B1520" s="7">
        <v>13</v>
      </c>
      <c r="C1520" s="7">
        <v>39</v>
      </c>
      <c r="D1520" s="7" t="s">
        <v>2301</v>
      </c>
      <c r="E1520" s="18">
        <v>5500000</v>
      </c>
      <c r="F1520" s="7">
        <f t="shared" si="106"/>
        <v>1452946.9727189392</v>
      </c>
      <c r="G1520" s="7">
        <f t="shared" si="107"/>
        <v>4680.8255458014046</v>
      </c>
      <c r="H1520" s="10">
        <v>42561</v>
      </c>
      <c r="I1520" s="18" t="s">
        <v>1833</v>
      </c>
      <c r="J1520" s="18" t="s">
        <v>1807</v>
      </c>
      <c r="K1520" s="7">
        <v>12.3</v>
      </c>
      <c r="L1520" s="7" t="s">
        <v>2246</v>
      </c>
      <c r="M1520" s="7">
        <f t="shared" si="108"/>
        <v>1.23E-2</v>
      </c>
      <c r="N1520" s="7">
        <f t="shared" si="105"/>
        <v>3.8179692000000003</v>
      </c>
    </row>
    <row r="1521" spans="1:14" ht="15.6" x14ac:dyDescent="0.3">
      <c r="A1521" s="7" t="s">
        <v>1730</v>
      </c>
      <c r="B1521" s="7">
        <v>13</v>
      </c>
      <c r="C1521" s="7">
        <v>39</v>
      </c>
      <c r="D1521" s="7" t="s">
        <v>2301</v>
      </c>
      <c r="E1521" s="18">
        <v>5500000</v>
      </c>
      <c r="F1521" s="7">
        <f t="shared" si="106"/>
        <v>1452946.9727189392</v>
      </c>
      <c r="G1521" s="7">
        <f t="shared" si="107"/>
        <v>4680.8255458014046</v>
      </c>
      <c r="H1521" s="10">
        <v>42561</v>
      </c>
      <c r="I1521" s="18" t="s">
        <v>1833</v>
      </c>
      <c r="J1521" s="18" t="s">
        <v>1807</v>
      </c>
      <c r="K1521" s="7" t="s">
        <v>1716</v>
      </c>
      <c r="L1521" s="7" t="s">
        <v>2246</v>
      </c>
      <c r="M1521" s="7" t="str">
        <f t="shared" si="108"/>
        <v>ND</v>
      </c>
      <c r="N1521" s="7" t="str">
        <f t="shared" si="105"/>
        <v>ND</v>
      </c>
    </row>
    <row r="1522" spans="1:14" ht="15.6" x14ac:dyDescent="0.3">
      <c r="A1522" s="7" t="s">
        <v>1726</v>
      </c>
      <c r="B1522" s="7">
        <v>13</v>
      </c>
      <c r="C1522" s="7">
        <v>39</v>
      </c>
      <c r="D1522" s="7" t="s">
        <v>2301</v>
      </c>
      <c r="E1522" s="18">
        <v>5500000</v>
      </c>
      <c r="F1522" s="7">
        <f t="shared" si="106"/>
        <v>1452946.9727189392</v>
      </c>
      <c r="G1522" s="7">
        <f t="shared" si="107"/>
        <v>4680.8255458014046</v>
      </c>
      <c r="H1522" s="10">
        <v>42561</v>
      </c>
      <c r="I1522" s="18" t="s">
        <v>1833</v>
      </c>
      <c r="J1522" s="18" t="s">
        <v>1807</v>
      </c>
      <c r="K1522" s="7">
        <v>133</v>
      </c>
      <c r="L1522" s="7" t="s">
        <v>2246</v>
      </c>
      <c r="M1522" s="7">
        <f t="shared" si="108"/>
        <v>0.13300000000000001</v>
      </c>
      <c r="N1522" s="7">
        <f t="shared" si="105"/>
        <v>41.283732000000001</v>
      </c>
    </row>
    <row r="1523" spans="1:14" ht="15.6" x14ac:dyDescent="0.3">
      <c r="A1523" s="7" t="s">
        <v>1753</v>
      </c>
      <c r="B1523" s="7">
        <v>13</v>
      </c>
      <c r="C1523" s="7">
        <v>39</v>
      </c>
      <c r="D1523" s="7" t="s">
        <v>2301</v>
      </c>
      <c r="E1523" s="18">
        <v>5500000</v>
      </c>
      <c r="F1523" s="7">
        <f t="shared" si="106"/>
        <v>1452946.9727189392</v>
      </c>
      <c r="G1523" s="7">
        <f t="shared" si="107"/>
        <v>4680.8255458014046</v>
      </c>
      <c r="H1523" s="10">
        <v>42561</v>
      </c>
      <c r="I1523" s="18" t="s">
        <v>1833</v>
      </c>
      <c r="J1523" s="18" t="s">
        <v>1807</v>
      </c>
      <c r="K1523" s="7">
        <v>1180</v>
      </c>
      <c r="L1523" s="7" t="s">
        <v>2246</v>
      </c>
      <c r="M1523" s="7">
        <f t="shared" si="108"/>
        <v>1.18</v>
      </c>
      <c r="N1523" s="7">
        <f t="shared" si="105"/>
        <v>366.27671999999995</v>
      </c>
    </row>
    <row r="1524" spans="1:14" ht="15.6" x14ac:dyDescent="0.3">
      <c r="A1524" s="7" t="s">
        <v>1732</v>
      </c>
      <c r="B1524" s="7">
        <v>13</v>
      </c>
      <c r="C1524" s="7">
        <v>39</v>
      </c>
      <c r="D1524" s="7" t="s">
        <v>2301</v>
      </c>
      <c r="E1524" s="18">
        <v>5500000</v>
      </c>
      <c r="F1524" s="7">
        <f t="shared" si="106"/>
        <v>1452946.9727189392</v>
      </c>
      <c r="G1524" s="7">
        <f t="shared" si="107"/>
        <v>4680.8255458014046</v>
      </c>
      <c r="H1524" s="10">
        <v>42561</v>
      </c>
      <c r="I1524" s="18" t="s">
        <v>1833</v>
      </c>
      <c r="J1524" s="18" t="s">
        <v>1807</v>
      </c>
      <c r="K1524" s="7">
        <v>42.2</v>
      </c>
      <c r="L1524" s="7" t="s">
        <v>2246</v>
      </c>
      <c r="M1524" s="7">
        <f t="shared" si="108"/>
        <v>4.2200000000000001E-2</v>
      </c>
      <c r="N1524" s="7">
        <f t="shared" si="105"/>
        <v>13.0990488</v>
      </c>
    </row>
    <row r="1525" spans="1:14" ht="15.6" x14ac:dyDescent="0.3">
      <c r="A1525" s="7" t="s">
        <v>1733</v>
      </c>
      <c r="B1525" s="7">
        <v>13</v>
      </c>
      <c r="C1525" s="7">
        <v>39</v>
      </c>
      <c r="D1525" s="7" t="s">
        <v>2301</v>
      </c>
      <c r="E1525" s="18">
        <v>5500000</v>
      </c>
      <c r="F1525" s="7">
        <f t="shared" si="106"/>
        <v>1452946.9727189392</v>
      </c>
      <c r="G1525" s="7">
        <f t="shared" si="107"/>
        <v>4680.8255458014046</v>
      </c>
      <c r="H1525" s="10">
        <v>42561</v>
      </c>
      <c r="I1525" s="18" t="s">
        <v>1833</v>
      </c>
      <c r="J1525" s="18" t="s">
        <v>1807</v>
      </c>
      <c r="K1525" s="7">
        <v>97.8</v>
      </c>
      <c r="L1525" s="7" t="s">
        <v>2246</v>
      </c>
      <c r="M1525" s="7">
        <f t="shared" si="108"/>
        <v>9.7799999999999998E-2</v>
      </c>
      <c r="N1525" s="7">
        <f t="shared" si="105"/>
        <v>30.357511199999998</v>
      </c>
    </row>
    <row r="1526" spans="1:14" ht="15.6" x14ac:dyDescent="0.3">
      <c r="A1526" s="7" t="s">
        <v>1735</v>
      </c>
      <c r="B1526" s="7">
        <v>13</v>
      </c>
      <c r="C1526" s="7">
        <v>39</v>
      </c>
      <c r="D1526" s="7" t="s">
        <v>2301</v>
      </c>
      <c r="E1526" s="18">
        <v>5500000</v>
      </c>
      <c r="F1526" s="7">
        <f t="shared" si="106"/>
        <v>1452946.9727189392</v>
      </c>
      <c r="G1526" s="7">
        <f t="shared" si="107"/>
        <v>4680.8255458014046</v>
      </c>
      <c r="H1526" s="10">
        <v>42561</v>
      </c>
      <c r="I1526" s="18" t="s">
        <v>1833</v>
      </c>
      <c r="J1526" s="18" t="s">
        <v>1807</v>
      </c>
      <c r="K1526" s="7">
        <v>110</v>
      </c>
      <c r="L1526" s="7" t="s">
        <v>2246</v>
      </c>
      <c r="M1526" s="7">
        <f t="shared" si="108"/>
        <v>0.11</v>
      </c>
      <c r="N1526" s="7">
        <f t="shared" si="105"/>
        <v>34.144439999999996</v>
      </c>
    </row>
    <row r="1527" spans="1:14" ht="15.6" x14ac:dyDescent="0.3">
      <c r="A1527" s="7" t="s">
        <v>1713</v>
      </c>
      <c r="B1527" s="7">
        <v>13</v>
      </c>
      <c r="C1527" s="7">
        <v>39</v>
      </c>
      <c r="D1527" s="7" t="s">
        <v>2301</v>
      </c>
      <c r="E1527" s="18">
        <v>5500000</v>
      </c>
      <c r="F1527" s="7">
        <f t="shared" si="106"/>
        <v>1452946.9727189392</v>
      </c>
      <c r="G1527" s="7">
        <f t="shared" si="107"/>
        <v>4680.8255458014046</v>
      </c>
      <c r="H1527" s="10">
        <v>42561</v>
      </c>
      <c r="I1527" s="18" t="s">
        <v>1833</v>
      </c>
      <c r="J1527" s="18" t="s">
        <v>1807</v>
      </c>
      <c r="K1527" s="7">
        <v>107</v>
      </c>
      <c r="L1527" s="7" t="s">
        <v>2246</v>
      </c>
      <c r="M1527" s="7">
        <f t="shared" si="108"/>
        <v>0.107</v>
      </c>
      <c r="N1527" s="7">
        <f t="shared" si="105"/>
        <v>33.213228000000001</v>
      </c>
    </row>
    <row r="1528" spans="1:14" ht="15.6" x14ac:dyDescent="0.3">
      <c r="A1528" s="7" t="s">
        <v>1764</v>
      </c>
      <c r="B1528" s="7">
        <v>13</v>
      </c>
      <c r="C1528" s="7">
        <v>39</v>
      </c>
      <c r="D1528" s="7" t="s">
        <v>2301</v>
      </c>
      <c r="E1528" s="18">
        <v>5500000</v>
      </c>
      <c r="F1528" s="7">
        <f t="shared" si="106"/>
        <v>1452946.9727189392</v>
      </c>
      <c r="G1528" s="7">
        <f t="shared" si="107"/>
        <v>4680.8255458014046</v>
      </c>
      <c r="H1528" s="10">
        <v>42561</v>
      </c>
      <c r="I1528" s="18" t="s">
        <v>1833</v>
      </c>
      <c r="J1528" s="18" t="s">
        <v>1807</v>
      </c>
      <c r="K1528" s="7">
        <v>360</v>
      </c>
      <c r="L1528" s="7" t="s">
        <v>2246</v>
      </c>
      <c r="M1528" s="7">
        <f t="shared" si="108"/>
        <v>0.36</v>
      </c>
      <c r="N1528" s="7">
        <f t="shared" si="105"/>
        <v>111.74544</v>
      </c>
    </row>
    <row r="1529" spans="1:14" ht="15.6" x14ac:dyDescent="0.3">
      <c r="A1529" s="7" t="s">
        <v>1770</v>
      </c>
      <c r="B1529" s="7">
        <v>13</v>
      </c>
      <c r="C1529" s="7">
        <v>39</v>
      </c>
      <c r="D1529" s="7" t="s">
        <v>2301</v>
      </c>
      <c r="E1529" s="18">
        <v>5500000</v>
      </c>
      <c r="F1529" s="7">
        <f t="shared" si="106"/>
        <v>1452946.9727189392</v>
      </c>
      <c r="G1529" s="7">
        <f t="shared" si="107"/>
        <v>4680.8255458014046</v>
      </c>
      <c r="H1529" s="10">
        <v>42561</v>
      </c>
      <c r="I1529" s="18" t="s">
        <v>1833</v>
      </c>
      <c r="J1529" s="18" t="s">
        <v>1807</v>
      </c>
      <c r="K1529" s="7">
        <v>40</v>
      </c>
      <c r="L1529" s="7" t="s">
        <v>2246</v>
      </c>
      <c r="M1529" s="7">
        <f t="shared" si="108"/>
        <v>0.04</v>
      </c>
      <c r="N1529" s="7">
        <f t="shared" si="105"/>
        <v>12.416160000000001</v>
      </c>
    </row>
    <row r="1530" spans="1:14" ht="15.6" x14ac:dyDescent="0.3">
      <c r="A1530" s="7" t="s">
        <v>1722</v>
      </c>
      <c r="B1530" s="7">
        <v>13</v>
      </c>
      <c r="C1530" s="7">
        <v>39</v>
      </c>
      <c r="D1530" s="7" t="s">
        <v>2301</v>
      </c>
      <c r="E1530" s="18">
        <v>5500000</v>
      </c>
      <c r="F1530" s="7">
        <f t="shared" si="106"/>
        <v>1452946.9727189392</v>
      </c>
      <c r="G1530" s="7">
        <f t="shared" si="107"/>
        <v>4680.8255458014046</v>
      </c>
      <c r="H1530" s="10">
        <v>42561</v>
      </c>
      <c r="I1530" s="18" t="s">
        <v>1833</v>
      </c>
      <c r="J1530" s="18" t="s">
        <v>1807</v>
      </c>
      <c r="K1530" s="7" t="s">
        <v>1716</v>
      </c>
      <c r="L1530" s="7" t="s">
        <v>2246</v>
      </c>
      <c r="M1530" s="7" t="str">
        <f t="shared" si="108"/>
        <v>ND</v>
      </c>
      <c r="N1530" s="7" t="str">
        <f t="shared" si="105"/>
        <v>ND</v>
      </c>
    </row>
    <row r="1531" spans="1:14" ht="15.6" x14ac:dyDescent="0.3">
      <c r="A1531" s="7" t="s">
        <v>1749</v>
      </c>
      <c r="B1531" s="7">
        <v>13</v>
      </c>
      <c r="C1531" s="7">
        <v>39</v>
      </c>
      <c r="D1531" s="7" t="s">
        <v>2301</v>
      </c>
      <c r="E1531" s="18">
        <v>5500000</v>
      </c>
      <c r="F1531" s="7">
        <f t="shared" si="106"/>
        <v>1452946.9727189392</v>
      </c>
      <c r="G1531" s="7">
        <f t="shared" si="107"/>
        <v>4680.8255458014046</v>
      </c>
      <c r="H1531" s="10">
        <v>42561</v>
      </c>
      <c r="I1531" s="18" t="s">
        <v>1833</v>
      </c>
      <c r="J1531" s="18" t="s">
        <v>1807</v>
      </c>
      <c r="K1531" s="7">
        <v>91.5</v>
      </c>
      <c r="L1531" s="7" t="s">
        <v>2246</v>
      </c>
      <c r="M1531" s="7">
        <f t="shared" si="108"/>
        <v>9.1499999999999998E-2</v>
      </c>
      <c r="N1531" s="7">
        <f t="shared" si="105"/>
        <v>28.401965999999998</v>
      </c>
    </row>
    <row r="1532" spans="1:14" ht="15.6" x14ac:dyDescent="0.3">
      <c r="A1532" s="7" t="s">
        <v>1748</v>
      </c>
      <c r="B1532" s="7">
        <v>13</v>
      </c>
      <c r="C1532" s="7">
        <v>39</v>
      </c>
      <c r="D1532" s="7" t="s">
        <v>2301</v>
      </c>
      <c r="E1532" s="18">
        <v>5500000</v>
      </c>
      <c r="F1532" s="7">
        <f t="shared" si="106"/>
        <v>1452946.9727189392</v>
      </c>
      <c r="G1532" s="7">
        <f t="shared" si="107"/>
        <v>4680.8255458014046</v>
      </c>
      <c r="H1532" s="10">
        <v>42561</v>
      </c>
      <c r="I1532" s="18" t="s">
        <v>1833</v>
      </c>
      <c r="J1532" s="18" t="s">
        <v>1807</v>
      </c>
      <c r="K1532" s="7">
        <v>1040</v>
      </c>
      <c r="L1532" s="7" t="s">
        <v>2246</v>
      </c>
      <c r="M1532" s="7">
        <f t="shared" si="108"/>
        <v>1.04</v>
      </c>
      <c r="N1532" s="7">
        <f t="shared" si="105"/>
        <v>322.82015999999999</v>
      </c>
    </row>
    <row r="1533" spans="1:14" ht="15.6" x14ac:dyDescent="0.3">
      <c r="A1533" s="7" t="s">
        <v>1738</v>
      </c>
      <c r="B1533" s="7">
        <v>13</v>
      </c>
      <c r="C1533" s="7">
        <v>39</v>
      </c>
      <c r="D1533" s="7" t="s">
        <v>2301</v>
      </c>
      <c r="E1533" s="18">
        <v>5500000</v>
      </c>
      <c r="F1533" s="7">
        <f t="shared" si="106"/>
        <v>1452946.9727189392</v>
      </c>
      <c r="G1533" s="7">
        <f t="shared" si="107"/>
        <v>4680.8255458014046</v>
      </c>
      <c r="H1533" s="10">
        <v>42561</v>
      </c>
      <c r="I1533" s="18" t="s">
        <v>1833</v>
      </c>
      <c r="J1533" s="18" t="s">
        <v>1807</v>
      </c>
      <c r="K1533" s="7" t="s">
        <v>1716</v>
      </c>
      <c r="L1533" s="7" t="s">
        <v>2246</v>
      </c>
      <c r="M1533" s="7" t="str">
        <f t="shared" si="108"/>
        <v>ND</v>
      </c>
      <c r="N1533" s="7" t="str">
        <f t="shared" si="105"/>
        <v>ND</v>
      </c>
    </row>
    <row r="1534" spans="1:14" ht="15.6" x14ac:dyDescent="0.3">
      <c r="A1534" s="7" t="s">
        <v>1771</v>
      </c>
      <c r="B1534" s="7">
        <v>13</v>
      </c>
      <c r="C1534" s="7">
        <v>39</v>
      </c>
      <c r="D1534" s="7" t="s">
        <v>2301</v>
      </c>
      <c r="E1534" s="18">
        <v>5500000</v>
      </c>
      <c r="F1534" s="7">
        <f t="shared" si="106"/>
        <v>1452946.9727189392</v>
      </c>
      <c r="G1534" s="7">
        <f t="shared" si="107"/>
        <v>4680.8255458014046</v>
      </c>
      <c r="H1534" s="10">
        <v>42561</v>
      </c>
      <c r="I1534" s="18" t="s">
        <v>1833</v>
      </c>
      <c r="J1534" s="18" t="s">
        <v>1807</v>
      </c>
      <c r="K1534" s="7">
        <v>117</v>
      </c>
      <c r="L1534" s="7" t="s">
        <v>2246</v>
      </c>
      <c r="M1534" s="7">
        <f t="shared" si="108"/>
        <v>0.11700000000000001</v>
      </c>
      <c r="N1534" s="7">
        <f t="shared" si="105"/>
        <v>36.317267999999999</v>
      </c>
    </row>
    <row r="1535" spans="1:14" ht="15.6" x14ac:dyDescent="0.3">
      <c r="A1535" s="7" t="s">
        <v>1754</v>
      </c>
      <c r="B1535" s="7">
        <v>13</v>
      </c>
      <c r="C1535" s="7">
        <v>39</v>
      </c>
      <c r="D1535" s="7" t="s">
        <v>2301</v>
      </c>
      <c r="E1535" s="18">
        <v>5500000</v>
      </c>
      <c r="F1535" s="7">
        <f t="shared" si="106"/>
        <v>1452946.9727189392</v>
      </c>
      <c r="G1535" s="7">
        <f t="shared" si="107"/>
        <v>4680.8255458014046</v>
      </c>
      <c r="H1535" s="10">
        <v>42561</v>
      </c>
      <c r="I1535" s="18" t="s">
        <v>1833</v>
      </c>
      <c r="J1535" s="18" t="s">
        <v>1807</v>
      </c>
      <c r="K1535" s="7" t="s">
        <v>1716</v>
      </c>
      <c r="L1535" s="7" t="s">
        <v>2246</v>
      </c>
      <c r="M1535" s="7" t="str">
        <f t="shared" si="108"/>
        <v>ND</v>
      </c>
      <c r="N1535" s="7" t="str">
        <f t="shared" si="105"/>
        <v>ND</v>
      </c>
    </row>
    <row r="1536" spans="1:14" ht="15.6" x14ac:dyDescent="0.3">
      <c r="A1536" s="7" t="s">
        <v>1772</v>
      </c>
      <c r="B1536" s="7">
        <v>13</v>
      </c>
      <c r="C1536" s="7">
        <v>39</v>
      </c>
      <c r="D1536" s="7" t="s">
        <v>2301</v>
      </c>
      <c r="E1536" s="18">
        <v>5500000</v>
      </c>
      <c r="F1536" s="7">
        <f t="shared" si="106"/>
        <v>1452946.9727189392</v>
      </c>
      <c r="G1536" s="7">
        <f t="shared" si="107"/>
        <v>4680.8255458014046</v>
      </c>
      <c r="H1536" s="10">
        <v>42561</v>
      </c>
      <c r="I1536" s="18" t="s">
        <v>1833</v>
      </c>
      <c r="J1536" s="18" t="s">
        <v>1807</v>
      </c>
      <c r="K1536" s="7">
        <v>1230</v>
      </c>
      <c r="L1536" s="7" t="s">
        <v>2246</v>
      </c>
      <c r="M1536" s="7">
        <f t="shared" si="108"/>
        <v>1.23</v>
      </c>
      <c r="N1536" s="7">
        <f t="shared" si="105"/>
        <v>381.79692</v>
      </c>
    </row>
    <row r="1537" spans="1:14" ht="15.6" x14ac:dyDescent="0.3">
      <c r="A1537" s="7" t="s">
        <v>1773</v>
      </c>
      <c r="B1537" s="7">
        <v>13</v>
      </c>
      <c r="C1537" s="7">
        <v>39</v>
      </c>
      <c r="D1537" s="7" t="s">
        <v>2301</v>
      </c>
      <c r="E1537" s="18">
        <v>5500000</v>
      </c>
      <c r="F1537" s="7">
        <f t="shared" si="106"/>
        <v>1452946.9727189392</v>
      </c>
      <c r="G1537" s="7">
        <f t="shared" si="107"/>
        <v>4680.8255458014046</v>
      </c>
      <c r="H1537" s="10">
        <v>42561</v>
      </c>
      <c r="I1537" s="18" t="s">
        <v>1833</v>
      </c>
      <c r="J1537" s="18" t="s">
        <v>1807</v>
      </c>
      <c r="K1537" s="7">
        <v>190</v>
      </c>
      <c r="L1537" s="7" t="s">
        <v>2246</v>
      </c>
      <c r="M1537" s="7">
        <f t="shared" si="108"/>
        <v>0.19</v>
      </c>
      <c r="N1537" s="7">
        <f t="shared" si="105"/>
        <v>58.976760000000006</v>
      </c>
    </row>
    <row r="1538" spans="1:14" ht="15.6" x14ac:dyDescent="0.3">
      <c r="A1538" s="7" t="s">
        <v>1728</v>
      </c>
      <c r="B1538" s="7">
        <v>13</v>
      </c>
      <c r="C1538" s="7">
        <v>39</v>
      </c>
      <c r="D1538" s="7" t="s">
        <v>2301</v>
      </c>
      <c r="E1538" s="18">
        <v>5500000</v>
      </c>
      <c r="F1538" s="7">
        <f t="shared" si="106"/>
        <v>1452946.9727189392</v>
      </c>
      <c r="G1538" s="7">
        <f t="shared" si="107"/>
        <v>4680.8255458014046</v>
      </c>
      <c r="H1538" s="10">
        <v>42561</v>
      </c>
      <c r="I1538" s="18" t="s">
        <v>1833</v>
      </c>
      <c r="J1538" s="18" t="s">
        <v>1807</v>
      </c>
      <c r="K1538" s="7" t="s">
        <v>1716</v>
      </c>
      <c r="L1538" s="7" t="s">
        <v>2246</v>
      </c>
      <c r="M1538" s="7" t="str">
        <f t="shared" si="108"/>
        <v>ND</v>
      </c>
      <c r="N1538" s="7" t="str">
        <f t="shared" si="105"/>
        <v>ND</v>
      </c>
    </row>
    <row r="1539" spans="1:14" ht="15.6" x14ac:dyDescent="0.3">
      <c r="A1539" s="7" t="s">
        <v>1774</v>
      </c>
      <c r="B1539" s="7">
        <v>13</v>
      </c>
      <c r="C1539" s="7">
        <v>39</v>
      </c>
      <c r="D1539" s="7" t="s">
        <v>2301</v>
      </c>
      <c r="E1539" s="18">
        <v>5500000</v>
      </c>
      <c r="F1539" s="7">
        <f t="shared" si="106"/>
        <v>1452946.9727189392</v>
      </c>
      <c r="G1539" s="7">
        <f t="shared" si="107"/>
        <v>4680.8255458014046</v>
      </c>
      <c r="H1539" s="10">
        <v>42561</v>
      </c>
      <c r="I1539" s="18" t="s">
        <v>1833</v>
      </c>
      <c r="J1539" s="18" t="s">
        <v>1807</v>
      </c>
      <c r="K1539" s="7">
        <v>1.43</v>
      </c>
      <c r="L1539" s="7" t="s">
        <v>2246</v>
      </c>
      <c r="M1539" s="7">
        <f t="shared" si="108"/>
        <v>1.4299999999999998E-3</v>
      </c>
      <c r="N1539" s="7">
        <f t="shared" si="105"/>
        <v>0.44387771999999998</v>
      </c>
    </row>
    <row r="1540" spans="1:14" ht="15.6" x14ac:dyDescent="0.3">
      <c r="A1540" s="7" t="s">
        <v>1715</v>
      </c>
      <c r="B1540" s="7">
        <v>13</v>
      </c>
      <c r="C1540" s="7">
        <v>39</v>
      </c>
      <c r="D1540" s="7" t="s">
        <v>2301</v>
      </c>
      <c r="E1540" s="18">
        <v>5500000</v>
      </c>
      <c r="F1540" s="7">
        <f t="shared" si="106"/>
        <v>1452946.9727189392</v>
      </c>
      <c r="G1540" s="7">
        <f t="shared" si="107"/>
        <v>4680.8255458014046</v>
      </c>
      <c r="H1540" s="10">
        <v>42561</v>
      </c>
      <c r="I1540" s="18" t="s">
        <v>1833</v>
      </c>
      <c r="J1540" s="18" t="s">
        <v>1807</v>
      </c>
      <c r="K1540" s="7">
        <v>49.3</v>
      </c>
      <c r="L1540" s="7" t="s">
        <v>2246</v>
      </c>
      <c r="M1540" s="7">
        <f t="shared" si="108"/>
        <v>4.9299999999999997E-2</v>
      </c>
      <c r="N1540" s="7">
        <f t="shared" si="105"/>
        <v>15.3029172</v>
      </c>
    </row>
    <row r="1541" spans="1:14" ht="15.6" x14ac:dyDescent="0.3">
      <c r="A1541" s="7" t="s">
        <v>1775</v>
      </c>
      <c r="B1541" s="7">
        <v>13</v>
      </c>
      <c r="C1541" s="7">
        <v>39</v>
      </c>
      <c r="D1541" s="7" t="s">
        <v>2301</v>
      </c>
      <c r="E1541" s="18">
        <v>5500000</v>
      </c>
      <c r="F1541" s="7">
        <f t="shared" si="106"/>
        <v>1452946.9727189392</v>
      </c>
      <c r="G1541" s="7">
        <f t="shared" si="107"/>
        <v>4680.8255458014046</v>
      </c>
      <c r="H1541" s="10">
        <v>42561</v>
      </c>
      <c r="I1541" s="18" t="s">
        <v>1833</v>
      </c>
      <c r="J1541" s="18" t="s">
        <v>1807</v>
      </c>
      <c r="K1541" s="7">
        <v>16.899999999999999</v>
      </c>
      <c r="L1541" s="7" t="s">
        <v>2246</v>
      </c>
      <c r="M1541" s="7">
        <f t="shared" si="108"/>
        <v>1.6899999999999998E-2</v>
      </c>
      <c r="N1541" s="7">
        <f t="shared" si="105"/>
        <v>5.2458275999999993</v>
      </c>
    </row>
    <row r="1542" spans="1:14" ht="15.6" x14ac:dyDescent="0.3">
      <c r="A1542" s="7" t="s">
        <v>1776</v>
      </c>
      <c r="B1542" s="7">
        <v>13</v>
      </c>
      <c r="C1542" s="7">
        <v>39</v>
      </c>
      <c r="D1542" s="7" t="s">
        <v>2301</v>
      </c>
      <c r="E1542" s="18">
        <v>5500000</v>
      </c>
      <c r="F1542" s="7">
        <f t="shared" si="106"/>
        <v>1452946.9727189392</v>
      </c>
      <c r="G1542" s="7">
        <f t="shared" si="107"/>
        <v>4680.8255458014046</v>
      </c>
      <c r="H1542" s="10">
        <v>42561</v>
      </c>
      <c r="I1542" s="18" t="s">
        <v>1833</v>
      </c>
      <c r="J1542" s="18" t="s">
        <v>1807</v>
      </c>
      <c r="K1542" s="7" t="s">
        <v>1716</v>
      </c>
      <c r="L1542" s="7" t="s">
        <v>2246</v>
      </c>
      <c r="M1542" s="7" t="str">
        <f t="shared" si="108"/>
        <v>ND</v>
      </c>
      <c r="N1542" s="7" t="str">
        <f t="shared" si="105"/>
        <v>ND</v>
      </c>
    </row>
    <row r="1543" spans="1:14" ht="15.6" x14ac:dyDescent="0.3">
      <c r="A1543" s="7" t="s">
        <v>1777</v>
      </c>
      <c r="B1543" s="7">
        <v>13</v>
      </c>
      <c r="C1543" s="7">
        <v>39</v>
      </c>
      <c r="D1543" s="7" t="s">
        <v>2301</v>
      </c>
      <c r="E1543" s="18">
        <v>5500000</v>
      </c>
      <c r="F1543" s="7">
        <f t="shared" si="106"/>
        <v>1452946.9727189392</v>
      </c>
      <c r="G1543" s="7">
        <f t="shared" si="107"/>
        <v>4680.8255458014046</v>
      </c>
      <c r="H1543" s="10">
        <v>42561</v>
      </c>
      <c r="I1543" s="18" t="s">
        <v>1833</v>
      </c>
      <c r="J1543" s="18" t="s">
        <v>1807</v>
      </c>
      <c r="K1543" s="7">
        <v>7510</v>
      </c>
      <c r="L1543" s="7" t="s">
        <v>2246</v>
      </c>
      <c r="M1543" s="7">
        <f t="shared" si="108"/>
        <v>7.51</v>
      </c>
      <c r="N1543" s="7">
        <f t="shared" si="105"/>
        <v>2331.1340399999999</v>
      </c>
    </row>
    <row r="1544" spans="1:14" ht="15.6" x14ac:dyDescent="0.3">
      <c r="A1544" s="7" t="s">
        <v>1778</v>
      </c>
      <c r="B1544" s="7">
        <v>13</v>
      </c>
      <c r="C1544" s="7">
        <v>39</v>
      </c>
      <c r="D1544" s="7" t="s">
        <v>2301</v>
      </c>
      <c r="E1544" s="18">
        <v>5500000</v>
      </c>
      <c r="F1544" s="7">
        <f t="shared" si="106"/>
        <v>1452946.9727189392</v>
      </c>
      <c r="G1544" s="7">
        <f t="shared" si="107"/>
        <v>4680.8255458014046</v>
      </c>
      <c r="H1544" s="10">
        <v>42561</v>
      </c>
      <c r="I1544" s="18" t="s">
        <v>1833</v>
      </c>
      <c r="J1544" s="18" t="s">
        <v>1807</v>
      </c>
      <c r="K1544" s="7">
        <v>2040</v>
      </c>
      <c r="L1544" s="7" t="s">
        <v>2246</v>
      </c>
      <c r="M1544" s="7">
        <f t="shared" si="108"/>
        <v>2.04</v>
      </c>
      <c r="N1544" s="7">
        <f t="shared" si="105"/>
        <v>633.22415999999998</v>
      </c>
    </row>
    <row r="1545" spans="1:14" ht="15.6" x14ac:dyDescent="0.3">
      <c r="A1545" s="7" t="s">
        <v>1756</v>
      </c>
      <c r="B1545" s="7">
        <v>13</v>
      </c>
      <c r="C1545" s="7">
        <v>39</v>
      </c>
      <c r="D1545" s="7" t="s">
        <v>2301</v>
      </c>
      <c r="E1545" s="18">
        <v>5500000</v>
      </c>
      <c r="F1545" s="7">
        <f t="shared" si="106"/>
        <v>1452946.9727189392</v>
      </c>
      <c r="G1545" s="7">
        <f t="shared" si="107"/>
        <v>4680.8255458014046</v>
      </c>
      <c r="H1545" s="10">
        <v>42561</v>
      </c>
      <c r="I1545" s="18" t="s">
        <v>1833</v>
      </c>
      <c r="J1545" s="18" t="s">
        <v>1807</v>
      </c>
      <c r="K1545" s="7">
        <v>185</v>
      </c>
      <c r="L1545" s="7" t="s">
        <v>2246</v>
      </c>
      <c r="M1545" s="7">
        <f t="shared" si="108"/>
        <v>0.185</v>
      </c>
      <c r="N1545" s="7">
        <f t="shared" si="105"/>
        <v>57.424739999999993</v>
      </c>
    </row>
    <row r="1546" spans="1:14" ht="15.6" x14ac:dyDescent="0.3">
      <c r="A1546" s="7" t="s">
        <v>1714</v>
      </c>
      <c r="B1546" s="7">
        <v>13</v>
      </c>
      <c r="C1546" s="7">
        <v>39</v>
      </c>
      <c r="D1546" s="7" t="s">
        <v>2301</v>
      </c>
      <c r="E1546" s="18">
        <v>5500000</v>
      </c>
      <c r="F1546" s="7">
        <f t="shared" si="106"/>
        <v>1452946.9727189392</v>
      </c>
      <c r="G1546" s="7">
        <f t="shared" si="107"/>
        <v>4680.8255458014046</v>
      </c>
      <c r="H1546" s="10">
        <v>42561</v>
      </c>
      <c r="I1546" s="18" t="s">
        <v>1833</v>
      </c>
      <c r="J1546" s="18" t="s">
        <v>1807</v>
      </c>
      <c r="K1546" s="7">
        <v>249</v>
      </c>
      <c r="L1546" s="7" t="s">
        <v>2246</v>
      </c>
      <c r="M1546" s="7">
        <f t="shared" si="108"/>
        <v>0.249</v>
      </c>
      <c r="N1546" s="7">
        <f t="shared" si="105"/>
        <v>77.290596000000008</v>
      </c>
    </row>
    <row r="1547" spans="1:14" ht="15.6" x14ac:dyDescent="0.3">
      <c r="A1547" s="7" t="s">
        <v>1779</v>
      </c>
      <c r="B1547" s="7">
        <v>13</v>
      </c>
      <c r="C1547" s="7">
        <v>39</v>
      </c>
      <c r="D1547" s="7" t="s">
        <v>2301</v>
      </c>
      <c r="E1547" s="18">
        <v>5500000</v>
      </c>
      <c r="F1547" s="7">
        <f t="shared" si="106"/>
        <v>1452946.9727189392</v>
      </c>
      <c r="G1547" s="7">
        <f t="shared" si="107"/>
        <v>4680.8255458014046</v>
      </c>
      <c r="H1547" s="10">
        <v>42561</v>
      </c>
      <c r="I1547" s="18" t="s">
        <v>1833</v>
      </c>
      <c r="J1547" s="18" t="s">
        <v>1807</v>
      </c>
      <c r="K1547" s="7">
        <v>28.2</v>
      </c>
      <c r="L1547" s="7" t="s">
        <v>2246</v>
      </c>
      <c r="M1547" s="7">
        <f t="shared" si="108"/>
        <v>2.8199999999999999E-2</v>
      </c>
      <c r="N1547" s="7">
        <f t="shared" si="105"/>
        <v>8.7533928000000003</v>
      </c>
    </row>
    <row r="1548" spans="1:14" ht="15.6" x14ac:dyDescent="0.3">
      <c r="A1548" s="7" t="s">
        <v>1718</v>
      </c>
      <c r="B1548" s="7">
        <v>13</v>
      </c>
      <c r="C1548" s="7">
        <v>39</v>
      </c>
      <c r="D1548" s="7" t="s">
        <v>2301</v>
      </c>
      <c r="E1548" s="18">
        <v>5500000</v>
      </c>
      <c r="F1548" s="7">
        <f t="shared" si="106"/>
        <v>1452946.9727189392</v>
      </c>
      <c r="G1548" s="7">
        <f t="shared" si="107"/>
        <v>4680.8255458014046</v>
      </c>
      <c r="H1548" s="10">
        <v>42561</v>
      </c>
      <c r="I1548" s="18" t="s">
        <v>1833</v>
      </c>
      <c r="J1548" s="18" t="s">
        <v>1807</v>
      </c>
      <c r="K1548" s="7">
        <v>46.1</v>
      </c>
      <c r="L1548" s="7" t="s">
        <v>2246</v>
      </c>
      <c r="M1548" s="7">
        <f t="shared" si="108"/>
        <v>4.6100000000000002E-2</v>
      </c>
      <c r="N1548" s="7">
        <f t="shared" si="105"/>
        <v>14.309624400000002</v>
      </c>
    </row>
    <row r="1549" spans="1:14" ht="15.6" x14ac:dyDescent="0.3">
      <c r="A1549" s="7" t="s">
        <v>1780</v>
      </c>
      <c r="B1549" s="7">
        <v>13</v>
      </c>
      <c r="C1549" s="7">
        <v>39</v>
      </c>
      <c r="D1549" s="7" t="s">
        <v>2301</v>
      </c>
      <c r="E1549" s="18">
        <v>5500000</v>
      </c>
      <c r="F1549" s="7">
        <f t="shared" si="106"/>
        <v>1452946.9727189392</v>
      </c>
      <c r="G1549" s="7">
        <f t="shared" si="107"/>
        <v>4680.8255458014046</v>
      </c>
      <c r="H1549" s="10">
        <v>42561</v>
      </c>
      <c r="I1549" s="18" t="s">
        <v>1833</v>
      </c>
      <c r="J1549" s="18" t="s">
        <v>1807</v>
      </c>
      <c r="K1549" s="7" t="s">
        <v>1716</v>
      </c>
      <c r="L1549" s="7" t="s">
        <v>2246</v>
      </c>
      <c r="M1549" s="7" t="str">
        <f t="shared" si="108"/>
        <v>ND</v>
      </c>
      <c r="N1549" s="7" t="str">
        <f t="shared" si="105"/>
        <v>ND</v>
      </c>
    </row>
    <row r="1550" spans="1:14" ht="15.6" x14ac:dyDescent="0.3">
      <c r="A1550" s="7" t="s">
        <v>1757</v>
      </c>
      <c r="B1550" s="7">
        <v>13</v>
      </c>
      <c r="C1550" s="7">
        <v>39</v>
      </c>
      <c r="D1550" s="7" t="s">
        <v>2301</v>
      </c>
      <c r="E1550" s="18">
        <v>5500000</v>
      </c>
      <c r="F1550" s="7">
        <f t="shared" si="106"/>
        <v>1452946.9727189392</v>
      </c>
      <c r="G1550" s="7">
        <f t="shared" si="107"/>
        <v>4680.8255458014046</v>
      </c>
      <c r="H1550" s="10">
        <v>42561</v>
      </c>
      <c r="I1550" s="18" t="s">
        <v>1833</v>
      </c>
      <c r="J1550" s="18" t="s">
        <v>1807</v>
      </c>
      <c r="K1550" s="7">
        <v>42.6</v>
      </c>
      <c r="L1550" s="7" t="s">
        <v>2246</v>
      </c>
      <c r="M1550" s="7">
        <f t="shared" si="108"/>
        <v>4.2599999999999999E-2</v>
      </c>
      <c r="N1550" s="7">
        <f t="shared" si="105"/>
        <v>13.223210399999999</v>
      </c>
    </row>
    <row r="1551" spans="1:14" ht="15.6" x14ac:dyDescent="0.3">
      <c r="A1551" s="7" t="s">
        <v>1781</v>
      </c>
      <c r="B1551" s="7">
        <v>13</v>
      </c>
      <c r="C1551" s="7">
        <v>39</v>
      </c>
      <c r="D1551" s="7" t="s">
        <v>2301</v>
      </c>
      <c r="E1551" s="18">
        <v>5500000</v>
      </c>
      <c r="F1551" s="7">
        <f t="shared" si="106"/>
        <v>1452946.9727189392</v>
      </c>
      <c r="G1551" s="7">
        <f t="shared" si="107"/>
        <v>4680.8255458014046</v>
      </c>
      <c r="H1551" s="10">
        <v>42561</v>
      </c>
      <c r="I1551" s="18" t="s">
        <v>1833</v>
      </c>
      <c r="J1551" s="18" t="s">
        <v>1807</v>
      </c>
      <c r="K1551" s="7">
        <v>825</v>
      </c>
      <c r="L1551" s="7" t="s">
        <v>2246</v>
      </c>
      <c r="M1551" s="7">
        <f t="shared" si="108"/>
        <v>0.82499999999999996</v>
      </c>
      <c r="N1551" s="7">
        <f t="shared" si="105"/>
        <v>256.08329999999995</v>
      </c>
    </row>
    <row r="1552" spans="1:14" ht="15.6" x14ac:dyDescent="0.3">
      <c r="A1552" s="7" t="s">
        <v>2298</v>
      </c>
      <c r="B1552" s="7">
        <v>13</v>
      </c>
      <c r="C1552" s="7">
        <v>39</v>
      </c>
      <c r="D1552" s="7" t="s">
        <v>2301</v>
      </c>
      <c r="E1552" s="18">
        <v>5500000</v>
      </c>
      <c r="F1552" s="7">
        <f t="shared" si="106"/>
        <v>1452946.9727189392</v>
      </c>
      <c r="G1552" s="7">
        <f t="shared" si="107"/>
        <v>4680.8255458014046</v>
      </c>
      <c r="H1552" s="10">
        <v>42561</v>
      </c>
      <c r="I1552" s="18" t="s">
        <v>1833</v>
      </c>
      <c r="J1552" s="18" t="s">
        <v>1807</v>
      </c>
      <c r="K1552" s="7">
        <v>42.6</v>
      </c>
      <c r="L1552" s="7" t="s">
        <v>2246</v>
      </c>
      <c r="M1552" s="7">
        <f t="shared" si="108"/>
        <v>4.2599999999999999E-2</v>
      </c>
      <c r="N1552" s="7">
        <f t="shared" si="105"/>
        <v>13.223210399999999</v>
      </c>
    </row>
    <row r="1553" spans="1:14" ht="15.6" x14ac:dyDescent="0.3">
      <c r="A1553" s="7" t="s">
        <v>1758</v>
      </c>
      <c r="B1553" s="7">
        <v>13</v>
      </c>
      <c r="C1553" s="7">
        <v>39</v>
      </c>
      <c r="D1553" s="7" t="s">
        <v>2301</v>
      </c>
      <c r="E1553" s="18">
        <v>5500000</v>
      </c>
      <c r="F1553" s="7">
        <f t="shared" si="106"/>
        <v>1452946.9727189392</v>
      </c>
      <c r="G1553" s="7">
        <f t="shared" si="107"/>
        <v>4680.8255458014046</v>
      </c>
      <c r="H1553" s="10">
        <v>42561</v>
      </c>
      <c r="I1553" s="18" t="s">
        <v>1833</v>
      </c>
      <c r="J1553" s="18" t="s">
        <v>1807</v>
      </c>
      <c r="K1553" s="7">
        <v>434</v>
      </c>
      <c r="L1553" s="7" t="s">
        <v>2246</v>
      </c>
      <c r="M1553" s="7">
        <f t="shared" si="108"/>
        <v>0.434</v>
      </c>
      <c r="N1553" s="7">
        <f t="shared" si="105"/>
        <v>134.71533600000001</v>
      </c>
    </row>
    <row r="1554" spans="1:14" ht="15.6" x14ac:dyDescent="0.3">
      <c r="A1554" s="7" t="s">
        <v>1744</v>
      </c>
      <c r="B1554" s="7">
        <v>13</v>
      </c>
      <c r="C1554" s="7">
        <v>39</v>
      </c>
      <c r="D1554" s="7" t="s">
        <v>2301</v>
      </c>
      <c r="E1554" s="18">
        <v>5500000</v>
      </c>
      <c r="F1554" s="7">
        <f t="shared" si="106"/>
        <v>1452946.9727189392</v>
      </c>
      <c r="G1554" s="7">
        <f t="shared" si="107"/>
        <v>4680.8255458014046</v>
      </c>
      <c r="H1554" s="10">
        <v>42561</v>
      </c>
      <c r="I1554" s="18" t="s">
        <v>1833</v>
      </c>
      <c r="J1554" s="18" t="s">
        <v>1807</v>
      </c>
      <c r="K1554" s="7" t="s">
        <v>1716</v>
      </c>
      <c r="L1554" s="7" t="s">
        <v>2246</v>
      </c>
      <c r="M1554" s="7" t="str">
        <f t="shared" si="108"/>
        <v>ND</v>
      </c>
      <c r="N1554" s="7" t="str">
        <f t="shared" si="105"/>
        <v>ND</v>
      </c>
    </row>
    <row r="1555" spans="1:14" ht="15.6" x14ac:dyDescent="0.3">
      <c r="A1555" s="7" t="s">
        <v>1745</v>
      </c>
      <c r="B1555" s="7">
        <v>13</v>
      </c>
      <c r="C1555" s="7">
        <v>39</v>
      </c>
      <c r="D1555" s="7" t="s">
        <v>2301</v>
      </c>
      <c r="E1555" s="18">
        <v>5500000</v>
      </c>
      <c r="F1555" s="7">
        <f t="shared" si="106"/>
        <v>1452946.9727189392</v>
      </c>
      <c r="G1555" s="7">
        <f t="shared" si="107"/>
        <v>4680.8255458014046</v>
      </c>
      <c r="H1555" s="10">
        <v>42561</v>
      </c>
      <c r="I1555" s="18" t="s">
        <v>1833</v>
      </c>
      <c r="J1555" s="18" t="s">
        <v>1807</v>
      </c>
      <c r="K1555" s="7">
        <v>1290</v>
      </c>
      <c r="L1555" s="7" t="s">
        <v>2246</v>
      </c>
      <c r="M1555" s="7">
        <f t="shared" si="108"/>
        <v>1.29</v>
      </c>
      <c r="N1555" s="7">
        <f t="shared" si="105"/>
        <v>400.42115999999999</v>
      </c>
    </row>
    <row r="1556" spans="1:14" ht="15.6" x14ac:dyDescent="0.3">
      <c r="A1556" s="7" t="s">
        <v>1723</v>
      </c>
      <c r="B1556" s="7">
        <v>13</v>
      </c>
      <c r="C1556" s="7">
        <v>39</v>
      </c>
      <c r="D1556" s="7" t="s">
        <v>2301</v>
      </c>
      <c r="E1556" s="18">
        <v>5500000</v>
      </c>
      <c r="F1556" s="7">
        <f t="shared" si="106"/>
        <v>1452946.9727189392</v>
      </c>
      <c r="G1556" s="7">
        <f t="shared" si="107"/>
        <v>4680.8255458014046</v>
      </c>
      <c r="H1556" s="10">
        <v>42561</v>
      </c>
      <c r="I1556" s="18" t="s">
        <v>1833</v>
      </c>
      <c r="J1556" s="18" t="s">
        <v>1807</v>
      </c>
      <c r="K1556" s="7">
        <v>85.2</v>
      </c>
      <c r="L1556" s="7" t="s">
        <v>2246</v>
      </c>
      <c r="M1556" s="7">
        <f t="shared" si="108"/>
        <v>8.5199999999999998E-2</v>
      </c>
      <c r="N1556" s="7">
        <f t="shared" si="105"/>
        <v>26.446420799999999</v>
      </c>
    </row>
    <row r="1557" spans="1:14" ht="15.6" x14ac:dyDescent="0.3">
      <c r="A1557" s="7" t="s">
        <v>1719</v>
      </c>
      <c r="B1557" s="7">
        <v>13</v>
      </c>
      <c r="C1557" s="7">
        <v>39</v>
      </c>
      <c r="D1557" s="7" t="s">
        <v>2301</v>
      </c>
      <c r="E1557" s="18">
        <v>5500000</v>
      </c>
      <c r="F1557" s="7">
        <f t="shared" si="106"/>
        <v>1452946.9727189392</v>
      </c>
      <c r="G1557" s="7">
        <f t="shared" si="107"/>
        <v>4680.8255458014046</v>
      </c>
      <c r="H1557" s="10">
        <v>42561</v>
      </c>
      <c r="I1557" s="18" t="s">
        <v>1833</v>
      </c>
      <c r="J1557" s="18" t="s">
        <v>1807</v>
      </c>
      <c r="K1557" s="7">
        <v>505</v>
      </c>
      <c r="L1557" s="7" t="s">
        <v>2246</v>
      </c>
      <c r="M1557" s="7">
        <f t="shared" si="108"/>
        <v>0.505</v>
      </c>
      <c r="N1557" s="7">
        <f t="shared" si="105"/>
        <v>156.75402000000003</v>
      </c>
    </row>
    <row r="1558" spans="1:14" ht="15.6" x14ac:dyDescent="0.3">
      <c r="A1558" s="7" t="s">
        <v>1782</v>
      </c>
      <c r="B1558" s="7">
        <v>13</v>
      </c>
      <c r="C1558" s="7">
        <v>39</v>
      </c>
      <c r="D1558" s="7" t="s">
        <v>2301</v>
      </c>
      <c r="E1558" s="18">
        <v>5500000</v>
      </c>
      <c r="F1558" s="7">
        <f t="shared" si="106"/>
        <v>1452946.9727189392</v>
      </c>
      <c r="G1558" s="7">
        <f t="shared" si="107"/>
        <v>4680.8255458014046</v>
      </c>
      <c r="H1558" s="10">
        <v>42561</v>
      </c>
      <c r="I1558" s="18" t="s">
        <v>1833</v>
      </c>
      <c r="J1558" s="18" t="s">
        <v>1807</v>
      </c>
      <c r="K1558" s="7">
        <v>75.2</v>
      </c>
      <c r="L1558" s="7" t="s">
        <v>2246</v>
      </c>
      <c r="M1558" s="7">
        <f t="shared" si="108"/>
        <v>7.5200000000000003E-2</v>
      </c>
      <c r="N1558" s="7">
        <f t="shared" si="105"/>
        <v>23.342380800000001</v>
      </c>
    </row>
    <row r="1559" spans="1:14" ht="15.6" x14ac:dyDescent="0.3">
      <c r="A1559" s="7" t="s">
        <v>1746</v>
      </c>
      <c r="B1559" s="7">
        <v>13</v>
      </c>
      <c r="C1559" s="7">
        <v>39</v>
      </c>
      <c r="D1559" s="7" t="s">
        <v>2301</v>
      </c>
      <c r="E1559" s="18">
        <v>5500000</v>
      </c>
      <c r="F1559" s="7">
        <f t="shared" si="106"/>
        <v>1452946.9727189392</v>
      </c>
      <c r="G1559" s="7">
        <f t="shared" si="107"/>
        <v>4680.8255458014046</v>
      </c>
      <c r="H1559" s="10">
        <v>42561</v>
      </c>
      <c r="I1559" s="18" t="s">
        <v>1833</v>
      </c>
      <c r="J1559" s="18" t="s">
        <v>1807</v>
      </c>
      <c r="K1559" s="7">
        <v>361</v>
      </c>
      <c r="L1559" s="7" t="s">
        <v>2246</v>
      </c>
      <c r="M1559" s="7">
        <f t="shared" si="108"/>
        <v>0.36099999999999999</v>
      </c>
      <c r="N1559" s="7">
        <f t="shared" si="105"/>
        <v>112.05584400000001</v>
      </c>
    </row>
    <row r="1560" spans="1:14" ht="15.6" x14ac:dyDescent="0.3">
      <c r="A1560" s="7" t="s">
        <v>1783</v>
      </c>
      <c r="B1560" s="7">
        <v>13</v>
      </c>
      <c r="C1560" s="7">
        <v>39</v>
      </c>
      <c r="D1560" s="7" t="s">
        <v>2301</v>
      </c>
      <c r="E1560" s="18">
        <v>5500000</v>
      </c>
      <c r="F1560" s="7">
        <f t="shared" si="106"/>
        <v>1452946.9727189392</v>
      </c>
      <c r="G1560" s="7">
        <f t="shared" si="107"/>
        <v>4680.8255458014046</v>
      </c>
      <c r="H1560" s="10">
        <v>42561</v>
      </c>
      <c r="I1560" s="18" t="s">
        <v>1833</v>
      </c>
      <c r="J1560" s="18" t="s">
        <v>1807</v>
      </c>
      <c r="K1560" s="7" t="s">
        <v>1716</v>
      </c>
      <c r="L1560" s="7" t="s">
        <v>2246</v>
      </c>
      <c r="M1560" s="7" t="str">
        <f t="shared" si="108"/>
        <v>ND</v>
      </c>
      <c r="N1560" s="7" t="str">
        <f t="shared" si="105"/>
        <v>ND</v>
      </c>
    </row>
    <row r="1561" spans="1:14" ht="15.6" x14ac:dyDescent="0.3">
      <c r="A1561" s="7" t="s">
        <v>1747</v>
      </c>
      <c r="B1561" s="7">
        <v>13</v>
      </c>
      <c r="C1561" s="7">
        <v>39</v>
      </c>
      <c r="D1561" s="7" t="s">
        <v>2301</v>
      </c>
      <c r="E1561" s="18">
        <v>5500000</v>
      </c>
      <c r="F1561" s="7">
        <f t="shared" si="106"/>
        <v>1452946.9727189392</v>
      </c>
      <c r="G1561" s="7">
        <f t="shared" si="107"/>
        <v>4680.8255458014046</v>
      </c>
      <c r="H1561" s="10">
        <v>42561</v>
      </c>
      <c r="I1561" s="18" t="s">
        <v>1833</v>
      </c>
      <c r="J1561" s="18" t="s">
        <v>1807</v>
      </c>
      <c r="K1561" s="7">
        <v>110</v>
      </c>
      <c r="L1561" s="7" t="s">
        <v>2246</v>
      </c>
      <c r="M1561" s="7">
        <f t="shared" si="108"/>
        <v>0.11</v>
      </c>
      <c r="N1561" s="7">
        <f t="shared" si="105"/>
        <v>34.144439999999996</v>
      </c>
    </row>
    <row r="1562" spans="1:14" ht="15.6" x14ac:dyDescent="0.3">
      <c r="A1562" s="7" t="s">
        <v>1784</v>
      </c>
      <c r="B1562" s="7">
        <v>13</v>
      </c>
      <c r="C1562" s="7">
        <v>39</v>
      </c>
      <c r="D1562" s="7" t="s">
        <v>2301</v>
      </c>
      <c r="E1562" s="18">
        <v>5500000</v>
      </c>
      <c r="F1562" s="7">
        <f t="shared" si="106"/>
        <v>1452946.9727189392</v>
      </c>
      <c r="G1562" s="7">
        <f t="shared" si="107"/>
        <v>4680.8255458014046</v>
      </c>
      <c r="H1562" s="10">
        <v>42561</v>
      </c>
      <c r="I1562" s="18" t="s">
        <v>1833</v>
      </c>
      <c r="J1562" s="18" t="s">
        <v>1807</v>
      </c>
      <c r="K1562" s="7">
        <v>23.2</v>
      </c>
      <c r="L1562" s="7" t="s">
        <v>2246</v>
      </c>
      <c r="M1562" s="7">
        <f t="shared" si="108"/>
        <v>2.3199999999999998E-2</v>
      </c>
      <c r="N1562" s="7">
        <f t="shared" si="105"/>
        <v>7.2013727999999988</v>
      </c>
    </row>
    <row r="1563" spans="1:14" ht="15.6" x14ac:dyDescent="0.3">
      <c r="A1563" s="7" t="s">
        <v>2299</v>
      </c>
      <c r="B1563" s="7">
        <v>13</v>
      </c>
      <c r="C1563" s="7">
        <v>39</v>
      </c>
      <c r="D1563" s="7" t="s">
        <v>2301</v>
      </c>
      <c r="E1563" s="18">
        <v>5500000</v>
      </c>
      <c r="F1563" s="7">
        <f t="shared" si="106"/>
        <v>1452946.9727189392</v>
      </c>
      <c r="G1563" s="7">
        <f t="shared" si="107"/>
        <v>4680.8255458014046</v>
      </c>
      <c r="H1563" s="10">
        <v>42561</v>
      </c>
      <c r="I1563" s="18" t="s">
        <v>1833</v>
      </c>
      <c r="J1563" s="18" t="s">
        <v>1807</v>
      </c>
      <c r="K1563" s="7">
        <v>475</v>
      </c>
      <c r="L1563" s="7" t="s">
        <v>2246</v>
      </c>
      <c r="M1563" s="7">
        <f t="shared" si="108"/>
        <v>0.47499999999999998</v>
      </c>
      <c r="N1563" s="7">
        <f t="shared" si="105"/>
        <v>147.44189999999998</v>
      </c>
    </row>
    <row r="1564" spans="1:14" ht="15.6" x14ac:dyDescent="0.3">
      <c r="A1564" s="7" t="s">
        <v>1785</v>
      </c>
      <c r="B1564" s="7">
        <v>13</v>
      </c>
      <c r="C1564" s="7">
        <v>39</v>
      </c>
      <c r="D1564" s="7" t="s">
        <v>2301</v>
      </c>
      <c r="E1564" s="18">
        <v>5500000</v>
      </c>
      <c r="F1564" s="7">
        <f t="shared" si="106"/>
        <v>1452946.9727189392</v>
      </c>
      <c r="G1564" s="7">
        <f t="shared" si="107"/>
        <v>4680.8255458014046</v>
      </c>
      <c r="H1564" s="10">
        <v>42561</v>
      </c>
      <c r="I1564" s="18" t="s">
        <v>1833</v>
      </c>
      <c r="J1564" s="18" t="s">
        <v>1807</v>
      </c>
      <c r="K1564" s="7">
        <v>652</v>
      </c>
      <c r="L1564" s="7" t="s">
        <v>2246</v>
      </c>
      <c r="M1564" s="7">
        <f t="shared" si="108"/>
        <v>0.65200000000000002</v>
      </c>
      <c r="N1564" s="7">
        <f t="shared" si="105"/>
        <v>202.383408</v>
      </c>
    </row>
    <row r="1565" spans="1:14" ht="15.6" x14ac:dyDescent="0.3">
      <c r="A1565" s="7" t="s">
        <v>1729</v>
      </c>
      <c r="B1565" s="7">
        <v>13</v>
      </c>
      <c r="C1565" s="7">
        <v>40</v>
      </c>
      <c r="D1565" s="7" t="s">
        <v>2302</v>
      </c>
      <c r="E1565" s="18">
        <v>39000000</v>
      </c>
      <c r="F1565" s="7">
        <f t="shared" si="106"/>
        <v>10302714.897461569</v>
      </c>
      <c r="G1565" s="7">
        <f t="shared" si="107"/>
        <v>33191.308415682688</v>
      </c>
      <c r="H1565" s="10">
        <v>42559</v>
      </c>
      <c r="I1565" s="18" t="s">
        <v>1833</v>
      </c>
      <c r="J1565" s="18" t="s">
        <v>1807</v>
      </c>
      <c r="K1565" s="7">
        <v>60900</v>
      </c>
      <c r="L1565" s="7" t="s">
        <v>2246</v>
      </c>
      <c r="M1565" s="7">
        <f t="shared" si="108"/>
        <v>60.9</v>
      </c>
      <c r="N1565" s="7">
        <f t="shared" si="105"/>
        <v>18903.603599999999</v>
      </c>
    </row>
    <row r="1566" spans="1:14" ht="15.6" x14ac:dyDescent="0.3">
      <c r="A1566" s="7" t="s">
        <v>1769</v>
      </c>
      <c r="B1566" s="7">
        <v>13</v>
      </c>
      <c r="C1566" s="7">
        <v>40</v>
      </c>
      <c r="D1566" s="7" t="s">
        <v>2302</v>
      </c>
      <c r="E1566" s="18">
        <v>39000000</v>
      </c>
      <c r="F1566" s="7">
        <f t="shared" si="106"/>
        <v>10302714.897461569</v>
      </c>
      <c r="G1566" s="7">
        <f t="shared" si="107"/>
        <v>33191.308415682688</v>
      </c>
      <c r="H1566" s="10">
        <v>42559</v>
      </c>
      <c r="I1566" s="18" t="s">
        <v>1833</v>
      </c>
      <c r="J1566" s="18" t="s">
        <v>1807</v>
      </c>
      <c r="K1566" s="7">
        <v>5680</v>
      </c>
      <c r="L1566" s="7" t="s">
        <v>2246</v>
      </c>
      <c r="M1566" s="7">
        <f t="shared" si="108"/>
        <v>5.68</v>
      </c>
      <c r="N1566" s="7">
        <f t="shared" si="105"/>
        <v>1763.0947199999998</v>
      </c>
    </row>
    <row r="1567" spans="1:14" ht="15.6" x14ac:dyDescent="0.3">
      <c r="A1567" s="7" t="s">
        <v>1759</v>
      </c>
      <c r="B1567" s="7">
        <v>13</v>
      </c>
      <c r="C1567" s="7">
        <v>40</v>
      </c>
      <c r="D1567" s="7" t="s">
        <v>2302</v>
      </c>
      <c r="E1567" s="18">
        <v>39000000</v>
      </c>
      <c r="F1567" s="7">
        <f t="shared" si="106"/>
        <v>10302714.897461569</v>
      </c>
      <c r="G1567" s="7">
        <f t="shared" si="107"/>
        <v>33191.308415682688</v>
      </c>
      <c r="H1567" s="10">
        <v>42559</v>
      </c>
      <c r="I1567" s="18" t="s">
        <v>1833</v>
      </c>
      <c r="J1567" s="18" t="s">
        <v>1807</v>
      </c>
      <c r="K1567" s="7">
        <v>11.9</v>
      </c>
      <c r="L1567" s="7" t="s">
        <v>2246</v>
      </c>
      <c r="M1567" s="7">
        <f t="shared" si="108"/>
        <v>1.1900000000000001E-2</v>
      </c>
      <c r="N1567" s="7">
        <f t="shared" si="105"/>
        <v>3.6938076</v>
      </c>
    </row>
    <row r="1568" spans="1:14" ht="15.6" x14ac:dyDescent="0.3">
      <c r="A1568" s="7" t="s">
        <v>1730</v>
      </c>
      <c r="B1568" s="7">
        <v>13</v>
      </c>
      <c r="C1568" s="7">
        <v>40</v>
      </c>
      <c r="D1568" s="7" t="s">
        <v>2302</v>
      </c>
      <c r="E1568" s="18">
        <v>39000000</v>
      </c>
      <c r="F1568" s="7">
        <f t="shared" si="106"/>
        <v>10302714.897461569</v>
      </c>
      <c r="G1568" s="7">
        <f t="shared" si="107"/>
        <v>33191.308415682688</v>
      </c>
      <c r="H1568" s="10">
        <v>42559</v>
      </c>
      <c r="I1568" s="18" t="s">
        <v>1833</v>
      </c>
      <c r="J1568" s="18" t="s">
        <v>1807</v>
      </c>
      <c r="K1568" s="7" t="s">
        <v>1716</v>
      </c>
      <c r="L1568" s="7" t="s">
        <v>2246</v>
      </c>
      <c r="M1568" s="7" t="str">
        <f t="shared" si="108"/>
        <v>ND</v>
      </c>
      <c r="N1568" s="7" t="str">
        <f t="shared" ref="N1568:N1631" si="109">IFERROR((M1568*F1568)/G1568,"ND")</f>
        <v>ND</v>
      </c>
    </row>
    <row r="1569" spans="1:14" ht="15.6" x14ac:dyDescent="0.3">
      <c r="A1569" s="7" t="s">
        <v>1726</v>
      </c>
      <c r="B1569" s="7">
        <v>13</v>
      </c>
      <c r="C1569" s="7">
        <v>40</v>
      </c>
      <c r="D1569" s="7" t="s">
        <v>2302</v>
      </c>
      <c r="E1569" s="18">
        <v>39000000</v>
      </c>
      <c r="F1569" s="7">
        <f t="shared" si="106"/>
        <v>10302714.897461569</v>
      </c>
      <c r="G1569" s="7">
        <f t="shared" si="107"/>
        <v>33191.308415682688</v>
      </c>
      <c r="H1569" s="10">
        <v>42559</v>
      </c>
      <c r="I1569" s="18" t="s">
        <v>1833</v>
      </c>
      <c r="J1569" s="18" t="s">
        <v>1807</v>
      </c>
      <c r="K1569" s="7">
        <v>163</v>
      </c>
      <c r="L1569" s="7" t="s">
        <v>2246</v>
      </c>
      <c r="M1569" s="7">
        <f t="shared" si="108"/>
        <v>0.16300000000000001</v>
      </c>
      <c r="N1569" s="7">
        <f t="shared" si="109"/>
        <v>50.595852000000001</v>
      </c>
    </row>
    <row r="1570" spans="1:14" ht="15.6" x14ac:dyDescent="0.3">
      <c r="A1570" s="7" t="s">
        <v>1753</v>
      </c>
      <c r="B1570" s="7">
        <v>13</v>
      </c>
      <c r="C1570" s="7">
        <v>40</v>
      </c>
      <c r="D1570" s="7" t="s">
        <v>2302</v>
      </c>
      <c r="E1570" s="18">
        <v>39000000</v>
      </c>
      <c r="F1570" s="7">
        <f t="shared" ref="F1570:F1610" si="110">E1570/3.78541</f>
        <v>10302714.897461569</v>
      </c>
      <c r="G1570" s="7">
        <f t="shared" ref="G1570:G1633" si="111">F1570/310.404</f>
        <v>33191.308415682688</v>
      </c>
      <c r="H1570" s="10">
        <v>42559</v>
      </c>
      <c r="I1570" s="18" t="s">
        <v>1833</v>
      </c>
      <c r="J1570" s="18" t="s">
        <v>1807</v>
      </c>
      <c r="K1570" s="7">
        <v>1050</v>
      </c>
      <c r="L1570" s="7" t="s">
        <v>2246</v>
      </c>
      <c r="M1570" s="7">
        <f t="shared" si="108"/>
        <v>1.05</v>
      </c>
      <c r="N1570" s="7">
        <f t="shared" si="109"/>
        <v>325.92419999999998</v>
      </c>
    </row>
    <row r="1571" spans="1:14" ht="15.6" x14ac:dyDescent="0.3">
      <c r="A1571" s="7" t="s">
        <v>1732</v>
      </c>
      <c r="B1571" s="7">
        <v>13</v>
      </c>
      <c r="C1571" s="7">
        <v>40</v>
      </c>
      <c r="D1571" s="7" t="s">
        <v>2302</v>
      </c>
      <c r="E1571" s="18">
        <v>39000000</v>
      </c>
      <c r="F1571" s="7">
        <f t="shared" si="110"/>
        <v>10302714.897461569</v>
      </c>
      <c r="G1571" s="7">
        <f t="shared" si="111"/>
        <v>33191.308415682688</v>
      </c>
      <c r="H1571" s="10">
        <v>42559</v>
      </c>
      <c r="I1571" s="18" t="s">
        <v>1833</v>
      </c>
      <c r="J1571" s="18" t="s">
        <v>1807</v>
      </c>
      <c r="K1571" s="7">
        <v>77.3</v>
      </c>
      <c r="L1571" s="7" t="s">
        <v>2246</v>
      </c>
      <c r="M1571" s="7">
        <f t="shared" si="108"/>
        <v>7.7299999999999994E-2</v>
      </c>
      <c r="N1571" s="7">
        <f t="shared" si="109"/>
        <v>23.994229199999999</v>
      </c>
    </row>
    <row r="1572" spans="1:14" ht="15.6" x14ac:dyDescent="0.3">
      <c r="A1572" s="7" t="s">
        <v>1733</v>
      </c>
      <c r="B1572" s="7">
        <v>13</v>
      </c>
      <c r="C1572" s="7">
        <v>40</v>
      </c>
      <c r="D1572" s="7" t="s">
        <v>2302</v>
      </c>
      <c r="E1572" s="18">
        <v>39000000</v>
      </c>
      <c r="F1572" s="7">
        <f t="shared" si="110"/>
        <v>10302714.897461569</v>
      </c>
      <c r="G1572" s="7">
        <f t="shared" si="111"/>
        <v>33191.308415682688</v>
      </c>
      <c r="H1572" s="10">
        <v>42559</v>
      </c>
      <c r="I1572" s="18" t="s">
        <v>1833</v>
      </c>
      <c r="J1572" s="18" t="s">
        <v>1807</v>
      </c>
      <c r="K1572" s="7">
        <v>237</v>
      </c>
      <c r="L1572" s="7" t="s">
        <v>2246</v>
      </c>
      <c r="M1572" s="7">
        <f t="shared" si="108"/>
        <v>0.23699999999999999</v>
      </c>
      <c r="N1572" s="7">
        <f t="shared" si="109"/>
        <v>73.565747999999985</v>
      </c>
    </row>
    <row r="1573" spans="1:14" ht="15.6" x14ac:dyDescent="0.3">
      <c r="A1573" s="7" t="s">
        <v>1735</v>
      </c>
      <c r="B1573" s="7">
        <v>13</v>
      </c>
      <c r="C1573" s="7">
        <v>40</v>
      </c>
      <c r="D1573" s="7" t="s">
        <v>2302</v>
      </c>
      <c r="E1573" s="18">
        <v>39000000</v>
      </c>
      <c r="F1573" s="7">
        <f t="shared" si="110"/>
        <v>10302714.897461569</v>
      </c>
      <c r="G1573" s="7">
        <f t="shared" si="111"/>
        <v>33191.308415682688</v>
      </c>
      <c r="H1573" s="10">
        <v>42559</v>
      </c>
      <c r="I1573" s="18" t="s">
        <v>1833</v>
      </c>
      <c r="J1573" s="18" t="s">
        <v>1807</v>
      </c>
      <c r="K1573" s="7">
        <v>141</v>
      </c>
      <c r="L1573" s="7" t="s">
        <v>2246</v>
      </c>
      <c r="M1573" s="7">
        <f t="shared" si="108"/>
        <v>0.14099999999999999</v>
      </c>
      <c r="N1573" s="7">
        <f t="shared" si="109"/>
        <v>43.766963999999994</v>
      </c>
    </row>
    <row r="1574" spans="1:14" ht="15.6" x14ac:dyDescent="0.3">
      <c r="A1574" s="7" t="s">
        <v>1713</v>
      </c>
      <c r="B1574" s="7">
        <v>13</v>
      </c>
      <c r="C1574" s="7">
        <v>40</v>
      </c>
      <c r="D1574" s="7" t="s">
        <v>2302</v>
      </c>
      <c r="E1574" s="18">
        <v>39000000</v>
      </c>
      <c r="F1574" s="7">
        <f t="shared" si="110"/>
        <v>10302714.897461569</v>
      </c>
      <c r="G1574" s="7">
        <f t="shared" si="111"/>
        <v>33191.308415682688</v>
      </c>
      <c r="H1574" s="10">
        <v>42559</v>
      </c>
      <c r="I1574" s="18" t="s">
        <v>1833</v>
      </c>
      <c r="J1574" s="18" t="s">
        <v>1807</v>
      </c>
      <c r="K1574" s="7">
        <v>117</v>
      </c>
      <c r="L1574" s="7" t="s">
        <v>2246</v>
      </c>
      <c r="M1574" s="7">
        <f t="shared" si="108"/>
        <v>0.11700000000000001</v>
      </c>
      <c r="N1574" s="7">
        <f t="shared" si="109"/>
        <v>36.317268000000006</v>
      </c>
    </row>
    <row r="1575" spans="1:14" ht="15.6" x14ac:dyDescent="0.3">
      <c r="A1575" s="7" t="s">
        <v>1764</v>
      </c>
      <c r="B1575" s="7">
        <v>13</v>
      </c>
      <c r="C1575" s="7">
        <v>40</v>
      </c>
      <c r="D1575" s="7" t="s">
        <v>2302</v>
      </c>
      <c r="E1575" s="18">
        <v>39000000</v>
      </c>
      <c r="F1575" s="7">
        <f t="shared" si="110"/>
        <v>10302714.897461569</v>
      </c>
      <c r="G1575" s="7">
        <f t="shared" si="111"/>
        <v>33191.308415682688</v>
      </c>
      <c r="H1575" s="10">
        <v>42559</v>
      </c>
      <c r="I1575" s="18" t="s">
        <v>1833</v>
      </c>
      <c r="J1575" s="18" t="s">
        <v>1807</v>
      </c>
      <c r="K1575" s="7">
        <v>509</v>
      </c>
      <c r="L1575" s="7" t="s">
        <v>2246</v>
      </c>
      <c r="M1575" s="7">
        <f t="shared" si="108"/>
        <v>0.50900000000000001</v>
      </c>
      <c r="N1575" s="7">
        <f t="shared" si="109"/>
        <v>157.99563599999999</v>
      </c>
    </row>
    <row r="1576" spans="1:14" ht="15.6" x14ac:dyDescent="0.3">
      <c r="A1576" s="7" t="s">
        <v>1770</v>
      </c>
      <c r="B1576" s="7">
        <v>13</v>
      </c>
      <c r="C1576" s="7">
        <v>40</v>
      </c>
      <c r="D1576" s="7" t="s">
        <v>2302</v>
      </c>
      <c r="E1576" s="18">
        <v>39000000</v>
      </c>
      <c r="F1576" s="7">
        <f t="shared" si="110"/>
        <v>10302714.897461569</v>
      </c>
      <c r="G1576" s="7">
        <f t="shared" si="111"/>
        <v>33191.308415682688</v>
      </c>
      <c r="H1576" s="10">
        <v>42559</v>
      </c>
      <c r="I1576" s="18" t="s">
        <v>1833</v>
      </c>
      <c r="J1576" s="18" t="s">
        <v>1807</v>
      </c>
      <c r="K1576" s="7">
        <v>39.799999999999997</v>
      </c>
      <c r="L1576" s="7" t="s">
        <v>2246</v>
      </c>
      <c r="M1576" s="7">
        <f t="shared" si="108"/>
        <v>3.9799999999999995E-2</v>
      </c>
      <c r="N1576" s="7">
        <f t="shared" si="109"/>
        <v>12.354079199999999</v>
      </c>
    </row>
    <row r="1577" spans="1:14" ht="15.6" x14ac:dyDescent="0.3">
      <c r="A1577" s="7" t="s">
        <v>1722</v>
      </c>
      <c r="B1577" s="7">
        <v>13</v>
      </c>
      <c r="C1577" s="7">
        <v>40</v>
      </c>
      <c r="D1577" s="7" t="s">
        <v>2302</v>
      </c>
      <c r="E1577" s="18">
        <v>39000000</v>
      </c>
      <c r="F1577" s="7">
        <f t="shared" si="110"/>
        <v>10302714.897461569</v>
      </c>
      <c r="G1577" s="7">
        <f t="shared" si="111"/>
        <v>33191.308415682688</v>
      </c>
      <c r="H1577" s="10">
        <v>42559</v>
      </c>
      <c r="I1577" s="18" t="s">
        <v>1833</v>
      </c>
      <c r="J1577" s="18" t="s">
        <v>1807</v>
      </c>
      <c r="K1577" s="7" t="s">
        <v>1716</v>
      </c>
      <c r="L1577" s="7" t="s">
        <v>2246</v>
      </c>
      <c r="M1577" s="7" t="str">
        <f t="shared" si="108"/>
        <v>ND</v>
      </c>
      <c r="N1577" s="7" t="str">
        <f t="shared" si="109"/>
        <v>ND</v>
      </c>
    </row>
    <row r="1578" spans="1:14" ht="15.6" x14ac:dyDescent="0.3">
      <c r="A1578" s="7" t="s">
        <v>1749</v>
      </c>
      <c r="B1578" s="7">
        <v>13</v>
      </c>
      <c r="C1578" s="7">
        <v>40</v>
      </c>
      <c r="D1578" s="7" t="s">
        <v>2302</v>
      </c>
      <c r="E1578" s="18">
        <v>39000000</v>
      </c>
      <c r="F1578" s="7">
        <f t="shared" si="110"/>
        <v>10302714.897461569</v>
      </c>
      <c r="G1578" s="7">
        <f t="shared" si="111"/>
        <v>33191.308415682688</v>
      </c>
      <c r="H1578" s="10">
        <v>42559</v>
      </c>
      <c r="I1578" s="18" t="s">
        <v>1833</v>
      </c>
      <c r="J1578" s="18" t="s">
        <v>1807</v>
      </c>
      <c r="K1578" s="7">
        <v>87.6</v>
      </c>
      <c r="L1578" s="7" t="s">
        <v>2246</v>
      </c>
      <c r="M1578" s="7">
        <f t="shared" si="108"/>
        <v>8.7599999999999997E-2</v>
      </c>
      <c r="N1578" s="7">
        <f t="shared" si="109"/>
        <v>27.1913904</v>
      </c>
    </row>
    <row r="1579" spans="1:14" ht="15.6" x14ac:dyDescent="0.3">
      <c r="A1579" s="7" t="s">
        <v>1748</v>
      </c>
      <c r="B1579" s="7">
        <v>13</v>
      </c>
      <c r="C1579" s="7">
        <v>40</v>
      </c>
      <c r="D1579" s="7" t="s">
        <v>2302</v>
      </c>
      <c r="E1579" s="18">
        <v>39000000</v>
      </c>
      <c r="F1579" s="7">
        <f t="shared" si="110"/>
        <v>10302714.897461569</v>
      </c>
      <c r="G1579" s="7">
        <f t="shared" si="111"/>
        <v>33191.308415682688</v>
      </c>
      <c r="H1579" s="10">
        <v>42559</v>
      </c>
      <c r="I1579" s="18" t="s">
        <v>1833</v>
      </c>
      <c r="J1579" s="18" t="s">
        <v>1807</v>
      </c>
      <c r="K1579" s="7">
        <v>1020</v>
      </c>
      <c r="L1579" s="7" t="s">
        <v>2246</v>
      </c>
      <c r="M1579" s="7">
        <f t="shared" si="108"/>
        <v>1.02</v>
      </c>
      <c r="N1579" s="7">
        <f t="shared" si="109"/>
        <v>316.61207999999999</v>
      </c>
    </row>
    <row r="1580" spans="1:14" ht="15.6" x14ac:dyDescent="0.3">
      <c r="A1580" s="7" t="s">
        <v>1738</v>
      </c>
      <c r="B1580" s="7">
        <v>13</v>
      </c>
      <c r="C1580" s="7">
        <v>40</v>
      </c>
      <c r="D1580" s="7" t="s">
        <v>2302</v>
      </c>
      <c r="E1580" s="18">
        <v>39000000</v>
      </c>
      <c r="F1580" s="7">
        <f t="shared" si="110"/>
        <v>10302714.897461569</v>
      </c>
      <c r="G1580" s="7">
        <f t="shared" si="111"/>
        <v>33191.308415682688</v>
      </c>
      <c r="H1580" s="10">
        <v>42559</v>
      </c>
      <c r="I1580" s="18" t="s">
        <v>1833</v>
      </c>
      <c r="J1580" s="18" t="s">
        <v>1807</v>
      </c>
      <c r="K1580" s="7">
        <v>56</v>
      </c>
      <c r="L1580" s="7" t="s">
        <v>2246</v>
      </c>
      <c r="M1580" s="7">
        <f t="shared" si="108"/>
        <v>5.6000000000000001E-2</v>
      </c>
      <c r="N1580" s="7">
        <f t="shared" si="109"/>
        <v>17.382624</v>
      </c>
    </row>
    <row r="1581" spans="1:14" ht="15.6" x14ac:dyDescent="0.3">
      <c r="A1581" s="7" t="s">
        <v>1771</v>
      </c>
      <c r="B1581" s="7">
        <v>13</v>
      </c>
      <c r="C1581" s="7">
        <v>40</v>
      </c>
      <c r="D1581" s="7" t="s">
        <v>2302</v>
      </c>
      <c r="E1581" s="18">
        <v>39000000</v>
      </c>
      <c r="F1581" s="7">
        <f t="shared" si="110"/>
        <v>10302714.897461569</v>
      </c>
      <c r="G1581" s="7">
        <f t="shared" si="111"/>
        <v>33191.308415682688</v>
      </c>
      <c r="H1581" s="10">
        <v>42559</v>
      </c>
      <c r="I1581" s="18" t="s">
        <v>1833</v>
      </c>
      <c r="J1581" s="18" t="s">
        <v>1807</v>
      </c>
      <c r="K1581" s="7">
        <v>193</v>
      </c>
      <c r="L1581" s="7" t="s">
        <v>2246</v>
      </c>
      <c r="M1581" s="7">
        <f t="shared" si="108"/>
        <v>0.193</v>
      </c>
      <c r="N1581" s="7">
        <f t="shared" si="109"/>
        <v>59.907972000000001</v>
      </c>
    </row>
    <row r="1582" spans="1:14" ht="15.6" x14ac:dyDescent="0.3">
      <c r="A1582" s="7" t="s">
        <v>1754</v>
      </c>
      <c r="B1582" s="7">
        <v>13</v>
      </c>
      <c r="C1582" s="7">
        <v>40</v>
      </c>
      <c r="D1582" s="7" t="s">
        <v>2302</v>
      </c>
      <c r="E1582" s="18">
        <v>39000000</v>
      </c>
      <c r="F1582" s="7">
        <f t="shared" si="110"/>
        <v>10302714.897461569</v>
      </c>
      <c r="G1582" s="7">
        <f t="shared" si="111"/>
        <v>33191.308415682688</v>
      </c>
      <c r="H1582" s="10">
        <v>42559</v>
      </c>
      <c r="I1582" s="18" t="s">
        <v>1833</v>
      </c>
      <c r="J1582" s="18" t="s">
        <v>1807</v>
      </c>
      <c r="K1582" s="7">
        <v>29.8</v>
      </c>
      <c r="L1582" s="7" t="s">
        <v>2246</v>
      </c>
      <c r="M1582" s="7">
        <f t="shared" si="108"/>
        <v>2.98E-2</v>
      </c>
      <c r="N1582" s="7">
        <f t="shared" si="109"/>
        <v>9.2500391999999998</v>
      </c>
    </row>
    <row r="1583" spans="1:14" ht="15.6" x14ac:dyDescent="0.3">
      <c r="A1583" s="7" t="s">
        <v>1772</v>
      </c>
      <c r="B1583" s="7">
        <v>13</v>
      </c>
      <c r="C1583" s="7">
        <v>40</v>
      </c>
      <c r="D1583" s="7" t="s">
        <v>2302</v>
      </c>
      <c r="E1583" s="18">
        <v>39000000</v>
      </c>
      <c r="F1583" s="7">
        <f t="shared" si="110"/>
        <v>10302714.897461569</v>
      </c>
      <c r="G1583" s="7">
        <f t="shared" si="111"/>
        <v>33191.308415682688</v>
      </c>
      <c r="H1583" s="10">
        <v>42559</v>
      </c>
      <c r="I1583" s="18" t="s">
        <v>1833</v>
      </c>
      <c r="J1583" s="18" t="s">
        <v>1807</v>
      </c>
      <c r="K1583" s="7">
        <v>1950</v>
      </c>
      <c r="L1583" s="7" t="s">
        <v>2246</v>
      </c>
      <c r="M1583" s="7">
        <f t="shared" ref="M1583:M1646" si="112">IFERROR(K1583/1000,"ND")</f>
        <v>1.95</v>
      </c>
      <c r="N1583" s="7">
        <f t="shared" si="109"/>
        <v>605.28779999999995</v>
      </c>
    </row>
    <row r="1584" spans="1:14" ht="15.6" x14ac:dyDescent="0.3">
      <c r="A1584" s="7" t="s">
        <v>1773</v>
      </c>
      <c r="B1584" s="7">
        <v>13</v>
      </c>
      <c r="C1584" s="7">
        <v>40</v>
      </c>
      <c r="D1584" s="7" t="s">
        <v>2302</v>
      </c>
      <c r="E1584" s="18">
        <v>39000000</v>
      </c>
      <c r="F1584" s="7">
        <f t="shared" si="110"/>
        <v>10302714.897461569</v>
      </c>
      <c r="G1584" s="7">
        <f t="shared" si="111"/>
        <v>33191.308415682688</v>
      </c>
      <c r="H1584" s="10">
        <v>42559</v>
      </c>
      <c r="I1584" s="18" t="s">
        <v>1833</v>
      </c>
      <c r="J1584" s="18" t="s">
        <v>1807</v>
      </c>
      <c r="K1584" s="7">
        <v>234</v>
      </c>
      <c r="L1584" s="7" t="s">
        <v>2246</v>
      </c>
      <c r="M1584" s="7">
        <f t="shared" si="112"/>
        <v>0.23400000000000001</v>
      </c>
      <c r="N1584" s="7">
        <f t="shared" si="109"/>
        <v>72.634536000000011</v>
      </c>
    </row>
    <row r="1585" spans="1:14" ht="15.6" x14ac:dyDescent="0.3">
      <c r="A1585" s="7" t="s">
        <v>1728</v>
      </c>
      <c r="B1585" s="7">
        <v>13</v>
      </c>
      <c r="C1585" s="7">
        <v>40</v>
      </c>
      <c r="D1585" s="7" t="s">
        <v>2302</v>
      </c>
      <c r="E1585" s="18">
        <v>39000000</v>
      </c>
      <c r="F1585" s="7">
        <f t="shared" si="110"/>
        <v>10302714.897461569</v>
      </c>
      <c r="G1585" s="7">
        <f t="shared" si="111"/>
        <v>33191.308415682688</v>
      </c>
      <c r="H1585" s="10">
        <v>42559</v>
      </c>
      <c r="I1585" s="18" t="s">
        <v>1833</v>
      </c>
      <c r="J1585" s="18" t="s">
        <v>1807</v>
      </c>
      <c r="K1585" s="7" t="s">
        <v>1716</v>
      </c>
      <c r="L1585" s="7" t="s">
        <v>2246</v>
      </c>
      <c r="M1585" s="7" t="str">
        <f t="shared" si="112"/>
        <v>ND</v>
      </c>
      <c r="N1585" s="7" t="str">
        <f t="shared" si="109"/>
        <v>ND</v>
      </c>
    </row>
    <row r="1586" spans="1:14" ht="15.6" x14ac:dyDescent="0.3">
      <c r="A1586" s="7" t="s">
        <v>1774</v>
      </c>
      <c r="B1586" s="7">
        <v>13</v>
      </c>
      <c r="C1586" s="7">
        <v>40</v>
      </c>
      <c r="D1586" s="7" t="s">
        <v>2302</v>
      </c>
      <c r="E1586" s="18">
        <v>39000000</v>
      </c>
      <c r="F1586" s="7">
        <f t="shared" si="110"/>
        <v>10302714.897461569</v>
      </c>
      <c r="G1586" s="7">
        <f t="shared" si="111"/>
        <v>33191.308415682688</v>
      </c>
      <c r="H1586" s="10">
        <v>42559</v>
      </c>
      <c r="I1586" s="18" t="s">
        <v>1833</v>
      </c>
      <c r="J1586" s="18" t="s">
        <v>1807</v>
      </c>
      <c r="K1586" s="7" t="s">
        <v>1716</v>
      </c>
      <c r="L1586" s="7" t="s">
        <v>2246</v>
      </c>
      <c r="M1586" s="7" t="str">
        <f t="shared" si="112"/>
        <v>ND</v>
      </c>
      <c r="N1586" s="7" t="str">
        <f t="shared" si="109"/>
        <v>ND</v>
      </c>
    </row>
    <row r="1587" spans="1:14" ht="15.6" x14ac:dyDescent="0.3">
      <c r="A1587" s="7" t="s">
        <v>1715</v>
      </c>
      <c r="B1587" s="7">
        <v>13</v>
      </c>
      <c r="C1587" s="7">
        <v>40</v>
      </c>
      <c r="D1587" s="7" t="s">
        <v>2302</v>
      </c>
      <c r="E1587" s="18">
        <v>39000000</v>
      </c>
      <c r="F1587" s="7">
        <f t="shared" si="110"/>
        <v>10302714.897461569</v>
      </c>
      <c r="G1587" s="7">
        <f t="shared" si="111"/>
        <v>33191.308415682688</v>
      </c>
      <c r="H1587" s="10">
        <v>42559</v>
      </c>
      <c r="I1587" s="18" t="s">
        <v>1833</v>
      </c>
      <c r="J1587" s="18" t="s">
        <v>1807</v>
      </c>
      <c r="K1587" s="7" t="s">
        <v>1716</v>
      </c>
      <c r="L1587" s="7" t="s">
        <v>2246</v>
      </c>
      <c r="M1587" s="7" t="str">
        <f t="shared" si="112"/>
        <v>ND</v>
      </c>
      <c r="N1587" s="7" t="str">
        <f t="shared" si="109"/>
        <v>ND</v>
      </c>
    </row>
    <row r="1588" spans="1:14" ht="15.6" x14ac:dyDescent="0.3">
      <c r="A1588" s="7" t="s">
        <v>1775</v>
      </c>
      <c r="B1588" s="7">
        <v>13</v>
      </c>
      <c r="C1588" s="7">
        <v>40</v>
      </c>
      <c r="D1588" s="7" t="s">
        <v>2302</v>
      </c>
      <c r="E1588" s="18">
        <v>39000000</v>
      </c>
      <c r="F1588" s="7">
        <f t="shared" si="110"/>
        <v>10302714.897461569</v>
      </c>
      <c r="G1588" s="7">
        <f t="shared" si="111"/>
        <v>33191.308415682688</v>
      </c>
      <c r="H1588" s="10">
        <v>42559</v>
      </c>
      <c r="I1588" s="18" t="s">
        <v>1833</v>
      </c>
      <c r="J1588" s="18" t="s">
        <v>1807</v>
      </c>
      <c r="K1588" s="7">
        <v>19.2</v>
      </c>
      <c r="L1588" s="7" t="s">
        <v>2246</v>
      </c>
      <c r="M1588" s="7">
        <f t="shared" si="112"/>
        <v>1.9199999999999998E-2</v>
      </c>
      <c r="N1588" s="7">
        <f t="shared" si="109"/>
        <v>5.9597567999999992</v>
      </c>
    </row>
    <row r="1589" spans="1:14" ht="15.6" x14ac:dyDescent="0.3">
      <c r="A1589" s="7" t="s">
        <v>1776</v>
      </c>
      <c r="B1589" s="7">
        <v>13</v>
      </c>
      <c r="C1589" s="7">
        <v>40</v>
      </c>
      <c r="D1589" s="7" t="s">
        <v>2302</v>
      </c>
      <c r="E1589" s="18">
        <v>39000000</v>
      </c>
      <c r="F1589" s="7">
        <f t="shared" si="110"/>
        <v>10302714.897461569</v>
      </c>
      <c r="G1589" s="7">
        <f t="shared" si="111"/>
        <v>33191.308415682688</v>
      </c>
      <c r="H1589" s="10">
        <v>42559</v>
      </c>
      <c r="I1589" s="18" t="s">
        <v>1833</v>
      </c>
      <c r="J1589" s="18" t="s">
        <v>1807</v>
      </c>
      <c r="K1589" s="7" t="s">
        <v>1716</v>
      </c>
      <c r="L1589" s="7" t="s">
        <v>2246</v>
      </c>
      <c r="M1589" s="7" t="str">
        <f t="shared" si="112"/>
        <v>ND</v>
      </c>
      <c r="N1589" s="7" t="str">
        <f t="shared" si="109"/>
        <v>ND</v>
      </c>
    </row>
    <row r="1590" spans="1:14" ht="15.6" x14ac:dyDescent="0.3">
      <c r="A1590" s="7" t="s">
        <v>1777</v>
      </c>
      <c r="B1590" s="7">
        <v>13</v>
      </c>
      <c r="C1590" s="7">
        <v>40</v>
      </c>
      <c r="D1590" s="7" t="s">
        <v>2302</v>
      </c>
      <c r="E1590" s="18">
        <v>39000000</v>
      </c>
      <c r="F1590" s="7">
        <f t="shared" si="110"/>
        <v>10302714.897461569</v>
      </c>
      <c r="G1590" s="7">
        <f t="shared" si="111"/>
        <v>33191.308415682688</v>
      </c>
      <c r="H1590" s="10">
        <v>42559</v>
      </c>
      <c r="I1590" s="18" t="s">
        <v>1833</v>
      </c>
      <c r="J1590" s="18" t="s">
        <v>1807</v>
      </c>
      <c r="K1590" s="7">
        <v>57100</v>
      </c>
      <c r="L1590" s="7" t="s">
        <v>2246</v>
      </c>
      <c r="M1590" s="7">
        <f t="shared" si="112"/>
        <v>57.1</v>
      </c>
      <c r="N1590" s="7">
        <f t="shared" si="109"/>
        <v>17724.0684</v>
      </c>
    </row>
    <row r="1591" spans="1:14" ht="15.6" x14ac:dyDescent="0.3">
      <c r="A1591" s="7" t="s">
        <v>1778</v>
      </c>
      <c r="B1591" s="7">
        <v>13</v>
      </c>
      <c r="C1591" s="7">
        <v>40</v>
      </c>
      <c r="D1591" s="7" t="s">
        <v>2302</v>
      </c>
      <c r="E1591" s="18">
        <v>39000000</v>
      </c>
      <c r="F1591" s="7">
        <f t="shared" si="110"/>
        <v>10302714.897461569</v>
      </c>
      <c r="G1591" s="7">
        <f t="shared" si="111"/>
        <v>33191.308415682688</v>
      </c>
      <c r="H1591" s="10">
        <v>42559</v>
      </c>
      <c r="I1591" s="18" t="s">
        <v>1833</v>
      </c>
      <c r="J1591" s="18" t="s">
        <v>1807</v>
      </c>
      <c r="K1591" s="7">
        <v>1370</v>
      </c>
      <c r="L1591" s="7" t="s">
        <v>2246</v>
      </c>
      <c r="M1591" s="7">
        <f t="shared" si="112"/>
        <v>1.37</v>
      </c>
      <c r="N1591" s="7">
        <f t="shared" si="109"/>
        <v>425.25348000000002</v>
      </c>
    </row>
    <row r="1592" spans="1:14" ht="15.6" x14ac:dyDescent="0.3">
      <c r="A1592" s="7" t="s">
        <v>1756</v>
      </c>
      <c r="B1592" s="7">
        <v>13</v>
      </c>
      <c r="C1592" s="7">
        <v>40</v>
      </c>
      <c r="D1592" s="7" t="s">
        <v>2302</v>
      </c>
      <c r="E1592" s="18">
        <v>39000000</v>
      </c>
      <c r="F1592" s="7">
        <f t="shared" si="110"/>
        <v>10302714.897461569</v>
      </c>
      <c r="G1592" s="7">
        <f t="shared" si="111"/>
        <v>33191.308415682688</v>
      </c>
      <c r="H1592" s="10">
        <v>42559</v>
      </c>
      <c r="I1592" s="18" t="s">
        <v>1833</v>
      </c>
      <c r="J1592" s="18" t="s">
        <v>1807</v>
      </c>
      <c r="K1592" s="7">
        <v>152</v>
      </c>
      <c r="L1592" s="7" t="s">
        <v>2246</v>
      </c>
      <c r="M1592" s="7">
        <f t="shared" si="112"/>
        <v>0.152</v>
      </c>
      <c r="N1592" s="7">
        <f t="shared" si="109"/>
        <v>47.181407999999998</v>
      </c>
    </row>
    <row r="1593" spans="1:14" ht="15.6" x14ac:dyDescent="0.3">
      <c r="A1593" s="7" t="s">
        <v>1714</v>
      </c>
      <c r="B1593" s="7">
        <v>13</v>
      </c>
      <c r="C1593" s="7">
        <v>40</v>
      </c>
      <c r="D1593" s="7" t="s">
        <v>2302</v>
      </c>
      <c r="E1593" s="18">
        <v>39000000</v>
      </c>
      <c r="F1593" s="7">
        <f t="shared" si="110"/>
        <v>10302714.897461569</v>
      </c>
      <c r="G1593" s="7">
        <f t="shared" si="111"/>
        <v>33191.308415682688</v>
      </c>
      <c r="H1593" s="10">
        <v>42559</v>
      </c>
      <c r="I1593" s="18" t="s">
        <v>1833</v>
      </c>
      <c r="J1593" s="18" t="s">
        <v>1807</v>
      </c>
      <c r="K1593" s="7">
        <v>312</v>
      </c>
      <c r="L1593" s="7" t="s">
        <v>2246</v>
      </c>
      <c r="M1593" s="7">
        <f t="shared" si="112"/>
        <v>0.312</v>
      </c>
      <c r="N1593" s="7">
        <f t="shared" si="109"/>
        <v>96.846047999999996</v>
      </c>
    </row>
    <row r="1594" spans="1:14" ht="15.6" x14ac:dyDescent="0.3">
      <c r="A1594" s="7" t="s">
        <v>1779</v>
      </c>
      <c r="B1594" s="7">
        <v>13</v>
      </c>
      <c r="C1594" s="7">
        <v>40</v>
      </c>
      <c r="D1594" s="7" t="s">
        <v>2302</v>
      </c>
      <c r="E1594" s="18">
        <v>39000000</v>
      </c>
      <c r="F1594" s="7">
        <f t="shared" si="110"/>
        <v>10302714.897461569</v>
      </c>
      <c r="G1594" s="7">
        <f t="shared" si="111"/>
        <v>33191.308415682688</v>
      </c>
      <c r="H1594" s="10">
        <v>42559</v>
      </c>
      <c r="I1594" s="18" t="s">
        <v>1833</v>
      </c>
      <c r="J1594" s="18" t="s">
        <v>1807</v>
      </c>
      <c r="K1594" s="7" t="s">
        <v>1716</v>
      </c>
      <c r="L1594" s="7" t="s">
        <v>2246</v>
      </c>
      <c r="M1594" s="7" t="str">
        <f t="shared" si="112"/>
        <v>ND</v>
      </c>
      <c r="N1594" s="7" t="str">
        <f t="shared" si="109"/>
        <v>ND</v>
      </c>
    </row>
    <row r="1595" spans="1:14" ht="15.6" x14ac:dyDescent="0.3">
      <c r="A1595" s="7" t="s">
        <v>1718</v>
      </c>
      <c r="B1595" s="7">
        <v>13</v>
      </c>
      <c r="C1595" s="7">
        <v>40</v>
      </c>
      <c r="D1595" s="7" t="s">
        <v>2302</v>
      </c>
      <c r="E1595" s="18">
        <v>39000000</v>
      </c>
      <c r="F1595" s="7">
        <f t="shared" si="110"/>
        <v>10302714.897461569</v>
      </c>
      <c r="G1595" s="7">
        <f t="shared" si="111"/>
        <v>33191.308415682688</v>
      </c>
      <c r="H1595" s="10">
        <v>42559</v>
      </c>
      <c r="I1595" s="18" t="s">
        <v>1833</v>
      </c>
      <c r="J1595" s="18" t="s">
        <v>1807</v>
      </c>
      <c r="K1595" s="7">
        <v>44.7</v>
      </c>
      <c r="L1595" s="7" t="s">
        <v>2246</v>
      </c>
      <c r="M1595" s="7">
        <f t="shared" si="112"/>
        <v>4.4700000000000004E-2</v>
      </c>
      <c r="N1595" s="7">
        <f t="shared" si="109"/>
        <v>13.875058800000001</v>
      </c>
    </row>
    <row r="1596" spans="1:14" ht="15.6" x14ac:dyDescent="0.3">
      <c r="A1596" s="7" t="s">
        <v>1780</v>
      </c>
      <c r="B1596" s="7">
        <v>13</v>
      </c>
      <c r="C1596" s="7">
        <v>40</v>
      </c>
      <c r="D1596" s="7" t="s">
        <v>2302</v>
      </c>
      <c r="E1596" s="18">
        <v>39000000</v>
      </c>
      <c r="F1596" s="7">
        <f t="shared" si="110"/>
        <v>10302714.897461569</v>
      </c>
      <c r="G1596" s="7">
        <f t="shared" si="111"/>
        <v>33191.308415682688</v>
      </c>
      <c r="H1596" s="10">
        <v>42559</v>
      </c>
      <c r="I1596" s="18" t="s">
        <v>1833</v>
      </c>
      <c r="J1596" s="18" t="s">
        <v>1807</v>
      </c>
      <c r="K1596" s="7" t="s">
        <v>1716</v>
      </c>
      <c r="L1596" s="7" t="s">
        <v>2246</v>
      </c>
      <c r="M1596" s="7" t="str">
        <f t="shared" si="112"/>
        <v>ND</v>
      </c>
      <c r="N1596" s="7" t="str">
        <f t="shared" si="109"/>
        <v>ND</v>
      </c>
    </row>
    <row r="1597" spans="1:14" ht="15.6" x14ac:dyDescent="0.3">
      <c r="A1597" s="7" t="s">
        <v>1757</v>
      </c>
      <c r="B1597" s="7">
        <v>13</v>
      </c>
      <c r="C1597" s="7">
        <v>40</v>
      </c>
      <c r="D1597" s="7" t="s">
        <v>2302</v>
      </c>
      <c r="E1597" s="18">
        <v>39000000</v>
      </c>
      <c r="F1597" s="7">
        <f t="shared" si="110"/>
        <v>10302714.897461569</v>
      </c>
      <c r="G1597" s="7">
        <f t="shared" si="111"/>
        <v>33191.308415682688</v>
      </c>
      <c r="H1597" s="10">
        <v>42559</v>
      </c>
      <c r="I1597" s="18" t="s">
        <v>1833</v>
      </c>
      <c r="J1597" s="18" t="s">
        <v>1807</v>
      </c>
      <c r="K1597" s="7" t="s">
        <v>1716</v>
      </c>
      <c r="L1597" s="7" t="s">
        <v>2246</v>
      </c>
      <c r="M1597" s="7" t="str">
        <f t="shared" si="112"/>
        <v>ND</v>
      </c>
      <c r="N1597" s="7" t="str">
        <f t="shared" si="109"/>
        <v>ND</v>
      </c>
    </row>
    <row r="1598" spans="1:14" ht="15.6" x14ac:dyDescent="0.3">
      <c r="A1598" s="7" t="s">
        <v>1781</v>
      </c>
      <c r="B1598" s="7">
        <v>13</v>
      </c>
      <c r="C1598" s="7">
        <v>40</v>
      </c>
      <c r="D1598" s="7" t="s">
        <v>2302</v>
      </c>
      <c r="E1598" s="18">
        <v>39000000</v>
      </c>
      <c r="F1598" s="7">
        <f t="shared" si="110"/>
        <v>10302714.897461569</v>
      </c>
      <c r="G1598" s="7">
        <f t="shared" si="111"/>
        <v>33191.308415682688</v>
      </c>
      <c r="H1598" s="10">
        <v>42559</v>
      </c>
      <c r="I1598" s="18" t="s">
        <v>1833</v>
      </c>
      <c r="J1598" s="18" t="s">
        <v>1807</v>
      </c>
      <c r="K1598" s="7">
        <v>1120</v>
      </c>
      <c r="L1598" s="7" t="s">
        <v>2246</v>
      </c>
      <c r="M1598" s="7">
        <f t="shared" si="112"/>
        <v>1.1200000000000001</v>
      </c>
      <c r="N1598" s="7">
        <f t="shared" si="109"/>
        <v>347.65248000000003</v>
      </c>
    </row>
    <row r="1599" spans="1:14" ht="15.6" x14ac:dyDescent="0.3">
      <c r="A1599" s="7" t="s">
        <v>2298</v>
      </c>
      <c r="B1599" s="7">
        <v>13</v>
      </c>
      <c r="C1599" s="7">
        <v>40</v>
      </c>
      <c r="D1599" s="7" t="s">
        <v>2302</v>
      </c>
      <c r="E1599" s="18">
        <v>39000000</v>
      </c>
      <c r="F1599" s="7">
        <f t="shared" si="110"/>
        <v>10302714.897461569</v>
      </c>
      <c r="G1599" s="7">
        <f t="shared" si="111"/>
        <v>33191.308415682688</v>
      </c>
      <c r="H1599" s="10">
        <v>42559</v>
      </c>
      <c r="I1599" s="18" t="s">
        <v>1833</v>
      </c>
      <c r="J1599" s="18" t="s">
        <v>1807</v>
      </c>
      <c r="K1599" s="7" t="s">
        <v>1716</v>
      </c>
      <c r="L1599" s="7" t="s">
        <v>2246</v>
      </c>
      <c r="M1599" s="7" t="str">
        <f t="shared" si="112"/>
        <v>ND</v>
      </c>
      <c r="N1599" s="7" t="str">
        <f t="shared" si="109"/>
        <v>ND</v>
      </c>
    </row>
    <row r="1600" spans="1:14" ht="15.6" x14ac:dyDescent="0.3">
      <c r="A1600" s="7" t="s">
        <v>1758</v>
      </c>
      <c r="B1600" s="7">
        <v>13</v>
      </c>
      <c r="C1600" s="7">
        <v>40</v>
      </c>
      <c r="D1600" s="7" t="s">
        <v>2302</v>
      </c>
      <c r="E1600" s="18">
        <v>39000000</v>
      </c>
      <c r="F1600" s="7">
        <f t="shared" si="110"/>
        <v>10302714.897461569</v>
      </c>
      <c r="G1600" s="7">
        <f t="shared" si="111"/>
        <v>33191.308415682688</v>
      </c>
      <c r="H1600" s="10">
        <v>42559</v>
      </c>
      <c r="I1600" s="18" t="s">
        <v>1833</v>
      </c>
      <c r="J1600" s="18" t="s">
        <v>1807</v>
      </c>
      <c r="K1600" s="7">
        <v>797</v>
      </c>
      <c r="L1600" s="7" t="s">
        <v>2246</v>
      </c>
      <c r="M1600" s="7">
        <f t="shared" si="112"/>
        <v>0.79700000000000004</v>
      </c>
      <c r="N1600" s="7">
        <f t="shared" si="109"/>
        <v>247.39198800000003</v>
      </c>
    </row>
    <row r="1601" spans="1:14" ht="15.6" x14ac:dyDescent="0.3">
      <c r="A1601" s="7" t="s">
        <v>1744</v>
      </c>
      <c r="B1601" s="7">
        <v>13</v>
      </c>
      <c r="C1601" s="7">
        <v>40</v>
      </c>
      <c r="D1601" s="7" t="s">
        <v>2302</v>
      </c>
      <c r="E1601" s="18">
        <v>39000000</v>
      </c>
      <c r="F1601" s="7">
        <f t="shared" si="110"/>
        <v>10302714.897461569</v>
      </c>
      <c r="G1601" s="7">
        <f t="shared" si="111"/>
        <v>33191.308415682688</v>
      </c>
      <c r="H1601" s="10">
        <v>42559</v>
      </c>
      <c r="I1601" s="18" t="s">
        <v>1833</v>
      </c>
      <c r="J1601" s="18" t="s">
        <v>1807</v>
      </c>
      <c r="K1601" s="7" t="s">
        <v>1716</v>
      </c>
      <c r="L1601" s="7" t="s">
        <v>2246</v>
      </c>
      <c r="M1601" s="7" t="str">
        <f t="shared" si="112"/>
        <v>ND</v>
      </c>
      <c r="N1601" s="7" t="str">
        <f t="shared" si="109"/>
        <v>ND</v>
      </c>
    </row>
    <row r="1602" spans="1:14" ht="15.6" x14ac:dyDescent="0.3">
      <c r="A1602" s="7" t="s">
        <v>1745</v>
      </c>
      <c r="B1602" s="7">
        <v>13</v>
      </c>
      <c r="C1602" s="7">
        <v>40</v>
      </c>
      <c r="D1602" s="7" t="s">
        <v>2302</v>
      </c>
      <c r="E1602" s="18">
        <v>39000000</v>
      </c>
      <c r="F1602" s="7">
        <f t="shared" si="110"/>
        <v>10302714.897461569</v>
      </c>
      <c r="G1602" s="7">
        <f t="shared" si="111"/>
        <v>33191.308415682688</v>
      </c>
      <c r="H1602" s="10">
        <v>42559</v>
      </c>
      <c r="I1602" s="18" t="s">
        <v>1833</v>
      </c>
      <c r="J1602" s="18" t="s">
        <v>1807</v>
      </c>
      <c r="K1602" s="7">
        <v>813</v>
      </c>
      <c r="L1602" s="7" t="s">
        <v>2246</v>
      </c>
      <c r="M1602" s="7">
        <f t="shared" si="112"/>
        <v>0.81299999999999994</v>
      </c>
      <c r="N1602" s="7">
        <f t="shared" si="109"/>
        <v>252.35845199999997</v>
      </c>
    </row>
    <row r="1603" spans="1:14" ht="15.6" x14ac:dyDescent="0.3">
      <c r="A1603" s="7" t="s">
        <v>1723</v>
      </c>
      <c r="B1603" s="7">
        <v>13</v>
      </c>
      <c r="C1603" s="7">
        <v>40</v>
      </c>
      <c r="D1603" s="7" t="s">
        <v>2302</v>
      </c>
      <c r="E1603" s="18">
        <v>39000000</v>
      </c>
      <c r="F1603" s="7">
        <f t="shared" si="110"/>
        <v>10302714.897461569</v>
      </c>
      <c r="G1603" s="7">
        <f t="shared" si="111"/>
        <v>33191.308415682688</v>
      </c>
      <c r="H1603" s="10">
        <v>42559</v>
      </c>
      <c r="I1603" s="18" t="s">
        <v>1833</v>
      </c>
      <c r="J1603" s="18" t="s">
        <v>1807</v>
      </c>
      <c r="K1603" s="7" t="s">
        <v>1716</v>
      </c>
      <c r="L1603" s="7" t="s">
        <v>2246</v>
      </c>
      <c r="M1603" s="7" t="str">
        <f t="shared" si="112"/>
        <v>ND</v>
      </c>
      <c r="N1603" s="7" t="str">
        <f t="shared" si="109"/>
        <v>ND</v>
      </c>
    </row>
    <row r="1604" spans="1:14" ht="15.6" x14ac:dyDescent="0.3">
      <c r="A1604" s="7" t="s">
        <v>1719</v>
      </c>
      <c r="B1604" s="7">
        <v>13</v>
      </c>
      <c r="C1604" s="7">
        <v>40</v>
      </c>
      <c r="D1604" s="7" t="s">
        <v>2302</v>
      </c>
      <c r="E1604" s="18">
        <v>39000000</v>
      </c>
      <c r="F1604" s="7">
        <f t="shared" si="110"/>
        <v>10302714.897461569</v>
      </c>
      <c r="G1604" s="7">
        <f t="shared" si="111"/>
        <v>33191.308415682688</v>
      </c>
      <c r="H1604" s="10">
        <v>42559</v>
      </c>
      <c r="I1604" s="18" t="s">
        <v>1833</v>
      </c>
      <c r="J1604" s="18" t="s">
        <v>1807</v>
      </c>
      <c r="K1604" s="7">
        <v>477</v>
      </c>
      <c r="L1604" s="7" t="s">
        <v>2246</v>
      </c>
      <c r="M1604" s="7">
        <f t="shared" si="112"/>
        <v>0.47699999999999998</v>
      </c>
      <c r="N1604" s="7">
        <f t="shared" si="109"/>
        <v>148.06270800000001</v>
      </c>
    </row>
    <row r="1605" spans="1:14" ht="15.6" x14ac:dyDescent="0.3">
      <c r="A1605" s="7" t="s">
        <v>1782</v>
      </c>
      <c r="B1605" s="7">
        <v>13</v>
      </c>
      <c r="C1605" s="7">
        <v>40</v>
      </c>
      <c r="D1605" s="7" t="s">
        <v>2302</v>
      </c>
      <c r="E1605" s="18">
        <v>39000000</v>
      </c>
      <c r="F1605" s="7">
        <f t="shared" si="110"/>
        <v>10302714.897461569</v>
      </c>
      <c r="G1605" s="7">
        <f t="shared" si="111"/>
        <v>33191.308415682688</v>
      </c>
      <c r="H1605" s="10">
        <v>42559</v>
      </c>
      <c r="I1605" s="18" t="s">
        <v>1833</v>
      </c>
      <c r="J1605" s="18" t="s">
        <v>1807</v>
      </c>
      <c r="K1605" s="7">
        <v>56.6</v>
      </c>
      <c r="L1605" s="7" t="s">
        <v>2246</v>
      </c>
      <c r="M1605" s="7">
        <f t="shared" si="112"/>
        <v>5.6600000000000004E-2</v>
      </c>
      <c r="N1605" s="7">
        <f t="shared" si="109"/>
        <v>17.568866400000001</v>
      </c>
    </row>
    <row r="1606" spans="1:14" ht="15.6" x14ac:dyDescent="0.3">
      <c r="A1606" s="7" t="s">
        <v>1746</v>
      </c>
      <c r="B1606" s="7">
        <v>13</v>
      </c>
      <c r="C1606" s="7">
        <v>40</v>
      </c>
      <c r="D1606" s="7" t="s">
        <v>2302</v>
      </c>
      <c r="E1606" s="18">
        <v>39000000</v>
      </c>
      <c r="F1606" s="7">
        <f t="shared" si="110"/>
        <v>10302714.897461569</v>
      </c>
      <c r="G1606" s="7">
        <f t="shared" si="111"/>
        <v>33191.308415682688</v>
      </c>
      <c r="H1606" s="10">
        <v>42559</v>
      </c>
      <c r="I1606" s="18" t="s">
        <v>1833</v>
      </c>
      <c r="J1606" s="18" t="s">
        <v>1807</v>
      </c>
      <c r="K1606" s="7">
        <v>399</v>
      </c>
      <c r="L1606" s="7" t="s">
        <v>2246</v>
      </c>
      <c r="M1606" s="7">
        <f t="shared" si="112"/>
        <v>0.39900000000000002</v>
      </c>
      <c r="N1606" s="7">
        <f t="shared" si="109"/>
        <v>123.851196</v>
      </c>
    </row>
    <row r="1607" spans="1:14" ht="15.6" x14ac:dyDescent="0.3">
      <c r="A1607" s="7" t="s">
        <v>1783</v>
      </c>
      <c r="B1607" s="7">
        <v>13</v>
      </c>
      <c r="C1607" s="7">
        <v>40</v>
      </c>
      <c r="D1607" s="7" t="s">
        <v>2302</v>
      </c>
      <c r="E1607" s="18">
        <v>39000000</v>
      </c>
      <c r="F1607" s="7">
        <f t="shared" si="110"/>
        <v>10302714.897461569</v>
      </c>
      <c r="G1607" s="7">
        <f t="shared" si="111"/>
        <v>33191.308415682688</v>
      </c>
      <c r="H1607" s="10">
        <v>42559</v>
      </c>
      <c r="I1607" s="18" t="s">
        <v>1833</v>
      </c>
      <c r="J1607" s="18" t="s">
        <v>1807</v>
      </c>
      <c r="K1607" s="7" t="s">
        <v>1716</v>
      </c>
      <c r="L1607" s="7" t="s">
        <v>2246</v>
      </c>
      <c r="M1607" s="7" t="str">
        <f t="shared" si="112"/>
        <v>ND</v>
      </c>
      <c r="N1607" s="7" t="str">
        <f t="shared" si="109"/>
        <v>ND</v>
      </c>
    </row>
    <row r="1608" spans="1:14" ht="15.6" x14ac:dyDescent="0.3">
      <c r="A1608" s="7" t="s">
        <v>1747</v>
      </c>
      <c r="B1608" s="7">
        <v>13</v>
      </c>
      <c r="C1608" s="7">
        <v>40</v>
      </c>
      <c r="D1608" s="7" t="s">
        <v>2302</v>
      </c>
      <c r="E1608" s="18">
        <v>39000000</v>
      </c>
      <c r="F1608" s="7">
        <f t="shared" si="110"/>
        <v>10302714.897461569</v>
      </c>
      <c r="G1608" s="7">
        <f t="shared" si="111"/>
        <v>33191.308415682688</v>
      </c>
      <c r="H1608" s="10">
        <v>42559</v>
      </c>
      <c r="I1608" s="18" t="s">
        <v>1833</v>
      </c>
      <c r="J1608" s="18" t="s">
        <v>1807</v>
      </c>
      <c r="K1608" s="7">
        <v>172</v>
      </c>
      <c r="L1608" s="7" t="s">
        <v>2246</v>
      </c>
      <c r="M1608" s="7">
        <f t="shared" si="112"/>
        <v>0.17199999999999999</v>
      </c>
      <c r="N1608" s="7">
        <f t="shared" si="109"/>
        <v>53.389488</v>
      </c>
    </row>
    <row r="1609" spans="1:14" ht="15.6" x14ac:dyDescent="0.3">
      <c r="A1609" s="7" t="s">
        <v>1784</v>
      </c>
      <c r="B1609" s="7">
        <v>13</v>
      </c>
      <c r="C1609" s="7">
        <v>40</v>
      </c>
      <c r="D1609" s="7" t="s">
        <v>2302</v>
      </c>
      <c r="E1609" s="18">
        <v>39000000</v>
      </c>
      <c r="F1609" s="7">
        <f t="shared" si="110"/>
        <v>10302714.897461569</v>
      </c>
      <c r="G1609" s="7">
        <f t="shared" si="111"/>
        <v>33191.308415682688</v>
      </c>
      <c r="H1609" s="10">
        <v>42559</v>
      </c>
      <c r="I1609" s="18" t="s">
        <v>1833</v>
      </c>
      <c r="J1609" s="18" t="s">
        <v>1807</v>
      </c>
      <c r="K1609" s="7">
        <v>32.4</v>
      </c>
      <c r="L1609" s="7" t="s">
        <v>2246</v>
      </c>
      <c r="M1609" s="7">
        <f t="shared" si="112"/>
        <v>3.2399999999999998E-2</v>
      </c>
      <c r="N1609" s="7">
        <f t="shared" si="109"/>
        <v>10.057089599999999</v>
      </c>
    </row>
    <row r="1610" spans="1:14" ht="15.6" x14ac:dyDescent="0.3">
      <c r="A1610" s="7" t="s">
        <v>2299</v>
      </c>
      <c r="B1610" s="7">
        <v>13</v>
      </c>
      <c r="C1610" s="7">
        <v>40</v>
      </c>
      <c r="D1610" s="7" t="s">
        <v>2302</v>
      </c>
      <c r="E1610" s="18">
        <v>39000000</v>
      </c>
      <c r="F1610" s="7">
        <f t="shared" si="110"/>
        <v>10302714.897461569</v>
      </c>
      <c r="G1610" s="7">
        <f t="shared" si="111"/>
        <v>33191.308415682688</v>
      </c>
      <c r="H1610" s="10">
        <v>42559</v>
      </c>
      <c r="I1610" s="18" t="s">
        <v>1833</v>
      </c>
      <c r="J1610" s="18" t="s">
        <v>1807</v>
      </c>
      <c r="K1610" s="7">
        <v>464</v>
      </c>
      <c r="L1610" s="7" t="s">
        <v>2246</v>
      </c>
      <c r="M1610" s="7">
        <f t="shared" si="112"/>
        <v>0.46400000000000002</v>
      </c>
      <c r="N1610" s="7">
        <f t="shared" si="109"/>
        <v>144.027456</v>
      </c>
    </row>
    <row r="1611" spans="1:14" ht="15.6" x14ac:dyDescent="0.3">
      <c r="A1611" s="7" t="s">
        <v>1785</v>
      </c>
      <c r="B1611" s="7">
        <v>13</v>
      </c>
      <c r="C1611" s="7">
        <v>40</v>
      </c>
      <c r="D1611" s="7" t="s">
        <v>2302</v>
      </c>
      <c r="E1611" s="18">
        <v>39000000</v>
      </c>
      <c r="F1611" s="7">
        <f>E1611/3.78541</f>
        <v>10302714.897461569</v>
      </c>
      <c r="G1611" s="7">
        <f t="shared" si="111"/>
        <v>33191.308415682688</v>
      </c>
      <c r="H1611" s="10">
        <v>42559</v>
      </c>
      <c r="I1611" s="18" t="s">
        <v>1833</v>
      </c>
      <c r="J1611" s="18" t="s">
        <v>1807</v>
      </c>
      <c r="K1611" s="7">
        <v>1010</v>
      </c>
      <c r="L1611" s="7" t="s">
        <v>2246</v>
      </c>
      <c r="M1611" s="7">
        <f t="shared" si="112"/>
        <v>1.01</v>
      </c>
      <c r="N1611" s="7">
        <f t="shared" si="109"/>
        <v>313.50803999999999</v>
      </c>
    </row>
    <row r="1612" spans="1:14" ht="15.6" x14ac:dyDescent="0.3">
      <c r="A1612" s="23" t="s">
        <v>1786</v>
      </c>
      <c r="B1612" s="7">
        <v>14</v>
      </c>
      <c r="C1612" s="7">
        <v>41</v>
      </c>
      <c r="D1612" s="7" t="s">
        <v>3522</v>
      </c>
      <c r="E1612" s="18">
        <v>1135.6400000000001</v>
      </c>
      <c r="F1612" s="7">
        <f>E1612*1000</f>
        <v>1135640</v>
      </c>
      <c r="G1612" s="7">
        <f t="shared" si="111"/>
        <v>3658.5868738804911</v>
      </c>
      <c r="H1612" s="18" t="s">
        <v>1834</v>
      </c>
      <c r="I1612" s="18" t="s">
        <v>2303</v>
      </c>
      <c r="J1612" s="18" t="s">
        <v>1807</v>
      </c>
      <c r="K1612" s="3">
        <v>1560</v>
      </c>
      <c r="L1612" s="7" t="s">
        <v>2246</v>
      </c>
      <c r="M1612" s="7">
        <f t="shared" si="112"/>
        <v>1.56</v>
      </c>
      <c r="N1612" s="7">
        <f t="shared" si="109"/>
        <v>484.23024000000004</v>
      </c>
    </row>
    <row r="1613" spans="1:14" ht="15.6" x14ac:dyDescent="0.3">
      <c r="A1613" s="23" t="s">
        <v>1751</v>
      </c>
      <c r="B1613" s="7">
        <v>14</v>
      </c>
      <c r="C1613" s="7">
        <v>41</v>
      </c>
      <c r="D1613" s="7" t="s">
        <v>3522</v>
      </c>
      <c r="E1613" s="18">
        <v>1135.6400000000001</v>
      </c>
      <c r="F1613" s="7">
        <f>E1613*1000</f>
        <v>1135640</v>
      </c>
      <c r="G1613" s="7">
        <f t="shared" si="111"/>
        <v>3658.5868738804911</v>
      </c>
      <c r="H1613" s="18" t="s">
        <v>1834</v>
      </c>
      <c r="I1613" s="18" t="s">
        <v>2303</v>
      </c>
      <c r="J1613" s="18" t="s">
        <v>1807</v>
      </c>
      <c r="K1613" s="3">
        <v>1230</v>
      </c>
      <c r="L1613" s="7" t="s">
        <v>2246</v>
      </c>
      <c r="M1613" s="7">
        <f t="shared" si="112"/>
        <v>1.23</v>
      </c>
      <c r="N1613" s="7">
        <f t="shared" si="109"/>
        <v>381.79692</v>
      </c>
    </row>
    <row r="1614" spans="1:14" ht="15.6" x14ac:dyDescent="0.3">
      <c r="A1614" s="23" t="s">
        <v>1733</v>
      </c>
      <c r="B1614" s="7">
        <v>15</v>
      </c>
      <c r="C1614" s="7">
        <v>42</v>
      </c>
      <c r="D1614" s="18" t="s">
        <v>2304</v>
      </c>
      <c r="E1614" s="18">
        <v>28000000</v>
      </c>
      <c r="F1614" s="7">
        <f>E1614/3.78541</f>
        <v>7396820.9520236906</v>
      </c>
      <c r="G1614" s="7">
        <f t="shared" si="111"/>
        <v>23829.657324079879</v>
      </c>
      <c r="H1614" s="18" t="s">
        <v>1835</v>
      </c>
      <c r="I1614" s="18" t="s">
        <v>1836</v>
      </c>
      <c r="J1614" s="18" t="s">
        <v>1807</v>
      </c>
      <c r="K1614" s="3">
        <v>30.33</v>
      </c>
      <c r="L1614" s="7" t="s">
        <v>2246</v>
      </c>
      <c r="M1614" s="7">
        <f t="shared" si="112"/>
        <v>3.0329999999999999E-2</v>
      </c>
      <c r="N1614" s="7">
        <f t="shared" si="109"/>
        <v>9.4145533199999996</v>
      </c>
    </row>
    <row r="1615" spans="1:14" ht="15.6" x14ac:dyDescent="0.3">
      <c r="A1615" s="23" t="s">
        <v>1733</v>
      </c>
      <c r="B1615" s="7">
        <v>15</v>
      </c>
      <c r="C1615" s="7">
        <v>43</v>
      </c>
      <c r="D1615" s="18" t="s">
        <v>2305</v>
      </c>
      <c r="E1615" s="18">
        <v>50000</v>
      </c>
      <c r="F1615" s="7">
        <f t="shared" ref="F1615:F1642" si="113">E1615/3.78541</f>
        <v>13208.608842899448</v>
      </c>
      <c r="G1615" s="7">
        <f t="shared" si="111"/>
        <v>42.5529595072855</v>
      </c>
      <c r="H1615" s="18" t="s">
        <v>1835</v>
      </c>
      <c r="I1615" s="18" t="s">
        <v>1836</v>
      </c>
      <c r="J1615" s="18" t="s">
        <v>1807</v>
      </c>
      <c r="K1615" s="3">
        <v>26.44</v>
      </c>
      <c r="L1615" s="7" t="s">
        <v>2246</v>
      </c>
      <c r="M1615" s="7">
        <f t="shared" si="112"/>
        <v>2.6440000000000002E-2</v>
      </c>
      <c r="N1615" s="7">
        <f t="shared" si="109"/>
        <v>8.2070817599999994</v>
      </c>
    </row>
    <row r="1616" spans="1:14" ht="15.6" x14ac:dyDescent="0.3">
      <c r="A1616" s="23" t="s">
        <v>1733</v>
      </c>
      <c r="B1616" s="7">
        <v>15</v>
      </c>
      <c r="C1616" s="7">
        <v>44</v>
      </c>
      <c r="D1616" s="18" t="s">
        <v>2306</v>
      </c>
      <c r="E1616" s="18">
        <v>5000</v>
      </c>
      <c r="F1616" s="7">
        <f t="shared" si="113"/>
        <v>1320.8608842899448</v>
      </c>
      <c r="G1616" s="7">
        <f t="shared" si="111"/>
        <v>4.2552959507285504</v>
      </c>
      <c r="H1616" s="18" t="s">
        <v>1835</v>
      </c>
      <c r="I1616" s="18" t="s">
        <v>1836</v>
      </c>
      <c r="J1616" s="18" t="s">
        <v>1807</v>
      </c>
      <c r="K1616" s="3">
        <v>64.239999999999995</v>
      </c>
      <c r="L1616" s="7" t="s">
        <v>2246</v>
      </c>
      <c r="M1616" s="7">
        <f t="shared" si="112"/>
        <v>6.4239999999999992E-2</v>
      </c>
      <c r="N1616" s="7">
        <f t="shared" si="109"/>
        <v>19.940352959999995</v>
      </c>
    </row>
    <row r="1617" spans="1:14" ht="15.6" x14ac:dyDescent="0.3">
      <c r="A1617" s="23" t="s">
        <v>1733</v>
      </c>
      <c r="B1617" s="7">
        <v>15</v>
      </c>
      <c r="C1617" s="7">
        <v>45</v>
      </c>
      <c r="D1617" s="18" t="s">
        <v>2307</v>
      </c>
      <c r="E1617" s="18">
        <v>15000</v>
      </c>
      <c r="F1617" s="7">
        <f t="shared" si="113"/>
        <v>3962.5826528698344</v>
      </c>
      <c r="G1617" s="7">
        <f t="shared" si="111"/>
        <v>12.765887852185649</v>
      </c>
      <c r="H1617" s="18" t="s">
        <v>1835</v>
      </c>
      <c r="I1617" s="18" t="s">
        <v>1836</v>
      </c>
      <c r="J1617" s="18" t="s">
        <v>1807</v>
      </c>
      <c r="K1617" s="3">
        <v>11.58</v>
      </c>
      <c r="L1617" s="7" t="s">
        <v>2246</v>
      </c>
      <c r="M1617" s="7">
        <f t="shared" si="112"/>
        <v>1.158E-2</v>
      </c>
      <c r="N1617" s="7">
        <f t="shared" si="109"/>
        <v>3.5944783200000003</v>
      </c>
    </row>
    <row r="1618" spans="1:14" ht="15.6" x14ac:dyDescent="0.3">
      <c r="A1618" s="23" t="s">
        <v>1733</v>
      </c>
      <c r="B1618" s="7">
        <v>15</v>
      </c>
      <c r="C1618" s="7">
        <v>42</v>
      </c>
      <c r="D1618" s="18" t="s">
        <v>2304</v>
      </c>
      <c r="E1618" s="18">
        <v>28000000</v>
      </c>
      <c r="F1618" s="7">
        <f t="shared" si="113"/>
        <v>7396820.9520236906</v>
      </c>
      <c r="G1618" s="7">
        <f t="shared" si="111"/>
        <v>23829.657324079879</v>
      </c>
      <c r="H1618" s="18" t="s">
        <v>1835</v>
      </c>
      <c r="I1618" s="18" t="s">
        <v>1836</v>
      </c>
      <c r="J1618" s="18" t="s">
        <v>1807</v>
      </c>
      <c r="K1618" s="3">
        <v>20.91</v>
      </c>
      <c r="L1618" s="7" t="s">
        <v>2246</v>
      </c>
      <c r="M1618" s="7">
        <f t="shared" si="112"/>
        <v>2.0910000000000002E-2</v>
      </c>
      <c r="N1618" s="7">
        <f t="shared" si="109"/>
        <v>6.49054764</v>
      </c>
    </row>
    <row r="1619" spans="1:14" ht="15.6" x14ac:dyDescent="0.3">
      <c r="A1619" s="23" t="s">
        <v>1733</v>
      </c>
      <c r="B1619" s="7">
        <v>15</v>
      </c>
      <c r="C1619" s="7">
        <v>43</v>
      </c>
      <c r="D1619" s="18" t="s">
        <v>2305</v>
      </c>
      <c r="E1619" s="18">
        <v>50000</v>
      </c>
      <c r="F1619" s="7">
        <f t="shared" si="113"/>
        <v>13208.608842899448</v>
      </c>
      <c r="G1619" s="7">
        <f t="shared" si="111"/>
        <v>42.5529595072855</v>
      </c>
      <c r="H1619" s="18" t="s">
        <v>1835</v>
      </c>
      <c r="I1619" s="18" t="s">
        <v>1836</v>
      </c>
      <c r="J1619" s="18" t="s">
        <v>1807</v>
      </c>
      <c r="K1619" s="3">
        <v>32.35</v>
      </c>
      <c r="L1619" s="7" t="s">
        <v>2246</v>
      </c>
      <c r="M1619" s="7">
        <f t="shared" si="112"/>
        <v>3.2350000000000004E-2</v>
      </c>
      <c r="N1619" s="7">
        <f t="shared" si="109"/>
        <v>10.0415694</v>
      </c>
    </row>
    <row r="1620" spans="1:14" ht="15.6" x14ac:dyDescent="0.3">
      <c r="A1620" s="23" t="s">
        <v>1733</v>
      </c>
      <c r="B1620" s="7">
        <v>15</v>
      </c>
      <c r="C1620" s="7">
        <v>44</v>
      </c>
      <c r="D1620" s="18" t="s">
        <v>2306</v>
      </c>
      <c r="E1620" s="18">
        <v>5000</v>
      </c>
      <c r="F1620" s="7">
        <f t="shared" si="113"/>
        <v>1320.8608842899448</v>
      </c>
      <c r="G1620" s="7">
        <f t="shared" si="111"/>
        <v>4.2552959507285504</v>
      </c>
      <c r="H1620" s="18" t="s">
        <v>1835</v>
      </c>
      <c r="I1620" s="18" t="s">
        <v>1836</v>
      </c>
      <c r="J1620" s="18" t="s">
        <v>1807</v>
      </c>
      <c r="K1620" s="3">
        <v>50.21</v>
      </c>
      <c r="L1620" s="7" t="s">
        <v>2246</v>
      </c>
      <c r="M1620" s="7">
        <f t="shared" si="112"/>
        <v>5.0209999999999998E-2</v>
      </c>
      <c r="N1620" s="7">
        <f t="shared" si="109"/>
        <v>15.585384839999998</v>
      </c>
    </row>
    <row r="1621" spans="1:14" ht="15.6" x14ac:dyDescent="0.3">
      <c r="A1621" s="23" t="s">
        <v>1733</v>
      </c>
      <c r="B1621" s="7">
        <v>15</v>
      </c>
      <c r="C1621" s="7">
        <v>45</v>
      </c>
      <c r="D1621" s="18" t="s">
        <v>2307</v>
      </c>
      <c r="E1621" s="18">
        <v>15000</v>
      </c>
      <c r="F1621" s="7">
        <f t="shared" si="113"/>
        <v>3962.5826528698344</v>
      </c>
      <c r="G1621" s="7">
        <f t="shared" si="111"/>
        <v>12.765887852185649</v>
      </c>
      <c r="H1621" s="18" t="s">
        <v>1835</v>
      </c>
      <c r="I1621" s="18" t="s">
        <v>1836</v>
      </c>
      <c r="J1621" s="18" t="s">
        <v>1807</v>
      </c>
      <c r="K1621" s="3">
        <v>18.86</v>
      </c>
      <c r="L1621" s="7" t="s">
        <v>2246</v>
      </c>
      <c r="M1621" s="7">
        <f t="shared" si="112"/>
        <v>1.8859999999999998E-2</v>
      </c>
      <c r="N1621" s="7">
        <f t="shared" si="109"/>
        <v>5.8542194399999996</v>
      </c>
    </row>
    <row r="1622" spans="1:14" ht="15.6" x14ac:dyDescent="0.3">
      <c r="A1622" s="23" t="s">
        <v>1733</v>
      </c>
      <c r="B1622" s="7">
        <v>15</v>
      </c>
      <c r="C1622" s="7">
        <v>42</v>
      </c>
      <c r="D1622" s="18" t="s">
        <v>2304</v>
      </c>
      <c r="E1622" s="18">
        <v>28000000</v>
      </c>
      <c r="F1622" s="7">
        <f t="shared" si="113"/>
        <v>7396820.9520236906</v>
      </c>
      <c r="G1622" s="7">
        <f t="shared" si="111"/>
        <v>23829.657324079879</v>
      </c>
      <c r="H1622" s="18" t="s">
        <v>1835</v>
      </c>
      <c r="I1622" s="18" t="s">
        <v>1836</v>
      </c>
      <c r="J1622" s="18" t="s">
        <v>1807</v>
      </c>
      <c r="K1622" s="3">
        <v>10.4</v>
      </c>
      <c r="L1622" s="7" t="s">
        <v>2246</v>
      </c>
      <c r="M1622" s="7">
        <f t="shared" si="112"/>
        <v>1.04E-2</v>
      </c>
      <c r="N1622" s="7">
        <f t="shared" si="109"/>
        <v>3.2282015999999998</v>
      </c>
    </row>
    <row r="1623" spans="1:14" ht="15.6" x14ac:dyDescent="0.3">
      <c r="A1623" s="23" t="s">
        <v>1733</v>
      </c>
      <c r="B1623" s="7">
        <v>15</v>
      </c>
      <c r="C1623" s="7">
        <v>43</v>
      </c>
      <c r="D1623" s="18" t="s">
        <v>2305</v>
      </c>
      <c r="E1623" s="18">
        <v>50000</v>
      </c>
      <c r="F1623" s="7">
        <f t="shared" si="113"/>
        <v>13208.608842899448</v>
      </c>
      <c r="G1623" s="7">
        <f t="shared" si="111"/>
        <v>42.5529595072855</v>
      </c>
      <c r="H1623" s="18" t="s">
        <v>1835</v>
      </c>
      <c r="I1623" s="18" t="s">
        <v>1836</v>
      </c>
      <c r="J1623" s="18" t="s">
        <v>1807</v>
      </c>
      <c r="K1623" s="3">
        <v>8.5</v>
      </c>
      <c r="L1623" s="7" t="s">
        <v>2246</v>
      </c>
      <c r="M1623" s="7">
        <f t="shared" si="112"/>
        <v>8.5000000000000006E-3</v>
      </c>
      <c r="N1623" s="7">
        <f t="shared" si="109"/>
        <v>2.6384340000000002</v>
      </c>
    </row>
    <row r="1624" spans="1:14" ht="15.6" x14ac:dyDescent="0.3">
      <c r="A1624" s="23" t="s">
        <v>1733</v>
      </c>
      <c r="B1624" s="7">
        <v>15</v>
      </c>
      <c r="C1624" s="7">
        <v>44</v>
      </c>
      <c r="D1624" s="18" t="s">
        <v>2306</v>
      </c>
      <c r="E1624" s="18">
        <v>5000</v>
      </c>
      <c r="F1624" s="7">
        <f t="shared" si="113"/>
        <v>1320.8608842899448</v>
      </c>
      <c r="G1624" s="7">
        <f t="shared" si="111"/>
        <v>4.2552959507285504</v>
      </c>
      <c r="H1624" s="18" t="s">
        <v>1835</v>
      </c>
      <c r="I1624" s="18" t="s">
        <v>1836</v>
      </c>
      <c r="J1624" s="18" t="s">
        <v>1807</v>
      </c>
      <c r="K1624" s="3">
        <v>15.94</v>
      </c>
      <c r="L1624" s="7" t="s">
        <v>2246</v>
      </c>
      <c r="M1624" s="7">
        <f t="shared" si="112"/>
        <v>1.5939999999999999E-2</v>
      </c>
      <c r="N1624" s="7">
        <f t="shared" si="109"/>
        <v>4.947839759999999</v>
      </c>
    </row>
    <row r="1625" spans="1:14" ht="15.6" x14ac:dyDescent="0.3">
      <c r="A1625" s="23" t="s">
        <v>1733</v>
      </c>
      <c r="B1625" s="7">
        <v>15</v>
      </c>
      <c r="C1625" s="7">
        <v>45</v>
      </c>
      <c r="D1625" s="18" t="s">
        <v>2307</v>
      </c>
      <c r="E1625" s="18">
        <v>15000</v>
      </c>
      <c r="F1625" s="7">
        <f t="shared" si="113"/>
        <v>3962.5826528698344</v>
      </c>
      <c r="G1625" s="7">
        <f t="shared" si="111"/>
        <v>12.765887852185649</v>
      </c>
      <c r="H1625" s="18" t="s">
        <v>1835</v>
      </c>
      <c r="I1625" s="18" t="s">
        <v>1836</v>
      </c>
      <c r="J1625" s="18" t="s">
        <v>1807</v>
      </c>
      <c r="K1625" s="3">
        <v>19.3</v>
      </c>
      <c r="L1625" s="7" t="s">
        <v>2246</v>
      </c>
      <c r="M1625" s="7">
        <f t="shared" si="112"/>
        <v>1.9300000000000001E-2</v>
      </c>
      <c r="N1625" s="7">
        <f t="shared" si="109"/>
        <v>5.9907972000000003</v>
      </c>
    </row>
    <row r="1626" spans="1:14" ht="15.6" x14ac:dyDescent="0.3">
      <c r="A1626" s="23" t="s">
        <v>1733</v>
      </c>
      <c r="B1626" s="7">
        <v>15</v>
      </c>
      <c r="C1626" s="7">
        <v>42</v>
      </c>
      <c r="D1626" s="18" t="s">
        <v>2304</v>
      </c>
      <c r="E1626" s="18">
        <v>28000000</v>
      </c>
      <c r="F1626" s="7">
        <f t="shared" si="113"/>
        <v>7396820.9520236906</v>
      </c>
      <c r="G1626" s="7">
        <f t="shared" si="111"/>
        <v>23829.657324079879</v>
      </c>
      <c r="H1626" s="18" t="s">
        <v>1835</v>
      </c>
      <c r="I1626" s="18" t="s">
        <v>1836</v>
      </c>
      <c r="J1626" s="18" t="s">
        <v>1807</v>
      </c>
      <c r="K1626" s="3">
        <v>30.1</v>
      </c>
      <c r="L1626" s="7" t="s">
        <v>2246</v>
      </c>
      <c r="M1626" s="7">
        <f t="shared" si="112"/>
        <v>3.0100000000000002E-2</v>
      </c>
      <c r="N1626" s="7">
        <f t="shared" si="109"/>
        <v>9.3431604000000004</v>
      </c>
    </row>
    <row r="1627" spans="1:14" ht="15.6" x14ac:dyDescent="0.3">
      <c r="A1627" s="23" t="s">
        <v>1733</v>
      </c>
      <c r="B1627" s="7">
        <v>15</v>
      </c>
      <c r="C1627" s="7">
        <v>43</v>
      </c>
      <c r="D1627" s="18" t="s">
        <v>2305</v>
      </c>
      <c r="E1627" s="18">
        <v>50000</v>
      </c>
      <c r="F1627" s="7">
        <f t="shared" si="113"/>
        <v>13208.608842899448</v>
      </c>
      <c r="G1627" s="7">
        <f t="shared" si="111"/>
        <v>42.5529595072855</v>
      </c>
      <c r="H1627" s="18" t="s">
        <v>1835</v>
      </c>
      <c r="I1627" s="18" t="s">
        <v>1836</v>
      </c>
      <c r="J1627" s="18" t="s">
        <v>1807</v>
      </c>
      <c r="K1627" s="3">
        <v>5.42</v>
      </c>
      <c r="L1627" s="7" t="s">
        <v>2246</v>
      </c>
      <c r="M1627" s="7">
        <f t="shared" si="112"/>
        <v>5.4200000000000003E-3</v>
      </c>
      <c r="N1627" s="7">
        <f t="shared" si="109"/>
        <v>1.68238968</v>
      </c>
    </row>
    <row r="1628" spans="1:14" ht="15.6" x14ac:dyDescent="0.3">
      <c r="A1628" s="23" t="s">
        <v>1733</v>
      </c>
      <c r="B1628" s="7">
        <v>15</v>
      </c>
      <c r="C1628" s="7">
        <v>44</v>
      </c>
      <c r="D1628" s="18" t="s">
        <v>2306</v>
      </c>
      <c r="E1628" s="18">
        <v>5000</v>
      </c>
      <c r="F1628" s="7">
        <f t="shared" si="113"/>
        <v>1320.8608842899448</v>
      </c>
      <c r="G1628" s="7">
        <f t="shared" si="111"/>
        <v>4.2552959507285504</v>
      </c>
      <c r="H1628" s="18" t="s">
        <v>1835</v>
      </c>
      <c r="I1628" s="18" t="s">
        <v>1836</v>
      </c>
      <c r="J1628" s="18" t="s">
        <v>1807</v>
      </c>
      <c r="K1628" s="3">
        <v>14.4</v>
      </c>
      <c r="L1628" s="7" t="s">
        <v>2246</v>
      </c>
      <c r="M1628" s="7">
        <f t="shared" si="112"/>
        <v>1.44E-2</v>
      </c>
      <c r="N1628" s="7">
        <f t="shared" si="109"/>
        <v>4.4698175999999989</v>
      </c>
    </row>
    <row r="1629" spans="1:14" ht="15.6" x14ac:dyDescent="0.3">
      <c r="A1629" s="23" t="s">
        <v>1733</v>
      </c>
      <c r="B1629" s="7">
        <v>15</v>
      </c>
      <c r="C1629" s="7">
        <v>45</v>
      </c>
      <c r="D1629" s="18" t="s">
        <v>2307</v>
      </c>
      <c r="E1629" s="18">
        <v>15000</v>
      </c>
      <c r="F1629" s="7">
        <f t="shared" si="113"/>
        <v>3962.5826528698344</v>
      </c>
      <c r="G1629" s="7">
        <f t="shared" si="111"/>
        <v>12.765887852185649</v>
      </c>
      <c r="H1629" s="18" t="s">
        <v>1835</v>
      </c>
      <c r="I1629" s="18" t="s">
        <v>1836</v>
      </c>
      <c r="J1629" s="18" t="s">
        <v>1807</v>
      </c>
      <c r="K1629" s="3">
        <v>9.6999999999999993</v>
      </c>
      <c r="L1629" s="7" t="s">
        <v>2246</v>
      </c>
      <c r="M1629" s="7">
        <f t="shared" si="112"/>
        <v>9.6999999999999986E-3</v>
      </c>
      <c r="N1629" s="7">
        <f t="shared" si="109"/>
        <v>3.0109187999999998</v>
      </c>
    </row>
    <row r="1630" spans="1:14" ht="15.6" x14ac:dyDescent="0.3">
      <c r="A1630" s="23" t="s">
        <v>1733</v>
      </c>
      <c r="B1630" s="7">
        <v>15</v>
      </c>
      <c r="C1630" s="7">
        <v>42</v>
      </c>
      <c r="D1630" s="18" t="s">
        <v>2304</v>
      </c>
      <c r="E1630" s="18">
        <v>28000000</v>
      </c>
      <c r="F1630" s="7">
        <f t="shared" si="113"/>
        <v>7396820.9520236906</v>
      </c>
      <c r="G1630" s="7">
        <f t="shared" si="111"/>
        <v>23829.657324079879</v>
      </c>
      <c r="H1630" s="18" t="s">
        <v>1835</v>
      </c>
      <c r="I1630" s="18" t="s">
        <v>1836</v>
      </c>
      <c r="J1630" s="18" t="s">
        <v>1807</v>
      </c>
      <c r="K1630" s="3">
        <v>229.3</v>
      </c>
      <c r="L1630" s="7" t="s">
        <v>2246</v>
      </c>
      <c r="M1630" s="7">
        <f t="shared" si="112"/>
        <v>0.2293</v>
      </c>
      <c r="N1630" s="7">
        <f t="shared" si="109"/>
        <v>71.175637199999997</v>
      </c>
    </row>
    <row r="1631" spans="1:14" ht="15.6" x14ac:dyDescent="0.3">
      <c r="A1631" s="23" t="s">
        <v>1733</v>
      </c>
      <c r="B1631" s="7">
        <v>15</v>
      </c>
      <c r="C1631" s="7">
        <v>43</v>
      </c>
      <c r="D1631" s="18" t="s">
        <v>2305</v>
      </c>
      <c r="E1631" s="18">
        <v>50000</v>
      </c>
      <c r="F1631" s="7">
        <f t="shared" si="113"/>
        <v>13208.608842899448</v>
      </c>
      <c r="G1631" s="7">
        <f t="shared" si="111"/>
        <v>42.5529595072855</v>
      </c>
      <c r="H1631" s="18" t="s">
        <v>1835</v>
      </c>
      <c r="I1631" s="18" t="s">
        <v>1836</v>
      </c>
      <c r="J1631" s="18" t="s">
        <v>1807</v>
      </c>
      <c r="K1631" s="3">
        <v>154.6</v>
      </c>
      <c r="L1631" s="7" t="s">
        <v>2246</v>
      </c>
      <c r="M1631" s="7">
        <f t="shared" si="112"/>
        <v>0.15459999999999999</v>
      </c>
      <c r="N1631" s="7">
        <f t="shared" si="109"/>
        <v>47.988458399999999</v>
      </c>
    </row>
    <row r="1632" spans="1:14" ht="15.6" x14ac:dyDescent="0.3">
      <c r="A1632" s="23" t="s">
        <v>1733</v>
      </c>
      <c r="B1632" s="7">
        <v>15</v>
      </c>
      <c r="C1632" s="7">
        <v>44</v>
      </c>
      <c r="D1632" s="18" t="s">
        <v>2306</v>
      </c>
      <c r="E1632" s="18">
        <v>5000</v>
      </c>
      <c r="F1632" s="7">
        <f t="shared" si="113"/>
        <v>1320.8608842899448</v>
      </c>
      <c r="G1632" s="7">
        <f t="shared" si="111"/>
        <v>4.2552959507285504</v>
      </c>
      <c r="H1632" s="18" t="s">
        <v>1835</v>
      </c>
      <c r="I1632" s="18" t="s">
        <v>1836</v>
      </c>
      <c r="J1632" s="18" t="s">
        <v>1807</v>
      </c>
      <c r="K1632" s="3">
        <v>336.3</v>
      </c>
      <c r="L1632" s="7" t="s">
        <v>2246</v>
      </c>
      <c r="M1632" s="7">
        <f t="shared" si="112"/>
        <v>0.33629999999999999</v>
      </c>
      <c r="N1632" s="7">
        <f t="shared" ref="N1632:N1695" si="114">IFERROR((M1632*F1632)/G1632,"ND")</f>
        <v>104.38886519999998</v>
      </c>
    </row>
    <row r="1633" spans="1:14" ht="15.6" x14ac:dyDescent="0.3">
      <c r="A1633" s="23" t="s">
        <v>1733</v>
      </c>
      <c r="B1633" s="7">
        <v>15</v>
      </c>
      <c r="C1633" s="7">
        <v>45</v>
      </c>
      <c r="D1633" s="18" t="s">
        <v>2307</v>
      </c>
      <c r="E1633" s="18">
        <v>15000</v>
      </c>
      <c r="F1633" s="7">
        <f t="shared" si="113"/>
        <v>3962.5826528698344</v>
      </c>
      <c r="G1633" s="7">
        <f t="shared" si="111"/>
        <v>12.765887852185649</v>
      </c>
      <c r="H1633" s="18" t="s">
        <v>1835</v>
      </c>
      <c r="I1633" s="18" t="s">
        <v>1836</v>
      </c>
      <c r="J1633" s="18" t="s">
        <v>1807</v>
      </c>
      <c r="K1633" s="3">
        <v>27.6</v>
      </c>
      <c r="L1633" s="7" t="s">
        <v>2246</v>
      </c>
      <c r="M1633" s="7">
        <f t="shared" si="112"/>
        <v>2.7600000000000003E-2</v>
      </c>
      <c r="N1633" s="7">
        <f t="shared" si="114"/>
        <v>8.5671504000000009</v>
      </c>
    </row>
    <row r="1634" spans="1:14" ht="15.6" x14ac:dyDescent="0.3">
      <c r="A1634" s="23" t="s">
        <v>1733</v>
      </c>
      <c r="B1634" s="7">
        <v>15</v>
      </c>
      <c r="C1634" s="7">
        <v>42</v>
      </c>
      <c r="D1634" s="18" t="s">
        <v>2304</v>
      </c>
      <c r="E1634" s="18">
        <v>28000000</v>
      </c>
      <c r="F1634" s="7">
        <f t="shared" si="113"/>
        <v>7396820.9520236906</v>
      </c>
      <c r="G1634" s="7">
        <f t="shared" ref="G1634:G1641" si="115">F1634/310.404</f>
        <v>23829.657324079879</v>
      </c>
      <c r="H1634" s="18" t="s">
        <v>1835</v>
      </c>
      <c r="I1634" s="18" t="s">
        <v>1836</v>
      </c>
      <c r="J1634" s="18" t="s">
        <v>1807</v>
      </c>
      <c r="K1634" s="3">
        <v>145.30000000000001</v>
      </c>
      <c r="L1634" s="7" t="s">
        <v>2246</v>
      </c>
      <c r="M1634" s="7">
        <f t="shared" si="112"/>
        <v>0.14530000000000001</v>
      </c>
      <c r="N1634" s="7">
        <f t="shared" si="114"/>
        <v>45.101701200000001</v>
      </c>
    </row>
    <row r="1635" spans="1:14" ht="15.6" x14ac:dyDescent="0.3">
      <c r="A1635" s="23" t="s">
        <v>1733</v>
      </c>
      <c r="B1635" s="7">
        <v>15</v>
      </c>
      <c r="C1635" s="7">
        <v>43</v>
      </c>
      <c r="D1635" s="18" t="s">
        <v>2305</v>
      </c>
      <c r="E1635" s="18">
        <v>50000</v>
      </c>
      <c r="F1635" s="7">
        <f t="shared" si="113"/>
        <v>13208.608842899448</v>
      </c>
      <c r="G1635" s="7">
        <f t="shared" si="115"/>
        <v>42.5529595072855</v>
      </c>
      <c r="H1635" s="18" t="s">
        <v>1835</v>
      </c>
      <c r="I1635" s="18" t="s">
        <v>1836</v>
      </c>
      <c r="J1635" s="18" t="s">
        <v>1807</v>
      </c>
      <c r="K1635" s="3">
        <v>49.5</v>
      </c>
      <c r="L1635" s="7" t="s">
        <v>2246</v>
      </c>
      <c r="M1635" s="7">
        <f t="shared" si="112"/>
        <v>4.9500000000000002E-2</v>
      </c>
      <c r="N1635" s="7">
        <f t="shared" si="114"/>
        <v>15.364998</v>
      </c>
    </row>
    <row r="1636" spans="1:14" ht="15.6" x14ac:dyDescent="0.3">
      <c r="A1636" s="23" t="s">
        <v>1733</v>
      </c>
      <c r="B1636" s="7">
        <v>15</v>
      </c>
      <c r="C1636" s="7">
        <v>44</v>
      </c>
      <c r="D1636" s="18" t="s">
        <v>2306</v>
      </c>
      <c r="E1636" s="18">
        <v>5000</v>
      </c>
      <c r="F1636" s="7">
        <f t="shared" si="113"/>
        <v>1320.8608842899448</v>
      </c>
      <c r="G1636" s="7">
        <f t="shared" si="115"/>
        <v>4.2552959507285504</v>
      </c>
      <c r="H1636" s="18" t="s">
        <v>1835</v>
      </c>
      <c r="I1636" s="18" t="s">
        <v>1836</v>
      </c>
      <c r="J1636" s="18" t="s">
        <v>1807</v>
      </c>
      <c r="K1636" s="3">
        <v>27.2</v>
      </c>
      <c r="L1636" s="7" t="s">
        <v>2246</v>
      </c>
      <c r="M1636" s="7">
        <f t="shared" si="112"/>
        <v>2.7199999999999998E-2</v>
      </c>
      <c r="N1636" s="7">
        <f t="shared" si="114"/>
        <v>8.4429887999999984</v>
      </c>
    </row>
    <row r="1637" spans="1:14" ht="15.6" x14ac:dyDescent="0.3">
      <c r="A1637" s="23" t="s">
        <v>1733</v>
      </c>
      <c r="B1637" s="7">
        <v>15</v>
      </c>
      <c r="C1637" s="7">
        <v>45</v>
      </c>
      <c r="D1637" s="18" t="s">
        <v>2307</v>
      </c>
      <c r="E1637" s="18">
        <v>15000</v>
      </c>
      <c r="F1637" s="7">
        <f t="shared" si="113"/>
        <v>3962.5826528698344</v>
      </c>
      <c r="G1637" s="7">
        <f t="shared" si="115"/>
        <v>12.765887852185649</v>
      </c>
      <c r="H1637" s="18" t="s">
        <v>1835</v>
      </c>
      <c r="I1637" s="18" t="s">
        <v>1836</v>
      </c>
      <c r="J1637" s="18" t="s">
        <v>1807</v>
      </c>
      <c r="K1637" s="3">
        <v>62.4</v>
      </c>
      <c r="L1637" s="7" t="s">
        <v>2246</v>
      </c>
      <c r="M1637" s="7">
        <f t="shared" si="112"/>
        <v>6.2399999999999997E-2</v>
      </c>
      <c r="N1637" s="7">
        <f t="shared" si="114"/>
        <v>19.369209599999998</v>
      </c>
    </row>
    <row r="1638" spans="1:14" ht="15.6" x14ac:dyDescent="0.3">
      <c r="A1638" s="23" t="s">
        <v>1733</v>
      </c>
      <c r="B1638" s="7">
        <v>15</v>
      </c>
      <c r="C1638" s="7">
        <v>42</v>
      </c>
      <c r="D1638" s="18" t="s">
        <v>2304</v>
      </c>
      <c r="E1638" s="18">
        <v>28000000</v>
      </c>
      <c r="F1638" s="7">
        <f t="shared" si="113"/>
        <v>7396820.9520236906</v>
      </c>
      <c r="G1638" s="7">
        <f t="shared" si="115"/>
        <v>23829.657324079879</v>
      </c>
      <c r="H1638" s="18" t="s">
        <v>1835</v>
      </c>
      <c r="I1638" s="18" t="s">
        <v>1836</v>
      </c>
      <c r="J1638" s="18" t="s">
        <v>1807</v>
      </c>
      <c r="K1638" s="3">
        <v>140.5</v>
      </c>
      <c r="L1638" s="7" t="s">
        <v>2246</v>
      </c>
      <c r="M1638" s="7">
        <f t="shared" si="112"/>
        <v>0.14050000000000001</v>
      </c>
      <c r="N1638" s="7">
        <f t="shared" si="114"/>
        <v>43.611761999999999</v>
      </c>
    </row>
    <row r="1639" spans="1:14" ht="15.6" x14ac:dyDescent="0.3">
      <c r="A1639" s="23" t="s">
        <v>1733</v>
      </c>
      <c r="B1639" s="7">
        <v>15</v>
      </c>
      <c r="C1639" s="7">
        <v>43</v>
      </c>
      <c r="D1639" s="18" t="s">
        <v>2305</v>
      </c>
      <c r="E1639" s="18">
        <v>50000</v>
      </c>
      <c r="F1639" s="7">
        <f t="shared" si="113"/>
        <v>13208.608842899448</v>
      </c>
      <c r="G1639" s="7">
        <f t="shared" si="115"/>
        <v>42.5529595072855</v>
      </c>
      <c r="H1639" s="18" t="s">
        <v>1835</v>
      </c>
      <c r="I1639" s="18" t="s">
        <v>1836</v>
      </c>
      <c r="J1639" s="18" t="s">
        <v>1807</v>
      </c>
      <c r="K1639" s="3">
        <v>15.9</v>
      </c>
      <c r="L1639" s="7" t="s">
        <v>2246</v>
      </c>
      <c r="M1639" s="7">
        <f t="shared" si="112"/>
        <v>1.5900000000000001E-2</v>
      </c>
      <c r="N1639" s="7">
        <f t="shared" si="114"/>
        <v>4.9354236</v>
      </c>
    </row>
    <row r="1640" spans="1:14" ht="15.6" x14ac:dyDescent="0.3">
      <c r="A1640" s="23" t="s">
        <v>1733</v>
      </c>
      <c r="B1640" s="7">
        <v>15</v>
      </c>
      <c r="C1640" s="7">
        <v>44</v>
      </c>
      <c r="D1640" s="18" t="s">
        <v>2306</v>
      </c>
      <c r="E1640" s="18">
        <v>5000</v>
      </c>
      <c r="F1640" s="7">
        <f t="shared" si="113"/>
        <v>1320.8608842899448</v>
      </c>
      <c r="G1640" s="7">
        <f t="shared" si="115"/>
        <v>4.2552959507285504</v>
      </c>
      <c r="H1640" s="18" t="s">
        <v>1835</v>
      </c>
      <c r="I1640" s="18" t="s">
        <v>1836</v>
      </c>
      <c r="J1640" s="18" t="s">
        <v>1807</v>
      </c>
      <c r="K1640" s="3">
        <v>112.8</v>
      </c>
      <c r="L1640" s="7" t="s">
        <v>2246</v>
      </c>
      <c r="M1640" s="7">
        <f t="shared" si="112"/>
        <v>0.1128</v>
      </c>
      <c r="N1640" s="7">
        <f t="shared" si="114"/>
        <v>35.013571200000001</v>
      </c>
    </row>
    <row r="1641" spans="1:14" ht="15.6" x14ac:dyDescent="0.3">
      <c r="A1641" s="23" t="s">
        <v>1733</v>
      </c>
      <c r="B1641" s="7">
        <v>15</v>
      </c>
      <c r="C1641" s="7">
        <v>45</v>
      </c>
      <c r="D1641" s="18" t="s">
        <v>2307</v>
      </c>
      <c r="E1641" s="18">
        <v>15000</v>
      </c>
      <c r="F1641" s="7">
        <f t="shared" si="113"/>
        <v>3962.5826528698344</v>
      </c>
      <c r="G1641" s="7">
        <f t="shared" si="115"/>
        <v>12.765887852185649</v>
      </c>
      <c r="H1641" s="18" t="s">
        <v>1835</v>
      </c>
      <c r="I1641" s="18" t="s">
        <v>1836</v>
      </c>
      <c r="J1641" s="18" t="s">
        <v>1807</v>
      </c>
      <c r="K1641" s="3">
        <v>91</v>
      </c>
      <c r="L1641" s="7" t="s">
        <v>2246</v>
      </c>
      <c r="M1641" s="7">
        <f t="shared" si="112"/>
        <v>9.0999999999999998E-2</v>
      </c>
      <c r="N1641" s="7">
        <f t="shared" si="114"/>
        <v>28.246763999999999</v>
      </c>
    </row>
    <row r="1642" spans="1:14" ht="15.6" x14ac:dyDescent="0.3">
      <c r="A1642" s="23" t="s">
        <v>1787</v>
      </c>
      <c r="B1642" s="7">
        <v>16</v>
      </c>
      <c r="C1642" s="7">
        <v>46</v>
      </c>
      <c r="D1642" s="18" t="s">
        <v>2308</v>
      </c>
      <c r="E1642" s="18">
        <v>180000000</v>
      </c>
      <c r="F1642" s="7">
        <f t="shared" si="113"/>
        <v>47550991.834438011</v>
      </c>
      <c r="G1642" s="7">
        <v>1300000</v>
      </c>
      <c r="H1642" s="19">
        <v>39448</v>
      </c>
      <c r="I1642" s="18" t="s">
        <v>2309</v>
      </c>
      <c r="J1642" s="19" t="s">
        <v>1807</v>
      </c>
      <c r="K1642" s="3">
        <v>510</v>
      </c>
      <c r="L1642" s="7" t="s">
        <v>2246</v>
      </c>
      <c r="M1642" s="7">
        <f t="shared" si="112"/>
        <v>0.51</v>
      </c>
      <c r="N1642" s="7">
        <f t="shared" si="114"/>
        <v>18.654619873510299</v>
      </c>
    </row>
    <row r="1643" spans="1:14" ht="15.6" x14ac:dyDescent="0.3">
      <c r="A1643" s="23" t="s">
        <v>2310</v>
      </c>
      <c r="B1643" s="7">
        <v>16</v>
      </c>
      <c r="C1643" s="7">
        <v>46</v>
      </c>
      <c r="D1643" s="18" t="s">
        <v>2308</v>
      </c>
      <c r="E1643" s="18">
        <v>180000000</v>
      </c>
      <c r="F1643" s="7">
        <f>E1643/3.78541</f>
        <v>47550991.834438011</v>
      </c>
      <c r="G1643" s="7">
        <v>1300000</v>
      </c>
      <c r="H1643" s="19">
        <v>39448</v>
      </c>
      <c r="I1643" s="18" t="s">
        <v>2309</v>
      </c>
      <c r="J1643" s="19" t="s">
        <v>1807</v>
      </c>
      <c r="K1643" s="3">
        <v>1410</v>
      </c>
      <c r="L1643" s="7" t="s">
        <v>2246</v>
      </c>
      <c r="M1643" s="7">
        <f t="shared" si="112"/>
        <v>1.41</v>
      </c>
      <c r="N1643" s="7">
        <f t="shared" si="114"/>
        <v>51.574537297351995</v>
      </c>
    </row>
    <row r="1644" spans="1:14" ht="15.6" x14ac:dyDescent="0.3">
      <c r="A1644" s="23" t="s">
        <v>1753</v>
      </c>
      <c r="B1644" s="7">
        <v>17</v>
      </c>
      <c r="C1644" s="7">
        <v>47</v>
      </c>
      <c r="D1644" s="18" t="s">
        <v>2311</v>
      </c>
      <c r="E1644" s="18">
        <v>8000000</v>
      </c>
      <c r="F1644" s="18">
        <f>E1644</f>
        <v>8000000</v>
      </c>
      <c r="G1644" s="7">
        <f>F1644/310.404</f>
        <v>25772.863751755776</v>
      </c>
      <c r="H1644" s="7">
        <v>2009</v>
      </c>
      <c r="I1644" s="18" t="s">
        <v>2312</v>
      </c>
      <c r="J1644" s="18" t="s">
        <v>2313</v>
      </c>
      <c r="K1644" s="3">
        <v>2256</v>
      </c>
      <c r="L1644" s="7" t="s">
        <v>2246</v>
      </c>
      <c r="M1644" s="7">
        <f t="shared" si="112"/>
        <v>2.2559999999999998</v>
      </c>
      <c r="N1644" s="7">
        <f t="shared" si="114"/>
        <v>700.27142400000002</v>
      </c>
    </row>
    <row r="1645" spans="1:14" ht="15.6" x14ac:dyDescent="0.3">
      <c r="A1645" s="23" t="s">
        <v>1756</v>
      </c>
      <c r="B1645" s="7">
        <v>17</v>
      </c>
      <c r="C1645" s="7">
        <v>47</v>
      </c>
      <c r="D1645" s="18" t="s">
        <v>2311</v>
      </c>
      <c r="E1645" s="18">
        <v>8000000</v>
      </c>
      <c r="F1645" s="18">
        <f t="shared" ref="F1645:F1648" si="116">E1645</f>
        <v>8000000</v>
      </c>
      <c r="G1645" s="7">
        <f t="shared" ref="G1645:G1648" si="117">F1645/310.404</f>
        <v>25772.863751755776</v>
      </c>
      <c r="H1645" s="7">
        <v>2009</v>
      </c>
      <c r="I1645" s="18" t="s">
        <v>2312</v>
      </c>
      <c r="J1645" s="18" t="s">
        <v>2313</v>
      </c>
      <c r="K1645" s="3">
        <v>1518</v>
      </c>
      <c r="L1645" s="7" t="s">
        <v>2246</v>
      </c>
      <c r="M1645" s="7">
        <f t="shared" si="112"/>
        <v>1.518</v>
      </c>
      <c r="N1645" s="7">
        <f t="shared" si="114"/>
        <v>471.19327199999998</v>
      </c>
    </row>
    <row r="1646" spans="1:14" ht="15.6" x14ac:dyDescent="0.3">
      <c r="A1646" s="23" t="s">
        <v>1757</v>
      </c>
      <c r="B1646" s="7">
        <v>17</v>
      </c>
      <c r="C1646" s="7">
        <v>47</v>
      </c>
      <c r="D1646" s="18" t="s">
        <v>2311</v>
      </c>
      <c r="E1646" s="18">
        <v>8000000</v>
      </c>
      <c r="F1646" s="18">
        <f t="shared" si="116"/>
        <v>8000000</v>
      </c>
      <c r="G1646" s="7">
        <f t="shared" si="117"/>
        <v>25772.863751755776</v>
      </c>
      <c r="H1646" s="7">
        <v>2009</v>
      </c>
      <c r="I1646" s="18" t="s">
        <v>2312</v>
      </c>
      <c r="J1646" s="18" t="s">
        <v>2313</v>
      </c>
      <c r="K1646" s="3">
        <v>95</v>
      </c>
      <c r="L1646" s="7" t="s">
        <v>2246</v>
      </c>
      <c r="M1646" s="7">
        <f t="shared" si="112"/>
        <v>9.5000000000000001E-2</v>
      </c>
      <c r="N1646" s="7">
        <f t="shared" si="114"/>
        <v>29.488379999999999</v>
      </c>
    </row>
    <row r="1647" spans="1:14" ht="15.6" x14ac:dyDescent="0.3">
      <c r="A1647" s="23" t="s">
        <v>1788</v>
      </c>
      <c r="B1647" s="7">
        <v>17</v>
      </c>
      <c r="C1647" s="7">
        <v>47</v>
      </c>
      <c r="D1647" s="18" t="s">
        <v>2311</v>
      </c>
      <c r="E1647" s="18">
        <v>8000000</v>
      </c>
      <c r="F1647" s="18">
        <f t="shared" si="116"/>
        <v>8000000</v>
      </c>
      <c r="G1647" s="7">
        <f t="shared" si="117"/>
        <v>25772.863751755776</v>
      </c>
      <c r="H1647" s="7">
        <v>2009</v>
      </c>
      <c r="I1647" s="18" t="s">
        <v>2312</v>
      </c>
      <c r="J1647" s="18" t="s">
        <v>2313</v>
      </c>
      <c r="K1647" s="3">
        <v>603</v>
      </c>
      <c r="L1647" s="7" t="s">
        <v>2246</v>
      </c>
      <c r="M1647" s="7">
        <f t="shared" ref="M1647:M1710" si="118">IFERROR(K1647/1000,"ND")</f>
        <v>0.60299999999999998</v>
      </c>
      <c r="N1647" s="7">
        <f t="shared" si="114"/>
        <v>187.17361199999999</v>
      </c>
    </row>
    <row r="1648" spans="1:14" ht="15.6" x14ac:dyDescent="0.3">
      <c r="A1648" s="23" t="s">
        <v>1779</v>
      </c>
      <c r="B1648" s="7">
        <v>17</v>
      </c>
      <c r="C1648" s="7">
        <v>47</v>
      </c>
      <c r="D1648" s="18" t="s">
        <v>2311</v>
      </c>
      <c r="E1648" s="18">
        <v>8000000</v>
      </c>
      <c r="F1648" s="18">
        <f t="shared" si="116"/>
        <v>8000000</v>
      </c>
      <c r="G1648" s="7">
        <f t="shared" si="117"/>
        <v>25772.863751755776</v>
      </c>
      <c r="H1648" s="7">
        <v>2009</v>
      </c>
      <c r="I1648" s="18" t="s">
        <v>2312</v>
      </c>
      <c r="J1648" s="18" t="s">
        <v>2313</v>
      </c>
      <c r="K1648" s="3">
        <v>57</v>
      </c>
      <c r="L1648" s="7" t="s">
        <v>2246</v>
      </c>
      <c r="M1648" s="7">
        <f t="shared" si="118"/>
        <v>5.7000000000000002E-2</v>
      </c>
      <c r="N1648" s="7">
        <f t="shared" si="114"/>
        <v>17.693028000000002</v>
      </c>
    </row>
    <row r="1649" spans="1:14" ht="15.6" x14ac:dyDescent="0.3">
      <c r="A1649" s="23" t="s">
        <v>1762</v>
      </c>
      <c r="B1649" s="7">
        <v>18</v>
      </c>
      <c r="C1649" s="7">
        <v>48</v>
      </c>
      <c r="D1649" s="18" t="s">
        <v>2314</v>
      </c>
      <c r="E1649" s="18">
        <v>30500000</v>
      </c>
      <c r="F1649" s="7">
        <f>E1649/3.78541</f>
        <v>8057251.3941686628</v>
      </c>
      <c r="G1649" s="7">
        <v>330000</v>
      </c>
      <c r="H1649" s="18" t="s">
        <v>1837</v>
      </c>
      <c r="I1649" s="18" t="s">
        <v>2315</v>
      </c>
      <c r="J1649" s="18" t="s">
        <v>1802</v>
      </c>
      <c r="K1649" s="3">
        <v>36.9</v>
      </c>
      <c r="L1649" s="7" t="s">
        <v>2246</v>
      </c>
      <c r="M1649" s="7">
        <f t="shared" si="118"/>
        <v>3.6899999999999995E-2</v>
      </c>
      <c r="N1649" s="7">
        <f t="shared" si="114"/>
        <v>0.90094720134795048</v>
      </c>
    </row>
    <row r="1650" spans="1:14" ht="15.6" x14ac:dyDescent="0.3">
      <c r="A1650" s="25" t="s">
        <v>1729</v>
      </c>
      <c r="B1650" s="7">
        <v>18</v>
      </c>
      <c r="C1650" s="7">
        <v>48</v>
      </c>
      <c r="D1650" s="18" t="s">
        <v>2314</v>
      </c>
      <c r="E1650" s="18">
        <v>30500000</v>
      </c>
      <c r="F1650" s="7">
        <f t="shared" ref="F1650:F1713" si="119">E1650/3.78541</f>
        <v>8057251.3941686628</v>
      </c>
      <c r="G1650" s="7">
        <v>330000</v>
      </c>
      <c r="H1650" s="18" t="s">
        <v>1837</v>
      </c>
      <c r="I1650" s="18" t="s">
        <v>2315</v>
      </c>
      <c r="J1650" s="18" t="s">
        <v>1802</v>
      </c>
      <c r="K1650" s="3">
        <f>1000*75.2</f>
        <v>75200</v>
      </c>
      <c r="L1650" s="7" t="s">
        <v>2246</v>
      </c>
      <c r="M1650" s="7">
        <f t="shared" si="118"/>
        <v>75.2</v>
      </c>
      <c r="N1650" s="7">
        <f t="shared" si="114"/>
        <v>1836.0766813378286</v>
      </c>
    </row>
    <row r="1651" spans="1:14" ht="15.6" x14ac:dyDescent="0.3">
      <c r="A1651" s="23" t="s">
        <v>1753</v>
      </c>
      <c r="B1651" s="7">
        <v>18</v>
      </c>
      <c r="C1651" s="7">
        <v>48</v>
      </c>
      <c r="D1651" s="18" t="s">
        <v>2314</v>
      </c>
      <c r="E1651" s="18">
        <v>30500000</v>
      </c>
      <c r="F1651" s="7">
        <f t="shared" si="119"/>
        <v>8057251.3941686628</v>
      </c>
      <c r="G1651" s="7">
        <v>330000</v>
      </c>
      <c r="H1651" s="18" t="s">
        <v>1837</v>
      </c>
      <c r="I1651" s="18" t="s">
        <v>2315</v>
      </c>
      <c r="J1651" s="18" t="s">
        <v>1802</v>
      </c>
      <c r="K1651" s="3">
        <f>1000*0.73</f>
        <v>730</v>
      </c>
      <c r="L1651" s="7" t="s">
        <v>2246</v>
      </c>
      <c r="M1651" s="7">
        <f t="shared" si="118"/>
        <v>0.73</v>
      </c>
      <c r="N1651" s="7">
        <f t="shared" si="114"/>
        <v>17.823616720433709</v>
      </c>
    </row>
    <row r="1652" spans="1:14" ht="15.6" x14ac:dyDescent="0.3">
      <c r="A1652" s="23" t="s">
        <v>1733</v>
      </c>
      <c r="B1652" s="7">
        <v>18</v>
      </c>
      <c r="C1652" s="7">
        <v>48</v>
      </c>
      <c r="D1652" s="18" t="s">
        <v>2314</v>
      </c>
      <c r="E1652" s="18">
        <v>30500000</v>
      </c>
      <c r="F1652" s="7">
        <f t="shared" si="119"/>
        <v>8057251.3941686628</v>
      </c>
      <c r="G1652" s="7">
        <v>330000</v>
      </c>
      <c r="H1652" s="18" t="s">
        <v>1837</v>
      </c>
      <c r="I1652" s="18" t="s">
        <v>2315</v>
      </c>
      <c r="J1652" s="18" t="s">
        <v>1802</v>
      </c>
      <c r="K1652" s="3">
        <f>1000*0.14</f>
        <v>140</v>
      </c>
      <c r="L1652" s="7" t="s">
        <v>2246</v>
      </c>
      <c r="M1652" s="7">
        <f t="shared" si="118"/>
        <v>0.14000000000000001</v>
      </c>
      <c r="N1652" s="7">
        <f t="shared" si="114"/>
        <v>3.4182278641927661</v>
      </c>
    </row>
    <row r="1653" spans="1:14" ht="15.6" x14ac:dyDescent="0.3">
      <c r="A1653" s="23" t="s">
        <v>1749</v>
      </c>
      <c r="B1653" s="7">
        <v>18</v>
      </c>
      <c r="C1653" s="7">
        <v>48</v>
      </c>
      <c r="D1653" s="18" t="s">
        <v>2314</v>
      </c>
      <c r="E1653" s="18">
        <v>30500000</v>
      </c>
      <c r="F1653" s="7">
        <f t="shared" si="119"/>
        <v>8057251.3941686628</v>
      </c>
      <c r="G1653" s="7">
        <v>330000</v>
      </c>
      <c r="H1653" s="18" t="s">
        <v>1837</v>
      </c>
      <c r="I1653" s="18" t="s">
        <v>2315</v>
      </c>
      <c r="J1653" s="18" t="s">
        <v>1802</v>
      </c>
      <c r="K1653" s="3">
        <f>1000*0.22</f>
        <v>220</v>
      </c>
      <c r="L1653" s="7" t="s">
        <v>2246</v>
      </c>
      <c r="M1653" s="7">
        <f t="shared" si="118"/>
        <v>0.22</v>
      </c>
      <c r="N1653" s="7">
        <f t="shared" si="114"/>
        <v>5.3715009294457756</v>
      </c>
    </row>
    <row r="1654" spans="1:14" ht="15.6" x14ac:dyDescent="0.3">
      <c r="A1654" s="23" t="s">
        <v>1748</v>
      </c>
      <c r="B1654" s="7">
        <v>18</v>
      </c>
      <c r="C1654" s="7">
        <v>48</v>
      </c>
      <c r="D1654" s="18" t="s">
        <v>2314</v>
      </c>
      <c r="E1654" s="18">
        <v>30500000</v>
      </c>
      <c r="F1654" s="7">
        <f t="shared" si="119"/>
        <v>8057251.3941686628</v>
      </c>
      <c r="G1654" s="7">
        <v>330000</v>
      </c>
      <c r="H1654" s="18" t="s">
        <v>1837</v>
      </c>
      <c r="I1654" s="18" t="s">
        <v>2315</v>
      </c>
      <c r="J1654" s="18" t="s">
        <v>1802</v>
      </c>
      <c r="K1654" s="3">
        <f>1000*1.35</f>
        <v>1350</v>
      </c>
      <c r="L1654" s="7" t="s">
        <v>2246</v>
      </c>
      <c r="M1654" s="7">
        <f t="shared" si="118"/>
        <v>1.35</v>
      </c>
      <c r="N1654" s="7">
        <f t="shared" si="114"/>
        <v>32.961482976144531</v>
      </c>
    </row>
    <row r="1655" spans="1:14" ht="15.6" x14ac:dyDescent="0.3">
      <c r="A1655" s="23" t="s">
        <v>1756</v>
      </c>
      <c r="B1655" s="7">
        <v>18</v>
      </c>
      <c r="C1655" s="7">
        <v>48</v>
      </c>
      <c r="D1655" s="18" t="s">
        <v>2314</v>
      </c>
      <c r="E1655" s="18">
        <v>30500000</v>
      </c>
      <c r="F1655" s="7">
        <f t="shared" si="119"/>
        <v>8057251.3941686628</v>
      </c>
      <c r="G1655" s="7">
        <v>330000</v>
      </c>
      <c r="H1655" s="18" t="s">
        <v>1837</v>
      </c>
      <c r="I1655" s="18" t="s">
        <v>2315</v>
      </c>
      <c r="J1655" s="18" t="s">
        <v>1802</v>
      </c>
      <c r="K1655" s="3">
        <f>1000*1.38</f>
        <v>1380</v>
      </c>
      <c r="L1655" s="7" t="s">
        <v>2246</v>
      </c>
      <c r="M1655" s="7">
        <f t="shared" si="118"/>
        <v>1.38</v>
      </c>
      <c r="N1655" s="7">
        <f t="shared" si="114"/>
        <v>33.693960375614409</v>
      </c>
    </row>
    <row r="1656" spans="1:14" ht="15.6" x14ac:dyDescent="0.3">
      <c r="A1656" s="23" t="s">
        <v>1745</v>
      </c>
      <c r="B1656" s="7">
        <v>18</v>
      </c>
      <c r="C1656" s="7">
        <v>48</v>
      </c>
      <c r="D1656" s="18" t="s">
        <v>2314</v>
      </c>
      <c r="E1656" s="18">
        <v>30500000</v>
      </c>
      <c r="F1656" s="7">
        <f t="shared" si="119"/>
        <v>8057251.3941686628</v>
      </c>
      <c r="G1656" s="7">
        <v>330000</v>
      </c>
      <c r="H1656" s="18" t="s">
        <v>1837</v>
      </c>
      <c r="I1656" s="18" t="s">
        <v>2315</v>
      </c>
      <c r="J1656" s="18" t="s">
        <v>1802</v>
      </c>
      <c r="K1656" s="3">
        <f>1000*0.77</f>
        <v>770</v>
      </c>
      <c r="L1656" s="7" t="s">
        <v>2246</v>
      </c>
      <c r="M1656" s="7">
        <f t="shared" si="118"/>
        <v>0.77</v>
      </c>
      <c r="N1656" s="7">
        <f t="shared" si="114"/>
        <v>18.800253253060212</v>
      </c>
    </row>
    <row r="1657" spans="1:14" ht="15.6" x14ac:dyDescent="0.3">
      <c r="A1657" s="23" t="s">
        <v>1746</v>
      </c>
      <c r="B1657" s="7">
        <v>18</v>
      </c>
      <c r="C1657" s="7">
        <v>48</v>
      </c>
      <c r="D1657" s="18" t="s">
        <v>2314</v>
      </c>
      <c r="E1657" s="18">
        <v>30500000</v>
      </c>
      <c r="F1657" s="7">
        <f t="shared" si="119"/>
        <v>8057251.3941686628</v>
      </c>
      <c r="G1657" s="7">
        <v>330000</v>
      </c>
      <c r="H1657" s="18" t="s">
        <v>1837</v>
      </c>
      <c r="I1657" s="18" t="s">
        <v>2315</v>
      </c>
      <c r="J1657" s="18" t="s">
        <v>1802</v>
      </c>
      <c r="K1657" s="3">
        <f>1000*0.26</f>
        <v>260</v>
      </c>
      <c r="L1657" s="7" t="s">
        <v>2246</v>
      </c>
      <c r="M1657" s="7">
        <f t="shared" si="118"/>
        <v>0.26</v>
      </c>
      <c r="N1657" s="7">
        <f t="shared" si="114"/>
        <v>6.3481374620722795</v>
      </c>
    </row>
    <row r="1658" spans="1:14" ht="15.6" x14ac:dyDescent="0.3">
      <c r="A1658" s="23" t="s">
        <v>1747</v>
      </c>
      <c r="B1658" s="7">
        <v>18</v>
      </c>
      <c r="C1658" s="7">
        <v>48</v>
      </c>
      <c r="D1658" s="18" t="s">
        <v>2314</v>
      </c>
      <c r="E1658" s="18">
        <v>30500000</v>
      </c>
      <c r="F1658" s="7">
        <f t="shared" si="119"/>
        <v>8057251.3941686628</v>
      </c>
      <c r="G1658" s="7">
        <v>330000</v>
      </c>
      <c r="H1658" s="18" t="s">
        <v>1837</v>
      </c>
      <c r="I1658" s="18" t="s">
        <v>2315</v>
      </c>
      <c r="J1658" s="18" t="s">
        <v>1802</v>
      </c>
      <c r="K1658" s="3">
        <f>1000*0.5</f>
        <v>500</v>
      </c>
      <c r="L1658" s="7" t="s">
        <v>2246</v>
      </c>
      <c r="M1658" s="7">
        <f t="shared" si="118"/>
        <v>0.5</v>
      </c>
      <c r="N1658" s="7">
        <f t="shared" si="114"/>
        <v>12.207956657831307</v>
      </c>
    </row>
    <row r="1659" spans="1:14" ht="15.6" x14ac:dyDescent="0.3">
      <c r="A1659" s="23" t="s">
        <v>1729</v>
      </c>
      <c r="B1659" s="7">
        <v>19</v>
      </c>
      <c r="C1659" s="7">
        <v>49</v>
      </c>
      <c r="D1659" s="18" t="s">
        <v>2316</v>
      </c>
      <c r="E1659" s="18">
        <v>30700000</v>
      </c>
      <c r="F1659" s="7">
        <f t="shared" si="119"/>
        <v>8110085.8295402611</v>
      </c>
      <c r="G1659" s="7">
        <v>284229</v>
      </c>
      <c r="H1659" s="10" t="s">
        <v>1838</v>
      </c>
      <c r="I1659" s="18" t="s">
        <v>2317</v>
      </c>
      <c r="J1659" s="18" t="s">
        <v>1807</v>
      </c>
      <c r="K1659" s="3">
        <v>204615</v>
      </c>
      <c r="L1659" s="7" t="s">
        <v>2246</v>
      </c>
      <c r="M1659" s="7">
        <f t="shared" si="118"/>
        <v>204.61500000000001</v>
      </c>
      <c r="N1659" s="7">
        <f t="shared" si="114"/>
        <v>5838.4092123301307</v>
      </c>
    </row>
    <row r="1660" spans="1:14" ht="15.6" x14ac:dyDescent="0.3">
      <c r="A1660" s="23" t="s">
        <v>1726</v>
      </c>
      <c r="B1660" s="7">
        <v>19</v>
      </c>
      <c r="C1660" s="7">
        <v>49</v>
      </c>
      <c r="D1660" s="18" t="s">
        <v>2316</v>
      </c>
      <c r="E1660" s="18">
        <v>30700000</v>
      </c>
      <c r="F1660" s="7">
        <f t="shared" si="119"/>
        <v>8110085.8295402611</v>
      </c>
      <c r="G1660" s="7">
        <v>284229</v>
      </c>
      <c r="H1660" s="10" t="s">
        <v>1838</v>
      </c>
      <c r="I1660" s="18" t="s">
        <v>2317</v>
      </c>
      <c r="J1660" s="18" t="s">
        <v>1807</v>
      </c>
      <c r="K1660" s="3">
        <v>704</v>
      </c>
      <c r="L1660" s="7" t="s">
        <v>2246</v>
      </c>
      <c r="M1660" s="7">
        <f t="shared" si="118"/>
        <v>0.70399999999999996</v>
      </c>
      <c r="N1660" s="7">
        <f t="shared" si="114"/>
        <v>20.087677274297636</v>
      </c>
    </row>
    <row r="1661" spans="1:14" ht="15.6" x14ac:dyDescent="0.3">
      <c r="A1661" s="18" t="s">
        <v>1753</v>
      </c>
      <c r="B1661" s="7">
        <v>19</v>
      </c>
      <c r="C1661" s="7">
        <v>49</v>
      </c>
      <c r="D1661" s="18" t="s">
        <v>2316</v>
      </c>
      <c r="E1661" s="18">
        <v>30700000</v>
      </c>
      <c r="F1661" s="7">
        <f t="shared" si="119"/>
        <v>8110085.8295402611</v>
      </c>
      <c r="G1661" s="7">
        <v>284229</v>
      </c>
      <c r="H1661" s="10" t="s">
        <v>1838</v>
      </c>
      <c r="I1661" s="18" t="s">
        <v>2317</v>
      </c>
      <c r="J1661" s="18" t="s">
        <v>1807</v>
      </c>
      <c r="K1661" s="3">
        <v>1454</v>
      </c>
      <c r="L1661" s="7" t="s">
        <v>2246</v>
      </c>
      <c r="M1661" s="7">
        <f t="shared" si="118"/>
        <v>1.454</v>
      </c>
      <c r="N1661" s="7">
        <f t="shared" si="114"/>
        <v>41.487901643222678</v>
      </c>
    </row>
    <row r="1662" spans="1:14" ht="15.6" x14ac:dyDescent="0.3">
      <c r="A1662" s="18" t="s">
        <v>1733</v>
      </c>
      <c r="B1662" s="7">
        <v>19</v>
      </c>
      <c r="C1662" s="7">
        <v>49</v>
      </c>
      <c r="D1662" s="18" t="s">
        <v>2316</v>
      </c>
      <c r="E1662" s="18">
        <v>30700000</v>
      </c>
      <c r="F1662" s="7">
        <f t="shared" si="119"/>
        <v>8110085.8295402611</v>
      </c>
      <c r="G1662" s="7">
        <v>284229</v>
      </c>
      <c r="H1662" s="10" t="s">
        <v>1838</v>
      </c>
      <c r="I1662" s="18" t="s">
        <v>2317</v>
      </c>
      <c r="J1662" s="18" t="s">
        <v>1807</v>
      </c>
      <c r="K1662" s="3">
        <v>122</v>
      </c>
      <c r="L1662" s="7" t="s">
        <v>2246</v>
      </c>
      <c r="M1662" s="7">
        <f t="shared" si="118"/>
        <v>0.122</v>
      </c>
      <c r="N1662" s="7">
        <f t="shared" si="114"/>
        <v>3.4811031640118069</v>
      </c>
    </row>
    <row r="1663" spans="1:14" ht="15.6" x14ac:dyDescent="0.3">
      <c r="A1663" s="18" t="s">
        <v>1713</v>
      </c>
      <c r="B1663" s="7">
        <v>19</v>
      </c>
      <c r="C1663" s="7">
        <v>49</v>
      </c>
      <c r="D1663" s="18" t="s">
        <v>2316</v>
      </c>
      <c r="E1663" s="18">
        <v>30700000</v>
      </c>
      <c r="F1663" s="7">
        <f t="shared" si="119"/>
        <v>8110085.8295402611</v>
      </c>
      <c r="G1663" s="7">
        <v>284229</v>
      </c>
      <c r="H1663" s="10" t="s">
        <v>1838</v>
      </c>
      <c r="I1663" s="18" t="s">
        <v>2317</v>
      </c>
      <c r="J1663" s="18" t="s">
        <v>1807</v>
      </c>
      <c r="K1663" s="3">
        <v>173</v>
      </c>
      <c r="L1663" s="7" t="s">
        <v>2246</v>
      </c>
      <c r="M1663" s="7">
        <f t="shared" si="118"/>
        <v>0.17299999999999999</v>
      </c>
      <c r="N1663" s="7">
        <f t="shared" si="114"/>
        <v>4.9363184210987097</v>
      </c>
    </row>
    <row r="1664" spans="1:14" ht="15.6" x14ac:dyDescent="0.3">
      <c r="A1664" s="18" t="s">
        <v>1728</v>
      </c>
      <c r="B1664" s="7">
        <v>19</v>
      </c>
      <c r="C1664" s="7">
        <v>49</v>
      </c>
      <c r="D1664" s="18" t="s">
        <v>2316</v>
      </c>
      <c r="E1664" s="18">
        <v>30700000</v>
      </c>
      <c r="F1664" s="7">
        <f t="shared" si="119"/>
        <v>8110085.8295402611</v>
      </c>
      <c r="G1664" s="7">
        <v>284229</v>
      </c>
      <c r="H1664" s="10" t="s">
        <v>1838</v>
      </c>
      <c r="I1664" s="18" t="s">
        <v>2317</v>
      </c>
      <c r="J1664" s="18" t="s">
        <v>1807</v>
      </c>
      <c r="K1664" s="3">
        <v>54</v>
      </c>
      <c r="L1664" s="7" t="s">
        <v>2246</v>
      </c>
      <c r="M1664" s="7">
        <f t="shared" si="118"/>
        <v>5.3999999999999999E-2</v>
      </c>
      <c r="N1664" s="7">
        <f t="shared" si="114"/>
        <v>1.5408161545626031</v>
      </c>
    </row>
    <row r="1665" spans="1:14" ht="15.6" x14ac:dyDescent="0.3">
      <c r="A1665" s="18" t="s">
        <v>1789</v>
      </c>
      <c r="B1665" s="7">
        <v>19</v>
      </c>
      <c r="C1665" s="7">
        <v>49</v>
      </c>
      <c r="D1665" s="18" t="s">
        <v>2316</v>
      </c>
      <c r="E1665" s="18">
        <v>30700000</v>
      </c>
      <c r="F1665" s="7">
        <f t="shared" si="119"/>
        <v>8110085.8295402611</v>
      </c>
      <c r="G1665" s="7">
        <v>284229</v>
      </c>
      <c r="H1665" s="10" t="s">
        <v>1838</v>
      </c>
      <c r="I1665" s="18" t="s">
        <v>2317</v>
      </c>
      <c r="J1665" s="18" t="s">
        <v>1807</v>
      </c>
      <c r="K1665" s="3">
        <v>1225</v>
      </c>
      <c r="L1665" s="7" t="s">
        <v>2246</v>
      </c>
      <c r="M1665" s="7">
        <f t="shared" si="118"/>
        <v>1.2250000000000001</v>
      </c>
      <c r="N1665" s="7">
        <f t="shared" si="114"/>
        <v>34.953699802577567</v>
      </c>
    </row>
    <row r="1666" spans="1:14" ht="15.6" x14ac:dyDescent="0.3">
      <c r="A1666" s="18" t="s">
        <v>1715</v>
      </c>
      <c r="B1666" s="7">
        <v>19</v>
      </c>
      <c r="C1666" s="7">
        <v>49</v>
      </c>
      <c r="D1666" s="18" t="s">
        <v>2316</v>
      </c>
      <c r="E1666" s="18">
        <v>30700000</v>
      </c>
      <c r="F1666" s="7">
        <f t="shared" si="119"/>
        <v>8110085.8295402611</v>
      </c>
      <c r="G1666" s="7">
        <v>284229</v>
      </c>
      <c r="H1666" s="10" t="s">
        <v>1838</v>
      </c>
      <c r="I1666" s="18" t="s">
        <v>2317</v>
      </c>
      <c r="J1666" s="18" t="s">
        <v>1807</v>
      </c>
      <c r="K1666" s="3">
        <v>149</v>
      </c>
      <c r="L1666" s="7" t="s">
        <v>2246</v>
      </c>
      <c r="M1666" s="7">
        <f t="shared" si="118"/>
        <v>0.14899999999999999</v>
      </c>
      <c r="N1666" s="7">
        <f t="shared" si="114"/>
        <v>4.251511241293108</v>
      </c>
    </row>
    <row r="1667" spans="1:14" ht="15.6" x14ac:dyDescent="0.3">
      <c r="A1667" s="18" t="s">
        <v>1790</v>
      </c>
      <c r="B1667" s="7">
        <v>19</v>
      </c>
      <c r="C1667" s="7">
        <v>49</v>
      </c>
      <c r="D1667" s="18" t="s">
        <v>2316</v>
      </c>
      <c r="E1667" s="18">
        <v>30700000</v>
      </c>
      <c r="F1667" s="7">
        <f t="shared" si="119"/>
        <v>8110085.8295402611</v>
      </c>
      <c r="G1667" s="7">
        <v>284229</v>
      </c>
      <c r="H1667" s="10" t="s">
        <v>1838</v>
      </c>
      <c r="I1667" s="18" t="s">
        <v>2317</v>
      </c>
      <c r="J1667" s="18" t="s">
        <v>1807</v>
      </c>
      <c r="K1667" s="3">
        <v>30885</v>
      </c>
      <c r="L1667" s="7" t="s">
        <v>2246</v>
      </c>
      <c r="M1667" s="7">
        <f t="shared" si="118"/>
        <v>30.885000000000002</v>
      </c>
      <c r="N1667" s="7">
        <f t="shared" si="114"/>
        <v>881.2612395123333</v>
      </c>
    </row>
    <row r="1668" spans="1:14" ht="15.6" x14ac:dyDescent="0.3">
      <c r="A1668" s="18" t="s">
        <v>1714</v>
      </c>
      <c r="B1668" s="7">
        <v>19</v>
      </c>
      <c r="C1668" s="7">
        <v>49</v>
      </c>
      <c r="D1668" s="18" t="s">
        <v>2316</v>
      </c>
      <c r="E1668" s="18">
        <v>30700000</v>
      </c>
      <c r="F1668" s="7">
        <f t="shared" si="119"/>
        <v>8110085.8295402611</v>
      </c>
      <c r="G1668" s="7">
        <v>284229</v>
      </c>
      <c r="H1668" s="10" t="s">
        <v>1838</v>
      </c>
      <c r="I1668" s="18" t="s">
        <v>2317</v>
      </c>
      <c r="J1668" s="18" t="s">
        <v>1807</v>
      </c>
      <c r="K1668" s="3">
        <v>825</v>
      </c>
      <c r="L1668" s="7" t="s">
        <v>2246</v>
      </c>
      <c r="M1668" s="7">
        <f t="shared" si="118"/>
        <v>0.82499999999999996</v>
      </c>
      <c r="N1668" s="7">
        <f t="shared" si="114"/>
        <v>23.540246805817546</v>
      </c>
    </row>
    <row r="1669" spans="1:14" ht="15.6" x14ac:dyDescent="0.3">
      <c r="A1669" s="18" t="s">
        <v>1741</v>
      </c>
      <c r="B1669" s="7">
        <v>19</v>
      </c>
      <c r="C1669" s="7">
        <v>49</v>
      </c>
      <c r="D1669" s="18" t="s">
        <v>2316</v>
      </c>
      <c r="E1669" s="18">
        <v>30700000</v>
      </c>
      <c r="F1669" s="7">
        <f t="shared" si="119"/>
        <v>8110085.8295402611</v>
      </c>
      <c r="G1669" s="7">
        <v>284229</v>
      </c>
      <c r="H1669" s="10" t="s">
        <v>1838</v>
      </c>
      <c r="I1669" s="18" t="s">
        <v>2317</v>
      </c>
      <c r="J1669" s="18" t="s">
        <v>1807</v>
      </c>
      <c r="K1669" s="3">
        <v>20615</v>
      </c>
      <c r="L1669" s="7" t="s">
        <v>2246</v>
      </c>
      <c r="M1669" s="7">
        <f t="shared" si="118"/>
        <v>20.614999999999998</v>
      </c>
      <c r="N1669" s="7">
        <f t="shared" si="114"/>
        <v>588.2208338205196</v>
      </c>
    </row>
    <row r="1670" spans="1:14" ht="15.6" x14ac:dyDescent="0.3">
      <c r="A1670" s="18" t="s">
        <v>1718</v>
      </c>
      <c r="B1670" s="7">
        <v>19</v>
      </c>
      <c r="C1670" s="7">
        <v>49</v>
      </c>
      <c r="D1670" s="18" t="s">
        <v>2316</v>
      </c>
      <c r="E1670" s="18">
        <v>30700000</v>
      </c>
      <c r="F1670" s="7">
        <f t="shared" si="119"/>
        <v>8110085.8295402611</v>
      </c>
      <c r="G1670" s="7">
        <v>284229</v>
      </c>
      <c r="H1670" s="10" t="s">
        <v>1838</v>
      </c>
      <c r="I1670" s="18" t="s">
        <v>2317</v>
      </c>
      <c r="J1670" s="18" t="s">
        <v>1807</v>
      </c>
      <c r="K1670" s="3">
        <v>128</v>
      </c>
      <c r="L1670" s="7" t="s">
        <v>2246</v>
      </c>
      <c r="M1670" s="7">
        <f t="shared" si="118"/>
        <v>0.128</v>
      </c>
      <c r="N1670" s="7">
        <f t="shared" si="114"/>
        <v>3.6523049589632075</v>
      </c>
    </row>
    <row r="1671" spans="1:14" ht="15.6" x14ac:dyDescent="0.3">
      <c r="A1671" s="18" t="s">
        <v>1743</v>
      </c>
      <c r="B1671" s="7">
        <v>19</v>
      </c>
      <c r="C1671" s="7">
        <v>49</v>
      </c>
      <c r="D1671" s="18" t="s">
        <v>2316</v>
      </c>
      <c r="E1671" s="18">
        <v>30700000</v>
      </c>
      <c r="F1671" s="7">
        <f t="shared" si="119"/>
        <v>8110085.8295402611</v>
      </c>
      <c r="G1671" s="7">
        <v>284229</v>
      </c>
      <c r="H1671" s="10" t="s">
        <v>1838</v>
      </c>
      <c r="I1671" s="18" t="s">
        <v>2317</v>
      </c>
      <c r="J1671" s="18" t="s">
        <v>1807</v>
      </c>
      <c r="K1671" s="3">
        <v>218</v>
      </c>
      <c r="L1671" s="7" t="s">
        <v>2246</v>
      </c>
      <c r="M1671" s="7">
        <f t="shared" si="118"/>
        <v>0.218</v>
      </c>
      <c r="N1671" s="7">
        <f t="shared" si="114"/>
        <v>6.2203318832342127</v>
      </c>
    </row>
    <row r="1672" spans="1:14" ht="15.6" x14ac:dyDescent="0.3">
      <c r="A1672" s="18" t="s">
        <v>1745</v>
      </c>
      <c r="B1672" s="7">
        <v>19</v>
      </c>
      <c r="C1672" s="7">
        <v>49</v>
      </c>
      <c r="D1672" s="18" t="s">
        <v>2316</v>
      </c>
      <c r="E1672" s="18">
        <v>30700000</v>
      </c>
      <c r="F1672" s="7">
        <f t="shared" si="119"/>
        <v>8110085.8295402611</v>
      </c>
      <c r="G1672" s="7">
        <v>284229</v>
      </c>
      <c r="H1672" s="10" t="s">
        <v>1838</v>
      </c>
      <c r="I1672" s="18" t="s">
        <v>2317</v>
      </c>
      <c r="J1672" s="18" t="s">
        <v>1807</v>
      </c>
      <c r="K1672" s="3">
        <v>1010</v>
      </c>
      <c r="L1672" s="7" t="s">
        <v>2246</v>
      </c>
      <c r="M1672" s="7">
        <f t="shared" si="118"/>
        <v>1.01</v>
      </c>
      <c r="N1672" s="7">
        <f t="shared" si="114"/>
        <v>28.818968816819055</v>
      </c>
    </row>
    <row r="1673" spans="1:14" ht="15.6" x14ac:dyDescent="0.3">
      <c r="A1673" s="18" t="s">
        <v>1719</v>
      </c>
      <c r="B1673" s="7">
        <v>19</v>
      </c>
      <c r="C1673" s="7">
        <v>49</v>
      </c>
      <c r="D1673" s="18" t="s">
        <v>2316</v>
      </c>
      <c r="E1673" s="18">
        <v>30700000</v>
      </c>
      <c r="F1673" s="7">
        <f t="shared" si="119"/>
        <v>8110085.8295402611</v>
      </c>
      <c r="G1673" s="7">
        <v>284229</v>
      </c>
      <c r="H1673" s="10" t="s">
        <v>1838</v>
      </c>
      <c r="I1673" s="18" t="s">
        <v>2317</v>
      </c>
      <c r="J1673" s="18" t="s">
        <v>1807</v>
      </c>
      <c r="K1673" s="3">
        <v>433</v>
      </c>
      <c r="L1673" s="7" t="s">
        <v>2246</v>
      </c>
      <c r="M1673" s="7">
        <f t="shared" si="118"/>
        <v>0.433</v>
      </c>
      <c r="N1673" s="7">
        <f t="shared" si="114"/>
        <v>12.355062868992725</v>
      </c>
    </row>
    <row r="1674" spans="1:14" ht="15.6" x14ac:dyDescent="0.3">
      <c r="A1674" s="18" t="s">
        <v>1746</v>
      </c>
      <c r="B1674" s="7">
        <v>19</v>
      </c>
      <c r="C1674" s="7">
        <v>49</v>
      </c>
      <c r="D1674" s="18" t="s">
        <v>2316</v>
      </c>
      <c r="E1674" s="18">
        <v>30700000</v>
      </c>
      <c r="F1674" s="7">
        <f t="shared" si="119"/>
        <v>8110085.8295402611</v>
      </c>
      <c r="G1674" s="7">
        <v>284229</v>
      </c>
      <c r="H1674" s="10" t="s">
        <v>1838</v>
      </c>
      <c r="I1674" s="18" t="s">
        <v>2317</v>
      </c>
      <c r="J1674" s="18" t="s">
        <v>1807</v>
      </c>
      <c r="K1674" s="3">
        <v>672</v>
      </c>
      <c r="L1674" s="7" t="s">
        <v>2246</v>
      </c>
      <c r="M1674" s="7">
        <f t="shared" si="118"/>
        <v>0.67200000000000004</v>
      </c>
      <c r="N1674" s="7">
        <f t="shared" si="114"/>
        <v>19.174601034556837</v>
      </c>
    </row>
    <row r="1675" spans="1:14" ht="15.6" x14ac:dyDescent="0.3">
      <c r="A1675" s="18" t="s">
        <v>1733</v>
      </c>
      <c r="B1675" s="7">
        <v>20</v>
      </c>
      <c r="C1675" s="7">
        <v>50</v>
      </c>
      <c r="D1675" s="18" t="s">
        <v>2318</v>
      </c>
      <c r="E1675" s="18">
        <v>34300000</v>
      </c>
      <c r="F1675" s="7">
        <f t="shared" si="119"/>
        <v>9061105.6662290208</v>
      </c>
      <c r="G1675" s="7">
        <f>F1675/310.404</f>
        <v>29191.33022199785</v>
      </c>
      <c r="H1675" s="10" t="s">
        <v>2319</v>
      </c>
      <c r="I1675" s="18" t="s">
        <v>1813</v>
      </c>
      <c r="J1675" s="18" t="s">
        <v>1807</v>
      </c>
      <c r="K1675" s="3">
        <v>174.6</v>
      </c>
      <c r="L1675" s="7" t="s">
        <v>2246</v>
      </c>
      <c r="M1675" s="7">
        <f t="shared" si="118"/>
        <v>0.17460000000000001</v>
      </c>
      <c r="N1675" s="7">
        <f t="shared" si="114"/>
        <v>54.196538400000001</v>
      </c>
    </row>
    <row r="1676" spans="1:14" ht="15.6" x14ac:dyDescent="0.3">
      <c r="A1676" s="18" t="s">
        <v>1746</v>
      </c>
      <c r="B1676" s="7">
        <v>20</v>
      </c>
      <c r="C1676" s="7">
        <v>50</v>
      </c>
      <c r="D1676" s="18" t="s">
        <v>2318</v>
      </c>
      <c r="E1676" s="18">
        <v>34300000</v>
      </c>
      <c r="F1676" s="7">
        <f t="shared" si="119"/>
        <v>9061105.6662290208</v>
      </c>
      <c r="G1676" s="7">
        <f t="shared" ref="G1676:G1686" si="120">F1676/310.404</f>
        <v>29191.33022199785</v>
      </c>
      <c r="H1676" s="10" t="s">
        <v>2319</v>
      </c>
      <c r="I1676" s="18" t="s">
        <v>1813</v>
      </c>
      <c r="J1676" s="18" t="s">
        <v>1807</v>
      </c>
      <c r="K1676" s="3">
        <v>438.6</v>
      </c>
      <c r="L1676" s="7" t="s">
        <v>2246</v>
      </c>
      <c r="M1676" s="7">
        <f t="shared" si="118"/>
        <v>0.43860000000000005</v>
      </c>
      <c r="N1676" s="7">
        <f t="shared" si="114"/>
        <v>136.14319440000003</v>
      </c>
    </row>
    <row r="1677" spans="1:14" ht="15.6" x14ac:dyDescent="0.3">
      <c r="A1677" s="18" t="s">
        <v>1745</v>
      </c>
      <c r="B1677" s="7">
        <v>20</v>
      </c>
      <c r="C1677" s="7">
        <v>50</v>
      </c>
      <c r="D1677" s="18" t="s">
        <v>2318</v>
      </c>
      <c r="E1677" s="18">
        <v>34300000</v>
      </c>
      <c r="F1677" s="7">
        <f t="shared" si="119"/>
        <v>9061105.6662290208</v>
      </c>
      <c r="G1677" s="7">
        <f t="shared" si="120"/>
        <v>29191.33022199785</v>
      </c>
      <c r="H1677" s="10" t="s">
        <v>2319</v>
      </c>
      <c r="I1677" s="18" t="s">
        <v>1813</v>
      </c>
      <c r="J1677" s="18" t="s">
        <v>1807</v>
      </c>
      <c r="K1677" s="3" t="s">
        <v>1716</v>
      </c>
      <c r="L1677" s="7" t="s">
        <v>2246</v>
      </c>
      <c r="M1677" s="7" t="str">
        <f t="shared" si="118"/>
        <v>ND</v>
      </c>
      <c r="N1677" s="7" t="str">
        <f t="shared" si="114"/>
        <v>ND</v>
      </c>
    </row>
    <row r="1678" spans="1:14" ht="15.6" x14ac:dyDescent="0.3">
      <c r="A1678" s="18" t="s">
        <v>1731</v>
      </c>
      <c r="B1678" s="7">
        <v>20</v>
      </c>
      <c r="C1678" s="7">
        <v>50</v>
      </c>
      <c r="D1678" s="18" t="s">
        <v>2318</v>
      </c>
      <c r="E1678" s="18">
        <v>34300000</v>
      </c>
      <c r="F1678" s="7">
        <f t="shared" si="119"/>
        <v>9061105.6662290208</v>
      </c>
      <c r="G1678" s="7">
        <f t="shared" si="120"/>
        <v>29191.33022199785</v>
      </c>
      <c r="H1678" s="10" t="s">
        <v>2319</v>
      </c>
      <c r="I1678" s="18" t="s">
        <v>1813</v>
      </c>
      <c r="J1678" s="18" t="s">
        <v>1807</v>
      </c>
      <c r="K1678" s="3" t="s">
        <v>1716</v>
      </c>
      <c r="L1678" s="7" t="s">
        <v>2246</v>
      </c>
      <c r="M1678" s="7" t="str">
        <f t="shared" si="118"/>
        <v>ND</v>
      </c>
      <c r="N1678" s="7" t="str">
        <f t="shared" si="114"/>
        <v>ND</v>
      </c>
    </row>
    <row r="1679" spans="1:14" ht="15.6" x14ac:dyDescent="0.3">
      <c r="A1679" s="18" t="s">
        <v>1736</v>
      </c>
      <c r="B1679" s="7">
        <v>20</v>
      </c>
      <c r="C1679" s="7">
        <v>50</v>
      </c>
      <c r="D1679" s="18" t="s">
        <v>2318</v>
      </c>
      <c r="E1679" s="18">
        <v>34300000</v>
      </c>
      <c r="F1679" s="7">
        <f t="shared" si="119"/>
        <v>9061105.6662290208</v>
      </c>
      <c r="G1679" s="7">
        <f t="shared" si="120"/>
        <v>29191.33022199785</v>
      </c>
      <c r="H1679" s="10" t="s">
        <v>2319</v>
      </c>
      <c r="I1679" s="18" t="s">
        <v>1813</v>
      </c>
      <c r="J1679" s="18" t="s">
        <v>1807</v>
      </c>
      <c r="K1679" s="3" t="s">
        <v>1716</v>
      </c>
      <c r="L1679" s="7" t="s">
        <v>2246</v>
      </c>
      <c r="M1679" s="7" t="str">
        <f t="shared" si="118"/>
        <v>ND</v>
      </c>
      <c r="N1679" s="7" t="str">
        <f t="shared" si="114"/>
        <v>ND</v>
      </c>
    </row>
    <row r="1680" spans="1:14" ht="15.6" x14ac:dyDescent="0.3">
      <c r="A1680" s="18" t="s">
        <v>1734</v>
      </c>
      <c r="B1680" s="7">
        <v>20</v>
      </c>
      <c r="C1680" s="7">
        <v>50</v>
      </c>
      <c r="D1680" s="18" t="s">
        <v>2318</v>
      </c>
      <c r="E1680" s="18">
        <v>34300000</v>
      </c>
      <c r="F1680" s="7">
        <f t="shared" si="119"/>
        <v>9061105.6662290208</v>
      </c>
      <c r="G1680" s="7">
        <f t="shared" si="120"/>
        <v>29191.33022199785</v>
      </c>
      <c r="H1680" s="10" t="s">
        <v>2319</v>
      </c>
      <c r="I1680" s="18" t="s">
        <v>1813</v>
      </c>
      <c r="J1680" s="18" t="s">
        <v>1807</v>
      </c>
      <c r="K1680" s="3">
        <v>1090.2</v>
      </c>
      <c r="L1680" s="7" t="s">
        <v>2246</v>
      </c>
      <c r="M1680" s="7">
        <f t="shared" si="118"/>
        <v>1.0902000000000001</v>
      </c>
      <c r="N1680" s="7">
        <f t="shared" si="114"/>
        <v>338.40244079999997</v>
      </c>
    </row>
    <row r="1681" spans="1:14" ht="15.6" x14ac:dyDescent="0.3">
      <c r="A1681" s="18" t="s">
        <v>1733</v>
      </c>
      <c r="B1681" s="7">
        <v>20</v>
      </c>
      <c r="C1681" s="7">
        <v>50</v>
      </c>
      <c r="D1681" s="18" t="s">
        <v>2318</v>
      </c>
      <c r="E1681" s="18">
        <v>34300000</v>
      </c>
      <c r="F1681" s="7">
        <f t="shared" si="119"/>
        <v>9061105.6662290208</v>
      </c>
      <c r="G1681" s="7">
        <f t="shared" si="120"/>
        <v>29191.33022199785</v>
      </c>
      <c r="H1681" s="10" t="s">
        <v>2319</v>
      </c>
      <c r="I1681" s="18" t="s">
        <v>1813</v>
      </c>
      <c r="J1681" s="18" t="s">
        <v>1807</v>
      </c>
      <c r="K1681" s="3">
        <v>82.2</v>
      </c>
      <c r="L1681" s="7" t="s">
        <v>2246</v>
      </c>
      <c r="M1681" s="7">
        <f t="shared" si="118"/>
        <v>8.2200000000000009E-2</v>
      </c>
      <c r="N1681" s="7">
        <f t="shared" si="114"/>
        <v>25.515208800000003</v>
      </c>
    </row>
    <row r="1682" spans="1:14" ht="15.6" x14ac:dyDescent="0.3">
      <c r="A1682" s="18" t="s">
        <v>1746</v>
      </c>
      <c r="B1682" s="7">
        <v>20</v>
      </c>
      <c r="C1682" s="7">
        <v>50</v>
      </c>
      <c r="D1682" s="18" t="s">
        <v>2318</v>
      </c>
      <c r="E1682" s="18">
        <v>34300000</v>
      </c>
      <c r="F1682" s="7">
        <f t="shared" si="119"/>
        <v>9061105.6662290208</v>
      </c>
      <c r="G1682" s="7">
        <f t="shared" si="120"/>
        <v>29191.33022199785</v>
      </c>
      <c r="H1682" s="10" t="s">
        <v>2319</v>
      </c>
      <c r="I1682" s="18" t="s">
        <v>1813</v>
      </c>
      <c r="J1682" s="18" t="s">
        <v>1807</v>
      </c>
      <c r="K1682" s="3">
        <v>137.19999999999999</v>
      </c>
      <c r="L1682" s="7" t="s">
        <v>2246</v>
      </c>
      <c r="M1682" s="7">
        <f t="shared" si="118"/>
        <v>0.13719999999999999</v>
      </c>
      <c r="N1682" s="7">
        <f t="shared" si="114"/>
        <v>42.587428799999998</v>
      </c>
    </row>
    <row r="1683" spans="1:14" ht="15.6" x14ac:dyDescent="0.3">
      <c r="A1683" s="18" t="s">
        <v>1745</v>
      </c>
      <c r="B1683" s="7">
        <v>20</v>
      </c>
      <c r="C1683" s="7">
        <v>50</v>
      </c>
      <c r="D1683" s="18" t="s">
        <v>2318</v>
      </c>
      <c r="E1683" s="18">
        <v>34300000</v>
      </c>
      <c r="F1683" s="7">
        <f t="shared" si="119"/>
        <v>9061105.6662290208</v>
      </c>
      <c r="G1683" s="7">
        <f t="shared" si="120"/>
        <v>29191.33022199785</v>
      </c>
      <c r="H1683" s="10" t="s">
        <v>2319</v>
      </c>
      <c r="I1683" s="18" t="s">
        <v>1813</v>
      </c>
      <c r="J1683" s="18" t="s">
        <v>1807</v>
      </c>
      <c r="K1683" s="3">
        <v>1941.3</v>
      </c>
      <c r="L1683" s="7" t="s">
        <v>2246</v>
      </c>
      <c r="M1683" s="7">
        <f t="shared" si="118"/>
        <v>1.9413</v>
      </c>
      <c r="N1683" s="7">
        <f t="shared" si="114"/>
        <v>602.5872852</v>
      </c>
    </row>
    <row r="1684" spans="1:14" ht="15.6" x14ac:dyDescent="0.3">
      <c r="A1684" s="18" t="s">
        <v>1731</v>
      </c>
      <c r="B1684" s="7">
        <v>20</v>
      </c>
      <c r="C1684" s="7">
        <v>50</v>
      </c>
      <c r="D1684" s="18" t="s">
        <v>2318</v>
      </c>
      <c r="E1684" s="18">
        <v>34300000</v>
      </c>
      <c r="F1684" s="7">
        <f t="shared" si="119"/>
        <v>9061105.6662290208</v>
      </c>
      <c r="G1684" s="7">
        <f t="shared" si="120"/>
        <v>29191.33022199785</v>
      </c>
      <c r="H1684" s="10" t="s">
        <v>2319</v>
      </c>
      <c r="I1684" s="18" t="s">
        <v>1813</v>
      </c>
      <c r="J1684" s="18" t="s">
        <v>1807</v>
      </c>
      <c r="K1684" s="3">
        <v>212.2</v>
      </c>
      <c r="L1684" s="7" t="s">
        <v>2246</v>
      </c>
      <c r="M1684" s="7">
        <f t="shared" si="118"/>
        <v>0.2122</v>
      </c>
      <c r="N1684" s="7">
        <f t="shared" si="114"/>
        <v>65.867728799999995</v>
      </c>
    </row>
    <row r="1685" spans="1:14" ht="15.6" x14ac:dyDescent="0.3">
      <c r="A1685" s="18" t="s">
        <v>1736</v>
      </c>
      <c r="B1685" s="7">
        <v>20</v>
      </c>
      <c r="C1685" s="7">
        <v>50</v>
      </c>
      <c r="D1685" s="18" t="s">
        <v>2318</v>
      </c>
      <c r="E1685" s="18">
        <v>34300000</v>
      </c>
      <c r="F1685" s="7">
        <f t="shared" si="119"/>
        <v>9061105.6662290208</v>
      </c>
      <c r="G1685" s="7">
        <f t="shared" si="120"/>
        <v>29191.33022199785</v>
      </c>
      <c r="H1685" s="10" t="s">
        <v>2319</v>
      </c>
      <c r="I1685" s="18" t="s">
        <v>1813</v>
      </c>
      <c r="J1685" s="18" t="s">
        <v>1807</v>
      </c>
      <c r="K1685" s="3">
        <v>387.3</v>
      </c>
      <c r="L1685" s="7" t="s">
        <v>2246</v>
      </c>
      <c r="M1685" s="7">
        <f t="shared" si="118"/>
        <v>0.38730000000000003</v>
      </c>
      <c r="N1685" s="7">
        <f t="shared" si="114"/>
        <v>120.21946920000001</v>
      </c>
    </row>
    <row r="1686" spans="1:14" ht="15.6" x14ac:dyDescent="0.3">
      <c r="A1686" s="18" t="s">
        <v>1734</v>
      </c>
      <c r="B1686" s="7">
        <v>20</v>
      </c>
      <c r="C1686" s="7">
        <v>50</v>
      </c>
      <c r="D1686" s="18" t="s">
        <v>2318</v>
      </c>
      <c r="E1686" s="18">
        <v>34300000</v>
      </c>
      <c r="F1686" s="7">
        <f t="shared" si="119"/>
        <v>9061105.6662290208</v>
      </c>
      <c r="G1686" s="7">
        <f t="shared" si="120"/>
        <v>29191.33022199785</v>
      </c>
      <c r="H1686" s="10" t="s">
        <v>2319</v>
      </c>
      <c r="I1686" s="18" t="s">
        <v>1813</v>
      </c>
      <c r="J1686" s="18" t="s">
        <v>1807</v>
      </c>
      <c r="K1686" s="3">
        <v>514.79999999999995</v>
      </c>
      <c r="L1686" s="7" t="s">
        <v>2246</v>
      </c>
      <c r="M1686" s="7">
        <f t="shared" si="118"/>
        <v>0.51479999999999992</v>
      </c>
      <c r="N1686" s="7">
        <f t="shared" si="114"/>
        <v>159.79597919999998</v>
      </c>
    </row>
    <row r="1687" spans="1:14" ht="15.6" x14ac:dyDescent="0.3">
      <c r="A1687" s="18" t="s">
        <v>1726</v>
      </c>
      <c r="B1687" s="7">
        <v>21</v>
      </c>
      <c r="C1687" s="7">
        <v>32</v>
      </c>
      <c r="D1687" s="18" t="s">
        <v>2292</v>
      </c>
      <c r="E1687" s="18">
        <v>27200000</v>
      </c>
      <c r="F1687" s="7">
        <f t="shared" si="119"/>
        <v>7185483.2105372995</v>
      </c>
      <c r="G1687" s="7">
        <v>190000</v>
      </c>
      <c r="H1687" s="7" t="s">
        <v>1830</v>
      </c>
      <c r="I1687" s="18" t="s">
        <v>1831</v>
      </c>
      <c r="J1687" s="18" t="s">
        <v>1802</v>
      </c>
      <c r="K1687" s="3">
        <v>284</v>
      </c>
      <c r="L1687" s="7" t="s">
        <v>2246</v>
      </c>
      <c r="M1687" s="7">
        <f t="shared" si="118"/>
        <v>0.28399999999999997</v>
      </c>
      <c r="N1687" s="7">
        <f t="shared" si="114"/>
        <v>10.74040648311891</v>
      </c>
    </row>
    <row r="1688" spans="1:14" ht="15.6" x14ac:dyDescent="0.3">
      <c r="A1688" s="18" t="s">
        <v>1726</v>
      </c>
      <c r="B1688" s="7">
        <v>21</v>
      </c>
      <c r="C1688" s="7">
        <v>33</v>
      </c>
      <c r="D1688" s="18" t="s">
        <v>2293</v>
      </c>
      <c r="E1688" s="18">
        <v>21000000</v>
      </c>
      <c r="F1688" s="7">
        <f t="shared" si="119"/>
        <v>5547615.7140177684</v>
      </c>
      <c r="G1688" s="7">
        <v>150000</v>
      </c>
      <c r="H1688" s="7" t="s">
        <v>1830</v>
      </c>
      <c r="I1688" s="18" t="s">
        <v>1831</v>
      </c>
      <c r="J1688" s="18" t="s">
        <v>1802</v>
      </c>
      <c r="K1688" s="3">
        <v>260</v>
      </c>
      <c r="L1688" s="7" t="s">
        <v>2246</v>
      </c>
      <c r="M1688" s="7">
        <f t="shared" si="118"/>
        <v>0.26</v>
      </c>
      <c r="N1688" s="7">
        <f t="shared" si="114"/>
        <v>9.6158672376307983</v>
      </c>
    </row>
    <row r="1689" spans="1:14" ht="15.6" x14ac:dyDescent="0.3">
      <c r="A1689" s="18" t="s">
        <v>1791</v>
      </c>
      <c r="B1689" s="7">
        <v>21</v>
      </c>
      <c r="C1689" s="7">
        <v>32</v>
      </c>
      <c r="D1689" s="18" t="s">
        <v>2292</v>
      </c>
      <c r="E1689" s="18">
        <v>27200000</v>
      </c>
      <c r="F1689" s="7">
        <f t="shared" si="119"/>
        <v>7185483.2105372995</v>
      </c>
      <c r="G1689" s="7">
        <v>190000</v>
      </c>
      <c r="H1689" s="7" t="s">
        <v>1830</v>
      </c>
      <c r="I1689" s="18" t="s">
        <v>1831</v>
      </c>
      <c r="J1689" s="18" t="s">
        <v>1802</v>
      </c>
      <c r="K1689" s="3">
        <v>7.84</v>
      </c>
      <c r="L1689" s="7" t="s">
        <v>2246</v>
      </c>
      <c r="M1689" s="7">
        <f t="shared" si="118"/>
        <v>7.8399999999999997E-3</v>
      </c>
      <c r="N1689" s="7">
        <f t="shared" si="114"/>
        <v>0.29649572826638121</v>
      </c>
    </row>
    <row r="1690" spans="1:14" ht="15.6" x14ac:dyDescent="0.3">
      <c r="A1690" s="18" t="s">
        <v>1791</v>
      </c>
      <c r="B1690" s="7">
        <v>21</v>
      </c>
      <c r="C1690" s="7">
        <v>33</v>
      </c>
      <c r="D1690" s="18" t="s">
        <v>2293</v>
      </c>
      <c r="E1690" s="18">
        <v>21000000</v>
      </c>
      <c r="F1690" s="7">
        <f t="shared" si="119"/>
        <v>5547615.7140177684</v>
      </c>
      <c r="G1690" s="7">
        <v>150000</v>
      </c>
      <c r="H1690" s="7" t="s">
        <v>1830</v>
      </c>
      <c r="I1690" s="18" t="s">
        <v>1831</v>
      </c>
      <c r="J1690" s="18" t="s">
        <v>1802</v>
      </c>
      <c r="K1690" s="3">
        <v>8.4700000000000006</v>
      </c>
      <c r="L1690" s="7" t="s">
        <v>2246</v>
      </c>
      <c r="M1690" s="7">
        <f t="shared" si="118"/>
        <v>8.4700000000000001E-3</v>
      </c>
      <c r="N1690" s="7">
        <f t="shared" si="114"/>
        <v>0.3132553673182033</v>
      </c>
    </row>
    <row r="1691" spans="1:14" ht="15.6" x14ac:dyDescent="0.3">
      <c r="A1691" s="18" t="s">
        <v>1714</v>
      </c>
      <c r="B1691" s="7">
        <v>21</v>
      </c>
      <c r="C1691" s="7">
        <v>32</v>
      </c>
      <c r="D1691" s="18" t="s">
        <v>2292</v>
      </c>
      <c r="E1691" s="18">
        <v>27200000</v>
      </c>
      <c r="F1691" s="7">
        <f t="shared" si="119"/>
        <v>7185483.2105372995</v>
      </c>
      <c r="G1691" s="7">
        <v>190000</v>
      </c>
      <c r="H1691" s="7" t="s">
        <v>1830</v>
      </c>
      <c r="I1691" s="18" t="s">
        <v>1831</v>
      </c>
      <c r="J1691" s="18" t="s">
        <v>1802</v>
      </c>
      <c r="K1691" s="3">
        <v>387</v>
      </c>
      <c r="L1691" s="7" t="s">
        <v>2246</v>
      </c>
      <c r="M1691" s="7">
        <f t="shared" si="118"/>
        <v>0.38700000000000001</v>
      </c>
      <c r="N1691" s="7">
        <f t="shared" si="114"/>
        <v>14.635694749883868</v>
      </c>
    </row>
    <row r="1692" spans="1:14" ht="15.6" x14ac:dyDescent="0.3">
      <c r="A1692" s="18" t="s">
        <v>1714</v>
      </c>
      <c r="B1692" s="7">
        <v>21</v>
      </c>
      <c r="C1692" s="7">
        <v>33</v>
      </c>
      <c r="D1692" s="18" t="s">
        <v>2293</v>
      </c>
      <c r="E1692" s="18">
        <v>21000000</v>
      </c>
      <c r="F1692" s="7">
        <f t="shared" si="119"/>
        <v>5547615.7140177684</v>
      </c>
      <c r="G1692" s="7">
        <v>150000</v>
      </c>
      <c r="H1692" s="7" t="s">
        <v>1830</v>
      </c>
      <c r="I1692" s="18" t="s">
        <v>1831</v>
      </c>
      <c r="J1692" s="18" t="s">
        <v>1802</v>
      </c>
      <c r="K1692" s="3">
        <v>303</v>
      </c>
      <c r="L1692" s="7" t="s">
        <v>2246</v>
      </c>
      <c r="M1692" s="7">
        <f t="shared" si="118"/>
        <v>0.30299999999999999</v>
      </c>
      <c r="N1692" s="7">
        <f t="shared" si="114"/>
        <v>11.206183742315892</v>
      </c>
    </row>
    <row r="1693" spans="1:14" ht="15.6" x14ac:dyDescent="0.3">
      <c r="A1693" s="18" t="s">
        <v>1713</v>
      </c>
      <c r="B1693" s="7">
        <v>21</v>
      </c>
      <c r="C1693" s="7">
        <v>32</v>
      </c>
      <c r="D1693" s="18" t="s">
        <v>2292</v>
      </c>
      <c r="E1693" s="18">
        <v>27200000</v>
      </c>
      <c r="F1693" s="7">
        <f t="shared" si="119"/>
        <v>7185483.2105372995</v>
      </c>
      <c r="G1693" s="7">
        <v>190000</v>
      </c>
      <c r="H1693" s="7" t="s">
        <v>1830</v>
      </c>
      <c r="I1693" s="18" t="s">
        <v>1831</v>
      </c>
      <c r="J1693" s="18" t="s">
        <v>1802</v>
      </c>
      <c r="K1693" s="3">
        <v>51.8</v>
      </c>
      <c r="L1693" s="7" t="s">
        <v>2246</v>
      </c>
      <c r="M1693" s="7">
        <f t="shared" si="118"/>
        <v>5.1799999999999999E-2</v>
      </c>
      <c r="N1693" s="7">
        <f t="shared" si="114"/>
        <v>1.9589896331885901</v>
      </c>
    </row>
    <row r="1694" spans="1:14" ht="15.6" x14ac:dyDescent="0.3">
      <c r="A1694" s="18" t="s">
        <v>1713</v>
      </c>
      <c r="B1694" s="7">
        <v>21</v>
      </c>
      <c r="C1694" s="7">
        <v>33</v>
      </c>
      <c r="D1694" s="18" t="s">
        <v>2293</v>
      </c>
      <c r="E1694" s="18">
        <v>21000000</v>
      </c>
      <c r="F1694" s="7">
        <f t="shared" si="119"/>
        <v>5547615.7140177684</v>
      </c>
      <c r="G1694" s="7">
        <v>150000</v>
      </c>
      <c r="H1694" s="7" t="s">
        <v>1830</v>
      </c>
      <c r="I1694" s="18" t="s">
        <v>1831</v>
      </c>
      <c r="J1694" s="18" t="s">
        <v>1802</v>
      </c>
      <c r="K1694" s="3">
        <v>57.2</v>
      </c>
      <c r="L1694" s="7" t="s">
        <v>2246</v>
      </c>
      <c r="M1694" s="7">
        <f t="shared" si="118"/>
        <v>5.7200000000000001E-2</v>
      </c>
      <c r="N1694" s="7">
        <f t="shared" si="114"/>
        <v>2.1154907922787758</v>
      </c>
    </row>
    <row r="1695" spans="1:14" ht="15.6" x14ac:dyDescent="0.3">
      <c r="A1695" s="18" t="s">
        <v>1718</v>
      </c>
      <c r="B1695" s="7">
        <v>21</v>
      </c>
      <c r="C1695" s="7">
        <v>32</v>
      </c>
      <c r="D1695" s="18" t="s">
        <v>2292</v>
      </c>
      <c r="E1695" s="18">
        <v>27200000</v>
      </c>
      <c r="F1695" s="7">
        <f t="shared" si="119"/>
        <v>7185483.2105372995</v>
      </c>
      <c r="G1695" s="7">
        <v>190000</v>
      </c>
      <c r="H1695" s="7" t="s">
        <v>1830</v>
      </c>
      <c r="I1695" s="18" t="s">
        <v>1831</v>
      </c>
      <c r="J1695" s="18" t="s">
        <v>1802</v>
      </c>
      <c r="K1695" s="3">
        <v>118</v>
      </c>
      <c r="L1695" s="7" t="s">
        <v>2246</v>
      </c>
      <c r="M1695" s="7">
        <f t="shared" si="118"/>
        <v>0.11799999999999999</v>
      </c>
      <c r="N1695" s="7">
        <f t="shared" si="114"/>
        <v>4.4625632570705331</v>
      </c>
    </row>
    <row r="1696" spans="1:14" ht="15.6" x14ac:dyDescent="0.3">
      <c r="A1696" s="18" t="s">
        <v>1718</v>
      </c>
      <c r="B1696" s="7">
        <v>21</v>
      </c>
      <c r="C1696" s="7">
        <v>33</v>
      </c>
      <c r="D1696" s="18" t="s">
        <v>2293</v>
      </c>
      <c r="E1696" s="18">
        <v>21000000</v>
      </c>
      <c r="F1696" s="7">
        <f t="shared" si="119"/>
        <v>5547615.7140177684</v>
      </c>
      <c r="G1696" s="7">
        <v>150000</v>
      </c>
      <c r="H1696" s="7" t="s">
        <v>1830</v>
      </c>
      <c r="I1696" s="18" t="s">
        <v>1831</v>
      </c>
      <c r="J1696" s="18" t="s">
        <v>1802</v>
      </c>
      <c r="K1696" s="3">
        <v>102</v>
      </c>
      <c r="L1696" s="7" t="s">
        <v>2246</v>
      </c>
      <c r="M1696" s="7">
        <f t="shared" si="118"/>
        <v>0.10199999999999999</v>
      </c>
      <c r="N1696" s="7">
        <f t="shared" ref="N1696:N1759" si="121">IFERROR((M1696*F1696)/G1696,"ND")</f>
        <v>3.7723786855320824</v>
      </c>
    </row>
    <row r="1697" spans="1:14" ht="15.6" x14ac:dyDescent="0.3">
      <c r="A1697" s="18" t="s">
        <v>1715</v>
      </c>
      <c r="B1697" s="7">
        <v>21</v>
      </c>
      <c r="C1697" s="7">
        <v>32</v>
      </c>
      <c r="D1697" s="18" t="s">
        <v>2292</v>
      </c>
      <c r="E1697" s="18">
        <v>27200000</v>
      </c>
      <c r="F1697" s="7">
        <f t="shared" si="119"/>
        <v>7185483.2105372995</v>
      </c>
      <c r="G1697" s="7">
        <v>190000</v>
      </c>
      <c r="H1697" s="7" t="s">
        <v>1830</v>
      </c>
      <c r="I1697" s="18" t="s">
        <v>1831</v>
      </c>
      <c r="J1697" s="18" t="s">
        <v>1802</v>
      </c>
      <c r="K1697" s="3">
        <v>64.599999999999994</v>
      </c>
      <c r="L1697" s="7" t="s">
        <v>2246</v>
      </c>
      <c r="M1697" s="7">
        <f t="shared" si="118"/>
        <v>6.4599999999999991E-2</v>
      </c>
      <c r="N1697" s="7">
        <f t="shared" si="121"/>
        <v>2.4430642915826817</v>
      </c>
    </row>
    <row r="1698" spans="1:14" ht="15.6" x14ac:dyDescent="0.3">
      <c r="A1698" s="18" t="s">
        <v>1715</v>
      </c>
      <c r="B1698" s="7">
        <v>21</v>
      </c>
      <c r="C1698" s="7">
        <v>33</v>
      </c>
      <c r="D1698" s="18" t="s">
        <v>2293</v>
      </c>
      <c r="E1698" s="18">
        <v>21000000</v>
      </c>
      <c r="F1698" s="7">
        <f t="shared" si="119"/>
        <v>5547615.7140177684</v>
      </c>
      <c r="G1698" s="7">
        <v>150000</v>
      </c>
      <c r="H1698" s="7" t="s">
        <v>1830</v>
      </c>
      <c r="I1698" s="18" t="s">
        <v>1831</v>
      </c>
      <c r="J1698" s="18" t="s">
        <v>1802</v>
      </c>
      <c r="K1698" s="3">
        <v>55.4</v>
      </c>
      <c r="L1698" s="7" t="s">
        <v>2246</v>
      </c>
      <c r="M1698" s="7">
        <f t="shared" si="118"/>
        <v>5.5399999999999998E-2</v>
      </c>
      <c r="N1698" s="7">
        <f t="shared" si="121"/>
        <v>2.0489194037105625</v>
      </c>
    </row>
    <row r="1699" spans="1:14" ht="15.6" x14ac:dyDescent="0.3">
      <c r="A1699" s="18" t="s">
        <v>1717</v>
      </c>
      <c r="B1699" s="7">
        <v>21</v>
      </c>
      <c r="C1699" s="7">
        <v>32</v>
      </c>
      <c r="D1699" s="18" t="s">
        <v>2292</v>
      </c>
      <c r="E1699" s="18">
        <v>27200000</v>
      </c>
      <c r="F1699" s="7">
        <f t="shared" si="119"/>
        <v>7185483.2105372995</v>
      </c>
      <c r="G1699" s="7">
        <v>190000</v>
      </c>
      <c r="H1699" s="7" t="s">
        <v>1830</v>
      </c>
      <c r="I1699" s="18" t="s">
        <v>1831</v>
      </c>
      <c r="J1699" s="18" t="s">
        <v>1802</v>
      </c>
      <c r="K1699" s="3">
        <v>27</v>
      </c>
      <c r="L1699" s="7" t="s">
        <v>2246</v>
      </c>
      <c r="M1699" s="7">
        <f t="shared" si="118"/>
        <v>2.7E-2</v>
      </c>
      <c r="N1699" s="7">
        <f t="shared" si="121"/>
        <v>1.0210949825500373</v>
      </c>
    </row>
    <row r="1700" spans="1:14" ht="15.6" x14ac:dyDescent="0.3">
      <c r="A1700" s="18" t="s">
        <v>1717</v>
      </c>
      <c r="B1700" s="7">
        <v>21</v>
      </c>
      <c r="C1700" s="7">
        <v>33</v>
      </c>
      <c r="D1700" s="18" t="s">
        <v>2293</v>
      </c>
      <c r="E1700" s="18">
        <v>21000000</v>
      </c>
      <c r="F1700" s="7">
        <f t="shared" si="119"/>
        <v>5547615.7140177684</v>
      </c>
      <c r="G1700" s="7">
        <v>150000</v>
      </c>
      <c r="H1700" s="7" t="s">
        <v>1830</v>
      </c>
      <c r="I1700" s="18" t="s">
        <v>1831</v>
      </c>
      <c r="J1700" s="18" t="s">
        <v>1802</v>
      </c>
      <c r="K1700" s="3">
        <v>17.100000000000001</v>
      </c>
      <c r="L1700" s="7" t="s">
        <v>2246</v>
      </c>
      <c r="M1700" s="7">
        <f t="shared" si="118"/>
        <v>1.7100000000000001E-2</v>
      </c>
      <c r="N1700" s="7">
        <f t="shared" si="121"/>
        <v>0.63242819139802564</v>
      </c>
    </row>
    <row r="1701" spans="1:14" ht="15.6" x14ac:dyDescent="0.3">
      <c r="A1701" s="18" t="s">
        <v>1720</v>
      </c>
      <c r="B1701" s="7">
        <v>21</v>
      </c>
      <c r="C1701" s="7">
        <v>32</v>
      </c>
      <c r="D1701" s="18" t="s">
        <v>2292</v>
      </c>
      <c r="E1701" s="18">
        <v>27200000</v>
      </c>
      <c r="F1701" s="7">
        <f t="shared" si="119"/>
        <v>7185483.2105372995</v>
      </c>
      <c r="G1701" s="7">
        <v>190000</v>
      </c>
      <c r="H1701" s="7" t="s">
        <v>1830</v>
      </c>
      <c r="I1701" s="18" t="s">
        <v>1831</v>
      </c>
      <c r="J1701" s="18" t="s">
        <v>1802</v>
      </c>
      <c r="K1701" s="3">
        <v>30.2</v>
      </c>
      <c r="L1701" s="7" t="s">
        <v>2246</v>
      </c>
      <c r="M1701" s="7">
        <f t="shared" si="118"/>
        <v>3.0199999999999998E-2</v>
      </c>
      <c r="N1701" s="7">
        <f t="shared" si="121"/>
        <v>1.14211364714856</v>
      </c>
    </row>
    <row r="1702" spans="1:14" ht="15.6" x14ac:dyDescent="0.3">
      <c r="A1702" s="18" t="s">
        <v>1720</v>
      </c>
      <c r="B1702" s="7">
        <v>21</v>
      </c>
      <c r="C1702" s="7">
        <v>33</v>
      </c>
      <c r="D1702" s="18" t="s">
        <v>2293</v>
      </c>
      <c r="E1702" s="18">
        <v>21000000</v>
      </c>
      <c r="F1702" s="7">
        <f t="shared" si="119"/>
        <v>5547615.7140177684</v>
      </c>
      <c r="G1702" s="7">
        <v>150000</v>
      </c>
      <c r="H1702" s="7" t="s">
        <v>1830</v>
      </c>
      <c r="I1702" s="18" t="s">
        <v>1831</v>
      </c>
      <c r="J1702" s="18" t="s">
        <v>1802</v>
      </c>
      <c r="K1702" s="3">
        <v>28.2</v>
      </c>
      <c r="L1702" s="7" t="s">
        <v>2246</v>
      </c>
      <c r="M1702" s="7">
        <f t="shared" si="118"/>
        <v>2.8199999999999999E-2</v>
      </c>
      <c r="N1702" s="7">
        <f t="shared" si="121"/>
        <v>1.0429517542353404</v>
      </c>
    </row>
    <row r="1703" spans="1:14" ht="15.6" x14ac:dyDescent="0.3">
      <c r="A1703" s="18" t="s">
        <v>1766</v>
      </c>
      <c r="B1703" s="7">
        <v>21</v>
      </c>
      <c r="C1703" s="7">
        <v>32</v>
      </c>
      <c r="D1703" s="18" t="s">
        <v>2292</v>
      </c>
      <c r="E1703" s="18">
        <v>27200000</v>
      </c>
      <c r="F1703" s="7">
        <f t="shared" si="119"/>
        <v>7185483.2105372995</v>
      </c>
      <c r="G1703" s="7">
        <v>190000</v>
      </c>
      <c r="H1703" s="7" t="s">
        <v>1830</v>
      </c>
      <c r="I1703" s="18" t="s">
        <v>1831</v>
      </c>
      <c r="J1703" s="18" t="s">
        <v>1802</v>
      </c>
      <c r="K1703" s="3">
        <v>14.2</v>
      </c>
      <c r="L1703" s="7" t="s">
        <v>2246</v>
      </c>
      <c r="M1703" s="7">
        <f t="shared" si="118"/>
        <v>1.4199999999999999E-2</v>
      </c>
      <c r="N1703" s="7">
        <f t="shared" si="121"/>
        <v>0.53702032415594547</v>
      </c>
    </row>
    <row r="1704" spans="1:14" ht="15.6" x14ac:dyDescent="0.3">
      <c r="A1704" s="18" t="s">
        <v>1766</v>
      </c>
      <c r="B1704" s="7">
        <v>21</v>
      </c>
      <c r="C1704" s="7">
        <v>33</v>
      </c>
      <c r="D1704" s="18" t="s">
        <v>2293</v>
      </c>
      <c r="E1704" s="18">
        <v>21000000</v>
      </c>
      <c r="F1704" s="7">
        <f t="shared" si="119"/>
        <v>5547615.7140177684</v>
      </c>
      <c r="G1704" s="7">
        <v>150000</v>
      </c>
      <c r="H1704" s="7" t="s">
        <v>1830</v>
      </c>
      <c r="I1704" s="18" t="s">
        <v>1831</v>
      </c>
      <c r="J1704" s="18" t="s">
        <v>1802</v>
      </c>
      <c r="K1704" s="3">
        <v>23.1</v>
      </c>
      <c r="L1704" s="7" t="s">
        <v>2246</v>
      </c>
      <c r="M1704" s="7">
        <f t="shared" si="118"/>
        <v>2.3100000000000002E-2</v>
      </c>
      <c r="N1704" s="7">
        <f t="shared" si="121"/>
        <v>0.85433281995873644</v>
      </c>
    </row>
    <row r="1705" spans="1:14" ht="15.6" x14ac:dyDescent="0.3">
      <c r="A1705" s="18" t="s">
        <v>1721</v>
      </c>
      <c r="B1705" s="7">
        <v>21</v>
      </c>
      <c r="C1705" s="7">
        <v>32</v>
      </c>
      <c r="D1705" s="18" t="s">
        <v>2292</v>
      </c>
      <c r="E1705" s="18">
        <v>27200000</v>
      </c>
      <c r="F1705" s="7">
        <f t="shared" si="119"/>
        <v>7185483.2105372995</v>
      </c>
      <c r="G1705" s="7">
        <v>190000</v>
      </c>
      <c r="H1705" s="7" t="s">
        <v>1830</v>
      </c>
      <c r="I1705" s="18" t="s">
        <v>1831</v>
      </c>
      <c r="J1705" s="18" t="s">
        <v>1802</v>
      </c>
      <c r="K1705" s="3">
        <v>24.2</v>
      </c>
      <c r="L1705" s="7" t="s">
        <v>2246</v>
      </c>
      <c r="M1705" s="7">
        <f t="shared" si="118"/>
        <v>2.4199999999999999E-2</v>
      </c>
      <c r="N1705" s="7">
        <f t="shared" si="121"/>
        <v>0.91520365102632972</v>
      </c>
    </row>
    <row r="1706" spans="1:14" ht="15.6" x14ac:dyDescent="0.3">
      <c r="A1706" s="18" t="s">
        <v>1721</v>
      </c>
      <c r="B1706" s="7">
        <v>21</v>
      </c>
      <c r="C1706" s="7">
        <v>33</v>
      </c>
      <c r="D1706" s="18" t="s">
        <v>2293</v>
      </c>
      <c r="E1706" s="18">
        <v>21000000</v>
      </c>
      <c r="F1706" s="7">
        <f t="shared" si="119"/>
        <v>5547615.7140177684</v>
      </c>
      <c r="G1706" s="7">
        <v>150000</v>
      </c>
      <c r="H1706" s="7" t="s">
        <v>1830</v>
      </c>
      <c r="I1706" s="18" t="s">
        <v>1831</v>
      </c>
      <c r="J1706" s="18" t="s">
        <v>1802</v>
      </c>
      <c r="K1706" s="3">
        <v>26.6</v>
      </c>
      <c r="L1706" s="7" t="s">
        <v>2246</v>
      </c>
      <c r="M1706" s="7">
        <f t="shared" si="118"/>
        <v>2.6600000000000002E-2</v>
      </c>
      <c r="N1706" s="7">
        <f t="shared" si="121"/>
        <v>0.98377718661915103</v>
      </c>
    </row>
    <row r="1707" spans="1:14" ht="15.6" x14ac:dyDescent="0.3">
      <c r="A1707" s="18" t="s">
        <v>1722</v>
      </c>
      <c r="B1707" s="7">
        <v>21</v>
      </c>
      <c r="C1707" s="7">
        <v>32</v>
      </c>
      <c r="D1707" s="18" t="s">
        <v>2292</v>
      </c>
      <c r="E1707" s="18">
        <v>27200000</v>
      </c>
      <c r="F1707" s="7">
        <f t="shared" si="119"/>
        <v>7185483.2105372995</v>
      </c>
      <c r="G1707" s="7">
        <v>190000</v>
      </c>
      <c r="H1707" s="7" t="s">
        <v>1830</v>
      </c>
      <c r="I1707" s="18" t="s">
        <v>1831</v>
      </c>
      <c r="J1707" s="18" t="s">
        <v>1802</v>
      </c>
      <c r="K1707" s="3">
        <v>5.74</v>
      </c>
      <c r="L1707" s="7" t="s">
        <v>2246</v>
      </c>
      <c r="M1707" s="7">
        <f t="shared" si="118"/>
        <v>5.7400000000000003E-3</v>
      </c>
      <c r="N1707" s="7">
        <f t="shared" si="121"/>
        <v>0.21707722962360054</v>
      </c>
    </row>
    <row r="1708" spans="1:14" ht="15.6" x14ac:dyDescent="0.3">
      <c r="A1708" s="18" t="s">
        <v>1722</v>
      </c>
      <c r="B1708" s="7">
        <v>21</v>
      </c>
      <c r="C1708" s="7">
        <v>33</v>
      </c>
      <c r="D1708" s="18" t="s">
        <v>2293</v>
      </c>
      <c r="E1708" s="18">
        <v>21000000</v>
      </c>
      <c r="F1708" s="7">
        <f t="shared" si="119"/>
        <v>5547615.7140177684</v>
      </c>
      <c r="G1708" s="7">
        <v>150000</v>
      </c>
      <c r="H1708" s="7" t="s">
        <v>1830</v>
      </c>
      <c r="I1708" s="18" t="s">
        <v>1831</v>
      </c>
      <c r="J1708" s="18" t="s">
        <v>1802</v>
      </c>
      <c r="K1708" s="3" t="s">
        <v>1716</v>
      </c>
      <c r="L1708" s="7" t="s">
        <v>2246</v>
      </c>
      <c r="M1708" s="7" t="str">
        <f t="shared" si="118"/>
        <v>ND</v>
      </c>
      <c r="N1708" s="7" t="str">
        <f t="shared" si="121"/>
        <v>ND</v>
      </c>
    </row>
    <row r="1709" spans="1:14" ht="15.6" x14ac:dyDescent="0.3">
      <c r="A1709" s="18" t="s">
        <v>1723</v>
      </c>
      <c r="B1709" s="7">
        <v>21</v>
      </c>
      <c r="C1709" s="7">
        <v>32</v>
      </c>
      <c r="D1709" s="18" t="s">
        <v>2292</v>
      </c>
      <c r="E1709" s="18">
        <v>27200000</v>
      </c>
      <c r="F1709" s="7">
        <f t="shared" si="119"/>
        <v>7185483.2105372995</v>
      </c>
      <c r="G1709" s="7">
        <v>190000</v>
      </c>
      <c r="H1709" s="7" t="s">
        <v>1830</v>
      </c>
      <c r="I1709" s="18" t="s">
        <v>1831</v>
      </c>
      <c r="J1709" s="18" t="s">
        <v>1802</v>
      </c>
      <c r="K1709" s="3">
        <v>23.5</v>
      </c>
      <c r="L1709" s="7" t="s">
        <v>2246</v>
      </c>
      <c r="M1709" s="7">
        <f t="shared" si="118"/>
        <v>2.35E-2</v>
      </c>
      <c r="N1709" s="7">
        <f t="shared" si="121"/>
        <v>0.88873081814540278</v>
      </c>
    </row>
    <row r="1710" spans="1:14" ht="15.6" x14ac:dyDescent="0.3">
      <c r="A1710" s="18" t="s">
        <v>1723</v>
      </c>
      <c r="B1710" s="7">
        <v>21</v>
      </c>
      <c r="C1710" s="7">
        <v>33</v>
      </c>
      <c r="D1710" s="18" t="s">
        <v>2293</v>
      </c>
      <c r="E1710" s="18">
        <v>21000000</v>
      </c>
      <c r="F1710" s="7">
        <f t="shared" si="119"/>
        <v>5547615.7140177684</v>
      </c>
      <c r="G1710" s="7">
        <v>150000</v>
      </c>
      <c r="H1710" s="7" t="s">
        <v>1830</v>
      </c>
      <c r="I1710" s="18" t="s">
        <v>1831</v>
      </c>
      <c r="J1710" s="18" t="s">
        <v>1802</v>
      </c>
      <c r="K1710" s="3">
        <v>57.2</v>
      </c>
      <c r="L1710" s="7" t="s">
        <v>2246</v>
      </c>
      <c r="M1710" s="7">
        <f t="shared" si="118"/>
        <v>5.7200000000000001E-2</v>
      </c>
      <c r="N1710" s="7">
        <f t="shared" si="121"/>
        <v>2.1154907922787758</v>
      </c>
    </row>
    <row r="1711" spans="1:14" ht="15.6" x14ac:dyDescent="0.3">
      <c r="A1711" s="18" t="s">
        <v>1733</v>
      </c>
      <c r="B1711" s="7">
        <v>21</v>
      </c>
      <c r="C1711" s="7">
        <v>32</v>
      </c>
      <c r="D1711" s="18" t="s">
        <v>2292</v>
      </c>
      <c r="E1711" s="18">
        <v>27200000</v>
      </c>
      <c r="F1711" s="7">
        <f t="shared" si="119"/>
        <v>7185483.2105372995</v>
      </c>
      <c r="G1711" s="7">
        <v>190000</v>
      </c>
      <c r="H1711" s="7" t="s">
        <v>1830</v>
      </c>
      <c r="I1711" s="18" t="s">
        <v>1831</v>
      </c>
      <c r="J1711" s="18" t="s">
        <v>1802</v>
      </c>
      <c r="K1711" s="3">
        <v>162</v>
      </c>
      <c r="L1711" s="7" t="s">
        <v>2246</v>
      </c>
      <c r="M1711" s="7">
        <f t="shared" ref="M1711:M1774" si="122">IFERROR(K1711/1000,"ND")</f>
        <v>0.16200000000000001</v>
      </c>
      <c r="N1711" s="7">
        <f t="shared" si="121"/>
        <v>6.1265698953002241</v>
      </c>
    </row>
    <row r="1712" spans="1:14" ht="15.6" x14ac:dyDescent="0.3">
      <c r="A1712" s="18" t="s">
        <v>1733</v>
      </c>
      <c r="B1712" s="7">
        <v>21</v>
      </c>
      <c r="C1712" s="7">
        <v>33</v>
      </c>
      <c r="D1712" s="18" t="s">
        <v>2293</v>
      </c>
      <c r="E1712" s="18">
        <v>21000000</v>
      </c>
      <c r="F1712" s="7">
        <f t="shared" si="119"/>
        <v>5547615.7140177684</v>
      </c>
      <c r="G1712" s="7">
        <v>150000</v>
      </c>
      <c r="H1712" s="7" t="s">
        <v>1830</v>
      </c>
      <c r="I1712" s="18" t="s">
        <v>1831</v>
      </c>
      <c r="J1712" s="18" t="s">
        <v>1802</v>
      </c>
      <c r="K1712" s="3">
        <v>366</v>
      </c>
      <c r="L1712" s="7" t="s">
        <v>2246</v>
      </c>
      <c r="M1712" s="7">
        <f t="shared" si="122"/>
        <v>0.36599999999999999</v>
      </c>
      <c r="N1712" s="7">
        <f t="shared" si="121"/>
        <v>13.536182342203354</v>
      </c>
    </row>
    <row r="1713" spans="1:14" ht="15.6" x14ac:dyDescent="0.3">
      <c r="A1713" s="18" t="s">
        <v>1744</v>
      </c>
      <c r="B1713" s="7">
        <v>21</v>
      </c>
      <c r="C1713" s="7">
        <v>32</v>
      </c>
      <c r="D1713" s="18" t="s">
        <v>2292</v>
      </c>
      <c r="E1713" s="18">
        <v>27200000</v>
      </c>
      <c r="F1713" s="7">
        <f t="shared" si="119"/>
        <v>7185483.2105372995</v>
      </c>
      <c r="G1713" s="7">
        <v>190000</v>
      </c>
      <c r="H1713" s="7" t="s">
        <v>1830</v>
      </c>
      <c r="I1713" s="18" t="s">
        <v>1831</v>
      </c>
      <c r="J1713" s="18" t="s">
        <v>1802</v>
      </c>
      <c r="K1713" s="3">
        <v>216</v>
      </c>
      <c r="L1713" s="7" t="s">
        <v>2246</v>
      </c>
      <c r="M1713" s="7">
        <f t="shared" si="122"/>
        <v>0.216</v>
      </c>
      <c r="N1713" s="7">
        <f t="shared" si="121"/>
        <v>8.1687598604002982</v>
      </c>
    </row>
    <row r="1714" spans="1:14" ht="15.6" x14ac:dyDescent="0.3">
      <c r="A1714" s="18" t="s">
        <v>1744</v>
      </c>
      <c r="B1714" s="7">
        <v>21</v>
      </c>
      <c r="C1714" s="7">
        <v>33</v>
      </c>
      <c r="D1714" s="18" t="s">
        <v>2293</v>
      </c>
      <c r="E1714" s="18">
        <v>21000000</v>
      </c>
      <c r="F1714" s="7">
        <f t="shared" ref="F1714:F1720" si="123">E1714/3.78541</f>
        <v>5547615.7140177684</v>
      </c>
      <c r="G1714" s="7">
        <v>150000</v>
      </c>
      <c r="H1714" s="7" t="s">
        <v>1830</v>
      </c>
      <c r="I1714" s="18" t="s">
        <v>1831</v>
      </c>
      <c r="J1714" s="18" t="s">
        <v>1802</v>
      </c>
      <c r="K1714" s="3">
        <v>280</v>
      </c>
      <c r="L1714" s="7" t="s">
        <v>2246</v>
      </c>
      <c r="M1714" s="7">
        <f t="shared" si="122"/>
        <v>0.28000000000000003</v>
      </c>
      <c r="N1714" s="7">
        <f t="shared" si="121"/>
        <v>10.355549332833169</v>
      </c>
    </row>
    <row r="1715" spans="1:14" ht="15.6" x14ac:dyDescent="0.3">
      <c r="A1715" s="18" t="s">
        <v>1728</v>
      </c>
      <c r="B1715" s="7">
        <v>21</v>
      </c>
      <c r="C1715" s="7">
        <v>32</v>
      </c>
      <c r="D1715" s="18" t="s">
        <v>2292</v>
      </c>
      <c r="E1715" s="18">
        <v>27200000</v>
      </c>
      <c r="F1715" s="7">
        <f t="shared" si="123"/>
        <v>7185483.2105372995</v>
      </c>
      <c r="G1715" s="7">
        <v>190000</v>
      </c>
      <c r="H1715" s="7" t="s">
        <v>1830</v>
      </c>
      <c r="I1715" s="18" t="s">
        <v>1831</v>
      </c>
      <c r="J1715" s="18" t="s">
        <v>1802</v>
      </c>
      <c r="K1715" s="3">
        <v>117</v>
      </c>
      <c r="L1715" s="7" t="s">
        <v>2246</v>
      </c>
      <c r="M1715" s="7">
        <f t="shared" si="122"/>
        <v>0.11700000000000001</v>
      </c>
      <c r="N1715" s="7">
        <f t="shared" si="121"/>
        <v>4.4247449243834955</v>
      </c>
    </row>
    <row r="1716" spans="1:14" ht="15.6" x14ac:dyDescent="0.3">
      <c r="A1716" s="18" t="s">
        <v>1728</v>
      </c>
      <c r="B1716" s="7">
        <v>21</v>
      </c>
      <c r="C1716" s="7">
        <v>33</v>
      </c>
      <c r="D1716" s="18" t="s">
        <v>2293</v>
      </c>
      <c r="E1716" s="18">
        <v>21000000</v>
      </c>
      <c r="F1716" s="7">
        <f t="shared" si="123"/>
        <v>5547615.7140177684</v>
      </c>
      <c r="G1716" s="7">
        <v>150000</v>
      </c>
      <c r="H1716" s="7" t="s">
        <v>1830</v>
      </c>
      <c r="I1716" s="18" t="s">
        <v>1831</v>
      </c>
      <c r="J1716" s="18" t="s">
        <v>1802</v>
      </c>
      <c r="K1716" s="3">
        <v>169</v>
      </c>
      <c r="L1716" s="7" t="s">
        <v>2246</v>
      </c>
      <c r="M1716" s="7">
        <f t="shared" si="122"/>
        <v>0.16900000000000001</v>
      </c>
      <c r="N1716" s="7">
        <f t="shared" si="121"/>
        <v>6.2503137044600194</v>
      </c>
    </row>
    <row r="1717" spans="1:14" ht="15.6" x14ac:dyDescent="0.3">
      <c r="A1717" s="18" t="s">
        <v>1747</v>
      </c>
      <c r="B1717" s="7">
        <v>21</v>
      </c>
      <c r="C1717" s="7">
        <v>32</v>
      </c>
      <c r="D1717" s="18" t="s">
        <v>2292</v>
      </c>
      <c r="E1717" s="18">
        <v>27200000</v>
      </c>
      <c r="F1717" s="7">
        <f t="shared" si="123"/>
        <v>7185483.2105372995</v>
      </c>
      <c r="G1717" s="7">
        <v>190000</v>
      </c>
      <c r="H1717" s="7" t="s">
        <v>1830</v>
      </c>
      <c r="I1717" s="18" t="s">
        <v>1831</v>
      </c>
      <c r="J1717" s="18" t="s">
        <v>1802</v>
      </c>
      <c r="K1717" s="3">
        <v>409</v>
      </c>
      <c r="L1717" s="7" t="s">
        <v>2246</v>
      </c>
      <c r="M1717" s="7">
        <f t="shared" si="122"/>
        <v>0.40899999999999997</v>
      </c>
      <c r="N1717" s="7">
        <f t="shared" si="121"/>
        <v>15.467698068998713</v>
      </c>
    </row>
    <row r="1718" spans="1:14" ht="15.6" x14ac:dyDescent="0.3">
      <c r="A1718" s="18" t="s">
        <v>1747</v>
      </c>
      <c r="B1718" s="7">
        <v>21</v>
      </c>
      <c r="C1718" s="7">
        <v>33</v>
      </c>
      <c r="D1718" s="18" t="s">
        <v>2293</v>
      </c>
      <c r="E1718" s="18">
        <v>21000000</v>
      </c>
      <c r="F1718" s="7">
        <f t="shared" si="123"/>
        <v>5547615.7140177684</v>
      </c>
      <c r="G1718" s="7">
        <v>150000</v>
      </c>
      <c r="H1718" s="7" t="s">
        <v>1830</v>
      </c>
      <c r="I1718" s="18" t="s">
        <v>1831</v>
      </c>
      <c r="J1718" s="18" t="s">
        <v>1802</v>
      </c>
      <c r="K1718" s="3">
        <v>572</v>
      </c>
      <c r="L1718" s="7" t="s">
        <v>2246</v>
      </c>
      <c r="M1718" s="7">
        <f t="shared" si="122"/>
        <v>0.57199999999999995</v>
      </c>
      <c r="N1718" s="7">
        <f t="shared" si="121"/>
        <v>21.154907922787757</v>
      </c>
    </row>
    <row r="1719" spans="1:14" ht="15.6" x14ac:dyDescent="0.3">
      <c r="A1719" s="18" t="s">
        <v>1735</v>
      </c>
      <c r="B1719" s="7">
        <v>21</v>
      </c>
      <c r="C1719" s="7">
        <v>32</v>
      </c>
      <c r="D1719" s="18" t="s">
        <v>2292</v>
      </c>
      <c r="E1719" s="18">
        <v>27200000</v>
      </c>
      <c r="F1719" s="7">
        <f t="shared" si="123"/>
        <v>7185483.2105372995</v>
      </c>
      <c r="G1719" s="7">
        <v>190000</v>
      </c>
      <c r="H1719" s="7" t="s">
        <v>1830</v>
      </c>
      <c r="I1719" s="18" t="s">
        <v>1831</v>
      </c>
      <c r="J1719" s="18" t="s">
        <v>1802</v>
      </c>
      <c r="K1719" s="3">
        <v>294</v>
      </c>
      <c r="L1719" s="7" t="s">
        <v>2246</v>
      </c>
      <c r="M1719" s="7">
        <f t="shared" si="122"/>
        <v>0.29399999999999998</v>
      </c>
      <c r="N1719" s="7">
        <f t="shared" si="121"/>
        <v>11.118589809989295</v>
      </c>
    </row>
    <row r="1720" spans="1:14" ht="15.6" x14ac:dyDescent="0.3">
      <c r="A1720" s="18" t="s">
        <v>1735</v>
      </c>
      <c r="B1720" s="7">
        <v>21</v>
      </c>
      <c r="C1720" s="7">
        <v>33</v>
      </c>
      <c r="D1720" s="18" t="s">
        <v>2293</v>
      </c>
      <c r="E1720" s="18">
        <v>21000000</v>
      </c>
      <c r="F1720" s="7">
        <f t="shared" si="123"/>
        <v>5547615.7140177684</v>
      </c>
      <c r="G1720" s="7">
        <v>150000</v>
      </c>
      <c r="H1720" s="7" t="s">
        <v>1830</v>
      </c>
      <c r="I1720" s="18" t="s">
        <v>1831</v>
      </c>
      <c r="J1720" s="18" t="s">
        <v>1802</v>
      </c>
      <c r="K1720" s="3">
        <v>367</v>
      </c>
      <c r="L1720" s="7" t="s">
        <v>2246</v>
      </c>
      <c r="M1720" s="7">
        <f t="shared" si="122"/>
        <v>0.36699999999999999</v>
      </c>
      <c r="N1720" s="7">
        <f t="shared" si="121"/>
        <v>13.573166446963473</v>
      </c>
    </row>
    <row r="1721" spans="1:14" ht="15.6" x14ac:dyDescent="0.3">
      <c r="A1721" s="18" t="s">
        <v>1791</v>
      </c>
      <c r="B1721" s="7">
        <v>22</v>
      </c>
      <c r="C1721" s="7">
        <v>35</v>
      </c>
      <c r="D1721" s="18" t="s">
        <v>2297</v>
      </c>
      <c r="E1721" s="18">
        <v>5000000</v>
      </c>
      <c r="F1721" s="7">
        <f>E1721/3.78541</f>
        <v>1320860.8842899448</v>
      </c>
      <c r="G1721" s="7">
        <v>20000</v>
      </c>
      <c r="H1721" s="19">
        <v>43009</v>
      </c>
      <c r="I1721" s="18" t="s">
        <v>1831</v>
      </c>
      <c r="J1721" s="18" t="s">
        <v>1802</v>
      </c>
      <c r="K1721" s="3">
        <v>10.7</v>
      </c>
      <c r="L1721" s="7" t="s">
        <v>2246</v>
      </c>
      <c r="M1721" s="7">
        <f t="shared" si="122"/>
        <v>1.0699999999999999E-2</v>
      </c>
      <c r="N1721" s="7">
        <f t="shared" si="121"/>
        <v>0.70666057309512043</v>
      </c>
    </row>
    <row r="1722" spans="1:14" ht="15.6" x14ac:dyDescent="0.3">
      <c r="A1722" s="18" t="s">
        <v>1733</v>
      </c>
      <c r="B1722" s="7">
        <v>23</v>
      </c>
      <c r="C1722" s="7">
        <v>51</v>
      </c>
      <c r="D1722" s="18" t="s">
        <v>2320</v>
      </c>
      <c r="E1722" s="18">
        <v>28425</v>
      </c>
      <c r="F1722" s="7">
        <f>E1722*1000</f>
        <v>28425000</v>
      </c>
      <c r="G1722" s="7">
        <f>F1722/310.404</f>
        <v>91574.206517957238</v>
      </c>
      <c r="H1722" s="18" t="s">
        <v>1829</v>
      </c>
      <c r="I1722" s="18" t="s">
        <v>1819</v>
      </c>
      <c r="J1722" s="18" t="s">
        <v>1802</v>
      </c>
      <c r="K1722" s="3">
        <f>AVERAGE(0.16,0.57)*1000</f>
        <v>365</v>
      </c>
      <c r="L1722" s="7" t="s">
        <v>2246</v>
      </c>
      <c r="M1722" s="7">
        <f t="shared" si="122"/>
        <v>0.36499999999999999</v>
      </c>
      <c r="N1722" s="7">
        <f t="shared" si="121"/>
        <v>113.29746</v>
      </c>
    </row>
    <row r="1723" spans="1:14" ht="15.6" x14ac:dyDescent="0.3">
      <c r="A1723" s="18" t="s">
        <v>1736</v>
      </c>
      <c r="B1723" s="7">
        <v>23</v>
      </c>
      <c r="C1723" s="7">
        <v>51</v>
      </c>
      <c r="D1723" s="18" t="s">
        <v>2320</v>
      </c>
      <c r="E1723" s="18">
        <v>28425</v>
      </c>
      <c r="F1723" s="7">
        <f t="shared" ref="F1723:F1727" si="124">E1723*1000</f>
        <v>28425000</v>
      </c>
      <c r="G1723" s="7">
        <f t="shared" ref="G1723:G1786" si="125">F1723/310.404</f>
        <v>91574.206517957238</v>
      </c>
      <c r="H1723" s="18" t="s">
        <v>1829</v>
      </c>
      <c r="I1723" s="18" t="s">
        <v>1819</v>
      </c>
      <c r="J1723" s="18" t="s">
        <v>1802</v>
      </c>
      <c r="K1723" s="3">
        <f>AVERAGE(0.17,0.36)*1000</f>
        <v>265</v>
      </c>
      <c r="L1723" s="7" t="s">
        <v>2246</v>
      </c>
      <c r="M1723" s="7">
        <f t="shared" si="122"/>
        <v>0.26500000000000001</v>
      </c>
      <c r="N1723" s="7">
        <f t="shared" si="121"/>
        <v>82.25706000000001</v>
      </c>
    </row>
    <row r="1724" spans="1:14" ht="15.6" x14ac:dyDescent="0.3">
      <c r="A1724" s="18" t="s">
        <v>1738</v>
      </c>
      <c r="B1724" s="7">
        <v>23</v>
      </c>
      <c r="C1724" s="7">
        <v>51</v>
      </c>
      <c r="D1724" s="18" t="s">
        <v>2320</v>
      </c>
      <c r="E1724" s="18">
        <v>28425</v>
      </c>
      <c r="F1724" s="7">
        <f t="shared" si="124"/>
        <v>28425000</v>
      </c>
      <c r="G1724" s="7">
        <f t="shared" si="125"/>
        <v>91574.206517957238</v>
      </c>
      <c r="H1724" s="18" t="s">
        <v>1829</v>
      </c>
      <c r="I1724" s="18" t="s">
        <v>1819</v>
      </c>
      <c r="J1724" s="18" t="s">
        <v>1802</v>
      </c>
      <c r="K1724" s="3">
        <f>0.11*1000</f>
        <v>110</v>
      </c>
      <c r="L1724" s="7" t="s">
        <v>2246</v>
      </c>
      <c r="M1724" s="7">
        <f t="shared" si="122"/>
        <v>0.11</v>
      </c>
      <c r="N1724" s="7">
        <f t="shared" si="121"/>
        <v>34.144440000000003</v>
      </c>
    </row>
    <row r="1725" spans="1:14" ht="15.6" x14ac:dyDescent="0.3">
      <c r="A1725" s="18" t="s">
        <v>1753</v>
      </c>
      <c r="B1725" s="7">
        <v>23</v>
      </c>
      <c r="C1725" s="7">
        <v>51</v>
      </c>
      <c r="D1725" s="18" t="s">
        <v>2320</v>
      </c>
      <c r="E1725" s="18">
        <v>28425</v>
      </c>
      <c r="F1725" s="7">
        <f t="shared" si="124"/>
        <v>28425000</v>
      </c>
      <c r="G1725" s="7">
        <f t="shared" si="125"/>
        <v>91574.206517957238</v>
      </c>
      <c r="H1725" s="18" t="s">
        <v>1829</v>
      </c>
      <c r="I1725" s="18" t="s">
        <v>1819</v>
      </c>
      <c r="J1725" s="18" t="s">
        <v>1802</v>
      </c>
      <c r="K1725" s="3">
        <f>AVERAGE(1.35,6.03)*1000</f>
        <v>3690.0000000000005</v>
      </c>
      <c r="L1725" s="7" t="s">
        <v>2246</v>
      </c>
      <c r="M1725" s="7">
        <f t="shared" si="122"/>
        <v>3.6900000000000004</v>
      </c>
      <c r="N1725" s="7">
        <f t="shared" si="121"/>
        <v>1145.3907600000002</v>
      </c>
    </row>
    <row r="1726" spans="1:14" ht="15.6" x14ac:dyDescent="0.3">
      <c r="A1726" s="18" t="s">
        <v>1757</v>
      </c>
      <c r="B1726" s="7">
        <v>23</v>
      </c>
      <c r="C1726" s="7">
        <v>51</v>
      </c>
      <c r="D1726" s="18" t="s">
        <v>2320</v>
      </c>
      <c r="E1726" s="18">
        <v>28425</v>
      </c>
      <c r="F1726" s="7">
        <f t="shared" si="124"/>
        <v>28425000</v>
      </c>
      <c r="G1726" s="7">
        <f t="shared" si="125"/>
        <v>91574.206517957238</v>
      </c>
      <c r="H1726" s="18" t="s">
        <v>1829</v>
      </c>
      <c r="I1726" s="18" t="s">
        <v>1819</v>
      </c>
      <c r="J1726" s="18" t="s">
        <v>1802</v>
      </c>
      <c r="K1726" s="3">
        <f>AVERAGE(0.03,0.07)*1000</f>
        <v>50</v>
      </c>
      <c r="L1726" s="7" t="s">
        <v>2246</v>
      </c>
      <c r="M1726" s="7">
        <f t="shared" si="122"/>
        <v>0.05</v>
      </c>
      <c r="N1726" s="7">
        <f t="shared" si="121"/>
        <v>15.520200000000001</v>
      </c>
    </row>
    <row r="1727" spans="1:14" ht="15.6" x14ac:dyDescent="0.3">
      <c r="A1727" s="18" t="s">
        <v>2299</v>
      </c>
      <c r="B1727" s="7">
        <v>23</v>
      </c>
      <c r="C1727" s="7">
        <v>51</v>
      </c>
      <c r="D1727" s="18" t="s">
        <v>2320</v>
      </c>
      <c r="E1727" s="18">
        <v>28425</v>
      </c>
      <c r="F1727" s="7">
        <f t="shared" si="124"/>
        <v>28425000</v>
      </c>
      <c r="G1727" s="7">
        <f t="shared" si="125"/>
        <v>91574.206517957238</v>
      </c>
      <c r="H1727" s="18" t="s">
        <v>1829</v>
      </c>
      <c r="I1727" s="18" t="s">
        <v>1819</v>
      </c>
      <c r="J1727" s="18" t="s">
        <v>1802</v>
      </c>
      <c r="K1727" s="3">
        <v>715</v>
      </c>
      <c r="L1727" s="7" t="s">
        <v>2246</v>
      </c>
      <c r="M1727" s="7">
        <f t="shared" si="122"/>
        <v>0.71499999999999997</v>
      </c>
      <c r="N1727" s="7">
        <f t="shared" si="121"/>
        <v>221.93886000000001</v>
      </c>
    </row>
    <row r="1728" spans="1:14" ht="15.6" x14ac:dyDescent="0.3">
      <c r="A1728" s="18" t="s">
        <v>1792</v>
      </c>
      <c r="B1728" s="7">
        <v>24</v>
      </c>
      <c r="C1728" s="7">
        <v>52</v>
      </c>
      <c r="D1728" s="18" t="s">
        <v>2321</v>
      </c>
      <c r="E1728" s="18">
        <v>10000000</v>
      </c>
      <c r="F1728" s="7">
        <f>E1728/3.78541</f>
        <v>2641721.7685798896</v>
      </c>
      <c r="G1728" s="7">
        <f t="shared" si="125"/>
        <v>8510.5919014570991</v>
      </c>
      <c r="H1728" s="18" t="s">
        <v>1839</v>
      </c>
      <c r="I1728" s="18" t="s">
        <v>2322</v>
      </c>
      <c r="J1728" s="18" t="s">
        <v>2323</v>
      </c>
      <c r="K1728" s="3">
        <v>0</v>
      </c>
      <c r="L1728" s="7" t="s">
        <v>2246</v>
      </c>
      <c r="M1728" s="7">
        <f t="shared" si="122"/>
        <v>0</v>
      </c>
      <c r="N1728" s="7">
        <f t="shared" si="121"/>
        <v>0</v>
      </c>
    </row>
    <row r="1729" spans="1:14" ht="15.6" x14ac:dyDescent="0.3">
      <c r="A1729" s="18" t="s">
        <v>1792</v>
      </c>
      <c r="B1729" s="7">
        <v>24</v>
      </c>
      <c r="C1729" s="7">
        <v>53</v>
      </c>
      <c r="D1729" s="18" t="s">
        <v>2324</v>
      </c>
      <c r="E1729" s="18">
        <v>14000000</v>
      </c>
      <c r="F1729" s="7">
        <f t="shared" ref="F1729:F1792" si="126">E1729/3.78541</f>
        <v>3698410.4760118453</v>
      </c>
      <c r="G1729" s="7">
        <f t="shared" si="125"/>
        <v>11914.828662039939</v>
      </c>
      <c r="H1729" s="18" t="s">
        <v>1839</v>
      </c>
      <c r="I1729" s="18" t="s">
        <v>2322</v>
      </c>
      <c r="J1729" s="18" t="s">
        <v>2323</v>
      </c>
      <c r="K1729" s="3">
        <v>0</v>
      </c>
      <c r="L1729" s="7" t="s">
        <v>2246</v>
      </c>
      <c r="M1729" s="7">
        <f t="shared" si="122"/>
        <v>0</v>
      </c>
      <c r="N1729" s="7">
        <f t="shared" si="121"/>
        <v>0</v>
      </c>
    </row>
    <row r="1730" spans="1:14" ht="15.6" x14ac:dyDescent="0.3">
      <c r="A1730" s="18" t="s">
        <v>1792</v>
      </c>
      <c r="B1730" s="7">
        <v>24</v>
      </c>
      <c r="C1730" s="7">
        <v>54</v>
      </c>
      <c r="D1730" s="18" t="s">
        <v>2325</v>
      </c>
      <c r="E1730" s="18">
        <v>4000000</v>
      </c>
      <c r="F1730" s="7">
        <f t="shared" si="126"/>
        <v>1056688.7074319557</v>
      </c>
      <c r="G1730" s="7">
        <f t="shared" si="125"/>
        <v>3404.2367605828395</v>
      </c>
      <c r="H1730" s="18" t="s">
        <v>1839</v>
      </c>
      <c r="I1730" s="18" t="s">
        <v>2322</v>
      </c>
      <c r="J1730" s="18" t="s">
        <v>2323</v>
      </c>
      <c r="K1730" s="3">
        <v>0</v>
      </c>
      <c r="L1730" s="7" t="s">
        <v>2246</v>
      </c>
      <c r="M1730" s="7">
        <f t="shared" si="122"/>
        <v>0</v>
      </c>
      <c r="N1730" s="7">
        <f t="shared" si="121"/>
        <v>0</v>
      </c>
    </row>
    <row r="1731" spans="1:14" ht="15.6" x14ac:dyDescent="0.3">
      <c r="A1731" s="18" t="s">
        <v>1760</v>
      </c>
      <c r="B1731" s="7">
        <v>24</v>
      </c>
      <c r="C1731" s="7">
        <v>52</v>
      </c>
      <c r="D1731" s="18" t="s">
        <v>2321</v>
      </c>
      <c r="E1731" s="18">
        <v>10000000</v>
      </c>
      <c r="F1731" s="7">
        <f t="shared" si="126"/>
        <v>2641721.7685798896</v>
      </c>
      <c r="G1731" s="7">
        <f t="shared" si="125"/>
        <v>8510.5919014570991</v>
      </c>
      <c r="H1731" s="18" t="s">
        <v>1839</v>
      </c>
      <c r="I1731" s="18" t="s">
        <v>2322</v>
      </c>
      <c r="J1731" s="18" t="s">
        <v>2323</v>
      </c>
      <c r="K1731" s="3">
        <v>13.6</v>
      </c>
      <c r="L1731" s="7" t="s">
        <v>2246</v>
      </c>
      <c r="M1731" s="7">
        <f t="shared" si="122"/>
        <v>1.3599999999999999E-2</v>
      </c>
      <c r="N1731" s="7">
        <f t="shared" si="121"/>
        <v>4.2214944000000001</v>
      </c>
    </row>
    <row r="1732" spans="1:14" ht="15.6" x14ac:dyDescent="0.3">
      <c r="A1732" s="18" t="s">
        <v>1760</v>
      </c>
      <c r="B1732" s="7">
        <v>24</v>
      </c>
      <c r="C1732" s="7">
        <v>53</v>
      </c>
      <c r="D1732" s="18" t="s">
        <v>2324</v>
      </c>
      <c r="E1732" s="18">
        <v>14000000</v>
      </c>
      <c r="F1732" s="7">
        <f t="shared" si="126"/>
        <v>3698410.4760118453</v>
      </c>
      <c r="G1732" s="7">
        <f t="shared" si="125"/>
        <v>11914.828662039939</v>
      </c>
      <c r="H1732" s="18" t="s">
        <v>1839</v>
      </c>
      <c r="I1732" s="18" t="s">
        <v>2322</v>
      </c>
      <c r="J1732" s="18" t="s">
        <v>2323</v>
      </c>
      <c r="K1732" s="3">
        <v>0</v>
      </c>
      <c r="L1732" s="7" t="s">
        <v>2246</v>
      </c>
      <c r="M1732" s="7">
        <f t="shared" si="122"/>
        <v>0</v>
      </c>
      <c r="N1732" s="7">
        <f t="shared" si="121"/>
        <v>0</v>
      </c>
    </row>
    <row r="1733" spans="1:14" ht="15.6" x14ac:dyDescent="0.3">
      <c r="A1733" s="18" t="s">
        <v>1760</v>
      </c>
      <c r="B1733" s="7">
        <v>24</v>
      </c>
      <c r="C1733" s="7">
        <v>54</v>
      </c>
      <c r="D1733" s="18" t="s">
        <v>2325</v>
      </c>
      <c r="E1733" s="18">
        <v>4000000</v>
      </c>
      <c r="F1733" s="7">
        <f t="shared" si="126"/>
        <v>1056688.7074319557</v>
      </c>
      <c r="G1733" s="7">
        <f t="shared" si="125"/>
        <v>3404.2367605828395</v>
      </c>
      <c r="H1733" s="18" t="s">
        <v>1839</v>
      </c>
      <c r="I1733" s="18" t="s">
        <v>2322</v>
      </c>
      <c r="J1733" s="18" t="s">
        <v>2323</v>
      </c>
      <c r="K1733" s="3">
        <v>52.8</v>
      </c>
      <c r="L1733" s="7" t="s">
        <v>2246</v>
      </c>
      <c r="M1733" s="7">
        <f t="shared" si="122"/>
        <v>5.28E-2</v>
      </c>
      <c r="N1733" s="7">
        <f t="shared" si="121"/>
        <v>16.389331200000001</v>
      </c>
    </row>
    <row r="1734" spans="1:14" ht="15.6" x14ac:dyDescent="0.3">
      <c r="A1734" s="18" t="s">
        <v>1731</v>
      </c>
      <c r="B1734" s="7">
        <v>24</v>
      </c>
      <c r="C1734" s="7">
        <v>52</v>
      </c>
      <c r="D1734" s="18" t="s">
        <v>2321</v>
      </c>
      <c r="E1734" s="18">
        <v>10000000</v>
      </c>
      <c r="F1734" s="7">
        <f t="shared" si="126"/>
        <v>2641721.7685798896</v>
      </c>
      <c r="G1734" s="7">
        <f t="shared" si="125"/>
        <v>8510.5919014570991</v>
      </c>
      <c r="H1734" s="18" t="s">
        <v>1839</v>
      </c>
      <c r="I1734" s="18" t="s">
        <v>2322</v>
      </c>
      <c r="J1734" s="18" t="s">
        <v>2323</v>
      </c>
      <c r="K1734" s="3">
        <v>4.3</v>
      </c>
      <c r="L1734" s="7" t="s">
        <v>2246</v>
      </c>
      <c r="M1734" s="7">
        <f t="shared" si="122"/>
        <v>4.3E-3</v>
      </c>
      <c r="N1734" s="7">
        <f t="shared" si="121"/>
        <v>1.3347372000000002</v>
      </c>
    </row>
    <row r="1735" spans="1:14" ht="15.6" x14ac:dyDescent="0.3">
      <c r="A1735" s="18" t="s">
        <v>1731</v>
      </c>
      <c r="B1735" s="7">
        <v>24</v>
      </c>
      <c r="C1735" s="7">
        <v>53</v>
      </c>
      <c r="D1735" s="18" t="s">
        <v>2324</v>
      </c>
      <c r="E1735" s="18">
        <v>14000000</v>
      </c>
      <c r="F1735" s="7">
        <f t="shared" si="126"/>
        <v>3698410.4760118453</v>
      </c>
      <c r="G1735" s="7">
        <f t="shared" si="125"/>
        <v>11914.828662039939</v>
      </c>
      <c r="H1735" s="18" t="s">
        <v>1839</v>
      </c>
      <c r="I1735" s="18" t="s">
        <v>2322</v>
      </c>
      <c r="J1735" s="18" t="s">
        <v>2323</v>
      </c>
      <c r="K1735" s="3">
        <v>120.6</v>
      </c>
      <c r="L1735" s="7" t="s">
        <v>2246</v>
      </c>
      <c r="M1735" s="7">
        <f t="shared" si="122"/>
        <v>0.1206</v>
      </c>
      <c r="N1735" s="7">
        <f t="shared" si="121"/>
        <v>37.434722399999998</v>
      </c>
    </row>
    <row r="1736" spans="1:14" ht="15.6" x14ac:dyDescent="0.3">
      <c r="A1736" s="18" t="s">
        <v>1731</v>
      </c>
      <c r="B1736" s="7">
        <v>24</v>
      </c>
      <c r="C1736" s="7">
        <v>54</v>
      </c>
      <c r="D1736" s="18" t="s">
        <v>2325</v>
      </c>
      <c r="E1736" s="18">
        <v>4000000</v>
      </c>
      <c r="F1736" s="7">
        <f t="shared" si="126"/>
        <v>1056688.7074319557</v>
      </c>
      <c r="G1736" s="7">
        <f t="shared" si="125"/>
        <v>3404.2367605828395</v>
      </c>
      <c r="H1736" s="18" t="s">
        <v>1839</v>
      </c>
      <c r="I1736" s="18" t="s">
        <v>2322</v>
      </c>
      <c r="J1736" s="18" t="s">
        <v>2323</v>
      </c>
      <c r="K1736" s="3">
        <v>26.4</v>
      </c>
      <c r="L1736" s="7" t="s">
        <v>2246</v>
      </c>
      <c r="M1736" s="7">
        <f t="shared" si="122"/>
        <v>2.64E-2</v>
      </c>
      <c r="N1736" s="7">
        <f t="shared" si="121"/>
        <v>8.1946656000000004</v>
      </c>
    </row>
    <row r="1737" spans="1:14" ht="15.6" x14ac:dyDescent="0.3">
      <c r="A1737" s="18" t="s">
        <v>1734</v>
      </c>
      <c r="B1737" s="7">
        <v>24</v>
      </c>
      <c r="C1737" s="7">
        <v>52</v>
      </c>
      <c r="D1737" s="18" t="s">
        <v>2321</v>
      </c>
      <c r="E1737" s="18">
        <v>10000000</v>
      </c>
      <c r="F1737" s="7">
        <f t="shared" si="126"/>
        <v>2641721.7685798896</v>
      </c>
      <c r="G1737" s="7">
        <f t="shared" si="125"/>
        <v>8510.5919014570991</v>
      </c>
      <c r="H1737" s="18" t="s">
        <v>1839</v>
      </c>
      <c r="I1737" s="18" t="s">
        <v>2322</v>
      </c>
      <c r="J1737" s="18" t="s">
        <v>2323</v>
      </c>
      <c r="K1737" s="3">
        <v>0.2</v>
      </c>
      <c r="L1737" s="7" t="s">
        <v>2246</v>
      </c>
      <c r="M1737" s="7">
        <f t="shared" si="122"/>
        <v>2.0000000000000001E-4</v>
      </c>
      <c r="N1737" s="7">
        <f t="shared" si="121"/>
        <v>6.2080800000000005E-2</v>
      </c>
    </row>
    <row r="1738" spans="1:14" ht="15.6" x14ac:dyDescent="0.3">
      <c r="A1738" s="18" t="s">
        <v>1734</v>
      </c>
      <c r="B1738" s="7">
        <v>24</v>
      </c>
      <c r="C1738" s="7">
        <v>53</v>
      </c>
      <c r="D1738" s="18" t="s">
        <v>2324</v>
      </c>
      <c r="E1738" s="18">
        <v>14000000</v>
      </c>
      <c r="F1738" s="7">
        <f t="shared" si="126"/>
        <v>3698410.4760118453</v>
      </c>
      <c r="G1738" s="7">
        <f t="shared" si="125"/>
        <v>11914.828662039939</v>
      </c>
      <c r="H1738" s="18" t="s">
        <v>1839</v>
      </c>
      <c r="I1738" s="18" t="s">
        <v>2322</v>
      </c>
      <c r="J1738" s="18" t="s">
        <v>2323</v>
      </c>
      <c r="K1738" s="3">
        <v>55.9</v>
      </c>
      <c r="L1738" s="7" t="s">
        <v>2246</v>
      </c>
      <c r="M1738" s="7">
        <f t="shared" si="122"/>
        <v>5.5899999999999998E-2</v>
      </c>
      <c r="N1738" s="7">
        <f t="shared" si="121"/>
        <v>17.351583599999998</v>
      </c>
    </row>
    <row r="1739" spans="1:14" ht="15.6" x14ac:dyDescent="0.3">
      <c r="A1739" s="18" t="s">
        <v>1734</v>
      </c>
      <c r="B1739" s="7">
        <v>24</v>
      </c>
      <c r="C1739" s="7">
        <v>54</v>
      </c>
      <c r="D1739" s="18" t="s">
        <v>2325</v>
      </c>
      <c r="E1739" s="18">
        <v>4000000</v>
      </c>
      <c r="F1739" s="7">
        <f t="shared" si="126"/>
        <v>1056688.7074319557</v>
      </c>
      <c r="G1739" s="7">
        <f t="shared" si="125"/>
        <v>3404.2367605828395</v>
      </c>
      <c r="H1739" s="18" t="s">
        <v>1839</v>
      </c>
      <c r="I1739" s="18" t="s">
        <v>2322</v>
      </c>
      <c r="J1739" s="18" t="s">
        <v>2323</v>
      </c>
      <c r="K1739" s="3">
        <v>123.7</v>
      </c>
      <c r="L1739" s="7" t="s">
        <v>2246</v>
      </c>
      <c r="M1739" s="7">
        <f t="shared" si="122"/>
        <v>0.1237</v>
      </c>
      <c r="N1739" s="7">
        <f t="shared" si="121"/>
        <v>38.396974800000002</v>
      </c>
    </row>
    <row r="1740" spans="1:14" ht="15.6" x14ac:dyDescent="0.3">
      <c r="A1740" s="18" t="s">
        <v>1738</v>
      </c>
      <c r="B1740" s="7">
        <v>24</v>
      </c>
      <c r="C1740" s="7">
        <v>52</v>
      </c>
      <c r="D1740" s="18" t="s">
        <v>2321</v>
      </c>
      <c r="E1740" s="18">
        <v>10000000</v>
      </c>
      <c r="F1740" s="7">
        <f t="shared" si="126"/>
        <v>2641721.7685798896</v>
      </c>
      <c r="G1740" s="7">
        <f t="shared" si="125"/>
        <v>8510.5919014570991</v>
      </c>
      <c r="H1740" s="18" t="s">
        <v>1839</v>
      </c>
      <c r="I1740" s="18" t="s">
        <v>2322</v>
      </c>
      <c r="J1740" s="18" t="s">
        <v>2323</v>
      </c>
      <c r="K1740" s="3">
        <v>0</v>
      </c>
      <c r="L1740" s="7" t="s">
        <v>2246</v>
      </c>
      <c r="M1740" s="7">
        <f t="shared" si="122"/>
        <v>0</v>
      </c>
      <c r="N1740" s="7">
        <f t="shared" si="121"/>
        <v>0</v>
      </c>
    </row>
    <row r="1741" spans="1:14" ht="15.6" x14ac:dyDescent="0.3">
      <c r="A1741" s="18" t="s">
        <v>1738</v>
      </c>
      <c r="B1741" s="7">
        <v>24</v>
      </c>
      <c r="C1741" s="7">
        <v>53</v>
      </c>
      <c r="D1741" s="18" t="s">
        <v>2324</v>
      </c>
      <c r="E1741" s="18">
        <v>14000000</v>
      </c>
      <c r="F1741" s="7">
        <f t="shared" si="126"/>
        <v>3698410.4760118453</v>
      </c>
      <c r="G1741" s="7">
        <f t="shared" si="125"/>
        <v>11914.828662039939</v>
      </c>
      <c r="H1741" s="18" t="s">
        <v>1839</v>
      </c>
      <c r="I1741" s="18" t="s">
        <v>2322</v>
      </c>
      <c r="J1741" s="18" t="s">
        <v>2323</v>
      </c>
      <c r="K1741" s="3">
        <v>1.9</v>
      </c>
      <c r="L1741" s="7" t="s">
        <v>2246</v>
      </c>
      <c r="M1741" s="7">
        <f t="shared" si="122"/>
        <v>1.9E-3</v>
      </c>
      <c r="N1741" s="7">
        <f t="shared" si="121"/>
        <v>0.58976759999999995</v>
      </c>
    </row>
    <row r="1742" spans="1:14" ht="15.6" x14ac:dyDescent="0.3">
      <c r="A1742" s="18" t="s">
        <v>1738</v>
      </c>
      <c r="B1742" s="7">
        <v>24</v>
      </c>
      <c r="C1742" s="7">
        <v>54</v>
      </c>
      <c r="D1742" s="18" t="s">
        <v>2325</v>
      </c>
      <c r="E1742" s="18">
        <v>4000000</v>
      </c>
      <c r="F1742" s="7">
        <f t="shared" si="126"/>
        <v>1056688.7074319557</v>
      </c>
      <c r="G1742" s="7">
        <f t="shared" si="125"/>
        <v>3404.2367605828395</v>
      </c>
      <c r="H1742" s="18" t="s">
        <v>1839</v>
      </c>
      <c r="I1742" s="18" t="s">
        <v>2322</v>
      </c>
      <c r="J1742" s="18" t="s">
        <v>2323</v>
      </c>
      <c r="K1742" s="3">
        <v>20.5</v>
      </c>
      <c r="L1742" s="7" t="s">
        <v>2246</v>
      </c>
      <c r="M1742" s="7">
        <f t="shared" si="122"/>
        <v>2.0500000000000001E-2</v>
      </c>
      <c r="N1742" s="7">
        <f t="shared" si="121"/>
        <v>6.3632820000000008</v>
      </c>
    </row>
    <row r="1743" spans="1:14" ht="15.6" x14ac:dyDescent="0.3">
      <c r="A1743" s="18" t="s">
        <v>1793</v>
      </c>
      <c r="B1743" s="7">
        <v>24</v>
      </c>
      <c r="C1743" s="7">
        <v>52</v>
      </c>
      <c r="D1743" s="18" t="s">
        <v>2321</v>
      </c>
      <c r="E1743" s="18">
        <v>10000000</v>
      </c>
      <c r="F1743" s="7">
        <f t="shared" si="126"/>
        <v>2641721.7685798896</v>
      </c>
      <c r="G1743" s="7">
        <f t="shared" si="125"/>
        <v>8510.5919014570991</v>
      </c>
      <c r="H1743" s="18" t="s">
        <v>1839</v>
      </c>
      <c r="I1743" s="18" t="s">
        <v>2322</v>
      </c>
      <c r="J1743" s="18" t="s">
        <v>2323</v>
      </c>
      <c r="K1743" s="3">
        <v>0</v>
      </c>
      <c r="L1743" s="7" t="s">
        <v>2246</v>
      </c>
      <c r="M1743" s="7">
        <f t="shared" si="122"/>
        <v>0</v>
      </c>
      <c r="N1743" s="7">
        <f t="shared" si="121"/>
        <v>0</v>
      </c>
    </row>
    <row r="1744" spans="1:14" ht="15.6" x14ac:dyDescent="0.3">
      <c r="A1744" s="18" t="s">
        <v>1793</v>
      </c>
      <c r="B1744" s="7">
        <v>24</v>
      </c>
      <c r="C1744" s="7">
        <v>53</v>
      </c>
      <c r="D1744" s="18" t="s">
        <v>2324</v>
      </c>
      <c r="E1744" s="18">
        <v>14000000</v>
      </c>
      <c r="F1744" s="7">
        <f t="shared" si="126"/>
        <v>3698410.4760118453</v>
      </c>
      <c r="G1744" s="7">
        <f t="shared" si="125"/>
        <v>11914.828662039939</v>
      </c>
      <c r="H1744" s="18" t="s">
        <v>1839</v>
      </c>
      <c r="I1744" s="18" t="s">
        <v>2322</v>
      </c>
      <c r="J1744" s="18" t="s">
        <v>2323</v>
      </c>
      <c r="K1744" s="3">
        <v>26.8</v>
      </c>
      <c r="L1744" s="7" t="s">
        <v>2246</v>
      </c>
      <c r="M1744" s="7">
        <f t="shared" si="122"/>
        <v>2.6800000000000001E-2</v>
      </c>
      <c r="N1744" s="7">
        <f t="shared" si="121"/>
        <v>8.3188271999999994</v>
      </c>
    </row>
    <row r="1745" spans="1:14" ht="15.6" x14ac:dyDescent="0.3">
      <c r="A1745" s="18" t="s">
        <v>1793</v>
      </c>
      <c r="B1745" s="7">
        <v>24</v>
      </c>
      <c r="C1745" s="7">
        <v>54</v>
      </c>
      <c r="D1745" s="18" t="s">
        <v>2325</v>
      </c>
      <c r="E1745" s="18">
        <v>4000000</v>
      </c>
      <c r="F1745" s="7">
        <f t="shared" si="126"/>
        <v>1056688.7074319557</v>
      </c>
      <c r="G1745" s="7">
        <f t="shared" si="125"/>
        <v>3404.2367605828395</v>
      </c>
      <c r="H1745" s="18" t="s">
        <v>1839</v>
      </c>
      <c r="I1745" s="18" t="s">
        <v>2322</v>
      </c>
      <c r="J1745" s="18" t="s">
        <v>2323</v>
      </c>
      <c r="K1745" s="3">
        <v>0</v>
      </c>
      <c r="L1745" s="7" t="s">
        <v>2246</v>
      </c>
      <c r="M1745" s="7">
        <f t="shared" si="122"/>
        <v>0</v>
      </c>
      <c r="N1745" s="7">
        <f t="shared" si="121"/>
        <v>0</v>
      </c>
    </row>
    <row r="1746" spans="1:14" ht="15.6" x14ac:dyDescent="0.3">
      <c r="A1746" s="18" t="s">
        <v>1745</v>
      </c>
      <c r="B1746" s="7">
        <v>24</v>
      </c>
      <c r="C1746" s="7">
        <v>52</v>
      </c>
      <c r="D1746" s="18" t="s">
        <v>2321</v>
      </c>
      <c r="E1746" s="18">
        <v>10000000</v>
      </c>
      <c r="F1746" s="7">
        <f t="shared" si="126"/>
        <v>2641721.7685798896</v>
      </c>
      <c r="G1746" s="7">
        <f t="shared" si="125"/>
        <v>8510.5919014570991</v>
      </c>
      <c r="H1746" s="18" t="s">
        <v>1839</v>
      </c>
      <c r="I1746" s="18" t="s">
        <v>2322</v>
      </c>
      <c r="J1746" s="18" t="s">
        <v>2323</v>
      </c>
      <c r="K1746" s="3">
        <v>13</v>
      </c>
      <c r="L1746" s="7" t="s">
        <v>2246</v>
      </c>
      <c r="M1746" s="7">
        <f t="shared" si="122"/>
        <v>1.2999999999999999E-2</v>
      </c>
      <c r="N1746" s="7">
        <f t="shared" si="121"/>
        <v>4.0352520000000007</v>
      </c>
    </row>
    <row r="1747" spans="1:14" ht="15.6" x14ac:dyDescent="0.3">
      <c r="A1747" s="18" t="s">
        <v>1745</v>
      </c>
      <c r="B1747" s="7">
        <v>24</v>
      </c>
      <c r="C1747" s="7">
        <v>53</v>
      </c>
      <c r="D1747" s="18" t="s">
        <v>2324</v>
      </c>
      <c r="E1747" s="18">
        <v>14000000</v>
      </c>
      <c r="F1747" s="7">
        <f t="shared" si="126"/>
        <v>3698410.4760118453</v>
      </c>
      <c r="G1747" s="7">
        <f t="shared" si="125"/>
        <v>11914.828662039939</v>
      </c>
      <c r="H1747" s="18" t="s">
        <v>1839</v>
      </c>
      <c r="I1747" s="18" t="s">
        <v>2322</v>
      </c>
      <c r="J1747" s="18" t="s">
        <v>2323</v>
      </c>
      <c r="K1747" s="3">
        <v>114.5</v>
      </c>
      <c r="L1747" s="7" t="s">
        <v>2246</v>
      </c>
      <c r="M1747" s="7">
        <f t="shared" si="122"/>
        <v>0.1145</v>
      </c>
      <c r="N1747" s="7">
        <f t="shared" si="121"/>
        <v>35.541257999999999</v>
      </c>
    </row>
    <row r="1748" spans="1:14" ht="15.6" x14ac:dyDescent="0.3">
      <c r="A1748" s="18" t="s">
        <v>1745</v>
      </c>
      <c r="B1748" s="7">
        <v>24</v>
      </c>
      <c r="C1748" s="7">
        <v>54</v>
      </c>
      <c r="D1748" s="18" t="s">
        <v>2325</v>
      </c>
      <c r="E1748" s="18">
        <v>4000000</v>
      </c>
      <c r="F1748" s="7">
        <f t="shared" si="126"/>
        <v>1056688.7074319557</v>
      </c>
      <c r="G1748" s="7">
        <f t="shared" si="125"/>
        <v>3404.2367605828395</v>
      </c>
      <c r="H1748" s="18" t="s">
        <v>1839</v>
      </c>
      <c r="I1748" s="18" t="s">
        <v>2322</v>
      </c>
      <c r="J1748" s="18" t="s">
        <v>2323</v>
      </c>
      <c r="K1748" s="3">
        <v>173.5</v>
      </c>
      <c r="L1748" s="7" t="s">
        <v>2246</v>
      </c>
      <c r="M1748" s="7">
        <f t="shared" si="122"/>
        <v>0.17349999999999999</v>
      </c>
      <c r="N1748" s="7">
        <f t="shared" si="121"/>
        <v>53.855093999999994</v>
      </c>
    </row>
    <row r="1749" spans="1:14" ht="15.6" x14ac:dyDescent="0.3">
      <c r="A1749" s="18" t="s">
        <v>1746</v>
      </c>
      <c r="B1749" s="7">
        <v>24</v>
      </c>
      <c r="C1749" s="7">
        <v>52</v>
      </c>
      <c r="D1749" s="18" t="s">
        <v>2321</v>
      </c>
      <c r="E1749" s="18">
        <v>10000000</v>
      </c>
      <c r="F1749" s="7">
        <f t="shared" si="126"/>
        <v>2641721.7685798896</v>
      </c>
      <c r="G1749" s="7">
        <f t="shared" si="125"/>
        <v>8510.5919014570991</v>
      </c>
      <c r="H1749" s="18" t="s">
        <v>1839</v>
      </c>
      <c r="I1749" s="18" t="s">
        <v>2322</v>
      </c>
      <c r="J1749" s="18" t="s">
        <v>2323</v>
      </c>
      <c r="K1749" s="3">
        <v>7.2</v>
      </c>
      <c r="L1749" s="7" t="s">
        <v>2246</v>
      </c>
      <c r="M1749" s="7">
        <f t="shared" si="122"/>
        <v>7.1999999999999998E-3</v>
      </c>
      <c r="N1749" s="7">
        <f t="shared" si="121"/>
        <v>2.2349087999999999</v>
      </c>
    </row>
    <row r="1750" spans="1:14" ht="15.6" x14ac:dyDescent="0.3">
      <c r="A1750" s="18" t="s">
        <v>1746</v>
      </c>
      <c r="B1750" s="7">
        <v>24</v>
      </c>
      <c r="C1750" s="7">
        <v>53</v>
      </c>
      <c r="D1750" s="18" t="s">
        <v>2324</v>
      </c>
      <c r="E1750" s="18">
        <v>14000000</v>
      </c>
      <c r="F1750" s="7">
        <f t="shared" si="126"/>
        <v>3698410.4760118453</v>
      </c>
      <c r="G1750" s="7">
        <f t="shared" si="125"/>
        <v>11914.828662039939</v>
      </c>
      <c r="H1750" s="18" t="s">
        <v>1839</v>
      </c>
      <c r="I1750" s="18" t="s">
        <v>2322</v>
      </c>
      <c r="J1750" s="18" t="s">
        <v>2323</v>
      </c>
      <c r="K1750" s="3">
        <v>42.7</v>
      </c>
      <c r="L1750" s="7" t="s">
        <v>2246</v>
      </c>
      <c r="M1750" s="7">
        <f t="shared" si="122"/>
        <v>4.2700000000000002E-2</v>
      </c>
      <c r="N1750" s="7">
        <f t="shared" si="121"/>
        <v>13.254250800000001</v>
      </c>
    </row>
    <row r="1751" spans="1:14" ht="15.6" x14ac:dyDescent="0.3">
      <c r="A1751" s="18" t="s">
        <v>1746</v>
      </c>
      <c r="B1751" s="7">
        <v>24</v>
      </c>
      <c r="C1751" s="7">
        <v>54</v>
      </c>
      <c r="D1751" s="18" t="s">
        <v>2325</v>
      </c>
      <c r="E1751" s="18">
        <v>4000000</v>
      </c>
      <c r="F1751" s="7">
        <f t="shared" si="126"/>
        <v>1056688.7074319557</v>
      </c>
      <c r="G1751" s="7">
        <f t="shared" si="125"/>
        <v>3404.2367605828395</v>
      </c>
      <c r="H1751" s="18" t="s">
        <v>1839</v>
      </c>
      <c r="I1751" s="18" t="s">
        <v>2322</v>
      </c>
      <c r="J1751" s="18" t="s">
        <v>2323</v>
      </c>
      <c r="K1751" s="3">
        <v>70.7</v>
      </c>
      <c r="L1751" s="7" t="s">
        <v>2246</v>
      </c>
      <c r="M1751" s="7">
        <f t="shared" si="122"/>
        <v>7.0699999999999999E-2</v>
      </c>
      <c r="N1751" s="7">
        <f t="shared" si="121"/>
        <v>21.945562799999998</v>
      </c>
    </row>
    <row r="1752" spans="1:14" ht="15.6" x14ac:dyDescent="0.3">
      <c r="A1752" s="18" t="s">
        <v>1792</v>
      </c>
      <c r="B1752" s="7">
        <v>24</v>
      </c>
      <c r="C1752" s="7">
        <v>52</v>
      </c>
      <c r="D1752" s="18" t="s">
        <v>2321</v>
      </c>
      <c r="E1752" s="18">
        <v>10000000</v>
      </c>
      <c r="F1752" s="7">
        <f t="shared" si="126"/>
        <v>2641721.7685798896</v>
      </c>
      <c r="G1752" s="7">
        <f t="shared" si="125"/>
        <v>8510.5919014570991</v>
      </c>
      <c r="H1752" s="18" t="s">
        <v>1840</v>
      </c>
      <c r="I1752" s="18" t="s">
        <v>2322</v>
      </c>
      <c r="J1752" s="18" t="s">
        <v>2323</v>
      </c>
      <c r="K1752" s="3">
        <v>0</v>
      </c>
      <c r="L1752" s="7" t="s">
        <v>2246</v>
      </c>
      <c r="M1752" s="7">
        <f t="shared" si="122"/>
        <v>0</v>
      </c>
      <c r="N1752" s="7">
        <f t="shared" si="121"/>
        <v>0</v>
      </c>
    </row>
    <row r="1753" spans="1:14" ht="15.6" x14ac:dyDescent="0.3">
      <c r="A1753" s="18" t="s">
        <v>1792</v>
      </c>
      <c r="B1753" s="7">
        <v>24</v>
      </c>
      <c r="C1753" s="7">
        <v>53</v>
      </c>
      <c r="D1753" s="18" t="s">
        <v>2324</v>
      </c>
      <c r="E1753" s="18">
        <v>14000000</v>
      </c>
      <c r="F1753" s="7">
        <f t="shared" si="126"/>
        <v>3698410.4760118453</v>
      </c>
      <c r="G1753" s="7">
        <f t="shared" si="125"/>
        <v>11914.828662039939</v>
      </c>
      <c r="H1753" s="18" t="s">
        <v>1840</v>
      </c>
      <c r="I1753" s="18" t="s">
        <v>2322</v>
      </c>
      <c r="J1753" s="18" t="s">
        <v>2323</v>
      </c>
      <c r="K1753" s="3">
        <v>0</v>
      </c>
      <c r="L1753" s="7" t="s">
        <v>2246</v>
      </c>
      <c r="M1753" s="7">
        <f t="shared" si="122"/>
        <v>0</v>
      </c>
      <c r="N1753" s="7">
        <f t="shared" si="121"/>
        <v>0</v>
      </c>
    </row>
    <row r="1754" spans="1:14" ht="15.6" x14ac:dyDescent="0.3">
      <c r="A1754" s="18" t="s">
        <v>1792</v>
      </c>
      <c r="B1754" s="7">
        <v>24</v>
      </c>
      <c r="C1754" s="7">
        <v>54</v>
      </c>
      <c r="D1754" s="18" t="s">
        <v>2325</v>
      </c>
      <c r="E1754" s="18">
        <v>4000000</v>
      </c>
      <c r="F1754" s="7">
        <f t="shared" si="126"/>
        <v>1056688.7074319557</v>
      </c>
      <c r="G1754" s="7">
        <f t="shared" si="125"/>
        <v>3404.2367605828395</v>
      </c>
      <c r="H1754" s="18" t="s">
        <v>1840</v>
      </c>
      <c r="I1754" s="18" t="s">
        <v>2322</v>
      </c>
      <c r="J1754" s="18" t="s">
        <v>2323</v>
      </c>
      <c r="K1754" s="3">
        <v>0</v>
      </c>
      <c r="L1754" s="7" t="s">
        <v>2246</v>
      </c>
      <c r="M1754" s="7">
        <f t="shared" si="122"/>
        <v>0</v>
      </c>
      <c r="N1754" s="7">
        <f t="shared" si="121"/>
        <v>0</v>
      </c>
    </row>
    <row r="1755" spans="1:14" ht="15.6" x14ac:dyDescent="0.3">
      <c r="A1755" s="18" t="s">
        <v>1760</v>
      </c>
      <c r="B1755" s="7">
        <v>24</v>
      </c>
      <c r="C1755" s="7">
        <v>52</v>
      </c>
      <c r="D1755" s="18" t="s">
        <v>2321</v>
      </c>
      <c r="E1755" s="18">
        <v>10000000</v>
      </c>
      <c r="F1755" s="7">
        <f t="shared" si="126"/>
        <v>2641721.7685798896</v>
      </c>
      <c r="G1755" s="7">
        <f t="shared" si="125"/>
        <v>8510.5919014570991</v>
      </c>
      <c r="H1755" s="18" t="s">
        <v>1840</v>
      </c>
      <c r="I1755" s="18" t="s">
        <v>2322</v>
      </c>
      <c r="J1755" s="18" t="s">
        <v>2323</v>
      </c>
      <c r="K1755" s="3">
        <v>0</v>
      </c>
      <c r="L1755" s="7" t="s">
        <v>2246</v>
      </c>
      <c r="M1755" s="7">
        <f t="shared" si="122"/>
        <v>0</v>
      </c>
      <c r="N1755" s="7">
        <f t="shared" si="121"/>
        <v>0</v>
      </c>
    </row>
    <row r="1756" spans="1:14" ht="15.6" x14ac:dyDescent="0.3">
      <c r="A1756" s="18" t="s">
        <v>1760</v>
      </c>
      <c r="B1756" s="7">
        <v>24</v>
      </c>
      <c r="C1756" s="7">
        <v>53</v>
      </c>
      <c r="D1756" s="18" t="s">
        <v>2324</v>
      </c>
      <c r="E1756" s="18">
        <v>14000000</v>
      </c>
      <c r="F1756" s="7">
        <f t="shared" si="126"/>
        <v>3698410.4760118453</v>
      </c>
      <c r="G1756" s="7">
        <f t="shared" si="125"/>
        <v>11914.828662039939</v>
      </c>
      <c r="H1756" s="18" t="s">
        <v>1840</v>
      </c>
      <c r="I1756" s="18" t="s">
        <v>2322</v>
      </c>
      <c r="J1756" s="18" t="s">
        <v>2323</v>
      </c>
      <c r="K1756" s="3">
        <v>0</v>
      </c>
      <c r="L1756" s="7" t="s">
        <v>2246</v>
      </c>
      <c r="M1756" s="7">
        <f t="shared" si="122"/>
        <v>0</v>
      </c>
      <c r="N1756" s="7">
        <f t="shared" si="121"/>
        <v>0</v>
      </c>
    </row>
    <row r="1757" spans="1:14" ht="15.6" x14ac:dyDescent="0.3">
      <c r="A1757" s="18" t="s">
        <v>1760</v>
      </c>
      <c r="B1757" s="7">
        <v>24</v>
      </c>
      <c r="C1757" s="7">
        <v>54</v>
      </c>
      <c r="D1757" s="18" t="s">
        <v>2325</v>
      </c>
      <c r="E1757" s="18">
        <v>4000000</v>
      </c>
      <c r="F1757" s="7">
        <f t="shared" si="126"/>
        <v>1056688.7074319557</v>
      </c>
      <c r="G1757" s="7">
        <f t="shared" si="125"/>
        <v>3404.2367605828395</v>
      </c>
      <c r="H1757" s="18" t="s">
        <v>1840</v>
      </c>
      <c r="I1757" s="18" t="s">
        <v>2322</v>
      </c>
      <c r="J1757" s="18" t="s">
        <v>2323</v>
      </c>
      <c r="K1757" s="3">
        <v>18.3</v>
      </c>
      <c r="L1757" s="7" t="s">
        <v>2246</v>
      </c>
      <c r="M1757" s="7">
        <f t="shared" si="122"/>
        <v>1.83E-2</v>
      </c>
      <c r="N1757" s="7">
        <f t="shared" si="121"/>
        <v>5.6803932000000001</v>
      </c>
    </row>
    <row r="1758" spans="1:14" ht="15.6" x14ac:dyDescent="0.3">
      <c r="A1758" s="18" t="s">
        <v>1731</v>
      </c>
      <c r="B1758" s="7">
        <v>24</v>
      </c>
      <c r="C1758" s="7">
        <v>52</v>
      </c>
      <c r="D1758" s="18" t="s">
        <v>2321</v>
      </c>
      <c r="E1758" s="18">
        <v>10000000</v>
      </c>
      <c r="F1758" s="7">
        <f t="shared" si="126"/>
        <v>2641721.7685798896</v>
      </c>
      <c r="G1758" s="7">
        <f t="shared" si="125"/>
        <v>8510.5919014570991</v>
      </c>
      <c r="H1758" s="18" t="s">
        <v>1840</v>
      </c>
      <c r="I1758" s="18" t="s">
        <v>2322</v>
      </c>
      <c r="J1758" s="18" t="s">
        <v>2323</v>
      </c>
      <c r="K1758" s="3">
        <v>0</v>
      </c>
      <c r="L1758" s="7" t="s">
        <v>2246</v>
      </c>
      <c r="M1758" s="7">
        <f t="shared" si="122"/>
        <v>0</v>
      </c>
      <c r="N1758" s="7">
        <f t="shared" si="121"/>
        <v>0</v>
      </c>
    </row>
    <row r="1759" spans="1:14" ht="15.6" x14ac:dyDescent="0.3">
      <c r="A1759" s="18" t="s">
        <v>1731</v>
      </c>
      <c r="B1759" s="7">
        <v>24</v>
      </c>
      <c r="C1759" s="7">
        <v>53</v>
      </c>
      <c r="D1759" s="18" t="s">
        <v>2324</v>
      </c>
      <c r="E1759" s="18">
        <v>14000000</v>
      </c>
      <c r="F1759" s="7">
        <f t="shared" si="126"/>
        <v>3698410.4760118453</v>
      </c>
      <c r="G1759" s="7">
        <f t="shared" si="125"/>
        <v>11914.828662039939</v>
      </c>
      <c r="H1759" s="18" t="s">
        <v>1840</v>
      </c>
      <c r="I1759" s="18" t="s">
        <v>2322</v>
      </c>
      <c r="J1759" s="18" t="s">
        <v>2323</v>
      </c>
      <c r="K1759" s="3">
        <v>0</v>
      </c>
      <c r="L1759" s="7" t="s">
        <v>2246</v>
      </c>
      <c r="M1759" s="7">
        <f t="shared" si="122"/>
        <v>0</v>
      </c>
      <c r="N1759" s="7">
        <f t="shared" si="121"/>
        <v>0</v>
      </c>
    </row>
    <row r="1760" spans="1:14" ht="15.6" x14ac:dyDescent="0.3">
      <c r="A1760" s="18" t="s">
        <v>1731</v>
      </c>
      <c r="B1760" s="7">
        <v>24</v>
      </c>
      <c r="C1760" s="7">
        <v>54</v>
      </c>
      <c r="D1760" s="18" t="s">
        <v>2325</v>
      </c>
      <c r="E1760" s="18">
        <v>4000000</v>
      </c>
      <c r="F1760" s="7">
        <f t="shared" si="126"/>
        <v>1056688.7074319557</v>
      </c>
      <c r="G1760" s="7">
        <f t="shared" si="125"/>
        <v>3404.2367605828395</v>
      </c>
      <c r="H1760" s="18" t="s">
        <v>1840</v>
      </c>
      <c r="I1760" s="18" t="s">
        <v>2322</v>
      </c>
      <c r="J1760" s="18" t="s">
        <v>2323</v>
      </c>
      <c r="K1760" s="3">
        <v>0</v>
      </c>
      <c r="L1760" s="7" t="s">
        <v>2246</v>
      </c>
      <c r="M1760" s="7">
        <f t="shared" si="122"/>
        <v>0</v>
      </c>
      <c r="N1760" s="7">
        <f t="shared" ref="N1760:N1823" si="127">IFERROR((M1760*F1760)/G1760,"ND")</f>
        <v>0</v>
      </c>
    </row>
    <row r="1761" spans="1:14" ht="15.6" x14ac:dyDescent="0.3">
      <c r="A1761" s="18" t="s">
        <v>1734</v>
      </c>
      <c r="B1761" s="7">
        <v>24</v>
      </c>
      <c r="C1761" s="7">
        <v>52</v>
      </c>
      <c r="D1761" s="18" t="s">
        <v>2321</v>
      </c>
      <c r="E1761" s="18">
        <v>10000000</v>
      </c>
      <c r="F1761" s="7">
        <f t="shared" si="126"/>
        <v>2641721.7685798896</v>
      </c>
      <c r="G1761" s="7">
        <f t="shared" si="125"/>
        <v>8510.5919014570991</v>
      </c>
      <c r="H1761" s="18" t="s">
        <v>1840</v>
      </c>
      <c r="I1761" s="18" t="s">
        <v>2322</v>
      </c>
      <c r="J1761" s="18" t="s">
        <v>2323</v>
      </c>
      <c r="K1761" s="3">
        <v>0</v>
      </c>
      <c r="L1761" s="7" t="s">
        <v>2246</v>
      </c>
      <c r="M1761" s="7">
        <f t="shared" si="122"/>
        <v>0</v>
      </c>
      <c r="N1761" s="7">
        <f t="shared" si="127"/>
        <v>0</v>
      </c>
    </row>
    <row r="1762" spans="1:14" ht="15.6" x14ac:dyDescent="0.3">
      <c r="A1762" s="18" t="s">
        <v>1734</v>
      </c>
      <c r="B1762" s="7">
        <v>24</v>
      </c>
      <c r="C1762" s="7">
        <v>53</v>
      </c>
      <c r="D1762" s="18" t="s">
        <v>2324</v>
      </c>
      <c r="E1762" s="18">
        <v>14000000</v>
      </c>
      <c r="F1762" s="7">
        <f t="shared" si="126"/>
        <v>3698410.4760118453</v>
      </c>
      <c r="G1762" s="7">
        <f t="shared" si="125"/>
        <v>11914.828662039939</v>
      </c>
      <c r="H1762" s="18" t="s">
        <v>1840</v>
      </c>
      <c r="I1762" s="18" t="s">
        <v>2322</v>
      </c>
      <c r="J1762" s="18" t="s">
        <v>2323</v>
      </c>
      <c r="K1762" s="3">
        <v>0</v>
      </c>
      <c r="L1762" s="7" t="s">
        <v>2246</v>
      </c>
      <c r="M1762" s="7">
        <f t="shared" si="122"/>
        <v>0</v>
      </c>
      <c r="N1762" s="7">
        <f t="shared" si="127"/>
        <v>0</v>
      </c>
    </row>
    <row r="1763" spans="1:14" ht="15.6" x14ac:dyDescent="0.3">
      <c r="A1763" s="18" t="s">
        <v>1734</v>
      </c>
      <c r="B1763" s="7">
        <v>24</v>
      </c>
      <c r="C1763" s="7">
        <v>54</v>
      </c>
      <c r="D1763" s="18" t="s">
        <v>2325</v>
      </c>
      <c r="E1763" s="18">
        <v>4000000</v>
      </c>
      <c r="F1763" s="7">
        <f t="shared" si="126"/>
        <v>1056688.7074319557</v>
      </c>
      <c r="G1763" s="7">
        <f t="shared" si="125"/>
        <v>3404.2367605828395</v>
      </c>
      <c r="H1763" s="18" t="s">
        <v>1840</v>
      </c>
      <c r="I1763" s="18" t="s">
        <v>2322</v>
      </c>
      <c r="J1763" s="18" t="s">
        <v>2323</v>
      </c>
      <c r="K1763" s="3">
        <v>0</v>
      </c>
      <c r="L1763" s="7" t="s">
        <v>2246</v>
      </c>
      <c r="M1763" s="7">
        <f t="shared" si="122"/>
        <v>0</v>
      </c>
      <c r="N1763" s="7">
        <f t="shared" si="127"/>
        <v>0</v>
      </c>
    </row>
    <row r="1764" spans="1:14" ht="15.6" x14ac:dyDescent="0.3">
      <c r="A1764" s="18" t="s">
        <v>1738</v>
      </c>
      <c r="B1764" s="7">
        <v>24</v>
      </c>
      <c r="C1764" s="7">
        <v>52</v>
      </c>
      <c r="D1764" s="18" t="s">
        <v>2321</v>
      </c>
      <c r="E1764" s="18">
        <v>10000000</v>
      </c>
      <c r="F1764" s="7">
        <f t="shared" si="126"/>
        <v>2641721.7685798896</v>
      </c>
      <c r="G1764" s="7">
        <f t="shared" si="125"/>
        <v>8510.5919014570991</v>
      </c>
      <c r="H1764" s="18" t="s">
        <v>1840</v>
      </c>
      <c r="I1764" s="18" t="s">
        <v>2322</v>
      </c>
      <c r="J1764" s="18" t="s">
        <v>2323</v>
      </c>
      <c r="K1764" s="3">
        <v>0</v>
      </c>
      <c r="L1764" s="7" t="s">
        <v>2246</v>
      </c>
      <c r="M1764" s="7">
        <f t="shared" si="122"/>
        <v>0</v>
      </c>
      <c r="N1764" s="7">
        <f t="shared" si="127"/>
        <v>0</v>
      </c>
    </row>
    <row r="1765" spans="1:14" ht="15.6" x14ac:dyDescent="0.3">
      <c r="A1765" s="18" t="s">
        <v>1738</v>
      </c>
      <c r="B1765" s="7">
        <v>24</v>
      </c>
      <c r="C1765" s="7">
        <v>53</v>
      </c>
      <c r="D1765" s="18" t="s">
        <v>2324</v>
      </c>
      <c r="E1765" s="18">
        <v>14000000</v>
      </c>
      <c r="F1765" s="7">
        <f t="shared" si="126"/>
        <v>3698410.4760118453</v>
      </c>
      <c r="G1765" s="7">
        <f t="shared" si="125"/>
        <v>11914.828662039939</v>
      </c>
      <c r="H1765" s="18" t="s">
        <v>1840</v>
      </c>
      <c r="I1765" s="18" t="s">
        <v>2322</v>
      </c>
      <c r="J1765" s="18" t="s">
        <v>2323</v>
      </c>
      <c r="K1765" s="3">
        <v>0</v>
      </c>
      <c r="L1765" s="7" t="s">
        <v>2246</v>
      </c>
      <c r="M1765" s="7">
        <f t="shared" si="122"/>
        <v>0</v>
      </c>
      <c r="N1765" s="7">
        <f t="shared" si="127"/>
        <v>0</v>
      </c>
    </row>
    <row r="1766" spans="1:14" ht="15.6" x14ac:dyDescent="0.3">
      <c r="A1766" s="18" t="s">
        <v>1738</v>
      </c>
      <c r="B1766" s="7">
        <v>24</v>
      </c>
      <c r="C1766" s="7">
        <v>54</v>
      </c>
      <c r="D1766" s="18" t="s">
        <v>2325</v>
      </c>
      <c r="E1766" s="18">
        <v>4000000</v>
      </c>
      <c r="F1766" s="7">
        <f t="shared" si="126"/>
        <v>1056688.7074319557</v>
      </c>
      <c r="G1766" s="7">
        <f t="shared" si="125"/>
        <v>3404.2367605828395</v>
      </c>
      <c r="H1766" s="18" t="s">
        <v>1840</v>
      </c>
      <c r="I1766" s="18" t="s">
        <v>2322</v>
      </c>
      <c r="J1766" s="18" t="s">
        <v>2323</v>
      </c>
      <c r="K1766" s="3">
        <v>0</v>
      </c>
      <c r="L1766" s="7" t="s">
        <v>2246</v>
      </c>
      <c r="M1766" s="7">
        <f t="shared" si="122"/>
        <v>0</v>
      </c>
      <c r="N1766" s="7">
        <f t="shared" si="127"/>
        <v>0</v>
      </c>
    </row>
    <row r="1767" spans="1:14" ht="15.6" x14ac:dyDescent="0.3">
      <c r="A1767" s="18" t="s">
        <v>1793</v>
      </c>
      <c r="B1767" s="7">
        <v>24</v>
      </c>
      <c r="C1767" s="7">
        <v>52</v>
      </c>
      <c r="D1767" s="18" t="s">
        <v>2321</v>
      </c>
      <c r="E1767" s="18">
        <v>10000000</v>
      </c>
      <c r="F1767" s="7">
        <f t="shared" si="126"/>
        <v>2641721.7685798896</v>
      </c>
      <c r="G1767" s="7">
        <f t="shared" si="125"/>
        <v>8510.5919014570991</v>
      </c>
      <c r="H1767" s="18" t="s">
        <v>1840</v>
      </c>
      <c r="I1767" s="18" t="s">
        <v>2322</v>
      </c>
      <c r="J1767" s="18" t="s">
        <v>2323</v>
      </c>
      <c r="K1767" s="3">
        <v>0</v>
      </c>
      <c r="L1767" s="7" t="s">
        <v>2246</v>
      </c>
      <c r="M1767" s="7">
        <f t="shared" si="122"/>
        <v>0</v>
      </c>
      <c r="N1767" s="7">
        <f t="shared" si="127"/>
        <v>0</v>
      </c>
    </row>
    <row r="1768" spans="1:14" ht="15.6" x14ac:dyDescent="0.3">
      <c r="A1768" s="18" t="s">
        <v>1793</v>
      </c>
      <c r="B1768" s="7">
        <v>24</v>
      </c>
      <c r="C1768" s="7">
        <v>53</v>
      </c>
      <c r="D1768" s="18" t="s">
        <v>2324</v>
      </c>
      <c r="E1768" s="18">
        <v>14000000</v>
      </c>
      <c r="F1768" s="7">
        <f t="shared" si="126"/>
        <v>3698410.4760118453</v>
      </c>
      <c r="G1768" s="7">
        <f t="shared" si="125"/>
        <v>11914.828662039939</v>
      </c>
      <c r="H1768" s="18" t="s">
        <v>1840</v>
      </c>
      <c r="I1768" s="18" t="s">
        <v>2322</v>
      </c>
      <c r="J1768" s="18" t="s">
        <v>2323</v>
      </c>
      <c r="K1768" s="3">
        <v>0</v>
      </c>
      <c r="L1768" s="7" t="s">
        <v>2246</v>
      </c>
      <c r="M1768" s="7">
        <f t="shared" si="122"/>
        <v>0</v>
      </c>
      <c r="N1768" s="7">
        <f t="shared" si="127"/>
        <v>0</v>
      </c>
    </row>
    <row r="1769" spans="1:14" ht="15.6" x14ac:dyDescent="0.3">
      <c r="A1769" s="18" t="s">
        <v>1793</v>
      </c>
      <c r="B1769" s="7">
        <v>24</v>
      </c>
      <c r="C1769" s="7">
        <v>54</v>
      </c>
      <c r="D1769" s="18" t="s">
        <v>2325</v>
      </c>
      <c r="E1769" s="18">
        <v>4000000</v>
      </c>
      <c r="F1769" s="7">
        <f t="shared" si="126"/>
        <v>1056688.7074319557</v>
      </c>
      <c r="G1769" s="7">
        <f t="shared" si="125"/>
        <v>3404.2367605828395</v>
      </c>
      <c r="H1769" s="18" t="s">
        <v>1840</v>
      </c>
      <c r="I1769" s="18" t="s">
        <v>2322</v>
      </c>
      <c r="J1769" s="18" t="s">
        <v>2323</v>
      </c>
      <c r="K1769" s="3">
        <v>0</v>
      </c>
      <c r="L1769" s="7" t="s">
        <v>2246</v>
      </c>
      <c r="M1769" s="7">
        <f t="shared" si="122"/>
        <v>0</v>
      </c>
      <c r="N1769" s="7">
        <f t="shared" si="127"/>
        <v>0</v>
      </c>
    </row>
    <row r="1770" spans="1:14" ht="15.6" x14ac:dyDescent="0.3">
      <c r="A1770" s="18" t="s">
        <v>1745</v>
      </c>
      <c r="B1770" s="7">
        <v>24</v>
      </c>
      <c r="C1770" s="7">
        <v>52</v>
      </c>
      <c r="D1770" s="18" t="s">
        <v>2321</v>
      </c>
      <c r="E1770" s="18">
        <v>10000000</v>
      </c>
      <c r="F1770" s="7">
        <f t="shared" si="126"/>
        <v>2641721.7685798896</v>
      </c>
      <c r="G1770" s="7">
        <f t="shared" si="125"/>
        <v>8510.5919014570991</v>
      </c>
      <c r="H1770" s="18" t="s">
        <v>1840</v>
      </c>
      <c r="I1770" s="18" t="s">
        <v>2322</v>
      </c>
      <c r="J1770" s="18" t="s">
        <v>2323</v>
      </c>
      <c r="K1770" s="3">
        <v>0.1</v>
      </c>
      <c r="L1770" s="7" t="s">
        <v>2246</v>
      </c>
      <c r="M1770" s="7">
        <f t="shared" si="122"/>
        <v>1E-4</v>
      </c>
      <c r="N1770" s="7">
        <f t="shared" si="127"/>
        <v>3.1040400000000003E-2</v>
      </c>
    </row>
    <row r="1771" spans="1:14" ht="15.6" x14ac:dyDescent="0.3">
      <c r="A1771" s="18" t="s">
        <v>1745</v>
      </c>
      <c r="B1771" s="7">
        <v>24</v>
      </c>
      <c r="C1771" s="7">
        <v>53</v>
      </c>
      <c r="D1771" s="18" t="s">
        <v>2324</v>
      </c>
      <c r="E1771" s="18">
        <v>14000000</v>
      </c>
      <c r="F1771" s="7">
        <f t="shared" si="126"/>
        <v>3698410.4760118453</v>
      </c>
      <c r="G1771" s="7">
        <f t="shared" si="125"/>
        <v>11914.828662039939</v>
      </c>
      <c r="H1771" s="18" t="s">
        <v>1840</v>
      </c>
      <c r="I1771" s="18" t="s">
        <v>2322</v>
      </c>
      <c r="J1771" s="18" t="s">
        <v>2323</v>
      </c>
      <c r="K1771" s="3">
        <v>27.3</v>
      </c>
      <c r="L1771" s="7" t="s">
        <v>2246</v>
      </c>
      <c r="M1771" s="7">
        <f t="shared" si="122"/>
        <v>2.7300000000000001E-2</v>
      </c>
      <c r="N1771" s="7">
        <f t="shared" si="127"/>
        <v>8.4740292000000004</v>
      </c>
    </row>
    <row r="1772" spans="1:14" ht="15.6" x14ac:dyDescent="0.3">
      <c r="A1772" s="18" t="s">
        <v>1745</v>
      </c>
      <c r="B1772" s="7">
        <v>24</v>
      </c>
      <c r="C1772" s="7">
        <v>54</v>
      </c>
      <c r="D1772" s="18" t="s">
        <v>2325</v>
      </c>
      <c r="E1772" s="18">
        <v>4000000</v>
      </c>
      <c r="F1772" s="7">
        <f t="shared" si="126"/>
        <v>1056688.7074319557</v>
      </c>
      <c r="G1772" s="7">
        <f t="shared" si="125"/>
        <v>3404.2367605828395</v>
      </c>
      <c r="H1772" s="18" t="s">
        <v>1840</v>
      </c>
      <c r="I1772" s="18" t="s">
        <v>2322</v>
      </c>
      <c r="J1772" s="18" t="s">
        <v>2323</v>
      </c>
      <c r="K1772" s="3">
        <v>27.3</v>
      </c>
      <c r="L1772" s="7" t="s">
        <v>2246</v>
      </c>
      <c r="M1772" s="7">
        <f t="shared" si="122"/>
        <v>2.7300000000000001E-2</v>
      </c>
      <c r="N1772" s="7">
        <f t="shared" si="127"/>
        <v>8.4740292000000004</v>
      </c>
    </row>
    <row r="1773" spans="1:14" ht="15.6" x14ac:dyDescent="0.3">
      <c r="A1773" s="18" t="s">
        <v>1746</v>
      </c>
      <c r="B1773" s="7">
        <v>24</v>
      </c>
      <c r="C1773" s="7">
        <v>52</v>
      </c>
      <c r="D1773" s="18" t="s">
        <v>2321</v>
      </c>
      <c r="E1773" s="18">
        <v>10000000</v>
      </c>
      <c r="F1773" s="7">
        <f t="shared" si="126"/>
        <v>2641721.7685798896</v>
      </c>
      <c r="G1773" s="7">
        <f t="shared" si="125"/>
        <v>8510.5919014570991</v>
      </c>
      <c r="H1773" s="18" t="s">
        <v>1840</v>
      </c>
      <c r="I1773" s="18" t="s">
        <v>2322</v>
      </c>
      <c r="J1773" s="18" t="s">
        <v>2323</v>
      </c>
      <c r="K1773" s="3">
        <v>0.4</v>
      </c>
      <c r="L1773" s="7" t="s">
        <v>2246</v>
      </c>
      <c r="M1773" s="7">
        <f t="shared" si="122"/>
        <v>4.0000000000000002E-4</v>
      </c>
      <c r="N1773" s="7">
        <f t="shared" si="127"/>
        <v>0.12416160000000001</v>
      </c>
    </row>
    <row r="1774" spans="1:14" ht="15.6" x14ac:dyDescent="0.3">
      <c r="A1774" s="18" t="s">
        <v>1746</v>
      </c>
      <c r="B1774" s="7">
        <v>24</v>
      </c>
      <c r="C1774" s="7">
        <v>53</v>
      </c>
      <c r="D1774" s="18" t="s">
        <v>2324</v>
      </c>
      <c r="E1774" s="18">
        <v>14000000</v>
      </c>
      <c r="F1774" s="7">
        <f t="shared" si="126"/>
        <v>3698410.4760118453</v>
      </c>
      <c r="G1774" s="7">
        <f t="shared" si="125"/>
        <v>11914.828662039939</v>
      </c>
      <c r="H1774" s="18" t="s">
        <v>1840</v>
      </c>
      <c r="I1774" s="18" t="s">
        <v>2322</v>
      </c>
      <c r="J1774" s="18" t="s">
        <v>2323</v>
      </c>
      <c r="K1774" s="3">
        <v>0</v>
      </c>
      <c r="L1774" s="7" t="s">
        <v>2246</v>
      </c>
      <c r="M1774" s="7">
        <f t="shared" si="122"/>
        <v>0</v>
      </c>
      <c r="N1774" s="7">
        <f t="shared" si="127"/>
        <v>0</v>
      </c>
    </row>
    <row r="1775" spans="1:14" ht="15.6" x14ac:dyDescent="0.3">
      <c r="A1775" s="18" t="s">
        <v>1746</v>
      </c>
      <c r="B1775" s="7">
        <v>24</v>
      </c>
      <c r="C1775" s="7">
        <v>54</v>
      </c>
      <c r="D1775" s="18" t="s">
        <v>2325</v>
      </c>
      <c r="E1775" s="18">
        <v>4000000</v>
      </c>
      <c r="F1775" s="7">
        <f t="shared" si="126"/>
        <v>1056688.7074319557</v>
      </c>
      <c r="G1775" s="7">
        <f t="shared" si="125"/>
        <v>3404.2367605828395</v>
      </c>
      <c r="H1775" s="18" t="s">
        <v>1840</v>
      </c>
      <c r="I1775" s="18" t="s">
        <v>2322</v>
      </c>
      <c r="J1775" s="18" t="s">
        <v>2323</v>
      </c>
      <c r="K1775" s="3">
        <v>0</v>
      </c>
      <c r="L1775" s="7" t="s">
        <v>2246</v>
      </c>
      <c r="M1775" s="7">
        <f t="shared" ref="M1775:M1838" si="128">IFERROR(K1775/1000,"ND")</f>
        <v>0</v>
      </c>
      <c r="N1775" s="7">
        <f t="shared" si="127"/>
        <v>0</v>
      </c>
    </row>
    <row r="1776" spans="1:14" ht="15.6" x14ac:dyDescent="0.3">
      <c r="A1776" s="18" t="s">
        <v>1792</v>
      </c>
      <c r="B1776" s="7">
        <v>24</v>
      </c>
      <c r="C1776" s="7">
        <v>52</v>
      </c>
      <c r="D1776" s="18" t="s">
        <v>2321</v>
      </c>
      <c r="E1776" s="18">
        <v>10000000</v>
      </c>
      <c r="F1776" s="7">
        <f t="shared" si="126"/>
        <v>2641721.7685798896</v>
      </c>
      <c r="G1776" s="7">
        <f t="shared" si="125"/>
        <v>8510.5919014570991</v>
      </c>
      <c r="H1776" s="18" t="s">
        <v>1841</v>
      </c>
      <c r="I1776" s="18" t="s">
        <v>2322</v>
      </c>
      <c r="J1776" s="18" t="s">
        <v>2323</v>
      </c>
      <c r="K1776" s="3">
        <v>0</v>
      </c>
      <c r="L1776" s="7" t="s">
        <v>2246</v>
      </c>
      <c r="M1776" s="7">
        <f t="shared" si="128"/>
        <v>0</v>
      </c>
      <c r="N1776" s="7">
        <f t="shared" si="127"/>
        <v>0</v>
      </c>
    </row>
    <row r="1777" spans="1:14" ht="15.6" x14ac:dyDescent="0.3">
      <c r="A1777" s="18" t="s">
        <v>1792</v>
      </c>
      <c r="B1777" s="7">
        <v>24</v>
      </c>
      <c r="C1777" s="7">
        <v>53</v>
      </c>
      <c r="D1777" s="18" t="s">
        <v>2324</v>
      </c>
      <c r="E1777" s="18">
        <v>14000000</v>
      </c>
      <c r="F1777" s="7">
        <f t="shared" si="126"/>
        <v>3698410.4760118453</v>
      </c>
      <c r="G1777" s="7">
        <f t="shared" si="125"/>
        <v>11914.828662039939</v>
      </c>
      <c r="H1777" s="18" t="s">
        <v>1841</v>
      </c>
      <c r="I1777" s="18" t="s">
        <v>2322</v>
      </c>
      <c r="J1777" s="18" t="s">
        <v>2323</v>
      </c>
      <c r="K1777" s="3">
        <v>6.9</v>
      </c>
      <c r="L1777" s="7" t="s">
        <v>2246</v>
      </c>
      <c r="M1777" s="7">
        <f t="shared" si="128"/>
        <v>6.9000000000000008E-3</v>
      </c>
      <c r="N1777" s="7">
        <f t="shared" si="127"/>
        <v>2.1417876000000002</v>
      </c>
    </row>
    <row r="1778" spans="1:14" ht="15.6" x14ac:dyDescent="0.3">
      <c r="A1778" s="18" t="s">
        <v>1792</v>
      </c>
      <c r="B1778" s="7">
        <v>24</v>
      </c>
      <c r="C1778" s="7">
        <v>54</v>
      </c>
      <c r="D1778" s="18" t="s">
        <v>2325</v>
      </c>
      <c r="E1778" s="18">
        <v>4000000</v>
      </c>
      <c r="F1778" s="7">
        <f t="shared" si="126"/>
        <v>1056688.7074319557</v>
      </c>
      <c r="G1778" s="7">
        <f t="shared" si="125"/>
        <v>3404.2367605828395</v>
      </c>
      <c r="H1778" s="18" t="s">
        <v>1841</v>
      </c>
      <c r="I1778" s="18" t="s">
        <v>2322</v>
      </c>
      <c r="J1778" s="18" t="s">
        <v>2323</v>
      </c>
      <c r="K1778" s="3">
        <v>0</v>
      </c>
      <c r="L1778" s="7" t="s">
        <v>2246</v>
      </c>
      <c r="M1778" s="7">
        <f t="shared" si="128"/>
        <v>0</v>
      </c>
      <c r="N1778" s="7">
        <f t="shared" si="127"/>
        <v>0</v>
      </c>
    </row>
    <row r="1779" spans="1:14" ht="15.6" x14ac:dyDescent="0.3">
      <c r="A1779" s="18" t="s">
        <v>1760</v>
      </c>
      <c r="B1779" s="7">
        <v>24</v>
      </c>
      <c r="C1779" s="7">
        <v>52</v>
      </c>
      <c r="D1779" s="18" t="s">
        <v>2321</v>
      </c>
      <c r="E1779" s="18">
        <v>10000000</v>
      </c>
      <c r="F1779" s="7">
        <f t="shared" si="126"/>
        <v>2641721.7685798896</v>
      </c>
      <c r="G1779" s="7">
        <f t="shared" si="125"/>
        <v>8510.5919014570991</v>
      </c>
      <c r="H1779" s="18" t="s">
        <v>1841</v>
      </c>
      <c r="I1779" s="18" t="s">
        <v>2322</v>
      </c>
      <c r="J1779" s="18" t="s">
        <v>2323</v>
      </c>
      <c r="K1779" s="3">
        <v>0</v>
      </c>
      <c r="L1779" s="7" t="s">
        <v>2246</v>
      </c>
      <c r="M1779" s="7">
        <f t="shared" si="128"/>
        <v>0</v>
      </c>
      <c r="N1779" s="7">
        <f t="shared" si="127"/>
        <v>0</v>
      </c>
    </row>
    <row r="1780" spans="1:14" ht="15.6" x14ac:dyDescent="0.3">
      <c r="A1780" s="18" t="s">
        <v>1760</v>
      </c>
      <c r="B1780" s="7">
        <v>24</v>
      </c>
      <c r="C1780" s="7">
        <v>53</v>
      </c>
      <c r="D1780" s="18" t="s">
        <v>2324</v>
      </c>
      <c r="E1780" s="18">
        <v>14000000</v>
      </c>
      <c r="F1780" s="7">
        <f t="shared" si="126"/>
        <v>3698410.4760118453</v>
      </c>
      <c r="G1780" s="7">
        <f t="shared" si="125"/>
        <v>11914.828662039939</v>
      </c>
      <c r="H1780" s="18" t="s">
        <v>1841</v>
      </c>
      <c r="I1780" s="18" t="s">
        <v>2322</v>
      </c>
      <c r="J1780" s="18" t="s">
        <v>2323</v>
      </c>
      <c r="K1780" s="3">
        <v>95.6</v>
      </c>
      <c r="L1780" s="7" t="s">
        <v>2246</v>
      </c>
      <c r="M1780" s="7">
        <f t="shared" si="128"/>
        <v>9.5599999999999991E-2</v>
      </c>
      <c r="N1780" s="7">
        <f t="shared" si="127"/>
        <v>29.674622399999993</v>
      </c>
    </row>
    <row r="1781" spans="1:14" ht="15.6" x14ac:dyDescent="0.3">
      <c r="A1781" s="18" t="s">
        <v>1760</v>
      </c>
      <c r="B1781" s="7">
        <v>24</v>
      </c>
      <c r="C1781" s="7">
        <v>54</v>
      </c>
      <c r="D1781" s="18" t="s">
        <v>2325</v>
      </c>
      <c r="E1781" s="18">
        <v>4000000</v>
      </c>
      <c r="F1781" s="7">
        <f t="shared" si="126"/>
        <v>1056688.7074319557</v>
      </c>
      <c r="G1781" s="7">
        <f t="shared" si="125"/>
        <v>3404.2367605828395</v>
      </c>
      <c r="H1781" s="18" t="s">
        <v>1841</v>
      </c>
      <c r="I1781" s="18" t="s">
        <v>2322</v>
      </c>
      <c r="J1781" s="18" t="s">
        <v>2323</v>
      </c>
      <c r="K1781" s="3">
        <v>0</v>
      </c>
      <c r="L1781" s="7" t="s">
        <v>2246</v>
      </c>
      <c r="M1781" s="7">
        <f t="shared" si="128"/>
        <v>0</v>
      </c>
      <c r="N1781" s="7">
        <f t="shared" si="127"/>
        <v>0</v>
      </c>
    </row>
    <row r="1782" spans="1:14" ht="15.6" x14ac:dyDescent="0.3">
      <c r="A1782" s="18" t="s">
        <v>1731</v>
      </c>
      <c r="B1782" s="7">
        <v>24</v>
      </c>
      <c r="C1782" s="7">
        <v>52</v>
      </c>
      <c r="D1782" s="18" t="s">
        <v>2321</v>
      </c>
      <c r="E1782" s="18">
        <v>10000000</v>
      </c>
      <c r="F1782" s="7">
        <f t="shared" si="126"/>
        <v>2641721.7685798896</v>
      </c>
      <c r="G1782" s="7">
        <f t="shared" si="125"/>
        <v>8510.5919014570991</v>
      </c>
      <c r="H1782" s="18" t="s">
        <v>1841</v>
      </c>
      <c r="I1782" s="18" t="s">
        <v>2322</v>
      </c>
      <c r="J1782" s="18" t="s">
        <v>2323</v>
      </c>
      <c r="K1782" s="3">
        <v>0</v>
      </c>
      <c r="L1782" s="7" t="s">
        <v>2246</v>
      </c>
      <c r="M1782" s="7">
        <f t="shared" si="128"/>
        <v>0</v>
      </c>
      <c r="N1782" s="7">
        <f t="shared" si="127"/>
        <v>0</v>
      </c>
    </row>
    <row r="1783" spans="1:14" ht="15.6" x14ac:dyDescent="0.3">
      <c r="A1783" s="18" t="s">
        <v>1731</v>
      </c>
      <c r="B1783" s="7">
        <v>24</v>
      </c>
      <c r="C1783" s="7">
        <v>53</v>
      </c>
      <c r="D1783" s="18" t="s">
        <v>2324</v>
      </c>
      <c r="E1783" s="18">
        <v>14000000</v>
      </c>
      <c r="F1783" s="7">
        <f t="shared" si="126"/>
        <v>3698410.4760118453</v>
      </c>
      <c r="G1783" s="7">
        <f t="shared" si="125"/>
        <v>11914.828662039939</v>
      </c>
      <c r="H1783" s="18" t="s">
        <v>1841</v>
      </c>
      <c r="I1783" s="18" t="s">
        <v>2322</v>
      </c>
      <c r="J1783" s="18" t="s">
        <v>2323</v>
      </c>
      <c r="K1783" s="3">
        <v>0.3</v>
      </c>
      <c r="L1783" s="7" t="s">
        <v>2246</v>
      </c>
      <c r="M1783" s="7">
        <f t="shared" si="128"/>
        <v>2.9999999999999997E-4</v>
      </c>
      <c r="N1783" s="7">
        <f t="shared" si="127"/>
        <v>9.3121200000000001E-2</v>
      </c>
    </row>
    <row r="1784" spans="1:14" ht="15.6" x14ac:dyDescent="0.3">
      <c r="A1784" s="18" t="s">
        <v>1731</v>
      </c>
      <c r="B1784" s="7">
        <v>24</v>
      </c>
      <c r="C1784" s="7">
        <v>54</v>
      </c>
      <c r="D1784" s="18" t="s">
        <v>2325</v>
      </c>
      <c r="E1784" s="18">
        <v>4000000</v>
      </c>
      <c r="F1784" s="7">
        <f t="shared" si="126"/>
        <v>1056688.7074319557</v>
      </c>
      <c r="G1784" s="7">
        <f t="shared" si="125"/>
        <v>3404.2367605828395</v>
      </c>
      <c r="H1784" s="18" t="s">
        <v>1841</v>
      </c>
      <c r="I1784" s="18" t="s">
        <v>2322</v>
      </c>
      <c r="J1784" s="18" t="s">
        <v>2323</v>
      </c>
      <c r="K1784" s="3">
        <v>19.899999999999999</v>
      </c>
      <c r="L1784" s="7" t="s">
        <v>2246</v>
      </c>
      <c r="M1784" s="7">
        <f t="shared" si="128"/>
        <v>1.9899999999999998E-2</v>
      </c>
      <c r="N1784" s="7">
        <f t="shared" si="127"/>
        <v>6.1770395999999996</v>
      </c>
    </row>
    <row r="1785" spans="1:14" ht="15.6" x14ac:dyDescent="0.3">
      <c r="A1785" s="18" t="s">
        <v>1734</v>
      </c>
      <c r="B1785" s="7">
        <v>24</v>
      </c>
      <c r="C1785" s="7">
        <v>52</v>
      </c>
      <c r="D1785" s="18" t="s">
        <v>2321</v>
      </c>
      <c r="E1785" s="18">
        <v>10000000</v>
      </c>
      <c r="F1785" s="7">
        <f t="shared" si="126"/>
        <v>2641721.7685798896</v>
      </c>
      <c r="G1785" s="7">
        <f t="shared" si="125"/>
        <v>8510.5919014570991</v>
      </c>
      <c r="H1785" s="18" t="s">
        <v>1841</v>
      </c>
      <c r="I1785" s="18" t="s">
        <v>2322</v>
      </c>
      <c r="J1785" s="18" t="s">
        <v>2323</v>
      </c>
      <c r="K1785" s="3">
        <v>67.099999999999994</v>
      </c>
      <c r="L1785" s="7" t="s">
        <v>2246</v>
      </c>
      <c r="M1785" s="7">
        <f t="shared" si="128"/>
        <v>6.7099999999999993E-2</v>
      </c>
      <c r="N1785" s="7">
        <f t="shared" si="127"/>
        <v>20.828108400000001</v>
      </c>
    </row>
    <row r="1786" spans="1:14" ht="15.6" x14ac:dyDescent="0.3">
      <c r="A1786" s="18" t="s">
        <v>1734</v>
      </c>
      <c r="B1786" s="7">
        <v>24</v>
      </c>
      <c r="C1786" s="7">
        <v>53</v>
      </c>
      <c r="D1786" s="18" t="s">
        <v>2324</v>
      </c>
      <c r="E1786" s="18">
        <v>14000000</v>
      </c>
      <c r="F1786" s="7">
        <f t="shared" si="126"/>
        <v>3698410.4760118453</v>
      </c>
      <c r="G1786" s="7">
        <f t="shared" si="125"/>
        <v>11914.828662039939</v>
      </c>
      <c r="H1786" s="18" t="s">
        <v>1841</v>
      </c>
      <c r="I1786" s="18" t="s">
        <v>2322</v>
      </c>
      <c r="J1786" s="18" t="s">
        <v>2323</v>
      </c>
      <c r="K1786" s="3">
        <v>61</v>
      </c>
      <c r="L1786" s="7" t="s">
        <v>2246</v>
      </c>
      <c r="M1786" s="7">
        <f t="shared" si="128"/>
        <v>6.0999999999999999E-2</v>
      </c>
      <c r="N1786" s="7">
        <f t="shared" si="127"/>
        <v>18.934643999999999</v>
      </c>
    </row>
    <row r="1787" spans="1:14" ht="15.6" x14ac:dyDescent="0.3">
      <c r="A1787" s="18" t="s">
        <v>1734</v>
      </c>
      <c r="B1787" s="7">
        <v>24</v>
      </c>
      <c r="C1787" s="7">
        <v>54</v>
      </c>
      <c r="D1787" s="18" t="s">
        <v>2325</v>
      </c>
      <c r="E1787" s="18">
        <v>4000000</v>
      </c>
      <c r="F1787" s="7">
        <f t="shared" si="126"/>
        <v>1056688.7074319557</v>
      </c>
      <c r="G1787" s="7">
        <f t="shared" ref="G1787:G1850" si="129">F1787/310.404</f>
        <v>3404.2367605828395</v>
      </c>
      <c r="H1787" s="18" t="s">
        <v>1841</v>
      </c>
      <c r="I1787" s="18" t="s">
        <v>2322</v>
      </c>
      <c r="J1787" s="18" t="s">
        <v>2323</v>
      </c>
      <c r="K1787" s="3">
        <v>0</v>
      </c>
      <c r="L1787" s="7" t="s">
        <v>2246</v>
      </c>
      <c r="M1787" s="7">
        <f t="shared" si="128"/>
        <v>0</v>
      </c>
      <c r="N1787" s="7">
        <f t="shared" si="127"/>
        <v>0</v>
      </c>
    </row>
    <row r="1788" spans="1:14" ht="15.6" x14ac:dyDescent="0.3">
      <c r="A1788" s="18" t="s">
        <v>1738</v>
      </c>
      <c r="B1788" s="7">
        <v>24</v>
      </c>
      <c r="C1788" s="7">
        <v>52</v>
      </c>
      <c r="D1788" s="18" t="s">
        <v>2321</v>
      </c>
      <c r="E1788" s="18">
        <v>10000000</v>
      </c>
      <c r="F1788" s="7">
        <f t="shared" si="126"/>
        <v>2641721.7685798896</v>
      </c>
      <c r="G1788" s="7">
        <f t="shared" si="129"/>
        <v>8510.5919014570991</v>
      </c>
      <c r="H1788" s="18" t="s">
        <v>1841</v>
      </c>
      <c r="I1788" s="18" t="s">
        <v>2322</v>
      </c>
      <c r="J1788" s="18" t="s">
        <v>2323</v>
      </c>
      <c r="K1788" s="3">
        <v>0</v>
      </c>
      <c r="L1788" s="7" t="s">
        <v>2246</v>
      </c>
      <c r="M1788" s="7">
        <f t="shared" si="128"/>
        <v>0</v>
      </c>
      <c r="N1788" s="7">
        <f t="shared" si="127"/>
        <v>0</v>
      </c>
    </row>
    <row r="1789" spans="1:14" ht="15.6" x14ac:dyDescent="0.3">
      <c r="A1789" s="18" t="s">
        <v>1738</v>
      </c>
      <c r="B1789" s="7">
        <v>24</v>
      </c>
      <c r="C1789" s="7">
        <v>53</v>
      </c>
      <c r="D1789" s="18" t="s">
        <v>2324</v>
      </c>
      <c r="E1789" s="18">
        <v>14000000</v>
      </c>
      <c r="F1789" s="7">
        <f t="shared" si="126"/>
        <v>3698410.4760118453</v>
      </c>
      <c r="G1789" s="7">
        <f t="shared" si="129"/>
        <v>11914.828662039939</v>
      </c>
      <c r="H1789" s="18" t="s">
        <v>1841</v>
      </c>
      <c r="I1789" s="18" t="s">
        <v>2322</v>
      </c>
      <c r="J1789" s="18" t="s">
        <v>2323</v>
      </c>
      <c r="K1789" s="3">
        <v>0</v>
      </c>
      <c r="L1789" s="7" t="s">
        <v>2246</v>
      </c>
      <c r="M1789" s="7">
        <f t="shared" si="128"/>
        <v>0</v>
      </c>
      <c r="N1789" s="7">
        <f t="shared" si="127"/>
        <v>0</v>
      </c>
    </row>
    <row r="1790" spans="1:14" ht="15.6" x14ac:dyDescent="0.3">
      <c r="A1790" s="18" t="s">
        <v>1738</v>
      </c>
      <c r="B1790" s="7">
        <v>24</v>
      </c>
      <c r="C1790" s="7">
        <v>54</v>
      </c>
      <c r="D1790" s="18" t="s">
        <v>2325</v>
      </c>
      <c r="E1790" s="18">
        <v>4000000</v>
      </c>
      <c r="F1790" s="7">
        <f t="shared" si="126"/>
        <v>1056688.7074319557</v>
      </c>
      <c r="G1790" s="7">
        <f t="shared" si="129"/>
        <v>3404.2367605828395</v>
      </c>
      <c r="H1790" s="18" t="s">
        <v>1841</v>
      </c>
      <c r="I1790" s="18" t="s">
        <v>2322</v>
      </c>
      <c r="J1790" s="18" t="s">
        <v>2323</v>
      </c>
      <c r="K1790" s="3">
        <v>0</v>
      </c>
      <c r="L1790" s="7" t="s">
        <v>2246</v>
      </c>
      <c r="M1790" s="7">
        <f t="shared" si="128"/>
        <v>0</v>
      </c>
      <c r="N1790" s="7">
        <f t="shared" si="127"/>
        <v>0</v>
      </c>
    </row>
    <row r="1791" spans="1:14" ht="15.6" x14ac:dyDescent="0.3">
      <c r="A1791" s="18" t="s">
        <v>1793</v>
      </c>
      <c r="B1791" s="7">
        <v>24</v>
      </c>
      <c r="C1791" s="7">
        <v>52</v>
      </c>
      <c r="D1791" s="18" t="s">
        <v>2321</v>
      </c>
      <c r="E1791" s="18">
        <v>10000000</v>
      </c>
      <c r="F1791" s="7">
        <f t="shared" si="126"/>
        <v>2641721.7685798896</v>
      </c>
      <c r="G1791" s="7">
        <f t="shared" si="129"/>
        <v>8510.5919014570991</v>
      </c>
      <c r="H1791" s="18" t="s">
        <v>1841</v>
      </c>
      <c r="I1791" s="18" t="s">
        <v>2322</v>
      </c>
      <c r="J1791" s="18" t="s">
        <v>2323</v>
      </c>
      <c r="K1791" s="3">
        <v>99.7</v>
      </c>
      <c r="L1791" s="7" t="s">
        <v>2246</v>
      </c>
      <c r="M1791" s="7">
        <f t="shared" si="128"/>
        <v>9.9699999999999997E-2</v>
      </c>
      <c r="N1791" s="7">
        <f t="shared" si="127"/>
        <v>30.947278800000003</v>
      </c>
    </row>
    <row r="1792" spans="1:14" ht="15.6" x14ac:dyDescent="0.3">
      <c r="A1792" s="18" t="s">
        <v>1793</v>
      </c>
      <c r="B1792" s="7">
        <v>24</v>
      </c>
      <c r="C1792" s="7">
        <v>53</v>
      </c>
      <c r="D1792" s="18" t="s">
        <v>2324</v>
      </c>
      <c r="E1792" s="18">
        <v>14000000</v>
      </c>
      <c r="F1792" s="7">
        <f t="shared" si="126"/>
        <v>3698410.4760118453</v>
      </c>
      <c r="G1792" s="7">
        <f t="shared" si="129"/>
        <v>11914.828662039939</v>
      </c>
      <c r="H1792" s="18" t="s">
        <v>1841</v>
      </c>
      <c r="I1792" s="18" t="s">
        <v>2322</v>
      </c>
      <c r="J1792" s="18" t="s">
        <v>2323</v>
      </c>
      <c r="K1792" s="3">
        <v>0</v>
      </c>
      <c r="L1792" s="7" t="s">
        <v>2246</v>
      </c>
      <c r="M1792" s="7">
        <f t="shared" si="128"/>
        <v>0</v>
      </c>
      <c r="N1792" s="7">
        <f t="shared" si="127"/>
        <v>0</v>
      </c>
    </row>
    <row r="1793" spans="1:14" ht="15.6" x14ac:dyDescent="0.3">
      <c r="A1793" s="18" t="s">
        <v>1793</v>
      </c>
      <c r="B1793" s="7">
        <v>24</v>
      </c>
      <c r="C1793" s="7">
        <v>54</v>
      </c>
      <c r="D1793" s="18" t="s">
        <v>2325</v>
      </c>
      <c r="E1793" s="18">
        <v>4000000</v>
      </c>
      <c r="F1793" s="7">
        <f t="shared" ref="F1793:F1842" si="130">E1793/3.78541</f>
        <v>1056688.7074319557</v>
      </c>
      <c r="G1793" s="7">
        <f t="shared" si="129"/>
        <v>3404.2367605828395</v>
      </c>
      <c r="H1793" s="18" t="s">
        <v>1841</v>
      </c>
      <c r="I1793" s="18" t="s">
        <v>2322</v>
      </c>
      <c r="J1793" s="18" t="s">
        <v>2323</v>
      </c>
      <c r="K1793" s="3">
        <v>19</v>
      </c>
      <c r="L1793" s="7" t="s">
        <v>2246</v>
      </c>
      <c r="M1793" s="7">
        <f t="shared" si="128"/>
        <v>1.9E-2</v>
      </c>
      <c r="N1793" s="7">
        <f t="shared" si="127"/>
        <v>5.8976759999999997</v>
      </c>
    </row>
    <row r="1794" spans="1:14" ht="15.6" x14ac:dyDescent="0.3">
      <c r="A1794" s="18" t="s">
        <v>1745</v>
      </c>
      <c r="B1794" s="7">
        <v>24</v>
      </c>
      <c r="C1794" s="7">
        <v>52</v>
      </c>
      <c r="D1794" s="18" t="s">
        <v>2321</v>
      </c>
      <c r="E1794" s="18">
        <v>10000000</v>
      </c>
      <c r="F1794" s="7">
        <f t="shared" si="130"/>
        <v>2641721.7685798896</v>
      </c>
      <c r="G1794" s="7">
        <f t="shared" si="129"/>
        <v>8510.5919014570991</v>
      </c>
      <c r="H1794" s="18" t="s">
        <v>1841</v>
      </c>
      <c r="I1794" s="18" t="s">
        <v>2322</v>
      </c>
      <c r="J1794" s="18" t="s">
        <v>2323</v>
      </c>
      <c r="K1794" s="3">
        <v>232</v>
      </c>
      <c r="L1794" s="7" t="s">
        <v>2246</v>
      </c>
      <c r="M1794" s="7">
        <f t="shared" si="128"/>
        <v>0.23200000000000001</v>
      </c>
      <c r="N1794" s="7">
        <f t="shared" si="127"/>
        <v>72.013728000000015</v>
      </c>
    </row>
    <row r="1795" spans="1:14" ht="15.6" x14ac:dyDescent="0.3">
      <c r="A1795" s="18" t="s">
        <v>1745</v>
      </c>
      <c r="B1795" s="7">
        <v>24</v>
      </c>
      <c r="C1795" s="7">
        <v>53</v>
      </c>
      <c r="D1795" s="18" t="s">
        <v>2324</v>
      </c>
      <c r="E1795" s="18">
        <v>14000000</v>
      </c>
      <c r="F1795" s="7">
        <f t="shared" si="130"/>
        <v>3698410.4760118453</v>
      </c>
      <c r="G1795" s="7">
        <f t="shared" si="129"/>
        <v>11914.828662039939</v>
      </c>
      <c r="H1795" s="18" t="s">
        <v>1841</v>
      </c>
      <c r="I1795" s="18" t="s">
        <v>2322</v>
      </c>
      <c r="J1795" s="18" t="s">
        <v>2323</v>
      </c>
      <c r="K1795" s="3">
        <v>17.100000000000001</v>
      </c>
      <c r="L1795" s="7" t="s">
        <v>2246</v>
      </c>
      <c r="M1795" s="7">
        <f t="shared" si="128"/>
        <v>1.7100000000000001E-2</v>
      </c>
      <c r="N1795" s="7">
        <f t="shared" si="127"/>
        <v>5.3079084000000005</v>
      </c>
    </row>
    <row r="1796" spans="1:14" ht="15.6" x14ac:dyDescent="0.3">
      <c r="A1796" s="18" t="s">
        <v>1745</v>
      </c>
      <c r="B1796" s="7">
        <v>24</v>
      </c>
      <c r="C1796" s="7">
        <v>54</v>
      </c>
      <c r="D1796" s="18" t="s">
        <v>2325</v>
      </c>
      <c r="E1796" s="18">
        <v>4000000</v>
      </c>
      <c r="F1796" s="7">
        <f t="shared" si="130"/>
        <v>1056688.7074319557</v>
      </c>
      <c r="G1796" s="7">
        <f t="shared" si="129"/>
        <v>3404.2367605828395</v>
      </c>
      <c r="H1796" s="18" t="s">
        <v>1841</v>
      </c>
      <c r="I1796" s="18" t="s">
        <v>2322</v>
      </c>
      <c r="J1796" s="18" t="s">
        <v>2323</v>
      </c>
      <c r="K1796" s="3">
        <v>208.7</v>
      </c>
      <c r="L1796" s="7" t="s">
        <v>2246</v>
      </c>
      <c r="M1796" s="7">
        <f t="shared" si="128"/>
        <v>0.2087</v>
      </c>
      <c r="N1796" s="7">
        <f t="shared" si="127"/>
        <v>64.781314800000004</v>
      </c>
    </row>
    <row r="1797" spans="1:14" ht="15.6" x14ac:dyDescent="0.3">
      <c r="A1797" s="18" t="s">
        <v>1746</v>
      </c>
      <c r="B1797" s="7">
        <v>24</v>
      </c>
      <c r="C1797" s="7">
        <v>52</v>
      </c>
      <c r="D1797" s="18" t="s">
        <v>2321</v>
      </c>
      <c r="E1797" s="18">
        <v>10000000</v>
      </c>
      <c r="F1797" s="7">
        <f t="shared" si="130"/>
        <v>2641721.7685798896</v>
      </c>
      <c r="G1797" s="7">
        <f t="shared" si="129"/>
        <v>8510.5919014570991</v>
      </c>
      <c r="H1797" s="18" t="s">
        <v>1841</v>
      </c>
      <c r="I1797" s="18" t="s">
        <v>2322</v>
      </c>
      <c r="J1797" s="18" t="s">
        <v>2323</v>
      </c>
      <c r="K1797" s="3">
        <v>168.9</v>
      </c>
      <c r="L1797" s="7" t="s">
        <v>2246</v>
      </c>
      <c r="M1797" s="7">
        <f t="shared" si="128"/>
        <v>0.16889999999999999</v>
      </c>
      <c r="N1797" s="7">
        <f t="shared" si="127"/>
        <v>52.427235599999996</v>
      </c>
    </row>
    <row r="1798" spans="1:14" ht="15.6" x14ac:dyDescent="0.3">
      <c r="A1798" s="18" t="s">
        <v>1746</v>
      </c>
      <c r="B1798" s="7">
        <v>24</v>
      </c>
      <c r="C1798" s="7">
        <v>53</v>
      </c>
      <c r="D1798" s="18" t="s">
        <v>2324</v>
      </c>
      <c r="E1798" s="18">
        <v>14000000</v>
      </c>
      <c r="F1798" s="7">
        <f t="shared" si="130"/>
        <v>3698410.4760118453</v>
      </c>
      <c r="G1798" s="7">
        <f t="shared" si="129"/>
        <v>11914.828662039939</v>
      </c>
      <c r="H1798" s="18" t="s">
        <v>1841</v>
      </c>
      <c r="I1798" s="18" t="s">
        <v>2322</v>
      </c>
      <c r="J1798" s="18" t="s">
        <v>2323</v>
      </c>
      <c r="K1798" s="3">
        <v>3.1</v>
      </c>
      <c r="L1798" s="7" t="s">
        <v>2246</v>
      </c>
      <c r="M1798" s="7">
        <f t="shared" si="128"/>
        <v>3.0999999999999999E-3</v>
      </c>
      <c r="N1798" s="7">
        <f t="shared" si="127"/>
        <v>0.9622523999999999</v>
      </c>
    </row>
    <row r="1799" spans="1:14" ht="15.6" x14ac:dyDescent="0.3">
      <c r="A1799" s="18" t="s">
        <v>1746</v>
      </c>
      <c r="B1799" s="7">
        <v>24</v>
      </c>
      <c r="C1799" s="7">
        <v>54</v>
      </c>
      <c r="D1799" s="18" t="s">
        <v>2325</v>
      </c>
      <c r="E1799" s="18">
        <v>4000000</v>
      </c>
      <c r="F1799" s="7">
        <f t="shared" si="130"/>
        <v>1056688.7074319557</v>
      </c>
      <c r="G1799" s="7">
        <f t="shared" si="129"/>
        <v>3404.2367605828395</v>
      </c>
      <c r="H1799" s="18" t="s">
        <v>1841</v>
      </c>
      <c r="I1799" s="18" t="s">
        <v>2322</v>
      </c>
      <c r="J1799" s="18" t="s">
        <v>2323</v>
      </c>
      <c r="K1799" s="3">
        <v>132.1</v>
      </c>
      <c r="L1799" s="7" t="s">
        <v>2246</v>
      </c>
      <c r="M1799" s="7">
        <f t="shared" si="128"/>
        <v>0.1321</v>
      </c>
      <c r="N1799" s="7">
        <f t="shared" si="127"/>
        <v>41.004368400000004</v>
      </c>
    </row>
    <row r="1800" spans="1:14" ht="15.6" x14ac:dyDescent="0.3">
      <c r="A1800" s="18" t="s">
        <v>1792</v>
      </c>
      <c r="B1800" s="7">
        <v>24</v>
      </c>
      <c r="C1800" s="7">
        <v>52</v>
      </c>
      <c r="D1800" s="18" t="s">
        <v>2321</v>
      </c>
      <c r="E1800" s="18">
        <v>10000000</v>
      </c>
      <c r="F1800" s="7">
        <f t="shared" si="130"/>
        <v>2641721.7685798896</v>
      </c>
      <c r="G1800" s="7">
        <f t="shared" si="129"/>
        <v>8510.5919014570991</v>
      </c>
      <c r="H1800" s="18" t="s">
        <v>1830</v>
      </c>
      <c r="I1800" s="18" t="s">
        <v>2322</v>
      </c>
      <c r="J1800" s="18" t="s">
        <v>2323</v>
      </c>
      <c r="K1800" s="3">
        <v>0</v>
      </c>
      <c r="L1800" s="7" t="s">
        <v>2246</v>
      </c>
      <c r="M1800" s="7">
        <f t="shared" si="128"/>
        <v>0</v>
      </c>
      <c r="N1800" s="7">
        <f t="shared" si="127"/>
        <v>0</v>
      </c>
    </row>
    <row r="1801" spans="1:14" ht="15.6" x14ac:dyDescent="0.3">
      <c r="A1801" s="18" t="s">
        <v>1792</v>
      </c>
      <c r="B1801" s="7">
        <v>24</v>
      </c>
      <c r="C1801" s="7">
        <v>53</v>
      </c>
      <c r="D1801" s="18" t="s">
        <v>2324</v>
      </c>
      <c r="E1801" s="18">
        <v>14000000</v>
      </c>
      <c r="F1801" s="7">
        <f t="shared" si="130"/>
        <v>3698410.4760118453</v>
      </c>
      <c r="G1801" s="7">
        <f t="shared" si="129"/>
        <v>11914.828662039939</v>
      </c>
      <c r="H1801" s="18" t="s">
        <v>1830</v>
      </c>
      <c r="I1801" s="18" t="s">
        <v>2322</v>
      </c>
      <c r="J1801" s="18" t="s">
        <v>2323</v>
      </c>
      <c r="K1801" s="3">
        <v>0</v>
      </c>
      <c r="L1801" s="7" t="s">
        <v>2246</v>
      </c>
      <c r="M1801" s="7">
        <f t="shared" si="128"/>
        <v>0</v>
      </c>
      <c r="N1801" s="7">
        <f t="shared" si="127"/>
        <v>0</v>
      </c>
    </row>
    <row r="1802" spans="1:14" ht="15.6" x14ac:dyDescent="0.3">
      <c r="A1802" s="18" t="s">
        <v>1792</v>
      </c>
      <c r="B1802" s="7">
        <v>24</v>
      </c>
      <c r="C1802" s="7">
        <v>54</v>
      </c>
      <c r="D1802" s="18" t="s">
        <v>2325</v>
      </c>
      <c r="E1802" s="18">
        <v>4000000</v>
      </c>
      <c r="F1802" s="7">
        <f t="shared" si="130"/>
        <v>1056688.7074319557</v>
      </c>
      <c r="G1802" s="7">
        <f t="shared" si="129"/>
        <v>3404.2367605828395</v>
      </c>
      <c r="H1802" s="18" t="s">
        <v>1830</v>
      </c>
      <c r="I1802" s="18" t="s">
        <v>2322</v>
      </c>
      <c r="J1802" s="18" t="s">
        <v>2323</v>
      </c>
      <c r="K1802" s="3">
        <v>0</v>
      </c>
      <c r="L1802" s="7" t="s">
        <v>2246</v>
      </c>
      <c r="M1802" s="7">
        <f t="shared" si="128"/>
        <v>0</v>
      </c>
      <c r="N1802" s="7">
        <f t="shared" si="127"/>
        <v>0</v>
      </c>
    </row>
    <row r="1803" spans="1:14" ht="15.6" x14ac:dyDescent="0.3">
      <c r="A1803" s="18" t="s">
        <v>1760</v>
      </c>
      <c r="B1803" s="7">
        <v>24</v>
      </c>
      <c r="C1803" s="7">
        <v>52</v>
      </c>
      <c r="D1803" s="18" t="s">
        <v>2321</v>
      </c>
      <c r="E1803" s="18">
        <v>10000000</v>
      </c>
      <c r="F1803" s="7">
        <f t="shared" si="130"/>
        <v>2641721.7685798896</v>
      </c>
      <c r="G1803" s="7">
        <f t="shared" si="129"/>
        <v>8510.5919014570991</v>
      </c>
      <c r="H1803" s="18" t="s">
        <v>1830</v>
      </c>
      <c r="I1803" s="18" t="s">
        <v>2322</v>
      </c>
      <c r="J1803" s="18" t="s">
        <v>2323</v>
      </c>
      <c r="K1803" s="3">
        <v>0</v>
      </c>
      <c r="L1803" s="7" t="s">
        <v>2246</v>
      </c>
      <c r="M1803" s="7">
        <f t="shared" si="128"/>
        <v>0</v>
      </c>
      <c r="N1803" s="7">
        <f t="shared" si="127"/>
        <v>0</v>
      </c>
    </row>
    <row r="1804" spans="1:14" ht="15.6" x14ac:dyDescent="0.3">
      <c r="A1804" s="18" t="s">
        <v>1760</v>
      </c>
      <c r="B1804" s="7">
        <v>24</v>
      </c>
      <c r="C1804" s="7">
        <v>53</v>
      </c>
      <c r="D1804" s="18" t="s">
        <v>2324</v>
      </c>
      <c r="E1804" s="18">
        <v>14000000</v>
      </c>
      <c r="F1804" s="7">
        <f t="shared" si="130"/>
        <v>3698410.4760118453</v>
      </c>
      <c r="G1804" s="7">
        <f t="shared" si="129"/>
        <v>11914.828662039939</v>
      </c>
      <c r="H1804" s="18" t="s">
        <v>1830</v>
      </c>
      <c r="I1804" s="18" t="s">
        <v>2322</v>
      </c>
      <c r="J1804" s="18" t="s">
        <v>2323</v>
      </c>
      <c r="K1804" s="3">
        <v>0</v>
      </c>
      <c r="L1804" s="7" t="s">
        <v>2246</v>
      </c>
      <c r="M1804" s="7">
        <f t="shared" si="128"/>
        <v>0</v>
      </c>
      <c r="N1804" s="7">
        <f t="shared" si="127"/>
        <v>0</v>
      </c>
    </row>
    <row r="1805" spans="1:14" ht="15.6" x14ac:dyDescent="0.3">
      <c r="A1805" s="18" t="s">
        <v>1760</v>
      </c>
      <c r="B1805" s="7">
        <v>24</v>
      </c>
      <c r="C1805" s="7">
        <v>54</v>
      </c>
      <c r="D1805" s="18" t="s">
        <v>2325</v>
      </c>
      <c r="E1805" s="18">
        <v>4000000</v>
      </c>
      <c r="F1805" s="7">
        <f t="shared" si="130"/>
        <v>1056688.7074319557</v>
      </c>
      <c r="G1805" s="7">
        <f t="shared" si="129"/>
        <v>3404.2367605828395</v>
      </c>
      <c r="H1805" s="18" t="s">
        <v>1830</v>
      </c>
      <c r="I1805" s="18" t="s">
        <v>2322</v>
      </c>
      <c r="J1805" s="18" t="s">
        <v>2323</v>
      </c>
      <c r="K1805" s="3">
        <v>0</v>
      </c>
      <c r="L1805" s="7" t="s">
        <v>2246</v>
      </c>
      <c r="M1805" s="7">
        <f t="shared" si="128"/>
        <v>0</v>
      </c>
      <c r="N1805" s="7">
        <f t="shared" si="127"/>
        <v>0</v>
      </c>
    </row>
    <row r="1806" spans="1:14" ht="15.6" x14ac:dyDescent="0.3">
      <c r="A1806" s="18" t="s">
        <v>1731</v>
      </c>
      <c r="B1806" s="7">
        <v>24</v>
      </c>
      <c r="C1806" s="7">
        <v>52</v>
      </c>
      <c r="D1806" s="18" t="s">
        <v>2321</v>
      </c>
      <c r="E1806" s="18">
        <v>10000000</v>
      </c>
      <c r="F1806" s="7">
        <f t="shared" si="130"/>
        <v>2641721.7685798896</v>
      </c>
      <c r="G1806" s="7">
        <f t="shared" si="129"/>
        <v>8510.5919014570991</v>
      </c>
      <c r="H1806" s="18" t="s">
        <v>1830</v>
      </c>
      <c r="I1806" s="18" t="s">
        <v>2322</v>
      </c>
      <c r="J1806" s="18" t="s">
        <v>2323</v>
      </c>
      <c r="K1806" s="3">
        <v>0</v>
      </c>
      <c r="L1806" s="7" t="s">
        <v>2246</v>
      </c>
      <c r="M1806" s="7">
        <f t="shared" si="128"/>
        <v>0</v>
      </c>
      <c r="N1806" s="7">
        <f t="shared" si="127"/>
        <v>0</v>
      </c>
    </row>
    <row r="1807" spans="1:14" ht="15.6" x14ac:dyDescent="0.3">
      <c r="A1807" s="18" t="s">
        <v>1731</v>
      </c>
      <c r="B1807" s="7">
        <v>24</v>
      </c>
      <c r="C1807" s="7">
        <v>53</v>
      </c>
      <c r="D1807" s="18" t="s">
        <v>2324</v>
      </c>
      <c r="E1807" s="18">
        <v>14000000</v>
      </c>
      <c r="F1807" s="7">
        <f t="shared" si="130"/>
        <v>3698410.4760118453</v>
      </c>
      <c r="G1807" s="7">
        <f t="shared" si="129"/>
        <v>11914.828662039939</v>
      </c>
      <c r="H1807" s="18" t="s">
        <v>1830</v>
      </c>
      <c r="I1807" s="18" t="s">
        <v>2322</v>
      </c>
      <c r="J1807" s="18" t="s">
        <v>2323</v>
      </c>
      <c r="K1807" s="3">
        <v>0</v>
      </c>
      <c r="L1807" s="7" t="s">
        <v>2246</v>
      </c>
      <c r="M1807" s="7">
        <f t="shared" si="128"/>
        <v>0</v>
      </c>
      <c r="N1807" s="7">
        <f t="shared" si="127"/>
        <v>0</v>
      </c>
    </row>
    <row r="1808" spans="1:14" ht="15.6" x14ac:dyDescent="0.3">
      <c r="A1808" s="18" t="s">
        <v>1731</v>
      </c>
      <c r="B1808" s="7">
        <v>24</v>
      </c>
      <c r="C1808" s="7">
        <v>54</v>
      </c>
      <c r="D1808" s="18" t="s">
        <v>2325</v>
      </c>
      <c r="E1808" s="18">
        <v>4000000</v>
      </c>
      <c r="F1808" s="7">
        <f t="shared" si="130"/>
        <v>1056688.7074319557</v>
      </c>
      <c r="G1808" s="7">
        <f t="shared" si="129"/>
        <v>3404.2367605828395</v>
      </c>
      <c r="H1808" s="18" t="s">
        <v>1830</v>
      </c>
      <c r="I1808" s="18" t="s">
        <v>2322</v>
      </c>
      <c r="J1808" s="18" t="s">
        <v>2323</v>
      </c>
      <c r="K1808" s="3">
        <v>0</v>
      </c>
      <c r="L1808" s="7" t="s">
        <v>2246</v>
      </c>
      <c r="M1808" s="7">
        <f t="shared" si="128"/>
        <v>0</v>
      </c>
      <c r="N1808" s="7">
        <f t="shared" si="127"/>
        <v>0</v>
      </c>
    </row>
    <row r="1809" spans="1:14" ht="15.6" x14ac:dyDescent="0.3">
      <c r="A1809" s="18" t="s">
        <v>1734</v>
      </c>
      <c r="B1809" s="7">
        <v>24</v>
      </c>
      <c r="C1809" s="7">
        <v>52</v>
      </c>
      <c r="D1809" s="18" t="s">
        <v>2321</v>
      </c>
      <c r="E1809" s="18">
        <v>10000000</v>
      </c>
      <c r="F1809" s="7">
        <f t="shared" si="130"/>
        <v>2641721.7685798896</v>
      </c>
      <c r="G1809" s="7">
        <f t="shared" si="129"/>
        <v>8510.5919014570991</v>
      </c>
      <c r="H1809" s="18" t="s">
        <v>1830</v>
      </c>
      <c r="I1809" s="18" t="s">
        <v>2322</v>
      </c>
      <c r="J1809" s="18" t="s">
        <v>2323</v>
      </c>
      <c r="K1809" s="3">
        <v>0</v>
      </c>
      <c r="L1809" s="7" t="s">
        <v>2246</v>
      </c>
      <c r="M1809" s="7">
        <f t="shared" si="128"/>
        <v>0</v>
      </c>
      <c r="N1809" s="7">
        <f t="shared" si="127"/>
        <v>0</v>
      </c>
    </row>
    <row r="1810" spans="1:14" ht="15.6" x14ac:dyDescent="0.3">
      <c r="A1810" s="18" t="s">
        <v>1734</v>
      </c>
      <c r="B1810" s="7">
        <v>24</v>
      </c>
      <c r="C1810" s="7">
        <v>53</v>
      </c>
      <c r="D1810" s="18" t="s">
        <v>2324</v>
      </c>
      <c r="E1810" s="18">
        <v>14000000</v>
      </c>
      <c r="F1810" s="7">
        <f t="shared" si="130"/>
        <v>3698410.4760118453</v>
      </c>
      <c r="G1810" s="7">
        <f t="shared" si="129"/>
        <v>11914.828662039939</v>
      </c>
      <c r="H1810" s="18" t="s">
        <v>1830</v>
      </c>
      <c r="I1810" s="18" t="s">
        <v>2322</v>
      </c>
      <c r="J1810" s="18" t="s">
        <v>2323</v>
      </c>
      <c r="K1810" s="3">
        <v>0</v>
      </c>
      <c r="L1810" s="7" t="s">
        <v>2246</v>
      </c>
      <c r="M1810" s="7">
        <f t="shared" si="128"/>
        <v>0</v>
      </c>
      <c r="N1810" s="7">
        <f t="shared" si="127"/>
        <v>0</v>
      </c>
    </row>
    <row r="1811" spans="1:14" ht="15.6" x14ac:dyDescent="0.3">
      <c r="A1811" s="18" t="s">
        <v>1734</v>
      </c>
      <c r="B1811" s="7">
        <v>24</v>
      </c>
      <c r="C1811" s="7">
        <v>54</v>
      </c>
      <c r="D1811" s="18" t="s">
        <v>2325</v>
      </c>
      <c r="E1811" s="18">
        <v>4000000</v>
      </c>
      <c r="F1811" s="7">
        <f t="shared" si="130"/>
        <v>1056688.7074319557</v>
      </c>
      <c r="G1811" s="7">
        <f t="shared" si="129"/>
        <v>3404.2367605828395</v>
      </c>
      <c r="H1811" s="18" t="s">
        <v>1830</v>
      </c>
      <c r="I1811" s="18" t="s">
        <v>2322</v>
      </c>
      <c r="J1811" s="18" t="s">
        <v>2323</v>
      </c>
      <c r="K1811" s="3">
        <v>0</v>
      </c>
      <c r="L1811" s="7" t="s">
        <v>2246</v>
      </c>
      <c r="M1811" s="7">
        <f t="shared" si="128"/>
        <v>0</v>
      </c>
      <c r="N1811" s="7">
        <f t="shared" si="127"/>
        <v>0</v>
      </c>
    </row>
    <row r="1812" spans="1:14" ht="15.6" x14ac:dyDescent="0.3">
      <c r="A1812" s="18" t="s">
        <v>1738</v>
      </c>
      <c r="B1812" s="7">
        <v>24</v>
      </c>
      <c r="C1812" s="7">
        <v>52</v>
      </c>
      <c r="D1812" s="18" t="s">
        <v>2321</v>
      </c>
      <c r="E1812" s="18">
        <v>10000000</v>
      </c>
      <c r="F1812" s="7">
        <f t="shared" si="130"/>
        <v>2641721.7685798896</v>
      </c>
      <c r="G1812" s="7">
        <f t="shared" si="129"/>
        <v>8510.5919014570991</v>
      </c>
      <c r="H1812" s="18" t="s">
        <v>1830</v>
      </c>
      <c r="I1812" s="18" t="s">
        <v>2322</v>
      </c>
      <c r="J1812" s="18" t="s">
        <v>2323</v>
      </c>
      <c r="K1812" s="3">
        <v>0</v>
      </c>
      <c r="L1812" s="7" t="s">
        <v>2246</v>
      </c>
      <c r="M1812" s="7">
        <f t="shared" si="128"/>
        <v>0</v>
      </c>
      <c r="N1812" s="7">
        <f t="shared" si="127"/>
        <v>0</v>
      </c>
    </row>
    <row r="1813" spans="1:14" ht="15.6" x14ac:dyDescent="0.3">
      <c r="A1813" s="18" t="s">
        <v>1738</v>
      </c>
      <c r="B1813" s="7">
        <v>24</v>
      </c>
      <c r="C1813" s="7">
        <v>53</v>
      </c>
      <c r="D1813" s="18" t="s">
        <v>2324</v>
      </c>
      <c r="E1813" s="18">
        <v>14000000</v>
      </c>
      <c r="F1813" s="7">
        <f t="shared" si="130"/>
        <v>3698410.4760118453</v>
      </c>
      <c r="G1813" s="7">
        <f t="shared" si="129"/>
        <v>11914.828662039939</v>
      </c>
      <c r="H1813" s="18" t="s">
        <v>1830</v>
      </c>
      <c r="I1813" s="18" t="s">
        <v>2322</v>
      </c>
      <c r="J1813" s="18" t="s">
        <v>2323</v>
      </c>
      <c r="K1813" s="3">
        <v>0</v>
      </c>
      <c r="L1813" s="7" t="s">
        <v>2246</v>
      </c>
      <c r="M1813" s="7">
        <f t="shared" si="128"/>
        <v>0</v>
      </c>
      <c r="N1813" s="7">
        <f t="shared" si="127"/>
        <v>0</v>
      </c>
    </row>
    <row r="1814" spans="1:14" ht="15.6" x14ac:dyDescent="0.3">
      <c r="A1814" s="18" t="s">
        <v>1738</v>
      </c>
      <c r="B1814" s="7">
        <v>24</v>
      </c>
      <c r="C1814" s="7">
        <v>54</v>
      </c>
      <c r="D1814" s="18" t="s">
        <v>2325</v>
      </c>
      <c r="E1814" s="18">
        <v>4000000</v>
      </c>
      <c r="F1814" s="7">
        <f t="shared" si="130"/>
        <v>1056688.7074319557</v>
      </c>
      <c r="G1814" s="7">
        <f t="shared" si="129"/>
        <v>3404.2367605828395</v>
      </c>
      <c r="H1814" s="18" t="s">
        <v>1830</v>
      </c>
      <c r="I1814" s="18" t="s">
        <v>2322</v>
      </c>
      <c r="J1814" s="18" t="s">
        <v>2323</v>
      </c>
      <c r="K1814" s="3">
        <v>0</v>
      </c>
      <c r="L1814" s="7" t="s">
        <v>2246</v>
      </c>
      <c r="M1814" s="7">
        <f t="shared" si="128"/>
        <v>0</v>
      </c>
      <c r="N1814" s="7">
        <f t="shared" si="127"/>
        <v>0</v>
      </c>
    </row>
    <row r="1815" spans="1:14" ht="15.6" x14ac:dyDescent="0.3">
      <c r="A1815" s="18" t="s">
        <v>1793</v>
      </c>
      <c r="B1815" s="7">
        <v>24</v>
      </c>
      <c r="C1815" s="7">
        <v>52</v>
      </c>
      <c r="D1815" s="18" t="s">
        <v>2321</v>
      </c>
      <c r="E1815" s="18">
        <v>10000000</v>
      </c>
      <c r="F1815" s="7">
        <f t="shared" si="130"/>
        <v>2641721.7685798896</v>
      </c>
      <c r="G1815" s="7">
        <f t="shared" si="129"/>
        <v>8510.5919014570991</v>
      </c>
      <c r="H1815" s="18" t="s">
        <v>1830</v>
      </c>
      <c r="I1815" s="18" t="s">
        <v>2322</v>
      </c>
      <c r="J1815" s="18" t="s">
        <v>2323</v>
      </c>
      <c r="K1815" s="3">
        <v>0</v>
      </c>
      <c r="L1815" s="7" t="s">
        <v>2246</v>
      </c>
      <c r="M1815" s="7">
        <f t="shared" si="128"/>
        <v>0</v>
      </c>
      <c r="N1815" s="7">
        <f t="shared" si="127"/>
        <v>0</v>
      </c>
    </row>
    <row r="1816" spans="1:14" ht="15.6" x14ac:dyDescent="0.3">
      <c r="A1816" s="18" t="s">
        <v>1793</v>
      </c>
      <c r="B1816" s="7">
        <v>24</v>
      </c>
      <c r="C1816" s="7">
        <v>53</v>
      </c>
      <c r="D1816" s="18" t="s">
        <v>2324</v>
      </c>
      <c r="E1816" s="18">
        <v>14000000</v>
      </c>
      <c r="F1816" s="7">
        <f t="shared" si="130"/>
        <v>3698410.4760118453</v>
      </c>
      <c r="G1816" s="7">
        <f t="shared" si="129"/>
        <v>11914.828662039939</v>
      </c>
      <c r="H1816" s="18" t="s">
        <v>1830</v>
      </c>
      <c r="I1816" s="18" t="s">
        <v>2322</v>
      </c>
      <c r="J1816" s="18" t="s">
        <v>2323</v>
      </c>
      <c r="K1816" s="3">
        <v>0</v>
      </c>
      <c r="L1816" s="7" t="s">
        <v>2246</v>
      </c>
      <c r="M1816" s="7">
        <f t="shared" si="128"/>
        <v>0</v>
      </c>
      <c r="N1816" s="7">
        <f t="shared" si="127"/>
        <v>0</v>
      </c>
    </row>
    <row r="1817" spans="1:14" ht="15.6" x14ac:dyDescent="0.3">
      <c r="A1817" s="18" t="s">
        <v>1793</v>
      </c>
      <c r="B1817" s="7">
        <v>24</v>
      </c>
      <c r="C1817" s="7">
        <v>54</v>
      </c>
      <c r="D1817" s="18" t="s">
        <v>2325</v>
      </c>
      <c r="E1817" s="18">
        <v>4000000</v>
      </c>
      <c r="F1817" s="7">
        <f t="shared" si="130"/>
        <v>1056688.7074319557</v>
      </c>
      <c r="G1817" s="7">
        <f t="shared" si="129"/>
        <v>3404.2367605828395</v>
      </c>
      <c r="H1817" s="18" t="s">
        <v>1830</v>
      </c>
      <c r="I1817" s="18" t="s">
        <v>2322</v>
      </c>
      <c r="J1817" s="18" t="s">
        <v>2323</v>
      </c>
      <c r="K1817" s="3">
        <v>0</v>
      </c>
      <c r="L1817" s="7" t="s">
        <v>2246</v>
      </c>
      <c r="M1817" s="7">
        <f t="shared" si="128"/>
        <v>0</v>
      </c>
      <c r="N1817" s="7">
        <f t="shared" si="127"/>
        <v>0</v>
      </c>
    </row>
    <row r="1818" spans="1:14" ht="15.6" x14ac:dyDescent="0.3">
      <c r="A1818" s="18" t="s">
        <v>1745</v>
      </c>
      <c r="B1818" s="7">
        <v>24</v>
      </c>
      <c r="C1818" s="7">
        <v>52</v>
      </c>
      <c r="D1818" s="18" t="s">
        <v>2321</v>
      </c>
      <c r="E1818" s="18">
        <v>10000000</v>
      </c>
      <c r="F1818" s="7">
        <f t="shared" si="130"/>
        <v>2641721.7685798896</v>
      </c>
      <c r="G1818" s="7">
        <f t="shared" si="129"/>
        <v>8510.5919014570991</v>
      </c>
      <c r="H1818" s="18" t="s">
        <v>1830</v>
      </c>
      <c r="I1818" s="18" t="s">
        <v>2322</v>
      </c>
      <c r="J1818" s="18" t="s">
        <v>2323</v>
      </c>
      <c r="K1818" s="3">
        <v>885</v>
      </c>
      <c r="L1818" s="7" t="s">
        <v>2246</v>
      </c>
      <c r="M1818" s="7">
        <f t="shared" si="128"/>
        <v>0.88500000000000001</v>
      </c>
      <c r="N1818" s="7">
        <f t="shared" si="127"/>
        <v>274.70753999999999</v>
      </c>
    </row>
    <row r="1819" spans="1:14" ht="15.6" x14ac:dyDescent="0.3">
      <c r="A1819" s="18" t="s">
        <v>1745</v>
      </c>
      <c r="B1819" s="7">
        <v>24</v>
      </c>
      <c r="C1819" s="7">
        <v>53</v>
      </c>
      <c r="D1819" s="18" t="s">
        <v>2324</v>
      </c>
      <c r="E1819" s="18">
        <v>14000000</v>
      </c>
      <c r="F1819" s="7">
        <f t="shared" si="130"/>
        <v>3698410.4760118453</v>
      </c>
      <c r="G1819" s="7">
        <f t="shared" si="129"/>
        <v>11914.828662039939</v>
      </c>
      <c r="H1819" s="18" t="s">
        <v>1830</v>
      </c>
      <c r="I1819" s="18" t="s">
        <v>2322</v>
      </c>
      <c r="J1819" s="18" t="s">
        <v>2323</v>
      </c>
      <c r="K1819" s="3">
        <v>345.8</v>
      </c>
      <c r="L1819" s="7" t="s">
        <v>2246</v>
      </c>
      <c r="M1819" s="7">
        <f t="shared" si="128"/>
        <v>0.3458</v>
      </c>
      <c r="N1819" s="7">
        <f t="shared" si="127"/>
        <v>107.33770319999999</v>
      </c>
    </row>
    <row r="1820" spans="1:14" ht="15.6" x14ac:dyDescent="0.3">
      <c r="A1820" s="18" t="s">
        <v>1745</v>
      </c>
      <c r="B1820" s="7">
        <v>24</v>
      </c>
      <c r="C1820" s="7">
        <v>54</v>
      </c>
      <c r="D1820" s="18" t="s">
        <v>2325</v>
      </c>
      <c r="E1820" s="18">
        <v>4000000</v>
      </c>
      <c r="F1820" s="7">
        <f t="shared" si="130"/>
        <v>1056688.7074319557</v>
      </c>
      <c r="G1820" s="7">
        <f t="shared" si="129"/>
        <v>3404.2367605828395</v>
      </c>
      <c r="H1820" s="18" t="s">
        <v>1830</v>
      </c>
      <c r="I1820" s="18" t="s">
        <v>2322</v>
      </c>
      <c r="J1820" s="18" t="s">
        <v>2323</v>
      </c>
      <c r="K1820" s="3">
        <v>284.7</v>
      </c>
      <c r="L1820" s="7" t="s">
        <v>2246</v>
      </c>
      <c r="M1820" s="7">
        <f t="shared" si="128"/>
        <v>0.28470000000000001</v>
      </c>
      <c r="N1820" s="7">
        <f t="shared" si="127"/>
        <v>88.372018800000006</v>
      </c>
    </row>
    <row r="1821" spans="1:14" ht="15.6" x14ac:dyDescent="0.3">
      <c r="A1821" s="18" t="s">
        <v>1746</v>
      </c>
      <c r="B1821" s="7">
        <v>24</v>
      </c>
      <c r="C1821" s="7">
        <v>52</v>
      </c>
      <c r="D1821" s="18" t="s">
        <v>2321</v>
      </c>
      <c r="E1821" s="18">
        <v>10000000</v>
      </c>
      <c r="F1821" s="7">
        <f t="shared" si="130"/>
        <v>2641721.7685798896</v>
      </c>
      <c r="G1821" s="7">
        <f t="shared" si="129"/>
        <v>8510.5919014570991</v>
      </c>
      <c r="H1821" s="18" t="s">
        <v>1830</v>
      </c>
      <c r="I1821" s="18" t="s">
        <v>2322</v>
      </c>
      <c r="J1821" s="18" t="s">
        <v>2323</v>
      </c>
      <c r="K1821" s="3">
        <v>557</v>
      </c>
      <c r="L1821" s="7" t="s">
        <v>2246</v>
      </c>
      <c r="M1821" s="7">
        <f t="shared" si="128"/>
        <v>0.55700000000000005</v>
      </c>
      <c r="N1821" s="7">
        <f t="shared" si="127"/>
        <v>172.89502800000002</v>
      </c>
    </row>
    <row r="1822" spans="1:14" ht="15.6" x14ac:dyDescent="0.3">
      <c r="A1822" s="18" t="s">
        <v>1746</v>
      </c>
      <c r="B1822" s="7">
        <v>24</v>
      </c>
      <c r="C1822" s="7">
        <v>53</v>
      </c>
      <c r="D1822" s="18" t="s">
        <v>2324</v>
      </c>
      <c r="E1822" s="18">
        <v>14000000</v>
      </c>
      <c r="F1822" s="7">
        <f t="shared" si="130"/>
        <v>3698410.4760118453</v>
      </c>
      <c r="G1822" s="7">
        <f t="shared" si="129"/>
        <v>11914.828662039939</v>
      </c>
      <c r="H1822" s="18" t="s">
        <v>1830</v>
      </c>
      <c r="I1822" s="18" t="s">
        <v>2322</v>
      </c>
      <c r="J1822" s="18" t="s">
        <v>2323</v>
      </c>
      <c r="K1822" s="3">
        <v>916</v>
      </c>
      <c r="L1822" s="7" t="s">
        <v>2246</v>
      </c>
      <c r="M1822" s="7">
        <f t="shared" si="128"/>
        <v>0.91600000000000004</v>
      </c>
      <c r="N1822" s="7">
        <f t="shared" si="127"/>
        <v>284.33006399999999</v>
      </c>
    </row>
    <row r="1823" spans="1:14" ht="15.6" x14ac:dyDescent="0.3">
      <c r="A1823" s="18" t="s">
        <v>1746</v>
      </c>
      <c r="B1823" s="7">
        <v>24</v>
      </c>
      <c r="C1823" s="7">
        <v>54</v>
      </c>
      <c r="D1823" s="18" t="s">
        <v>2325</v>
      </c>
      <c r="E1823" s="18">
        <v>4000000</v>
      </c>
      <c r="F1823" s="7">
        <f t="shared" si="130"/>
        <v>1056688.7074319557</v>
      </c>
      <c r="G1823" s="7">
        <f t="shared" si="129"/>
        <v>3404.2367605828395</v>
      </c>
      <c r="H1823" s="18" t="s">
        <v>1830</v>
      </c>
      <c r="I1823" s="18" t="s">
        <v>2322</v>
      </c>
      <c r="J1823" s="18" t="s">
        <v>2323</v>
      </c>
      <c r="K1823" s="3">
        <v>31.6</v>
      </c>
      <c r="L1823" s="7" t="s">
        <v>2246</v>
      </c>
      <c r="M1823" s="7">
        <f t="shared" si="128"/>
        <v>3.1600000000000003E-2</v>
      </c>
      <c r="N1823" s="7">
        <f t="shared" si="127"/>
        <v>9.8087663999999997</v>
      </c>
    </row>
    <row r="1824" spans="1:14" ht="15.6" x14ac:dyDescent="0.3">
      <c r="A1824" s="18" t="s">
        <v>1733</v>
      </c>
      <c r="B1824" s="7">
        <v>25</v>
      </c>
      <c r="C1824" s="7">
        <v>55</v>
      </c>
      <c r="D1824" s="18" t="s">
        <v>2326</v>
      </c>
      <c r="E1824" s="18">
        <v>8990000</v>
      </c>
      <c r="F1824" s="7">
        <f t="shared" si="130"/>
        <v>2374907.8699533208</v>
      </c>
      <c r="G1824" s="7">
        <f t="shared" si="129"/>
        <v>7651.0221194099331</v>
      </c>
      <c r="H1824" s="18" t="s">
        <v>1842</v>
      </c>
      <c r="I1824" s="18" t="s">
        <v>1843</v>
      </c>
      <c r="J1824" s="18" t="s">
        <v>1802</v>
      </c>
      <c r="K1824" s="3">
        <f>AVERAGE(0.89,1.7)*1000</f>
        <v>1295</v>
      </c>
      <c r="L1824" s="7" t="s">
        <v>2246</v>
      </c>
      <c r="M1824" s="7">
        <f t="shared" si="128"/>
        <v>1.2949999999999999</v>
      </c>
      <c r="N1824" s="7">
        <f t="shared" ref="N1824:N1876" si="131">IFERROR((M1824*F1824)/G1824,"ND")</f>
        <v>401.97317999999996</v>
      </c>
    </row>
    <row r="1825" spans="1:14" ht="15.6" x14ac:dyDescent="0.3">
      <c r="A1825" s="18" t="s">
        <v>1794</v>
      </c>
      <c r="B1825" s="7">
        <v>25</v>
      </c>
      <c r="C1825" s="7">
        <v>55</v>
      </c>
      <c r="D1825" s="18" t="s">
        <v>2326</v>
      </c>
      <c r="E1825" s="18">
        <v>8990000</v>
      </c>
      <c r="F1825" s="7">
        <f t="shared" si="130"/>
        <v>2374907.8699533208</v>
      </c>
      <c r="G1825" s="7">
        <f t="shared" si="129"/>
        <v>7651.0221194099331</v>
      </c>
      <c r="H1825" s="18" t="s">
        <v>1842</v>
      </c>
      <c r="I1825" s="18" t="s">
        <v>1843</v>
      </c>
      <c r="J1825" s="18" t="s">
        <v>1802</v>
      </c>
      <c r="K1825" s="3">
        <f>AVERAGE(0.28,0.35)*1000</f>
        <v>315</v>
      </c>
      <c r="L1825" s="7" t="s">
        <v>2246</v>
      </c>
      <c r="M1825" s="7">
        <f t="shared" si="128"/>
        <v>0.315</v>
      </c>
      <c r="N1825" s="7">
        <f t="shared" si="131"/>
        <v>97.777259999999998</v>
      </c>
    </row>
    <row r="1826" spans="1:14" ht="15.6" x14ac:dyDescent="0.3">
      <c r="A1826" s="18" t="s">
        <v>1735</v>
      </c>
      <c r="B1826" s="7">
        <v>25</v>
      </c>
      <c r="C1826" s="7">
        <v>55</v>
      </c>
      <c r="D1826" s="18" t="s">
        <v>2326</v>
      </c>
      <c r="E1826" s="18">
        <v>8990000</v>
      </c>
      <c r="F1826" s="7">
        <f t="shared" si="130"/>
        <v>2374907.8699533208</v>
      </c>
      <c r="G1826" s="7">
        <f t="shared" si="129"/>
        <v>7651.0221194099331</v>
      </c>
      <c r="H1826" s="18" t="s">
        <v>1842</v>
      </c>
      <c r="I1826" s="18" t="s">
        <v>1843</v>
      </c>
      <c r="J1826" s="18" t="s">
        <v>1802</v>
      </c>
      <c r="K1826" s="3">
        <f>AVERAGE(0.02, 0.33)*1000</f>
        <v>175.00000000000003</v>
      </c>
      <c r="L1826" s="7" t="s">
        <v>2246</v>
      </c>
      <c r="M1826" s="7">
        <f t="shared" si="128"/>
        <v>0.17500000000000002</v>
      </c>
      <c r="N1826" s="7">
        <f t="shared" si="131"/>
        <v>54.320700000000002</v>
      </c>
    </row>
    <row r="1827" spans="1:14" ht="15.6" x14ac:dyDescent="0.3">
      <c r="A1827" s="18" t="s">
        <v>1772</v>
      </c>
      <c r="B1827" s="7">
        <v>25</v>
      </c>
      <c r="C1827" s="7">
        <v>55</v>
      </c>
      <c r="D1827" s="18" t="s">
        <v>2326</v>
      </c>
      <c r="E1827" s="18">
        <v>8990000</v>
      </c>
      <c r="F1827" s="7">
        <f t="shared" si="130"/>
        <v>2374907.8699533208</v>
      </c>
      <c r="G1827" s="7">
        <f t="shared" si="129"/>
        <v>7651.0221194099331</v>
      </c>
      <c r="H1827" s="18" t="s">
        <v>1842</v>
      </c>
      <c r="I1827" s="18" t="s">
        <v>1843</v>
      </c>
      <c r="J1827" s="18" t="s">
        <v>1802</v>
      </c>
      <c r="K1827" s="3">
        <f>AVERAGE(0.43,1.9)*1000</f>
        <v>1165</v>
      </c>
      <c r="L1827" s="7" t="s">
        <v>2246</v>
      </c>
      <c r="M1827" s="7">
        <f t="shared" si="128"/>
        <v>1.165</v>
      </c>
      <c r="N1827" s="7">
        <f t="shared" si="131"/>
        <v>361.62065999999999</v>
      </c>
    </row>
    <row r="1828" spans="1:14" ht="15.6" x14ac:dyDescent="0.3">
      <c r="A1828" s="18" t="s">
        <v>1795</v>
      </c>
      <c r="B1828" s="7">
        <v>25</v>
      </c>
      <c r="C1828" s="7">
        <v>55</v>
      </c>
      <c r="D1828" s="18" t="s">
        <v>2326</v>
      </c>
      <c r="E1828" s="18">
        <v>8990000</v>
      </c>
      <c r="F1828" s="7">
        <f t="shared" si="130"/>
        <v>2374907.8699533208</v>
      </c>
      <c r="G1828" s="7">
        <f t="shared" si="129"/>
        <v>7651.0221194099331</v>
      </c>
      <c r="H1828" s="18" t="s">
        <v>1842</v>
      </c>
      <c r="I1828" s="18" t="s">
        <v>1843</v>
      </c>
      <c r="J1828" s="18" t="s">
        <v>1802</v>
      </c>
      <c r="K1828" s="3">
        <f>AVERAGE(0.03,0.33)*1000</f>
        <v>180</v>
      </c>
      <c r="L1828" s="7" t="s">
        <v>2246</v>
      </c>
      <c r="M1828" s="7">
        <f t="shared" si="128"/>
        <v>0.18</v>
      </c>
      <c r="N1828" s="7">
        <f t="shared" si="131"/>
        <v>55.872719999999994</v>
      </c>
    </row>
    <row r="1829" spans="1:14" ht="15.6" x14ac:dyDescent="0.3">
      <c r="A1829" s="18" t="s">
        <v>1796</v>
      </c>
      <c r="B1829" s="7">
        <v>25</v>
      </c>
      <c r="C1829" s="7">
        <v>55</v>
      </c>
      <c r="D1829" s="18" t="s">
        <v>2326</v>
      </c>
      <c r="E1829" s="18">
        <v>8990000</v>
      </c>
      <c r="F1829" s="7">
        <f t="shared" si="130"/>
        <v>2374907.8699533208</v>
      </c>
      <c r="G1829" s="7">
        <f t="shared" si="129"/>
        <v>7651.0221194099331</v>
      </c>
      <c r="H1829" s="18" t="s">
        <v>1842</v>
      </c>
      <c r="I1829" s="18" t="s">
        <v>1843</v>
      </c>
      <c r="J1829" s="18" t="s">
        <v>1802</v>
      </c>
      <c r="K1829" s="3">
        <f>AVERAGE(26.8,78.5)*1000</f>
        <v>52650</v>
      </c>
      <c r="L1829" s="7" t="s">
        <v>2246</v>
      </c>
      <c r="M1829" s="7">
        <f t="shared" si="128"/>
        <v>52.65</v>
      </c>
      <c r="N1829" s="7">
        <f t="shared" si="131"/>
        <v>16342.770599999998</v>
      </c>
    </row>
    <row r="1830" spans="1:14" ht="15.6" x14ac:dyDescent="0.3">
      <c r="A1830" s="18" t="s">
        <v>1797</v>
      </c>
      <c r="B1830" s="7">
        <v>25</v>
      </c>
      <c r="C1830" s="7">
        <v>55</v>
      </c>
      <c r="D1830" s="18" t="s">
        <v>2326</v>
      </c>
      <c r="E1830" s="18">
        <v>8990000</v>
      </c>
      <c r="F1830" s="7">
        <f t="shared" si="130"/>
        <v>2374907.8699533208</v>
      </c>
      <c r="G1830" s="7">
        <f t="shared" si="129"/>
        <v>7651.0221194099331</v>
      </c>
      <c r="H1830" s="18" t="s">
        <v>1842</v>
      </c>
      <c r="I1830" s="18" t="s">
        <v>1843</v>
      </c>
      <c r="J1830" s="18" t="s">
        <v>1802</v>
      </c>
      <c r="K1830" s="3">
        <f>AVERAGE(0.18,0.43)*1000</f>
        <v>305</v>
      </c>
      <c r="L1830" s="7" t="s">
        <v>2246</v>
      </c>
      <c r="M1830" s="7">
        <f t="shared" si="128"/>
        <v>0.30499999999999999</v>
      </c>
      <c r="N1830" s="7">
        <f t="shared" si="131"/>
        <v>94.673220000000001</v>
      </c>
    </row>
    <row r="1831" spans="1:14" ht="15.6" x14ac:dyDescent="0.3">
      <c r="A1831" s="18" t="s">
        <v>1776</v>
      </c>
      <c r="B1831" s="7">
        <v>25</v>
      </c>
      <c r="C1831" s="7">
        <v>55</v>
      </c>
      <c r="D1831" s="18" t="s">
        <v>2326</v>
      </c>
      <c r="E1831" s="18">
        <v>8990000</v>
      </c>
      <c r="F1831" s="7">
        <f t="shared" si="130"/>
        <v>2374907.8699533208</v>
      </c>
      <c r="G1831" s="7">
        <f t="shared" si="129"/>
        <v>7651.0221194099331</v>
      </c>
      <c r="H1831" s="18" t="s">
        <v>1842</v>
      </c>
      <c r="I1831" s="18" t="s">
        <v>1843</v>
      </c>
      <c r="J1831" s="18" t="s">
        <v>1802</v>
      </c>
      <c r="K1831" s="3">
        <f>AVERAGE(0.63,3.4)*1000</f>
        <v>2015.0000000000002</v>
      </c>
      <c r="L1831" s="7" t="s">
        <v>2246</v>
      </c>
      <c r="M1831" s="7">
        <f t="shared" si="128"/>
        <v>2.0150000000000001</v>
      </c>
      <c r="N1831" s="7">
        <f t="shared" si="131"/>
        <v>625.46406000000002</v>
      </c>
    </row>
    <row r="1832" spans="1:14" ht="15.6" x14ac:dyDescent="0.3">
      <c r="A1832" s="18" t="s">
        <v>1777</v>
      </c>
      <c r="B1832" s="7">
        <v>25</v>
      </c>
      <c r="C1832" s="7">
        <v>55</v>
      </c>
      <c r="D1832" s="18" t="s">
        <v>2326</v>
      </c>
      <c r="E1832" s="18">
        <v>8990000</v>
      </c>
      <c r="F1832" s="7">
        <f t="shared" si="130"/>
        <v>2374907.8699533208</v>
      </c>
      <c r="G1832" s="7">
        <f t="shared" si="129"/>
        <v>7651.0221194099331</v>
      </c>
      <c r="H1832" s="18" t="s">
        <v>1842</v>
      </c>
      <c r="I1832" s="18" t="s">
        <v>1843</v>
      </c>
      <c r="J1832" s="18" t="s">
        <v>1802</v>
      </c>
      <c r="K1832" s="3">
        <f>AVERAGE(36.1,73.3)*1000</f>
        <v>54700</v>
      </c>
      <c r="L1832" s="7" t="s">
        <v>2246</v>
      </c>
      <c r="M1832" s="7">
        <f t="shared" si="128"/>
        <v>54.7</v>
      </c>
      <c r="N1832" s="7">
        <f t="shared" si="131"/>
        <v>16979.0988</v>
      </c>
    </row>
    <row r="1833" spans="1:14" ht="15.6" x14ac:dyDescent="0.3">
      <c r="A1833" s="18" t="s">
        <v>1756</v>
      </c>
      <c r="B1833" s="7">
        <v>25</v>
      </c>
      <c r="C1833" s="7">
        <v>55</v>
      </c>
      <c r="D1833" s="18" t="s">
        <v>2326</v>
      </c>
      <c r="E1833" s="18">
        <v>8990000</v>
      </c>
      <c r="F1833" s="7">
        <f t="shared" si="130"/>
        <v>2374907.8699533208</v>
      </c>
      <c r="G1833" s="7">
        <f t="shared" si="129"/>
        <v>7651.0221194099331</v>
      </c>
      <c r="H1833" s="18" t="s">
        <v>1842</v>
      </c>
      <c r="I1833" s="18" t="s">
        <v>1843</v>
      </c>
      <c r="J1833" s="18" t="s">
        <v>1802</v>
      </c>
      <c r="K1833" s="3">
        <f>AVERAGE(0.44,0.82)*1000</f>
        <v>630</v>
      </c>
      <c r="L1833" s="7" t="s">
        <v>2246</v>
      </c>
      <c r="M1833" s="7">
        <f t="shared" si="128"/>
        <v>0.63</v>
      </c>
      <c r="N1833" s="7">
        <f t="shared" si="131"/>
        <v>195.55452</v>
      </c>
    </row>
    <row r="1834" spans="1:14" ht="15.6" x14ac:dyDescent="0.3">
      <c r="A1834" s="18" t="s">
        <v>1798</v>
      </c>
      <c r="B1834" s="7">
        <v>25</v>
      </c>
      <c r="C1834" s="7">
        <v>55</v>
      </c>
      <c r="D1834" s="18" t="s">
        <v>2326</v>
      </c>
      <c r="E1834" s="18">
        <v>8990000</v>
      </c>
      <c r="F1834" s="7">
        <f t="shared" si="130"/>
        <v>2374907.8699533208</v>
      </c>
      <c r="G1834" s="7">
        <f t="shared" si="129"/>
        <v>7651.0221194099331</v>
      </c>
      <c r="H1834" s="18" t="s">
        <v>1842</v>
      </c>
      <c r="I1834" s="18" t="s">
        <v>1843</v>
      </c>
      <c r="J1834" s="18" t="s">
        <v>1802</v>
      </c>
      <c r="K1834" s="3">
        <f>AVERAGE(0.13,0.44)*1000</f>
        <v>285.00000000000006</v>
      </c>
      <c r="L1834" s="7" t="s">
        <v>2246</v>
      </c>
      <c r="M1834" s="7">
        <f t="shared" si="128"/>
        <v>0.28500000000000003</v>
      </c>
      <c r="N1834" s="7">
        <f t="shared" si="131"/>
        <v>88.465140000000005</v>
      </c>
    </row>
    <row r="1835" spans="1:14" ht="15.6" x14ac:dyDescent="0.3">
      <c r="A1835" s="18" t="s">
        <v>1799</v>
      </c>
      <c r="B1835" s="7">
        <v>25</v>
      </c>
      <c r="C1835" s="7">
        <v>55</v>
      </c>
      <c r="D1835" s="18" t="s">
        <v>2326</v>
      </c>
      <c r="E1835" s="18">
        <v>8990000</v>
      </c>
      <c r="F1835" s="7">
        <f t="shared" si="130"/>
        <v>2374907.8699533208</v>
      </c>
      <c r="G1835" s="7">
        <f t="shared" si="129"/>
        <v>7651.0221194099331</v>
      </c>
      <c r="H1835" s="18" t="s">
        <v>1842</v>
      </c>
      <c r="I1835" s="18" t="s">
        <v>1843</v>
      </c>
      <c r="J1835" s="18" t="s">
        <v>1802</v>
      </c>
      <c r="K1835" s="3">
        <f>AVERAGE(0.12,0.33)*1000</f>
        <v>225</v>
      </c>
      <c r="L1835" s="7" t="s">
        <v>2246</v>
      </c>
      <c r="M1835" s="7">
        <f t="shared" si="128"/>
        <v>0.22500000000000001</v>
      </c>
      <c r="N1835" s="7">
        <f t="shared" si="131"/>
        <v>69.840899999999991</v>
      </c>
    </row>
    <row r="1836" spans="1:14" ht="15.6" x14ac:dyDescent="0.3">
      <c r="A1836" s="18" t="s">
        <v>1729</v>
      </c>
      <c r="B1836" s="7">
        <v>25</v>
      </c>
      <c r="C1836" s="7">
        <v>55</v>
      </c>
      <c r="D1836" s="18" t="s">
        <v>2326</v>
      </c>
      <c r="E1836" s="18">
        <v>8990000</v>
      </c>
      <c r="F1836" s="7">
        <f t="shared" si="130"/>
        <v>2374907.8699533208</v>
      </c>
      <c r="G1836" s="7">
        <f t="shared" si="129"/>
        <v>7651.0221194099331</v>
      </c>
      <c r="H1836" s="18" t="s">
        <v>1842</v>
      </c>
      <c r="I1836" s="18" t="s">
        <v>1843</v>
      </c>
      <c r="J1836" s="18" t="s">
        <v>1802</v>
      </c>
      <c r="K1836" s="3">
        <f>AVERAGE(24.9,46.6)*1000</f>
        <v>35750</v>
      </c>
      <c r="L1836" s="7" t="s">
        <v>2246</v>
      </c>
      <c r="M1836" s="7">
        <f t="shared" si="128"/>
        <v>35.75</v>
      </c>
      <c r="N1836" s="7">
        <f t="shared" si="131"/>
        <v>11096.943000000001</v>
      </c>
    </row>
    <row r="1837" spans="1:14" ht="15.6" x14ac:dyDescent="0.3">
      <c r="A1837" s="18" t="s">
        <v>1758</v>
      </c>
      <c r="B1837" s="7">
        <v>25</v>
      </c>
      <c r="C1837" s="7">
        <v>55</v>
      </c>
      <c r="D1837" s="18" t="s">
        <v>2326</v>
      </c>
      <c r="E1837" s="18">
        <v>8990000</v>
      </c>
      <c r="F1837" s="7">
        <f t="shared" si="130"/>
        <v>2374907.8699533208</v>
      </c>
      <c r="G1837" s="7">
        <f t="shared" si="129"/>
        <v>7651.0221194099331</v>
      </c>
      <c r="H1837" s="18" t="s">
        <v>1842</v>
      </c>
      <c r="I1837" s="18" t="s">
        <v>1843</v>
      </c>
      <c r="J1837" s="18" t="s">
        <v>1802</v>
      </c>
      <c r="K1837" s="3">
        <f>AVERAGE(0.22,1.5)*1000</f>
        <v>860</v>
      </c>
      <c r="L1837" s="7" t="s">
        <v>2246</v>
      </c>
      <c r="M1837" s="7">
        <f t="shared" si="128"/>
        <v>0.86</v>
      </c>
      <c r="N1837" s="7">
        <f t="shared" si="131"/>
        <v>266.94743999999997</v>
      </c>
    </row>
    <row r="1838" spans="1:14" ht="15.6" x14ac:dyDescent="0.3">
      <c r="A1838" s="18" t="s">
        <v>1745</v>
      </c>
      <c r="B1838" s="7">
        <v>25</v>
      </c>
      <c r="C1838" s="7">
        <v>55</v>
      </c>
      <c r="D1838" s="18" t="s">
        <v>2326</v>
      </c>
      <c r="E1838" s="18">
        <v>8990000</v>
      </c>
      <c r="F1838" s="7">
        <f t="shared" si="130"/>
        <v>2374907.8699533208</v>
      </c>
      <c r="G1838" s="7">
        <f t="shared" si="129"/>
        <v>7651.0221194099331</v>
      </c>
      <c r="H1838" s="18" t="s">
        <v>1842</v>
      </c>
      <c r="I1838" s="18" t="s">
        <v>1843</v>
      </c>
      <c r="J1838" s="18" t="s">
        <v>1802</v>
      </c>
      <c r="K1838" s="3">
        <f>AVERAGE(0.44,1)*1000</f>
        <v>720</v>
      </c>
      <c r="L1838" s="7" t="s">
        <v>2246</v>
      </c>
      <c r="M1838" s="7">
        <f t="shared" si="128"/>
        <v>0.72</v>
      </c>
      <c r="N1838" s="7">
        <f t="shared" si="131"/>
        <v>223.49087999999998</v>
      </c>
    </row>
    <row r="1839" spans="1:14" ht="15.6" x14ac:dyDescent="0.3">
      <c r="A1839" s="18" t="s">
        <v>1719</v>
      </c>
      <c r="B1839" s="7">
        <v>25</v>
      </c>
      <c r="C1839" s="7">
        <v>55</v>
      </c>
      <c r="D1839" s="18" t="s">
        <v>2326</v>
      </c>
      <c r="E1839" s="18">
        <v>8990000</v>
      </c>
      <c r="F1839" s="7">
        <f t="shared" si="130"/>
        <v>2374907.8699533208</v>
      </c>
      <c r="G1839" s="7">
        <f t="shared" si="129"/>
        <v>7651.0221194099331</v>
      </c>
      <c r="H1839" s="18" t="s">
        <v>1842</v>
      </c>
      <c r="I1839" s="18" t="s">
        <v>1843</v>
      </c>
      <c r="J1839" s="18" t="s">
        <v>1802</v>
      </c>
      <c r="K1839" s="3">
        <f>AVERAGE(0.33,0.8)*1000</f>
        <v>565.00000000000011</v>
      </c>
      <c r="L1839" s="7" t="s">
        <v>2246</v>
      </c>
      <c r="M1839" s="7">
        <f t="shared" ref="M1839:M1900" si="132">IFERROR(K1839/1000,"ND")</f>
        <v>0.56500000000000017</v>
      </c>
      <c r="N1839" s="7">
        <f t="shared" si="131"/>
        <v>175.37826000000004</v>
      </c>
    </row>
    <row r="1840" spans="1:14" ht="15.6" x14ac:dyDescent="0.3">
      <c r="A1840" s="18" t="s">
        <v>1746</v>
      </c>
      <c r="B1840" s="7">
        <v>25</v>
      </c>
      <c r="C1840" s="7">
        <v>55</v>
      </c>
      <c r="D1840" s="18" t="s">
        <v>2326</v>
      </c>
      <c r="E1840" s="18">
        <v>8990000</v>
      </c>
      <c r="F1840" s="7">
        <f t="shared" si="130"/>
        <v>2374907.8699533208</v>
      </c>
      <c r="G1840" s="7">
        <f t="shared" si="129"/>
        <v>7651.0221194099331</v>
      </c>
      <c r="H1840" s="18" t="s">
        <v>1842</v>
      </c>
      <c r="I1840" s="18" t="s">
        <v>1843</v>
      </c>
      <c r="J1840" s="18" t="s">
        <v>1802</v>
      </c>
      <c r="K1840" s="3">
        <f>AVERAGE(0.44,0.5)*1000</f>
        <v>470</v>
      </c>
      <c r="L1840" s="7" t="s">
        <v>2246</v>
      </c>
      <c r="M1840" s="7">
        <f t="shared" si="132"/>
        <v>0.47</v>
      </c>
      <c r="N1840" s="7">
        <f t="shared" si="131"/>
        <v>145.88988000000001</v>
      </c>
    </row>
    <row r="1841" spans="1:14" ht="15.6" x14ac:dyDescent="0.3">
      <c r="A1841" s="18" t="s">
        <v>1800</v>
      </c>
      <c r="B1841" s="7">
        <v>25</v>
      </c>
      <c r="C1841" s="7">
        <v>55</v>
      </c>
      <c r="D1841" s="18" t="s">
        <v>2326</v>
      </c>
      <c r="E1841" s="18">
        <v>8990000</v>
      </c>
      <c r="F1841" s="7">
        <f>E1841/3.78541</f>
        <v>2374907.8699533208</v>
      </c>
      <c r="G1841" s="7">
        <f t="shared" si="129"/>
        <v>7651.0221194099331</v>
      </c>
      <c r="H1841" s="18" t="s">
        <v>1842</v>
      </c>
      <c r="I1841" s="18" t="s">
        <v>1843</v>
      </c>
      <c r="J1841" s="18" t="s">
        <v>1802</v>
      </c>
      <c r="K1841" s="3">
        <f>AVERAGE(0.91,5.4)*1000</f>
        <v>3155.0000000000005</v>
      </c>
      <c r="L1841" s="7" t="s">
        <v>2246</v>
      </c>
      <c r="M1841" s="7">
        <f t="shared" si="132"/>
        <v>3.1550000000000002</v>
      </c>
      <c r="N1841" s="7">
        <f t="shared" si="131"/>
        <v>979.32461999999998</v>
      </c>
    </row>
    <row r="1842" spans="1:14" ht="15.6" x14ac:dyDescent="0.3">
      <c r="A1842" s="18" t="s">
        <v>1747</v>
      </c>
      <c r="B1842" s="7">
        <v>25</v>
      </c>
      <c r="C1842" s="7">
        <v>55</v>
      </c>
      <c r="D1842" s="18" t="s">
        <v>2326</v>
      </c>
      <c r="E1842" s="18">
        <v>8990000</v>
      </c>
      <c r="F1842" s="7">
        <f t="shared" si="130"/>
        <v>2374907.8699533208</v>
      </c>
      <c r="G1842" s="7">
        <f t="shared" si="129"/>
        <v>7651.0221194099331</v>
      </c>
      <c r="H1842" s="18" t="s">
        <v>1842</v>
      </c>
      <c r="I1842" s="18" t="s">
        <v>1843</v>
      </c>
      <c r="J1842" s="18" t="s">
        <v>1802</v>
      </c>
      <c r="K1842" s="3">
        <f>AVERAGE(0.33,0.61)*1000</f>
        <v>470</v>
      </c>
      <c r="L1842" s="7" t="s">
        <v>2246</v>
      </c>
      <c r="M1842" s="7">
        <f t="shared" si="132"/>
        <v>0.47</v>
      </c>
      <c r="N1842" s="7">
        <f t="shared" si="131"/>
        <v>145.88988000000001</v>
      </c>
    </row>
    <row r="1843" spans="1:14" ht="15.6" x14ac:dyDescent="0.3">
      <c r="A1843" s="18" t="s">
        <v>1745</v>
      </c>
      <c r="B1843" s="7">
        <v>26</v>
      </c>
      <c r="C1843" s="7">
        <v>56</v>
      </c>
      <c r="D1843" s="18" t="s">
        <v>2259</v>
      </c>
      <c r="E1843" s="18">
        <v>4000000</v>
      </c>
      <c r="F1843" s="18">
        <f>E1843</f>
        <v>4000000</v>
      </c>
      <c r="G1843" s="7">
        <f t="shared" si="129"/>
        <v>12886.431875877888</v>
      </c>
      <c r="H1843" s="18" t="s">
        <v>1844</v>
      </c>
      <c r="I1843" s="18" t="s">
        <v>1812</v>
      </c>
      <c r="J1843" s="18" t="s">
        <v>1807</v>
      </c>
      <c r="K1843" s="3">
        <v>754</v>
      </c>
      <c r="L1843" s="7" t="s">
        <v>2246</v>
      </c>
      <c r="M1843" s="7">
        <f t="shared" si="132"/>
        <v>0.754</v>
      </c>
      <c r="N1843" s="7">
        <f t="shared" si="131"/>
        <v>234.04461599999999</v>
      </c>
    </row>
    <row r="1844" spans="1:14" ht="15.6" x14ac:dyDescent="0.3">
      <c r="A1844" s="18" t="s">
        <v>1745</v>
      </c>
      <c r="B1844" s="7">
        <v>26</v>
      </c>
      <c r="C1844" s="7">
        <v>56</v>
      </c>
      <c r="D1844" s="18" t="s">
        <v>2259</v>
      </c>
      <c r="E1844" s="18">
        <v>4000000</v>
      </c>
      <c r="F1844" s="18">
        <f t="shared" ref="F1844:F1863" si="133">E1844</f>
        <v>4000000</v>
      </c>
      <c r="G1844" s="7">
        <f t="shared" si="129"/>
        <v>12886.431875877888</v>
      </c>
      <c r="H1844" s="18" t="s">
        <v>1845</v>
      </c>
      <c r="I1844" s="18" t="s">
        <v>1812</v>
      </c>
      <c r="J1844" s="18" t="s">
        <v>1807</v>
      </c>
      <c r="K1844" s="3">
        <v>4000</v>
      </c>
      <c r="L1844" s="7" t="s">
        <v>2246</v>
      </c>
      <c r="M1844" s="7">
        <f t="shared" si="132"/>
        <v>4</v>
      </c>
      <c r="N1844" s="7">
        <f t="shared" si="131"/>
        <v>1241.616</v>
      </c>
    </row>
    <row r="1845" spans="1:14" ht="15.6" x14ac:dyDescent="0.3">
      <c r="A1845" s="18" t="s">
        <v>1745</v>
      </c>
      <c r="B1845" s="7">
        <v>26</v>
      </c>
      <c r="C1845" s="7">
        <v>56</v>
      </c>
      <c r="D1845" s="18" t="s">
        <v>2259</v>
      </c>
      <c r="E1845" s="18">
        <v>4000000</v>
      </c>
      <c r="F1845" s="18">
        <f t="shared" si="133"/>
        <v>4000000</v>
      </c>
      <c r="G1845" s="7">
        <f t="shared" si="129"/>
        <v>12886.431875877888</v>
      </c>
      <c r="H1845" s="18" t="s">
        <v>1846</v>
      </c>
      <c r="I1845" s="18" t="s">
        <v>1812</v>
      </c>
      <c r="J1845" s="18" t="s">
        <v>1807</v>
      </c>
      <c r="K1845" s="3">
        <v>140</v>
      </c>
      <c r="L1845" s="7" t="s">
        <v>2246</v>
      </c>
      <c r="M1845" s="7">
        <f t="shared" si="132"/>
        <v>0.14000000000000001</v>
      </c>
      <c r="N1845" s="7">
        <f t="shared" si="131"/>
        <v>43.456560000000003</v>
      </c>
    </row>
    <row r="1846" spans="1:14" ht="15.6" x14ac:dyDescent="0.3">
      <c r="A1846" s="18" t="s">
        <v>1745</v>
      </c>
      <c r="B1846" s="7">
        <v>26</v>
      </c>
      <c r="C1846" s="7">
        <v>56</v>
      </c>
      <c r="D1846" s="18" t="s">
        <v>2259</v>
      </c>
      <c r="E1846" s="18">
        <v>4000000</v>
      </c>
      <c r="F1846" s="18">
        <f t="shared" si="133"/>
        <v>4000000</v>
      </c>
      <c r="G1846" s="7">
        <f t="shared" si="129"/>
        <v>12886.431875877888</v>
      </c>
      <c r="H1846" s="18" t="s">
        <v>1847</v>
      </c>
      <c r="I1846" s="18" t="s">
        <v>1812</v>
      </c>
      <c r="J1846" s="18" t="s">
        <v>1807</v>
      </c>
      <c r="K1846" s="3">
        <v>191</v>
      </c>
      <c r="L1846" s="7" t="s">
        <v>2246</v>
      </c>
      <c r="M1846" s="7">
        <f t="shared" si="132"/>
        <v>0.191</v>
      </c>
      <c r="N1846" s="7">
        <f t="shared" si="131"/>
        <v>59.287163999999997</v>
      </c>
    </row>
    <row r="1847" spans="1:14" ht="15.6" x14ac:dyDescent="0.3">
      <c r="A1847" s="18" t="s">
        <v>1745</v>
      </c>
      <c r="B1847" s="7">
        <v>26</v>
      </c>
      <c r="C1847" s="7">
        <v>56</v>
      </c>
      <c r="D1847" s="18" t="s">
        <v>2259</v>
      </c>
      <c r="E1847" s="18">
        <v>4000000</v>
      </c>
      <c r="F1847" s="18">
        <f t="shared" si="133"/>
        <v>4000000</v>
      </c>
      <c r="G1847" s="7">
        <f t="shared" si="129"/>
        <v>12886.431875877888</v>
      </c>
      <c r="H1847" s="18" t="s">
        <v>1848</v>
      </c>
      <c r="I1847" s="18" t="s">
        <v>1812</v>
      </c>
      <c r="J1847" s="18" t="s">
        <v>1807</v>
      </c>
      <c r="K1847" s="3">
        <v>115</v>
      </c>
      <c r="L1847" s="7" t="s">
        <v>2246</v>
      </c>
      <c r="M1847" s="7">
        <f t="shared" si="132"/>
        <v>0.115</v>
      </c>
      <c r="N1847" s="7">
        <f t="shared" si="131"/>
        <v>35.696460000000002</v>
      </c>
    </row>
    <row r="1848" spans="1:14" ht="15.6" x14ac:dyDescent="0.3">
      <c r="A1848" s="18" t="s">
        <v>1745</v>
      </c>
      <c r="B1848" s="7">
        <v>26</v>
      </c>
      <c r="C1848" s="7">
        <v>56</v>
      </c>
      <c r="D1848" s="18" t="s">
        <v>2259</v>
      </c>
      <c r="E1848" s="18">
        <v>4000000</v>
      </c>
      <c r="F1848" s="18">
        <f t="shared" si="133"/>
        <v>4000000</v>
      </c>
      <c r="G1848" s="7">
        <f t="shared" si="129"/>
        <v>12886.431875877888</v>
      </c>
      <c r="H1848" s="18" t="s">
        <v>1849</v>
      </c>
      <c r="I1848" s="18" t="s">
        <v>1812</v>
      </c>
      <c r="J1848" s="18" t="s">
        <v>1807</v>
      </c>
      <c r="K1848" s="3">
        <v>400</v>
      </c>
      <c r="L1848" s="7" t="s">
        <v>2246</v>
      </c>
      <c r="M1848" s="7">
        <f t="shared" si="132"/>
        <v>0.4</v>
      </c>
      <c r="N1848" s="7">
        <f t="shared" si="131"/>
        <v>124.16160000000001</v>
      </c>
    </row>
    <row r="1849" spans="1:14" ht="15.6" x14ac:dyDescent="0.3">
      <c r="A1849" s="18" t="s">
        <v>1745</v>
      </c>
      <c r="B1849" s="7">
        <v>26</v>
      </c>
      <c r="C1849" s="7">
        <v>56</v>
      </c>
      <c r="D1849" s="18" t="s">
        <v>2259</v>
      </c>
      <c r="E1849" s="18">
        <v>4000000</v>
      </c>
      <c r="F1849" s="18">
        <f t="shared" si="133"/>
        <v>4000000</v>
      </c>
      <c r="G1849" s="7">
        <f t="shared" si="129"/>
        <v>12886.431875877888</v>
      </c>
      <c r="H1849" s="18" t="s">
        <v>1850</v>
      </c>
      <c r="I1849" s="18" t="s">
        <v>1812</v>
      </c>
      <c r="J1849" s="18" t="s">
        <v>1807</v>
      </c>
      <c r="K1849" s="3">
        <v>540</v>
      </c>
      <c r="L1849" s="7" t="s">
        <v>2246</v>
      </c>
      <c r="M1849" s="7">
        <f t="shared" si="132"/>
        <v>0.54</v>
      </c>
      <c r="N1849" s="7">
        <f t="shared" si="131"/>
        <v>167.61815999999999</v>
      </c>
    </row>
    <row r="1850" spans="1:14" ht="15.6" x14ac:dyDescent="0.3">
      <c r="A1850" s="18" t="s">
        <v>1746</v>
      </c>
      <c r="B1850" s="7">
        <v>26</v>
      </c>
      <c r="C1850" s="7">
        <v>56</v>
      </c>
      <c r="D1850" s="18" t="s">
        <v>2259</v>
      </c>
      <c r="E1850" s="18">
        <v>4000000</v>
      </c>
      <c r="F1850" s="18">
        <f t="shared" si="133"/>
        <v>4000000</v>
      </c>
      <c r="G1850" s="7">
        <f t="shared" si="129"/>
        <v>12886.431875877888</v>
      </c>
      <c r="H1850" s="18" t="s">
        <v>1844</v>
      </c>
      <c r="I1850" s="18" t="s">
        <v>1812</v>
      </c>
      <c r="J1850" s="18" t="s">
        <v>1807</v>
      </c>
      <c r="K1850" s="3">
        <v>488</v>
      </c>
      <c r="L1850" s="7" t="s">
        <v>2246</v>
      </c>
      <c r="M1850" s="7">
        <f t="shared" si="132"/>
        <v>0.48799999999999999</v>
      </c>
      <c r="N1850" s="7">
        <f t="shared" si="131"/>
        <v>151.47715199999999</v>
      </c>
    </row>
    <row r="1851" spans="1:14" ht="15.6" x14ac:dyDescent="0.3">
      <c r="A1851" s="18" t="s">
        <v>1746</v>
      </c>
      <c r="B1851" s="7">
        <v>26</v>
      </c>
      <c r="C1851" s="7">
        <v>56</v>
      </c>
      <c r="D1851" s="18" t="s">
        <v>2259</v>
      </c>
      <c r="E1851" s="18">
        <v>4000000</v>
      </c>
      <c r="F1851" s="18">
        <f t="shared" si="133"/>
        <v>4000000</v>
      </c>
      <c r="G1851" s="7">
        <f t="shared" ref="G1851:G1863" si="134">F1851/310.404</f>
        <v>12886.431875877888</v>
      </c>
      <c r="H1851" s="18" t="s">
        <v>1845</v>
      </c>
      <c r="I1851" s="18" t="s">
        <v>1812</v>
      </c>
      <c r="J1851" s="18" t="s">
        <v>1807</v>
      </c>
      <c r="K1851" s="3">
        <v>2000</v>
      </c>
      <c r="L1851" s="7" t="s">
        <v>2246</v>
      </c>
      <c r="M1851" s="7">
        <f t="shared" si="132"/>
        <v>2</v>
      </c>
      <c r="N1851" s="7">
        <f t="shared" si="131"/>
        <v>620.80799999999999</v>
      </c>
    </row>
    <row r="1852" spans="1:14" ht="15.6" x14ac:dyDescent="0.3">
      <c r="A1852" s="18" t="s">
        <v>1746</v>
      </c>
      <c r="B1852" s="7">
        <v>26</v>
      </c>
      <c r="C1852" s="7">
        <v>56</v>
      </c>
      <c r="D1852" s="18" t="s">
        <v>2259</v>
      </c>
      <c r="E1852" s="18">
        <v>4000000</v>
      </c>
      <c r="F1852" s="18">
        <f t="shared" si="133"/>
        <v>4000000</v>
      </c>
      <c r="G1852" s="7">
        <f t="shared" si="134"/>
        <v>12886.431875877888</v>
      </c>
      <c r="H1852" s="18" t="s">
        <v>1846</v>
      </c>
      <c r="I1852" s="18" t="s">
        <v>1812</v>
      </c>
      <c r="J1852" s="18" t="s">
        <v>1807</v>
      </c>
      <c r="K1852" s="3">
        <v>1100</v>
      </c>
      <c r="L1852" s="7" t="s">
        <v>2246</v>
      </c>
      <c r="M1852" s="7">
        <f t="shared" si="132"/>
        <v>1.1000000000000001</v>
      </c>
      <c r="N1852" s="7">
        <f t="shared" si="131"/>
        <v>341.44439999999997</v>
      </c>
    </row>
    <row r="1853" spans="1:14" ht="15.6" x14ac:dyDescent="0.3">
      <c r="A1853" s="18" t="s">
        <v>1746</v>
      </c>
      <c r="B1853" s="7">
        <v>26</v>
      </c>
      <c r="C1853" s="7">
        <v>56</v>
      </c>
      <c r="D1853" s="18" t="s">
        <v>2259</v>
      </c>
      <c r="E1853" s="18">
        <v>4000000</v>
      </c>
      <c r="F1853" s="18">
        <f t="shared" si="133"/>
        <v>4000000</v>
      </c>
      <c r="G1853" s="7">
        <f t="shared" si="134"/>
        <v>12886.431875877888</v>
      </c>
      <c r="H1853" s="18" t="s">
        <v>1847</v>
      </c>
      <c r="I1853" s="18" t="s">
        <v>1812</v>
      </c>
      <c r="J1853" s="18" t="s">
        <v>1807</v>
      </c>
      <c r="K1853" s="3">
        <v>212</v>
      </c>
      <c r="L1853" s="7" t="s">
        <v>2246</v>
      </c>
      <c r="M1853" s="7">
        <f t="shared" si="132"/>
        <v>0.21199999999999999</v>
      </c>
      <c r="N1853" s="7">
        <f t="shared" si="131"/>
        <v>65.805648000000005</v>
      </c>
    </row>
    <row r="1854" spans="1:14" ht="15.6" x14ac:dyDescent="0.3">
      <c r="A1854" s="18" t="s">
        <v>1746</v>
      </c>
      <c r="B1854" s="7">
        <v>26</v>
      </c>
      <c r="C1854" s="7">
        <v>56</v>
      </c>
      <c r="D1854" s="18" t="s">
        <v>2259</v>
      </c>
      <c r="E1854" s="18">
        <v>4000000</v>
      </c>
      <c r="F1854" s="18">
        <f t="shared" si="133"/>
        <v>4000000</v>
      </c>
      <c r="G1854" s="7">
        <f t="shared" si="134"/>
        <v>12886.431875877888</v>
      </c>
      <c r="H1854" s="18" t="s">
        <v>1848</v>
      </c>
      <c r="I1854" s="18" t="s">
        <v>1812</v>
      </c>
      <c r="J1854" s="18" t="s">
        <v>1807</v>
      </c>
      <c r="K1854" s="3">
        <v>458</v>
      </c>
      <c r="L1854" s="7" t="s">
        <v>2246</v>
      </c>
      <c r="M1854" s="7">
        <f t="shared" si="132"/>
        <v>0.45800000000000002</v>
      </c>
      <c r="N1854" s="7">
        <f t="shared" si="131"/>
        <v>142.165032</v>
      </c>
    </row>
    <row r="1855" spans="1:14" ht="15.6" x14ac:dyDescent="0.3">
      <c r="A1855" s="18" t="s">
        <v>1746</v>
      </c>
      <c r="B1855" s="7">
        <v>26</v>
      </c>
      <c r="C1855" s="7">
        <v>56</v>
      </c>
      <c r="D1855" s="18" t="s">
        <v>2259</v>
      </c>
      <c r="E1855" s="18">
        <v>4000000</v>
      </c>
      <c r="F1855" s="18">
        <f t="shared" si="133"/>
        <v>4000000</v>
      </c>
      <c r="G1855" s="7">
        <f t="shared" si="134"/>
        <v>12886.431875877888</v>
      </c>
      <c r="H1855" s="18" t="s">
        <v>1849</v>
      </c>
      <c r="I1855" s="18" t="s">
        <v>1812</v>
      </c>
      <c r="J1855" s="18" t="s">
        <v>1807</v>
      </c>
      <c r="K1855" s="3">
        <v>1049</v>
      </c>
      <c r="L1855" s="7" t="s">
        <v>2246</v>
      </c>
      <c r="M1855" s="7">
        <f t="shared" si="132"/>
        <v>1.0489999999999999</v>
      </c>
      <c r="N1855" s="7">
        <f t="shared" si="131"/>
        <v>325.61379599999998</v>
      </c>
    </row>
    <row r="1856" spans="1:14" ht="15.6" x14ac:dyDescent="0.3">
      <c r="A1856" s="18" t="s">
        <v>1746</v>
      </c>
      <c r="B1856" s="7">
        <v>26</v>
      </c>
      <c r="C1856" s="7">
        <v>56</v>
      </c>
      <c r="D1856" s="18" t="s">
        <v>2259</v>
      </c>
      <c r="E1856" s="18">
        <v>4000000</v>
      </c>
      <c r="F1856" s="18">
        <f t="shared" si="133"/>
        <v>4000000</v>
      </c>
      <c r="G1856" s="7">
        <f t="shared" si="134"/>
        <v>12886.431875877888</v>
      </c>
      <c r="H1856" s="18" t="s">
        <v>1850</v>
      </c>
      <c r="I1856" s="18" t="s">
        <v>1812</v>
      </c>
      <c r="J1856" s="18" t="s">
        <v>1807</v>
      </c>
      <c r="K1856" s="3">
        <v>1115</v>
      </c>
      <c r="L1856" s="7" t="s">
        <v>2246</v>
      </c>
      <c r="M1856" s="7">
        <f t="shared" si="132"/>
        <v>1.115</v>
      </c>
      <c r="N1856" s="7">
        <f t="shared" si="131"/>
        <v>346.10046</v>
      </c>
    </row>
    <row r="1857" spans="1:14" ht="15.6" x14ac:dyDescent="0.3">
      <c r="A1857" s="18" t="s">
        <v>1752</v>
      </c>
      <c r="B1857" s="7">
        <v>26</v>
      </c>
      <c r="C1857" s="7">
        <v>56</v>
      </c>
      <c r="D1857" s="18" t="s">
        <v>2259</v>
      </c>
      <c r="E1857" s="18">
        <v>4000000</v>
      </c>
      <c r="F1857" s="18">
        <f t="shared" si="133"/>
        <v>4000000</v>
      </c>
      <c r="G1857" s="7">
        <f t="shared" si="134"/>
        <v>12886.431875877888</v>
      </c>
      <c r="H1857" s="18" t="s">
        <v>1844</v>
      </c>
      <c r="I1857" s="18" t="s">
        <v>1812</v>
      </c>
      <c r="J1857" s="18" t="s">
        <v>1807</v>
      </c>
      <c r="K1857" s="3">
        <v>59</v>
      </c>
      <c r="L1857" s="7" t="s">
        <v>2246</v>
      </c>
      <c r="M1857" s="7">
        <f t="shared" si="132"/>
        <v>5.8999999999999997E-2</v>
      </c>
      <c r="N1857" s="7">
        <f t="shared" si="131"/>
        <v>18.313835999999998</v>
      </c>
    </row>
    <row r="1858" spans="1:14" ht="15.6" x14ac:dyDescent="0.3">
      <c r="A1858" s="18" t="s">
        <v>1752</v>
      </c>
      <c r="B1858" s="7">
        <v>26</v>
      </c>
      <c r="C1858" s="7">
        <v>56</v>
      </c>
      <c r="D1858" s="18" t="s">
        <v>2259</v>
      </c>
      <c r="E1858" s="18">
        <v>4000000</v>
      </c>
      <c r="F1858" s="18">
        <f t="shared" si="133"/>
        <v>4000000</v>
      </c>
      <c r="G1858" s="7">
        <f t="shared" si="134"/>
        <v>12886.431875877888</v>
      </c>
      <c r="H1858" s="18" t="s">
        <v>1845</v>
      </c>
      <c r="I1858" s="18" t="s">
        <v>1812</v>
      </c>
      <c r="J1858" s="18" t="s">
        <v>1807</v>
      </c>
      <c r="K1858" s="3">
        <v>400</v>
      </c>
      <c r="L1858" s="7" t="s">
        <v>2246</v>
      </c>
      <c r="M1858" s="7">
        <f t="shared" si="132"/>
        <v>0.4</v>
      </c>
      <c r="N1858" s="7">
        <f t="shared" si="131"/>
        <v>124.16160000000001</v>
      </c>
    </row>
    <row r="1859" spans="1:14" ht="15.6" x14ac:dyDescent="0.3">
      <c r="A1859" s="18" t="s">
        <v>1752</v>
      </c>
      <c r="B1859" s="7">
        <v>26</v>
      </c>
      <c r="C1859" s="7">
        <v>56</v>
      </c>
      <c r="D1859" s="18" t="s">
        <v>2259</v>
      </c>
      <c r="E1859" s="18">
        <v>4000000</v>
      </c>
      <c r="F1859" s="18">
        <f t="shared" si="133"/>
        <v>4000000</v>
      </c>
      <c r="G1859" s="7">
        <f t="shared" si="134"/>
        <v>12886.431875877888</v>
      </c>
      <c r="H1859" s="18" t="s">
        <v>1846</v>
      </c>
      <c r="I1859" s="18" t="s">
        <v>1812</v>
      </c>
      <c r="J1859" s="18" t="s">
        <v>1807</v>
      </c>
      <c r="K1859" s="3">
        <v>620</v>
      </c>
      <c r="L1859" s="7" t="s">
        <v>2246</v>
      </c>
      <c r="M1859" s="7">
        <f t="shared" si="132"/>
        <v>0.62</v>
      </c>
      <c r="N1859" s="7">
        <f t="shared" si="131"/>
        <v>192.45048</v>
      </c>
    </row>
    <row r="1860" spans="1:14" ht="15.6" x14ac:dyDescent="0.3">
      <c r="A1860" s="18" t="s">
        <v>1752</v>
      </c>
      <c r="B1860" s="7">
        <v>26</v>
      </c>
      <c r="C1860" s="7">
        <v>56</v>
      </c>
      <c r="D1860" s="18" t="s">
        <v>2259</v>
      </c>
      <c r="E1860" s="18">
        <v>4000000</v>
      </c>
      <c r="F1860" s="18">
        <f t="shared" si="133"/>
        <v>4000000</v>
      </c>
      <c r="G1860" s="7">
        <f t="shared" si="134"/>
        <v>12886.431875877888</v>
      </c>
      <c r="H1860" s="18" t="s">
        <v>1847</v>
      </c>
      <c r="I1860" s="18" t="s">
        <v>1812</v>
      </c>
      <c r="J1860" s="18" t="s">
        <v>1807</v>
      </c>
      <c r="K1860" s="3">
        <v>177</v>
      </c>
      <c r="L1860" s="7" t="s">
        <v>2246</v>
      </c>
      <c r="M1860" s="7">
        <f t="shared" si="132"/>
        <v>0.17699999999999999</v>
      </c>
      <c r="N1860" s="7">
        <f t="shared" si="131"/>
        <v>54.941507999999999</v>
      </c>
    </row>
    <row r="1861" spans="1:14" ht="15.6" x14ac:dyDescent="0.3">
      <c r="A1861" s="18" t="s">
        <v>1752</v>
      </c>
      <c r="B1861" s="7">
        <v>26</v>
      </c>
      <c r="C1861" s="7">
        <v>56</v>
      </c>
      <c r="D1861" s="18" t="s">
        <v>2259</v>
      </c>
      <c r="E1861" s="18">
        <v>4000000</v>
      </c>
      <c r="F1861" s="18">
        <f t="shared" si="133"/>
        <v>4000000</v>
      </c>
      <c r="G1861" s="7">
        <f t="shared" si="134"/>
        <v>12886.431875877888</v>
      </c>
      <c r="H1861" s="18" t="s">
        <v>1848</v>
      </c>
      <c r="I1861" s="18" t="s">
        <v>1812</v>
      </c>
      <c r="J1861" s="18" t="s">
        <v>1807</v>
      </c>
      <c r="K1861" s="3">
        <v>169</v>
      </c>
      <c r="L1861" s="7" t="s">
        <v>2246</v>
      </c>
      <c r="M1861" s="7">
        <f t="shared" si="132"/>
        <v>0.16900000000000001</v>
      </c>
      <c r="N1861" s="7">
        <f t="shared" si="131"/>
        <v>52.458275999999998</v>
      </c>
    </row>
    <row r="1862" spans="1:14" ht="15.6" x14ac:dyDescent="0.3">
      <c r="A1862" s="18" t="s">
        <v>1752</v>
      </c>
      <c r="B1862" s="7">
        <v>26</v>
      </c>
      <c r="C1862" s="7">
        <v>56</v>
      </c>
      <c r="D1862" s="18" t="s">
        <v>2259</v>
      </c>
      <c r="E1862" s="18">
        <v>4000000</v>
      </c>
      <c r="F1862" s="18">
        <f t="shared" si="133"/>
        <v>4000000</v>
      </c>
      <c r="G1862" s="7">
        <f t="shared" si="134"/>
        <v>12886.431875877888</v>
      </c>
      <c r="H1862" s="18" t="s">
        <v>1849</v>
      </c>
      <c r="I1862" s="18" t="s">
        <v>1812</v>
      </c>
      <c r="J1862" s="18" t="s">
        <v>1807</v>
      </c>
      <c r="K1862" s="3">
        <v>266</v>
      </c>
      <c r="L1862" s="7" t="s">
        <v>2246</v>
      </c>
      <c r="M1862" s="7">
        <f t="shared" si="132"/>
        <v>0.26600000000000001</v>
      </c>
      <c r="N1862" s="7">
        <f t="shared" si="131"/>
        <v>82.567464000000001</v>
      </c>
    </row>
    <row r="1863" spans="1:14" ht="15.6" x14ac:dyDescent="0.3">
      <c r="A1863" s="18" t="s">
        <v>1752</v>
      </c>
      <c r="B1863" s="7">
        <v>26</v>
      </c>
      <c r="C1863" s="7">
        <v>56</v>
      </c>
      <c r="D1863" s="18" t="s">
        <v>2259</v>
      </c>
      <c r="E1863" s="18">
        <v>4000000</v>
      </c>
      <c r="F1863" s="18">
        <f t="shared" si="133"/>
        <v>4000000</v>
      </c>
      <c r="G1863" s="7">
        <f t="shared" si="134"/>
        <v>12886.431875877888</v>
      </c>
      <c r="H1863" s="18" t="s">
        <v>1850</v>
      </c>
      <c r="I1863" s="18" t="s">
        <v>1812</v>
      </c>
      <c r="J1863" s="18" t="s">
        <v>1807</v>
      </c>
      <c r="K1863" s="3">
        <v>563</v>
      </c>
      <c r="L1863" s="7" t="s">
        <v>2246</v>
      </c>
      <c r="M1863" s="7">
        <f t="shared" si="132"/>
        <v>0.56299999999999994</v>
      </c>
      <c r="N1863" s="7">
        <f t="shared" si="131"/>
        <v>174.757452</v>
      </c>
    </row>
    <row r="1864" spans="1:14" ht="15.6" x14ac:dyDescent="0.3">
      <c r="A1864" s="18" t="s">
        <v>1734</v>
      </c>
      <c r="B1864" s="7">
        <v>27</v>
      </c>
      <c r="C1864" s="7">
        <v>57</v>
      </c>
      <c r="D1864" s="18" t="s">
        <v>2327</v>
      </c>
      <c r="E1864" s="18">
        <v>43250000</v>
      </c>
      <c r="F1864" s="18">
        <f>E1864</f>
        <v>43250000</v>
      </c>
      <c r="G1864" s="7">
        <f>F1864/310.404</f>
        <v>139334.54465792965</v>
      </c>
      <c r="H1864" s="18" t="s">
        <v>2328</v>
      </c>
      <c r="I1864" s="18" t="s">
        <v>1851</v>
      </c>
      <c r="J1864" s="18" t="s">
        <v>1807</v>
      </c>
      <c r="K1864" s="3">
        <f>1000*1.44</f>
        <v>1440</v>
      </c>
      <c r="L1864" s="7" t="s">
        <v>2246</v>
      </c>
      <c r="M1864" s="7">
        <f t="shared" si="132"/>
        <v>1.44</v>
      </c>
      <c r="N1864" s="7">
        <f t="shared" si="131"/>
        <v>446.98176000000001</v>
      </c>
    </row>
    <row r="1865" spans="1:14" ht="15.6" x14ac:dyDescent="0.3">
      <c r="A1865" s="18" t="s">
        <v>1745</v>
      </c>
      <c r="B1865" s="7">
        <v>27</v>
      </c>
      <c r="C1865" s="7">
        <v>57</v>
      </c>
      <c r="D1865" s="18" t="s">
        <v>2327</v>
      </c>
      <c r="E1865" s="18">
        <v>43250000</v>
      </c>
      <c r="F1865" s="18">
        <f>E1865</f>
        <v>43250000</v>
      </c>
      <c r="G1865" s="7">
        <f>F1865/310.404</f>
        <v>139334.54465792965</v>
      </c>
      <c r="H1865" s="18" t="s">
        <v>2328</v>
      </c>
      <c r="I1865" s="18" t="s">
        <v>1851</v>
      </c>
      <c r="J1865" s="18" t="s">
        <v>1807</v>
      </c>
      <c r="K1865" s="3">
        <f>1000*18.3</f>
        <v>18300</v>
      </c>
      <c r="L1865" s="7" t="s">
        <v>2246</v>
      </c>
      <c r="M1865" s="7">
        <f t="shared" si="132"/>
        <v>18.3</v>
      </c>
      <c r="N1865" s="7">
        <f t="shared" si="131"/>
        <v>5680.3932000000004</v>
      </c>
    </row>
    <row r="1866" spans="1:14" ht="15.6" x14ac:dyDescent="0.3">
      <c r="A1866" s="25" t="s">
        <v>1777</v>
      </c>
      <c r="B1866" s="7">
        <v>28</v>
      </c>
      <c r="C1866" s="7">
        <v>58</v>
      </c>
      <c r="D1866" s="18" t="s">
        <v>2329</v>
      </c>
      <c r="E1866" s="18">
        <v>2000000</v>
      </c>
      <c r="F1866" s="7">
        <f>E1866/3.78541</f>
        <v>528344.35371597786</v>
      </c>
      <c r="G1866" s="7">
        <f>F1866/310.404</f>
        <v>1702.1183802914197</v>
      </c>
      <c r="H1866" s="10">
        <v>39398</v>
      </c>
      <c r="I1866" s="18" t="s">
        <v>1813</v>
      </c>
      <c r="J1866" s="18" t="s">
        <v>1802</v>
      </c>
      <c r="K1866" s="3">
        <f>1000*17.4</f>
        <v>17400</v>
      </c>
      <c r="L1866" s="7" t="s">
        <v>2246</v>
      </c>
      <c r="M1866" s="7">
        <f t="shared" si="132"/>
        <v>17.399999999999999</v>
      </c>
      <c r="N1866" s="7">
        <f t="shared" si="131"/>
        <v>5401.0295999999998</v>
      </c>
    </row>
    <row r="1867" spans="1:14" ht="15.6" x14ac:dyDescent="0.3">
      <c r="A1867" s="25" t="s">
        <v>1777</v>
      </c>
      <c r="B1867" s="7">
        <v>28</v>
      </c>
      <c r="C1867" s="7">
        <v>59</v>
      </c>
      <c r="D1867" s="18" t="s">
        <v>2330</v>
      </c>
      <c r="E1867" s="18">
        <v>6700000</v>
      </c>
      <c r="F1867" s="7">
        <f t="shared" ref="F1867:F1874" si="135">E1867/3.78541</f>
        <v>1769953.584948526</v>
      </c>
      <c r="G1867" s="7">
        <f t="shared" ref="G1867:G1870" si="136">F1867/310.404</f>
        <v>5702.0965739762569</v>
      </c>
      <c r="H1867" s="10">
        <v>39401</v>
      </c>
      <c r="I1867" s="18" t="s">
        <v>1813</v>
      </c>
      <c r="J1867" s="18" t="s">
        <v>1802</v>
      </c>
      <c r="K1867" s="3">
        <f>1000*29.4</f>
        <v>29400</v>
      </c>
      <c r="L1867" s="7" t="s">
        <v>2246</v>
      </c>
      <c r="M1867" s="7">
        <f t="shared" si="132"/>
        <v>29.4</v>
      </c>
      <c r="N1867" s="7">
        <f t="shared" si="131"/>
        <v>9125.8775999999998</v>
      </c>
    </row>
    <row r="1868" spans="1:14" ht="15.6" x14ac:dyDescent="0.3">
      <c r="A1868" s="25" t="s">
        <v>1777</v>
      </c>
      <c r="B1868" s="7">
        <v>28</v>
      </c>
      <c r="C1868" s="7">
        <v>60</v>
      </c>
      <c r="D1868" s="18" t="s">
        <v>2331</v>
      </c>
      <c r="E1868" s="18">
        <v>1500000</v>
      </c>
      <c r="F1868" s="7">
        <f t="shared" si="135"/>
        <v>396258.2652869834</v>
      </c>
      <c r="G1868" s="7">
        <f t="shared" si="136"/>
        <v>1276.5887852185649</v>
      </c>
      <c r="H1868" s="10">
        <v>39546</v>
      </c>
      <c r="I1868" s="18" t="s">
        <v>1813</v>
      </c>
      <c r="J1868" s="18" t="s">
        <v>1807</v>
      </c>
      <c r="K1868" s="3">
        <f>1000*36.5</f>
        <v>36500</v>
      </c>
      <c r="L1868" s="7" t="s">
        <v>2246</v>
      </c>
      <c r="M1868" s="7">
        <f t="shared" si="132"/>
        <v>36.5</v>
      </c>
      <c r="N1868" s="7">
        <f t="shared" si="131"/>
        <v>11329.745999999999</v>
      </c>
    </row>
    <row r="1869" spans="1:14" ht="15.6" x14ac:dyDescent="0.3">
      <c r="A1869" s="25" t="s">
        <v>1777</v>
      </c>
      <c r="B1869" s="7">
        <v>28</v>
      </c>
      <c r="C1869" s="7">
        <v>61</v>
      </c>
      <c r="D1869" s="18" t="s">
        <v>2332</v>
      </c>
      <c r="E1869" s="18">
        <v>2000000</v>
      </c>
      <c r="F1869" s="7">
        <f t="shared" si="135"/>
        <v>528344.35371597786</v>
      </c>
      <c r="G1869" s="7">
        <f t="shared" si="136"/>
        <v>1702.1183802914197</v>
      </c>
      <c r="H1869" s="10">
        <v>39548</v>
      </c>
      <c r="I1869" s="18" t="s">
        <v>1813</v>
      </c>
      <c r="J1869" s="18" t="s">
        <v>1807</v>
      </c>
      <c r="K1869" s="3">
        <f>1000*248</f>
        <v>248000</v>
      </c>
      <c r="L1869" s="7" t="s">
        <v>2246</v>
      </c>
      <c r="M1869" s="7">
        <f t="shared" si="132"/>
        <v>248</v>
      </c>
      <c r="N1869" s="7">
        <f t="shared" si="131"/>
        <v>76980.191999999995</v>
      </c>
    </row>
    <row r="1870" spans="1:14" ht="15.6" x14ac:dyDescent="0.3">
      <c r="A1870" s="25" t="s">
        <v>1777</v>
      </c>
      <c r="B1870" s="7">
        <v>28</v>
      </c>
      <c r="C1870" s="7">
        <v>19</v>
      </c>
      <c r="D1870" s="18" t="s">
        <v>2333</v>
      </c>
      <c r="E1870" s="18">
        <v>85000000</v>
      </c>
      <c r="F1870" s="7">
        <f t="shared" si="135"/>
        <v>22454635.032929059</v>
      </c>
      <c r="G1870" s="7">
        <f t="shared" si="136"/>
        <v>72340.031162385334</v>
      </c>
      <c r="H1870" s="10">
        <v>38391</v>
      </c>
      <c r="I1870" s="18" t="s">
        <v>3523</v>
      </c>
      <c r="J1870" s="18" t="s">
        <v>1807</v>
      </c>
      <c r="K1870" s="3">
        <f>1000*26</f>
        <v>26000</v>
      </c>
      <c r="L1870" s="7" t="s">
        <v>2246</v>
      </c>
      <c r="M1870" s="7">
        <f t="shared" si="132"/>
        <v>26</v>
      </c>
      <c r="N1870" s="7">
        <f t="shared" si="131"/>
        <v>8070.5040000000008</v>
      </c>
    </row>
    <row r="1871" spans="1:14" ht="15.6" x14ac:dyDescent="0.3">
      <c r="A1871" s="25" t="s">
        <v>1733</v>
      </c>
      <c r="B1871" s="7">
        <v>29</v>
      </c>
      <c r="C1871" s="7">
        <v>35</v>
      </c>
      <c r="D1871" s="18" t="s">
        <v>2297</v>
      </c>
      <c r="E1871" s="18">
        <v>5000000</v>
      </c>
      <c r="F1871" s="7">
        <f t="shared" si="135"/>
        <v>1320860.8842899448</v>
      </c>
      <c r="G1871" s="7">
        <v>20000</v>
      </c>
      <c r="H1871" s="19">
        <v>43009</v>
      </c>
      <c r="I1871" s="18" t="s">
        <v>1831</v>
      </c>
      <c r="J1871" s="18" t="s">
        <v>1802</v>
      </c>
      <c r="K1871" s="3">
        <v>99.1</v>
      </c>
      <c r="L1871" s="7" t="s">
        <v>2246</v>
      </c>
      <c r="M1871" s="7">
        <f t="shared" si="132"/>
        <v>9.9099999999999994E-2</v>
      </c>
      <c r="N1871" s="7">
        <f t="shared" si="131"/>
        <v>6.5448656816566766</v>
      </c>
    </row>
    <row r="1872" spans="1:14" ht="15.6" x14ac:dyDescent="0.3">
      <c r="A1872" s="25" t="s">
        <v>1733</v>
      </c>
      <c r="B1872" s="7">
        <v>29</v>
      </c>
      <c r="C1872" s="7">
        <v>62</v>
      </c>
      <c r="D1872" s="18" t="s">
        <v>2334</v>
      </c>
      <c r="E1872" s="18">
        <v>20170000</v>
      </c>
      <c r="F1872" s="7">
        <f t="shared" si="135"/>
        <v>5328352.8072256371</v>
      </c>
      <c r="G1872" s="7">
        <v>123000</v>
      </c>
      <c r="H1872" s="18" t="s">
        <v>1852</v>
      </c>
      <c r="I1872" s="18" t="s">
        <v>1853</v>
      </c>
      <c r="J1872" s="18" t="s">
        <v>1807</v>
      </c>
      <c r="K1872" s="3">
        <v>137</v>
      </c>
      <c r="L1872" s="7" t="s">
        <v>2246</v>
      </c>
      <c r="M1872" s="7">
        <f t="shared" si="132"/>
        <v>0.13700000000000001</v>
      </c>
      <c r="N1872" s="7">
        <f t="shared" si="131"/>
        <v>5.9348319885358727</v>
      </c>
    </row>
    <row r="1873" spans="1:14" ht="15.6" x14ac:dyDescent="0.3">
      <c r="A1873" s="25" t="s">
        <v>1733</v>
      </c>
      <c r="B1873" s="7">
        <v>29</v>
      </c>
      <c r="C1873" s="7">
        <v>19</v>
      </c>
      <c r="D1873" s="18" t="s">
        <v>2333</v>
      </c>
      <c r="E1873" s="18">
        <v>85000000</v>
      </c>
      <c r="F1873" s="7">
        <f t="shared" si="135"/>
        <v>22454635.032929059</v>
      </c>
      <c r="G1873" s="7">
        <f>F1873/310.404</f>
        <v>72340.031162385334</v>
      </c>
      <c r="H1873" s="10">
        <v>38391</v>
      </c>
      <c r="I1873" s="18" t="s">
        <v>3523</v>
      </c>
      <c r="J1873" s="18" t="s">
        <v>1807</v>
      </c>
      <c r="K1873" s="3">
        <v>100</v>
      </c>
      <c r="L1873" s="7" t="s">
        <v>2246</v>
      </c>
      <c r="M1873" s="7">
        <f t="shared" si="132"/>
        <v>0.1</v>
      </c>
      <c r="N1873" s="7">
        <f t="shared" si="131"/>
        <v>31.040400000000005</v>
      </c>
    </row>
    <row r="1874" spans="1:14" ht="15.6" x14ac:dyDescent="0.3">
      <c r="A1874" s="25" t="s">
        <v>1745</v>
      </c>
      <c r="B1874" s="7">
        <v>30</v>
      </c>
      <c r="C1874" s="7">
        <v>62</v>
      </c>
      <c r="D1874" s="18" t="s">
        <v>2334</v>
      </c>
      <c r="E1874" s="18">
        <v>20170000</v>
      </c>
      <c r="F1874" s="7">
        <f t="shared" si="135"/>
        <v>5328352.8072256371</v>
      </c>
      <c r="G1874" s="7">
        <v>123000</v>
      </c>
      <c r="H1874" s="18" t="s">
        <v>1852</v>
      </c>
      <c r="I1874" s="18" t="s">
        <v>1853</v>
      </c>
      <c r="J1874" s="18" t="s">
        <v>1807</v>
      </c>
      <c r="K1874" s="3">
        <v>3800</v>
      </c>
      <c r="L1874" s="7" t="s">
        <v>2246</v>
      </c>
      <c r="M1874" s="7">
        <f t="shared" si="132"/>
        <v>3.8</v>
      </c>
      <c r="N1874" s="7">
        <f t="shared" si="131"/>
        <v>164.61577778420667</v>
      </c>
    </row>
    <row r="1875" spans="1:14" ht="15.6" x14ac:dyDescent="0.3">
      <c r="A1875" s="25" t="s">
        <v>1746</v>
      </c>
      <c r="B1875" s="7">
        <v>30</v>
      </c>
      <c r="C1875" s="7">
        <v>63</v>
      </c>
      <c r="D1875" s="18" t="s">
        <v>2335</v>
      </c>
      <c r="E1875" s="18">
        <v>1400000</v>
      </c>
      <c r="F1875" s="7">
        <f>E1875/3.78541</f>
        <v>369841.04760118452</v>
      </c>
      <c r="G1875" s="7">
        <f>F1875/310.404</f>
        <v>1191.4828662039938</v>
      </c>
      <c r="H1875" s="18" t="s">
        <v>1854</v>
      </c>
      <c r="I1875" s="18" t="s">
        <v>1855</v>
      </c>
      <c r="J1875" s="18" t="s">
        <v>2323</v>
      </c>
      <c r="K1875" s="3">
        <v>1170</v>
      </c>
      <c r="L1875" s="7" t="s">
        <v>2246</v>
      </c>
      <c r="M1875" s="7">
        <f t="shared" si="132"/>
        <v>1.17</v>
      </c>
      <c r="N1875" s="7">
        <f t="shared" si="131"/>
        <v>363.17268000000001</v>
      </c>
    </row>
    <row r="1876" spans="1:14" ht="15.6" x14ac:dyDescent="0.3">
      <c r="A1876" s="25" t="s">
        <v>1733</v>
      </c>
      <c r="B1876" s="7">
        <v>31</v>
      </c>
      <c r="C1876" s="7">
        <v>64</v>
      </c>
      <c r="D1876" s="18" t="s">
        <v>2336</v>
      </c>
      <c r="E1876" s="25">
        <v>37200000</v>
      </c>
      <c r="F1876" s="18">
        <f>E1876</f>
        <v>37200000</v>
      </c>
      <c r="G1876" s="7">
        <v>148000</v>
      </c>
      <c r="H1876" s="25" t="s">
        <v>1856</v>
      </c>
      <c r="I1876" s="25" t="s">
        <v>1857</v>
      </c>
      <c r="J1876" s="25" t="s">
        <v>1802</v>
      </c>
      <c r="K1876" s="3">
        <v>115</v>
      </c>
      <c r="L1876" s="7" t="s">
        <v>2246</v>
      </c>
      <c r="M1876" s="7">
        <f t="shared" si="132"/>
        <v>0.115</v>
      </c>
      <c r="N1876" s="7">
        <f t="shared" si="131"/>
        <v>28.905405405405407</v>
      </c>
    </row>
    <row r="1877" spans="1:14" ht="15.6" x14ac:dyDescent="0.3">
      <c r="A1877" s="25" t="s">
        <v>1726</v>
      </c>
      <c r="B1877" s="24">
        <v>32</v>
      </c>
      <c r="C1877" s="7">
        <v>65</v>
      </c>
      <c r="D1877" s="24" t="s">
        <v>2337</v>
      </c>
      <c r="E1877" s="25">
        <f>F1877</f>
        <v>16579608.852</v>
      </c>
      <c r="F1877" s="24">
        <f>G1877*310.404</f>
        <v>16579608.852</v>
      </c>
      <c r="G1877" s="24">
        <v>53413</v>
      </c>
      <c r="H1877" s="25" t="s">
        <v>1858</v>
      </c>
      <c r="I1877" s="25" t="s">
        <v>1859</v>
      </c>
      <c r="J1877" s="25" t="s">
        <v>1802</v>
      </c>
      <c r="K1877" s="21">
        <v>590990</v>
      </c>
      <c r="L1877" s="24" t="s">
        <v>2296</v>
      </c>
      <c r="M1877" s="24">
        <f t="shared" si="132"/>
        <v>590.99</v>
      </c>
      <c r="N1877" s="24">
        <f>M1877</f>
        <v>590.99</v>
      </c>
    </row>
    <row r="1878" spans="1:14" ht="15.6" x14ac:dyDescent="0.3">
      <c r="A1878" s="18" t="s">
        <v>1714</v>
      </c>
      <c r="B1878" s="7">
        <v>33</v>
      </c>
      <c r="C1878" s="7">
        <v>66</v>
      </c>
      <c r="D1878" s="18" t="s">
        <v>2338</v>
      </c>
      <c r="E1878" s="18">
        <v>20000000</v>
      </c>
      <c r="F1878" s="7">
        <f>E1878/3.78541</f>
        <v>5283443.5371597791</v>
      </c>
      <c r="G1878" s="7">
        <v>220000</v>
      </c>
      <c r="H1878" s="19">
        <v>43252</v>
      </c>
      <c r="I1878" s="18" t="s">
        <v>1860</v>
      </c>
      <c r="J1878" s="18" t="s">
        <v>1807</v>
      </c>
      <c r="K1878" s="3">
        <v>173</v>
      </c>
      <c r="L1878" s="7" t="s">
        <v>2246</v>
      </c>
      <c r="M1878" s="7">
        <f t="shared" si="132"/>
        <v>0.17299999999999999</v>
      </c>
      <c r="N1878" s="7">
        <f t="shared" ref="N1878:N1901" si="137">IFERROR((M1878*F1878)/G1878,"ND")</f>
        <v>4.1547078724029163</v>
      </c>
    </row>
    <row r="1879" spans="1:14" ht="15.6" x14ac:dyDescent="0.3">
      <c r="A1879" s="18" t="s">
        <v>1714</v>
      </c>
      <c r="B1879" s="7">
        <v>33</v>
      </c>
      <c r="C1879" s="7">
        <v>66</v>
      </c>
      <c r="D1879" s="18" t="s">
        <v>2338</v>
      </c>
      <c r="E1879" s="18">
        <v>20000000</v>
      </c>
      <c r="F1879" s="7">
        <f t="shared" ref="F1879:F1900" si="138">E1879/3.78541</f>
        <v>5283443.5371597791</v>
      </c>
      <c r="G1879" s="7">
        <v>220000</v>
      </c>
      <c r="H1879" s="19">
        <v>43313</v>
      </c>
      <c r="I1879" s="18" t="s">
        <v>1860</v>
      </c>
      <c r="J1879" s="18" t="s">
        <v>1807</v>
      </c>
      <c r="K1879" s="3">
        <v>219</v>
      </c>
      <c r="L1879" s="7" t="s">
        <v>2246</v>
      </c>
      <c r="M1879" s="7">
        <f t="shared" si="132"/>
        <v>0.219</v>
      </c>
      <c r="N1879" s="7">
        <f t="shared" si="137"/>
        <v>5.2594278847181437</v>
      </c>
    </row>
    <row r="1880" spans="1:14" ht="15.6" x14ac:dyDescent="0.3">
      <c r="A1880" s="18" t="s">
        <v>1713</v>
      </c>
      <c r="B1880" s="7">
        <v>33</v>
      </c>
      <c r="C1880" s="7">
        <v>66</v>
      </c>
      <c r="D1880" s="18" t="s">
        <v>2338</v>
      </c>
      <c r="E1880" s="18">
        <v>20000000</v>
      </c>
      <c r="F1880" s="7">
        <f t="shared" si="138"/>
        <v>5283443.5371597791</v>
      </c>
      <c r="G1880" s="7">
        <v>220000</v>
      </c>
      <c r="H1880" s="19">
        <v>43252</v>
      </c>
      <c r="I1880" s="18" t="s">
        <v>1860</v>
      </c>
      <c r="J1880" s="18" t="s">
        <v>1807</v>
      </c>
      <c r="K1880" s="3">
        <v>152</v>
      </c>
      <c r="L1880" s="7" t="s">
        <v>2246</v>
      </c>
      <c r="M1880" s="7">
        <f t="shared" si="132"/>
        <v>0.152</v>
      </c>
      <c r="N1880" s="7">
        <f t="shared" si="137"/>
        <v>3.6503791711285749</v>
      </c>
    </row>
    <row r="1881" spans="1:14" ht="15.6" x14ac:dyDescent="0.3">
      <c r="A1881" s="18" t="s">
        <v>1713</v>
      </c>
      <c r="B1881" s="7">
        <v>33</v>
      </c>
      <c r="C1881" s="7">
        <v>66</v>
      </c>
      <c r="D1881" s="18" t="s">
        <v>2338</v>
      </c>
      <c r="E1881" s="18">
        <v>20000000</v>
      </c>
      <c r="F1881" s="7">
        <f t="shared" si="138"/>
        <v>5283443.5371597791</v>
      </c>
      <c r="G1881" s="7">
        <v>220000</v>
      </c>
      <c r="H1881" s="19">
        <v>43313</v>
      </c>
      <c r="I1881" s="18" t="s">
        <v>1860</v>
      </c>
      <c r="J1881" s="18" t="s">
        <v>1807</v>
      </c>
      <c r="K1881" s="3">
        <v>137</v>
      </c>
      <c r="L1881" s="7" t="s">
        <v>2246</v>
      </c>
      <c r="M1881" s="7">
        <f t="shared" si="132"/>
        <v>0.13700000000000001</v>
      </c>
      <c r="N1881" s="7">
        <f t="shared" si="137"/>
        <v>3.2901443845040443</v>
      </c>
    </row>
    <row r="1882" spans="1:14" ht="15.6" x14ac:dyDescent="0.3">
      <c r="A1882" s="18" t="s">
        <v>1715</v>
      </c>
      <c r="B1882" s="7">
        <v>33</v>
      </c>
      <c r="C1882" s="7">
        <v>66</v>
      </c>
      <c r="D1882" s="18" t="s">
        <v>2338</v>
      </c>
      <c r="E1882" s="18">
        <v>20000000</v>
      </c>
      <c r="F1882" s="7">
        <f t="shared" si="138"/>
        <v>5283443.5371597791</v>
      </c>
      <c r="G1882" s="7">
        <v>220000</v>
      </c>
      <c r="H1882" s="19">
        <v>43252</v>
      </c>
      <c r="I1882" s="18" t="s">
        <v>1860</v>
      </c>
      <c r="J1882" s="18" t="s">
        <v>1807</v>
      </c>
      <c r="K1882" s="3">
        <v>15</v>
      </c>
      <c r="L1882" s="7" t="s">
        <v>2246</v>
      </c>
      <c r="M1882" s="7">
        <f t="shared" si="132"/>
        <v>1.4999999999999999E-2</v>
      </c>
      <c r="N1882" s="7">
        <f t="shared" si="137"/>
        <v>0.3602347866245304</v>
      </c>
    </row>
    <row r="1883" spans="1:14" ht="15.6" x14ac:dyDescent="0.3">
      <c r="A1883" s="18" t="s">
        <v>1715</v>
      </c>
      <c r="B1883" s="7">
        <v>33</v>
      </c>
      <c r="C1883" s="7">
        <v>66</v>
      </c>
      <c r="D1883" s="18" t="s">
        <v>2338</v>
      </c>
      <c r="E1883" s="18">
        <v>20000000</v>
      </c>
      <c r="F1883" s="7">
        <f t="shared" si="138"/>
        <v>5283443.5371597791</v>
      </c>
      <c r="G1883" s="7">
        <v>220000</v>
      </c>
      <c r="H1883" s="19">
        <v>43313</v>
      </c>
      <c r="I1883" s="18" t="s">
        <v>1860</v>
      </c>
      <c r="J1883" s="18" t="s">
        <v>1807</v>
      </c>
      <c r="K1883" s="3">
        <v>14</v>
      </c>
      <c r="L1883" s="7" t="s">
        <v>2246</v>
      </c>
      <c r="M1883" s="7">
        <f t="shared" si="132"/>
        <v>1.4E-2</v>
      </c>
      <c r="N1883" s="7">
        <f t="shared" si="137"/>
        <v>0.33621913418289506</v>
      </c>
    </row>
    <row r="1884" spans="1:14" ht="15.6" x14ac:dyDescent="0.3">
      <c r="A1884" s="18" t="s">
        <v>1726</v>
      </c>
      <c r="B1884" s="7">
        <v>33</v>
      </c>
      <c r="C1884" s="7">
        <v>66</v>
      </c>
      <c r="D1884" s="18" t="s">
        <v>2338</v>
      </c>
      <c r="E1884" s="18">
        <v>20000000</v>
      </c>
      <c r="F1884" s="7">
        <f t="shared" si="138"/>
        <v>5283443.5371597791</v>
      </c>
      <c r="G1884" s="7">
        <v>220000</v>
      </c>
      <c r="H1884" s="19">
        <v>43252</v>
      </c>
      <c r="I1884" s="18" t="s">
        <v>1860</v>
      </c>
      <c r="J1884" s="18" t="s">
        <v>1807</v>
      </c>
      <c r="K1884" s="3">
        <v>544</v>
      </c>
      <c r="L1884" s="7" t="s">
        <v>2246</v>
      </c>
      <c r="M1884" s="7">
        <f t="shared" si="132"/>
        <v>0.54400000000000004</v>
      </c>
      <c r="N1884" s="7">
        <f t="shared" si="137"/>
        <v>13.064514928249636</v>
      </c>
    </row>
    <row r="1885" spans="1:14" ht="15.6" x14ac:dyDescent="0.3">
      <c r="A1885" s="18" t="s">
        <v>1726</v>
      </c>
      <c r="B1885" s="7">
        <v>33</v>
      </c>
      <c r="C1885" s="7">
        <v>66</v>
      </c>
      <c r="D1885" s="18" t="s">
        <v>2338</v>
      </c>
      <c r="E1885" s="18">
        <v>20000000</v>
      </c>
      <c r="F1885" s="7">
        <f t="shared" si="138"/>
        <v>5283443.5371597791</v>
      </c>
      <c r="G1885" s="7">
        <v>220000</v>
      </c>
      <c r="H1885" s="19">
        <v>43313</v>
      </c>
      <c r="I1885" s="18" t="s">
        <v>1860</v>
      </c>
      <c r="J1885" s="18" t="s">
        <v>1807</v>
      </c>
      <c r="K1885" s="3">
        <v>455</v>
      </c>
      <c r="L1885" s="7" t="s">
        <v>2246</v>
      </c>
      <c r="M1885" s="7">
        <f t="shared" si="132"/>
        <v>0.45500000000000002</v>
      </c>
      <c r="N1885" s="7">
        <f t="shared" si="137"/>
        <v>10.927121860944089</v>
      </c>
    </row>
    <row r="1886" spans="1:14" ht="15.6" x14ac:dyDescent="0.3">
      <c r="A1886" s="18" t="s">
        <v>1714</v>
      </c>
      <c r="B1886" s="7">
        <v>33</v>
      </c>
      <c r="C1886" s="7">
        <v>67</v>
      </c>
      <c r="D1886" s="18" t="s">
        <v>2339</v>
      </c>
      <c r="E1886" s="18">
        <v>4000000</v>
      </c>
      <c r="F1886" s="7">
        <f t="shared" si="138"/>
        <v>1056688.7074319557</v>
      </c>
      <c r="G1886" s="7">
        <v>40000</v>
      </c>
      <c r="H1886" s="18" t="s">
        <v>1861</v>
      </c>
      <c r="I1886" s="18" t="s">
        <v>1860</v>
      </c>
      <c r="J1886" s="18" t="s">
        <v>1802</v>
      </c>
      <c r="K1886" s="3">
        <v>108</v>
      </c>
      <c r="L1886" s="7" t="s">
        <v>2246</v>
      </c>
      <c r="M1886" s="7">
        <f t="shared" si="132"/>
        <v>0.108</v>
      </c>
      <c r="N1886" s="7">
        <f t="shared" si="137"/>
        <v>2.8530595100662808</v>
      </c>
    </row>
    <row r="1887" spans="1:14" ht="15.6" x14ac:dyDescent="0.3">
      <c r="A1887" s="18" t="s">
        <v>1714</v>
      </c>
      <c r="B1887" s="7">
        <v>33</v>
      </c>
      <c r="C1887" s="7">
        <v>66</v>
      </c>
      <c r="D1887" s="18" t="s">
        <v>2338</v>
      </c>
      <c r="E1887" s="18">
        <v>20000000</v>
      </c>
      <c r="F1887" s="7">
        <f t="shared" si="138"/>
        <v>5283443.5371597791</v>
      </c>
      <c r="G1887" s="7">
        <v>220000</v>
      </c>
      <c r="H1887" s="18" t="s">
        <v>1861</v>
      </c>
      <c r="I1887" s="18" t="s">
        <v>1860</v>
      </c>
      <c r="J1887" s="18" t="s">
        <v>1802</v>
      </c>
      <c r="K1887" s="3">
        <v>126</v>
      </c>
      <c r="L1887" s="7" t="s">
        <v>2246</v>
      </c>
      <c r="M1887" s="7">
        <f t="shared" si="132"/>
        <v>0.126</v>
      </c>
      <c r="N1887" s="7">
        <f t="shared" si="137"/>
        <v>3.0259722076460553</v>
      </c>
    </row>
    <row r="1888" spans="1:14" ht="15.6" x14ac:dyDescent="0.3">
      <c r="A1888" s="18" t="s">
        <v>1714</v>
      </c>
      <c r="B1888" s="7">
        <v>33</v>
      </c>
      <c r="C1888" s="7">
        <v>68</v>
      </c>
      <c r="D1888" s="18" t="s">
        <v>2340</v>
      </c>
      <c r="E1888" s="18">
        <v>120000000</v>
      </c>
      <c r="F1888" s="7">
        <f t="shared" si="138"/>
        <v>31700661.222958673</v>
      </c>
      <c r="G1888" s="7">
        <v>788900</v>
      </c>
      <c r="H1888" s="18" t="s">
        <v>1861</v>
      </c>
      <c r="I1888" s="18" t="s">
        <v>1860</v>
      </c>
      <c r="J1888" s="18" t="s">
        <v>1802</v>
      </c>
      <c r="K1888" s="3">
        <v>91</v>
      </c>
      <c r="L1888" s="7" t="s">
        <v>2246</v>
      </c>
      <c r="M1888" s="7">
        <f t="shared" si="132"/>
        <v>9.0999999999999998E-2</v>
      </c>
      <c r="N1888" s="7">
        <f t="shared" si="137"/>
        <v>3.6566867426660403</v>
      </c>
    </row>
    <row r="1889" spans="1:14" ht="15.6" x14ac:dyDescent="0.3">
      <c r="A1889" s="18" t="s">
        <v>1714</v>
      </c>
      <c r="B1889" s="7">
        <v>33</v>
      </c>
      <c r="C1889" s="7">
        <v>69</v>
      </c>
      <c r="D1889" s="18" t="s">
        <v>2341</v>
      </c>
      <c r="E1889" s="18">
        <v>230000000</v>
      </c>
      <c r="F1889" s="7">
        <f t="shared" si="138"/>
        <v>60759600.67733746</v>
      </c>
      <c r="G1889" s="7">
        <v>1511100</v>
      </c>
      <c r="H1889" s="18" t="s">
        <v>1861</v>
      </c>
      <c r="I1889" s="18" t="s">
        <v>1860</v>
      </c>
      <c r="J1889" s="18" t="s">
        <v>1802</v>
      </c>
      <c r="K1889" s="3">
        <v>100</v>
      </c>
      <c r="L1889" s="7" t="s">
        <v>2246</v>
      </c>
      <c r="M1889" s="7">
        <f t="shared" si="132"/>
        <v>0.1</v>
      </c>
      <c r="N1889" s="7">
        <f t="shared" si="137"/>
        <v>4.0208854925112476</v>
      </c>
    </row>
    <row r="1890" spans="1:14" ht="15.6" x14ac:dyDescent="0.3">
      <c r="A1890" s="18" t="s">
        <v>1713</v>
      </c>
      <c r="B1890" s="7">
        <v>33</v>
      </c>
      <c r="C1890" s="7">
        <v>67</v>
      </c>
      <c r="D1890" s="18" t="s">
        <v>2339</v>
      </c>
      <c r="E1890" s="18">
        <v>4000000</v>
      </c>
      <c r="F1890" s="7">
        <f t="shared" si="138"/>
        <v>1056688.7074319557</v>
      </c>
      <c r="G1890" s="7">
        <v>40000</v>
      </c>
      <c r="H1890" s="18" t="s">
        <v>1861</v>
      </c>
      <c r="I1890" s="18" t="s">
        <v>1860</v>
      </c>
      <c r="J1890" s="18" t="s">
        <v>1802</v>
      </c>
      <c r="K1890" s="3">
        <v>45</v>
      </c>
      <c r="L1890" s="7" t="s">
        <v>2246</v>
      </c>
      <c r="M1890" s="7">
        <f t="shared" si="132"/>
        <v>4.4999999999999998E-2</v>
      </c>
      <c r="N1890" s="7">
        <f t="shared" si="137"/>
        <v>1.1887747958609503</v>
      </c>
    </row>
    <row r="1891" spans="1:14" ht="15.6" x14ac:dyDescent="0.3">
      <c r="A1891" s="18" t="s">
        <v>1713</v>
      </c>
      <c r="B1891" s="7">
        <v>33</v>
      </c>
      <c r="C1891" s="7">
        <v>66</v>
      </c>
      <c r="D1891" s="18" t="s">
        <v>2338</v>
      </c>
      <c r="E1891" s="18">
        <v>20000000</v>
      </c>
      <c r="F1891" s="7">
        <f t="shared" si="138"/>
        <v>5283443.5371597791</v>
      </c>
      <c r="G1891" s="7">
        <v>220000</v>
      </c>
      <c r="H1891" s="18" t="s">
        <v>1861</v>
      </c>
      <c r="I1891" s="18" t="s">
        <v>1860</v>
      </c>
      <c r="J1891" s="18" t="s">
        <v>1802</v>
      </c>
      <c r="K1891" s="3">
        <v>107</v>
      </c>
      <c r="L1891" s="7" t="s">
        <v>2246</v>
      </c>
      <c r="M1891" s="7">
        <f t="shared" si="132"/>
        <v>0.107</v>
      </c>
      <c r="N1891" s="7">
        <f t="shared" si="137"/>
        <v>2.5696748112549836</v>
      </c>
    </row>
    <row r="1892" spans="1:14" ht="15.6" x14ac:dyDescent="0.3">
      <c r="A1892" s="18" t="s">
        <v>1713</v>
      </c>
      <c r="B1892" s="7">
        <v>33</v>
      </c>
      <c r="C1892" s="7">
        <v>68</v>
      </c>
      <c r="D1892" s="18" t="s">
        <v>2340</v>
      </c>
      <c r="E1892" s="18">
        <v>120000000</v>
      </c>
      <c r="F1892" s="7">
        <f t="shared" si="138"/>
        <v>31700661.222958673</v>
      </c>
      <c r="G1892" s="7">
        <v>788900</v>
      </c>
      <c r="H1892" s="18" t="s">
        <v>1861</v>
      </c>
      <c r="I1892" s="18" t="s">
        <v>1860</v>
      </c>
      <c r="J1892" s="18" t="s">
        <v>1802</v>
      </c>
      <c r="K1892" s="3">
        <v>58</v>
      </c>
      <c r="L1892" s="7" t="s">
        <v>2246</v>
      </c>
      <c r="M1892" s="7">
        <f t="shared" si="132"/>
        <v>5.8000000000000003E-2</v>
      </c>
      <c r="N1892" s="7">
        <f t="shared" si="137"/>
        <v>2.3306355063146196</v>
      </c>
    </row>
    <row r="1893" spans="1:14" ht="15.6" x14ac:dyDescent="0.3">
      <c r="A1893" s="18" t="s">
        <v>1713</v>
      </c>
      <c r="B1893" s="7">
        <v>33</v>
      </c>
      <c r="C1893" s="7">
        <v>69</v>
      </c>
      <c r="D1893" s="18" t="s">
        <v>2341</v>
      </c>
      <c r="E1893" s="18">
        <v>230000000</v>
      </c>
      <c r="F1893" s="7">
        <f t="shared" si="138"/>
        <v>60759600.67733746</v>
      </c>
      <c r="G1893" s="7">
        <v>1511100</v>
      </c>
      <c r="H1893" s="18" t="s">
        <v>1861</v>
      </c>
      <c r="I1893" s="18" t="s">
        <v>1860</v>
      </c>
      <c r="J1893" s="18" t="s">
        <v>1802</v>
      </c>
      <c r="K1893" s="3">
        <v>67</v>
      </c>
      <c r="L1893" s="7" t="s">
        <v>2246</v>
      </c>
      <c r="M1893" s="7">
        <f t="shared" si="132"/>
        <v>6.7000000000000004E-2</v>
      </c>
      <c r="N1893" s="7">
        <f t="shared" si="137"/>
        <v>2.6939932799825357</v>
      </c>
    </row>
    <row r="1894" spans="1:14" ht="15.6" x14ac:dyDescent="0.3">
      <c r="A1894" s="18" t="s">
        <v>1715</v>
      </c>
      <c r="B1894" s="7">
        <v>33</v>
      </c>
      <c r="C1894" s="7">
        <v>67</v>
      </c>
      <c r="D1894" s="18" t="s">
        <v>2339</v>
      </c>
      <c r="E1894" s="18">
        <v>4000000</v>
      </c>
      <c r="F1894" s="7">
        <f t="shared" si="138"/>
        <v>1056688.7074319557</v>
      </c>
      <c r="G1894" s="7">
        <v>40000</v>
      </c>
      <c r="H1894" s="18" t="s">
        <v>1861</v>
      </c>
      <c r="I1894" s="18" t="s">
        <v>1860</v>
      </c>
      <c r="J1894" s="18" t="s">
        <v>1802</v>
      </c>
      <c r="K1894" s="3">
        <v>7</v>
      </c>
      <c r="L1894" s="7" t="s">
        <v>2246</v>
      </c>
      <c r="M1894" s="7">
        <f t="shared" si="132"/>
        <v>7.0000000000000001E-3</v>
      </c>
      <c r="N1894" s="7">
        <f t="shared" si="137"/>
        <v>0.18492052380059226</v>
      </c>
    </row>
    <row r="1895" spans="1:14" ht="15.6" x14ac:dyDescent="0.3">
      <c r="A1895" s="18" t="s">
        <v>1715</v>
      </c>
      <c r="B1895" s="7">
        <v>33</v>
      </c>
      <c r="C1895" s="7">
        <v>66</v>
      </c>
      <c r="D1895" s="18" t="s">
        <v>2338</v>
      </c>
      <c r="E1895" s="18">
        <v>20000000</v>
      </c>
      <c r="F1895" s="7">
        <f t="shared" si="138"/>
        <v>5283443.5371597791</v>
      </c>
      <c r="G1895" s="7">
        <v>220000</v>
      </c>
      <c r="H1895" s="18" t="s">
        <v>1861</v>
      </c>
      <c r="I1895" s="18" t="s">
        <v>1860</v>
      </c>
      <c r="J1895" s="18" t="s">
        <v>1802</v>
      </c>
      <c r="K1895" s="3">
        <v>13</v>
      </c>
      <c r="L1895" s="7" t="s">
        <v>2246</v>
      </c>
      <c r="M1895" s="7">
        <f t="shared" si="132"/>
        <v>1.2999999999999999E-2</v>
      </c>
      <c r="N1895" s="7">
        <f t="shared" si="137"/>
        <v>0.31220348174125967</v>
      </c>
    </row>
    <row r="1896" spans="1:14" ht="15.6" x14ac:dyDescent="0.3">
      <c r="A1896" s="18" t="s">
        <v>1715</v>
      </c>
      <c r="B1896" s="7">
        <v>33</v>
      </c>
      <c r="C1896" s="7">
        <v>68</v>
      </c>
      <c r="D1896" s="18" t="s">
        <v>2340</v>
      </c>
      <c r="E1896" s="18">
        <v>120000000</v>
      </c>
      <c r="F1896" s="7">
        <f t="shared" si="138"/>
        <v>31700661.222958673</v>
      </c>
      <c r="G1896" s="7">
        <v>788900</v>
      </c>
      <c r="H1896" s="18" t="s">
        <v>1861</v>
      </c>
      <c r="I1896" s="18" t="s">
        <v>1860</v>
      </c>
      <c r="J1896" s="18" t="s">
        <v>1802</v>
      </c>
      <c r="K1896" s="3">
        <v>8</v>
      </c>
      <c r="L1896" s="7" t="s">
        <v>2246</v>
      </c>
      <c r="M1896" s="7">
        <f t="shared" si="132"/>
        <v>8.0000000000000002E-3</v>
      </c>
      <c r="N1896" s="7">
        <f t="shared" si="137"/>
        <v>0.32146696638822331</v>
      </c>
    </row>
    <row r="1897" spans="1:14" ht="15.6" x14ac:dyDescent="0.3">
      <c r="A1897" s="18" t="s">
        <v>1715</v>
      </c>
      <c r="B1897" s="7">
        <v>33</v>
      </c>
      <c r="C1897" s="7">
        <v>69</v>
      </c>
      <c r="D1897" s="18" t="s">
        <v>2341</v>
      </c>
      <c r="E1897" s="18">
        <v>230000000</v>
      </c>
      <c r="F1897" s="7">
        <f t="shared" si="138"/>
        <v>60759600.67733746</v>
      </c>
      <c r="G1897" s="7">
        <v>1511100</v>
      </c>
      <c r="H1897" s="18" t="s">
        <v>1861</v>
      </c>
      <c r="I1897" s="18" t="s">
        <v>1860</v>
      </c>
      <c r="J1897" s="18" t="s">
        <v>1802</v>
      </c>
      <c r="K1897" s="3">
        <v>9</v>
      </c>
      <c r="L1897" s="7" t="s">
        <v>2246</v>
      </c>
      <c r="M1897" s="7">
        <f t="shared" si="132"/>
        <v>8.9999999999999993E-3</v>
      </c>
      <c r="N1897" s="7">
        <f t="shared" si="137"/>
        <v>0.36187969432601225</v>
      </c>
    </row>
    <row r="1898" spans="1:14" ht="15.6" x14ac:dyDescent="0.3">
      <c r="A1898" s="18" t="s">
        <v>1726</v>
      </c>
      <c r="B1898" s="7">
        <v>33</v>
      </c>
      <c r="C1898" s="7">
        <v>67</v>
      </c>
      <c r="D1898" s="18" t="s">
        <v>2339</v>
      </c>
      <c r="E1898" s="18">
        <v>4000000</v>
      </c>
      <c r="F1898" s="7">
        <f t="shared" si="138"/>
        <v>1056688.7074319557</v>
      </c>
      <c r="G1898" s="7">
        <v>40000</v>
      </c>
      <c r="H1898" s="18" t="s">
        <v>1861</v>
      </c>
      <c r="I1898" s="18" t="s">
        <v>1860</v>
      </c>
      <c r="J1898" s="18" t="s">
        <v>1802</v>
      </c>
      <c r="K1898" s="3">
        <v>285</v>
      </c>
      <c r="L1898" s="7" t="s">
        <v>2246</v>
      </c>
      <c r="M1898" s="7">
        <f t="shared" si="132"/>
        <v>0.28499999999999998</v>
      </c>
      <c r="N1898" s="7">
        <f t="shared" si="137"/>
        <v>7.5289070404526832</v>
      </c>
    </row>
    <row r="1899" spans="1:14" ht="15.6" x14ac:dyDescent="0.3">
      <c r="A1899" s="18" t="s">
        <v>1726</v>
      </c>
      <c r="B1899" s="7">
        <v>33</v>
      </c>
      <c r="C1899" s="7">
        <v>66</v>
      </c>
      <c r="D1899" s="18" t="s">
        <v>2338</v>
      </c>
      <c r="E1899" s="18">
        <v>20000000</v>
      </c>
      <c r="F1899" s="7">
        <f t="shared" si="138"/>
        <v>5283443.5371597791</v>
      </c>
      <c r="G1899" s="7">
        <v>220000</v>
      </c>
      <c r="H1899" s="18" t="s">
        <v>1861</v>
      </c>
      <c r="I1899" s="18" t="s">
        <v>1860</v>
      </c>
      <c r="J1899" s="18" t="s">
        <v>1802</v>
      </c>
      <c r="K1899" s="3">
        <v>366</v>
      </c>
      <c r="L1899" s="7" t="s">
        <v>2246</v>
      </c>
      <c r="M1899" s="7">
        <f t="shared" si="132"/>
        <v>0.36599999999999999</v>
      </c>
      <c r="N1899" s="7">
        <f t="shared" si="137"/>
        <v>8.7897287936385418</v>
      </c>
    </row>
    <row r="1900" spans="1:14" ht="15.6" x14ac:dyDescent="0.3">
      <c r="A1900" s="18" t="s">
        <v>1726</v>
      </c>
      <c r="B1900" s="7">
        <v>33</v>
      </c>
      <c r="C1900" s="7">
        <v>68</v>
      </c>
      <c r="D1900" s="18" t="s">
        <v>2340</v>
      </c>
      <c r="E1900" s="18">
        <v>120000000</v>
      </c>
      <c r="F1900" s="7">
        <f t="shared" si="138"/>
        <v>31700661.222958673</v>
      </c>
      <c r="G1900" s="7">
        <v>788900</v>
      </c>
      <c r="H1900" s="18" t="s">
        <v>1861</v>
      </c>
      <c r="I1900" s="18" t="s">
        <v>1860</v>
      </c>
      <c r="J1900" s="18" t="s">
        <v>1802</v>
      </c>
      <c r="K1900" s="3">
        <v>307</v>
      </c>
      <c r="L1900" s="7" t="s">
        <v>2246</v>
      </c>
      <c r="M1900" s="7">
        <f t="shared" si="132"/>
        <v>0.307</v>
      </c>
      <c r="N1900" s="7">
        <f t="shared" si="137"/>
        <v>12.336294835148069</v>
      </c>
    </row>
    <row r="1901" spans="1:14" ht="15.6" x14ac:dyDescent="0.3">
      <c r="A1901" s="18" t="s">
        <v>1726</v>
      </c>
      <c r="B1901" s="7">
        <v>33</v>
      </c>
      <c r="C1901" s="7">
        <v>69</v>
      </c>
      <c r="D1901" s="18" t="s">
        <v>2341</v>
      </c>
      <c r="E1901" s="18">
        <v>230000000</v>
      </c>
      <c r="F1901" s="7">
        <f>E1901/3.78541</f>
        <v>60759600.67733746</v>
      </c>
      <c r="G1901" s="7">
        <v>1511100</v>
      </c>
      <c r="H1901" s="18" t="s">
        <v>1861</v>
      </c>
      <c r="I1901" s="18" t="s">
        <v>1860</v>
      </c>
      <c r="J1901" s="18" t="s">
        <v>1802</v>
      </c>
      <c r="K1901" s="3">
        <v>310</v>
      </c>
      <c r="L1901" s="7" t="s">
        <v>2246</v>
      </c>
      <c r="M1901" s="7">
        <f>IFERROR(K1901/1000,"ND")</f>
        <v>0.31</v>
      </c>
      <c r="N1901" s="7">
        <f t="shared" si="137"/>
        <v>12.464745026784867</v>
      </c>
    </row>
    <row r="1902" spans="1:14" ht="15.6" x14ac:dyDescent="0.3">
      <c r="A1902" s="7"/>
      <c r="B1902" s="18"/>
      <c r="C1902" s="18"/>
      <c r="D1902" s="7"/>
      <c r="E1902" s="7"/>
      <c r="F1902" s="10"/>
      <c r="G1902" s="18"/>
      <c r="H1902" s="18"/>
      <c r="I1902" s="7"/>
      <c r="J1902" s="18"/>
      <c r="K1902" s="7"/>
      <c r="L1902" s="7"/>
      <c r="M1902" s="7"/>
      <c r="N1902" s="7"/>
    </row>
    <row r="1903" spans="1:14" ht="18.600000000000001" x14ac:dyDescent="0.3">
      <c r="A1903" s="18" t="s">
        <v>4070</v>
      </c>
      <c r="B1903" s="18"/>
      <c r="C1903" s="18"/>
      <c r="D1903" s="7"/>
      <c r="E1903" s="7"/>
      <c r="F1903" s="10"/>
      <c r="G1903" s="18"/>
      <c r="H1903" s="18"/>
      <c r="I1903" s="7"/>
      <c r="J1903" s="18"/>
      <c r="K1903" s="7"/>
      <c r="L1903" s="7"/>
      <c r="M1903" s="7"/>
      <c r="N1903" s="7"/>
    </row>
    <row r="1904" spans="1:14" s="65" customFormat="1" ht="34.200000000000003" customHeight="1" x14ac:dyDescent="0.3">
      <c r="A1904" s="65" t="s">
        <v>4069</v>
      </c>
    </row>
    <row r="1905" spans="1:14" ht="18.600000000000001" x14ac:dyDescent="0.3">
      <c r="A1905" s="14" t="s">
        <v>4071</v>
      </c>
      <c r="B1905" s="18"/>
      <c r="C1905" s="18"/>
      <c r="D1905" s="7"/>
      <c r="E1905" s="7"/>
      <c r="F1905" s="10"/>
      <c r="G1905" s="18"/>
      <c r="H1905" s="18"/>
      <c r="I1905" s="7"/>
      <c r="J1905" s="18"/>
      <c r="K1905" s="7"/>
      <c r="L1905" s="7"/>
      <c r="M1905" s="7"/>
      <c r="N1905" s="7"/>
    </row>
    <row r="1906" spans="1:14" s="70" customFormat="1" ht="45.6" customHeight="1" x14ac:dyDescent="0.3">
      <c r="A1906" s="65" t="s">
        <v>3943</v>
      </c>
    </row>
    <row r="1907" spans="1:14" s="65" customFormat="1" ht="30" customHeight="1" x14ac:dyDescent="0.3">
      <c r="A1907" s="65" t="s">
        <v>3944</v>
      </c>
    </row>
    <row r="1908" spans="1:14" ht="18.600000000000001" x14ac:dyDescent="0.3">
      <c r="A1908" s="14" t="s">
        <v>3530</v>
      </c>
      <c r="B1908" s="18"/>
      <c r="C1908" s="18"/>
      <c r="D1908" s="7"/>
      <c r="E1908" s="7"/>
      <c r="F1908" s="10"/>
      <c r="G1908" s="18"/>
      <c r="H1908" s="18"/>
      <c r="I1908" s="7"/>
      <c r="J1908" s="18"/>
      <c r="K1908" s="7"/>
      <c r="L1908" s="7"/>
      <c r="M1908" s="7"/>
      <c r="N1908" s="7"/>
    </row>
    <row r="1909" spans="1:14" ht="16.2" x14ac:dyDescent="0.3">
      <c r="A1909" s="34"/>
      <c r="B1909" s="18"/>
      <c r="C1909" s="18"/>
      <c r="D1909" s="7"/>
      <c r="E1909" s="7"/>
      <c r="F1909" s="10"/>
      <c r="G1909" s="18"/>
      <c r="H1909" s="18"/>
      <c r="I1909" s="7"/>
      <c r="J1909" s="18"/>
      <c r="K1909" s="7"/>
      <c r="L1909" s="7"/>
      <c r="M1909" s="7"/>
      <c r="N1909" s="7"/>
    </row>
    <row r="1910" spans="1:14" ht="15.6" x14ac:dyDescent="0.3">
      <c r="A1910" s="7"/>
      <c r="B1910" s="18"/>
      <c r="C1910" s="18"/>
      <c r="D1910" s="7"/>
      <c r="E1910" s="7"/>
      <c r="F1910" s="10"/>
      <c r="G1910" s="18"/>
      <c r="H1910" s="18"/>
      <c r="I1910" s="7"/>
      <c r="J1910" s="18"/>
      <c r="K1910" s="7"/>
      <c r="L1910" s="7"/>
      <c r="M1910" s="7"/>
      <c r="N1910" s="7"/>
    </row>
    <row r="1911" spans="1:14" ht="15.6" x14ac:dyDescent="0.3">
      <c r="A1911" s="7"/>
      <c r="B1911" s="18"/>
      <c r="C1911" s="18"/>
      <c r="D1911" s="7"/>
      <c r="E1911" s="7"/>
      <c r="F1911" s="10"/>
      <c r="G1911" s="18"/>
      <c r="H1911" s="18"/>
      <c r="I1911" s="7"/>
      <c r="J1911" s="18"/>
      <c r="K1911" s="7"/>
      <c r="L1911" s="7"/>
      <c r="M1911" s="7"/>
      <c r="N1911" s="7"/>
    </row>
    <row r="1912" spans="1:14" ht="15.6" x14ac:dyDescent="0.3">
      <c r="A1912" s="7"/>
      <c r="B1912" s="18"/>
      <c r="C1912" s="18"/>
      <c r="D1912" s="7"/>
      <c r="E1912" s="7"/>
      <c r="F1912" s="10"/>
      <c r="G1912" s="18"/>
      <c r="H1912" s="18"/>
      <c r="I1912" s="7"/>
      <c r="J1912" s="18"/>
      <c r="K1912" s="7"/>
      <c r="L1912" s="7"/>
      <c r="M1912" s="7"/>
      <c r="N1912" s="7"/>
    </row>
    <row r="1913" spans="1:14" ht="15.6" x14ac:dyDescent="0.3">
      <c r="A1913" s="7"/>
      <c r="B1913" s="18"/>
      <c r="C1913" s="18"/>
      <c r="D1913" s="7"/>
      <c r="E1913" s="7"/>
      <c r="F1913" s="10"/>
      <c r="G1913" s="18"/>
      <c r="H1913" s="18"/>
      <c r="I1913" s="7"/>
      <c r="J1913" s="18"/>
      <c r="K1913" s="7"/>
      <c r="L1913" s="7"/>
      <c r="M1913" s="7"/>
      <c r="N1913" s="7"/>
    </row>
    <row r="1914" spans="1:14" ht="15.6" x14ac:dyDescent="0.3">
      <c r="A1914" s="7"/>
      <c r="B1914" s="18"/>
      <c r="C1914" s="18"/>
      <c r="D1914" s="7"/>
      <c r="E1914" s="7"/>
      <c r="F1914" s="10"/>
      <c r="G1914" s="18"/>
      <c r="H1914" s="18"/>
      <c r="I1914" s="7"/>
      <c r="J1914" s="18"/>
      <c r="K1914" s="7"/>
      <c r="L1914" s="7"/>
      <c r="M1914" s="7"/>
      <c r="N1914" s="7"/>
    </row>
    <row r="1915" spans="1:14" ht="15.6" x14ac:dyDescent="0.3">
      <c r="A1915" s="7"/>
      <c r="B1915" s="18"/>
      <c r="C1915" s="18"/>
      <c r="D1915" s="7"/>
      <c r="E1915" s="7"/>
      <c r="F1915" s="10"/>
      <c r="G1915" s="18"/>
      <c r="H1915" s="18"/>
      <c r="I1915" s="7"/>
      <c r="J1915" s="18"/>
      <c r="K1915" s="7"/>
      <c r="L1915" s="7"/>
      <c r="M1915" s="7"/>
      <c r="N1915" s="7"/>
    </row>
    <row r="1916" spans="1:14" ht="15.6" x14ac:dyDescent="0.3">
      <c r="A1916" s="7"/>
      <c r="B1916" s="18"/>
      <c r="C1916" s="18"/>
      <c r="D1916" s="7"/>
      <c r="E1916" s="7"/>
      <c r="F1916" s="10"/>
      <c r="G1916" s="18"/>
      <c r="H1916" s="18"/>
      <c r="I1916" s="7"/>
      <c r="J1916" s="18"/>
      <c r="K1916" s="7"/>
      <c r="L1916" s="7"/>
      <c r="M1916" s="7"/>
      <c r="N1916" s="7"/>
    </row>
    <row r="1917" spans="1:14" ht="15.6" x14ac:dyDescent="0.3">
      <c r="A1917" s="7"/>
      <c r="B1917" s="18"/>
      <c r="C1917" s="18"/>
      <c r="D1917" s="7"/>
      <c r="E1917" s="7"/>
      <c r="F1917" s="10"/>
      <c r="G1917" s="18"/>
      <c r="H1917" s="18"/>
      <c r="I1917" s="7"/>
      <c r="J1917" s="18"/>
      <c r="K1917" s="7"/>
      <c r="L1917" s="7"/>
      <c r="M1917" s="7"/>
      <c r="N1917" s="7"/>
    </row>
    <row r="1918" spans="1:14" ht="15.6" x14ac:dyDescent="0.3">
      <c r="A1918" s="7"/>
      <c r="B1918" s="18"/>
      <c r="C1918" s="18"/>
      <c r="D1918" s="7"/>
      <c r="E1918" s="7"/>
      <c r="F1918" s="10"/>
      <c r="G1918" s="18"/>
      <c r="H1918" s="18"/>
      <c r="I1918" s="7"/>
      <c r="J1918" s="18"/>
      <c r="K1918" s="7"/>
      <c r="L1918" s="7"/>
      <c r="M1918" s="7"/>
      <c r="N1918" s="7"/>
    </row>
    <row r="1919" spans="1:14" ht="15.6" x14ac:dyDescent="0.3">
      <c r="A1919" s="7"/>
      <c r="B1919" s="18"/>
      <c r="C1919" s="18"/>
      <c r="D1919" s="7"/>
      <c r="E1919" s="7"/>
      <c r="F1919" s="10"/>
      <c r="G1919" s="18"/>
      <c r="H1919" s="18"/>
      <c r="I1919" s="7"/>
      <c r="J1919" s="18"/>
      <c r="K1919" s="7"/>
      <c r="L1919" s="7"/>
      <c r="M1919" s="7"/>
      <c r="N1919" s="7"/>
    </row>
    <row r="1920" spans="1:14" ht="15.6" x14ac:dyDescent="0.3">
      <c r="A1920" s="7"/>
      <c r="B1920" s="18"/>
      <c r="C1920" s="18"/>
      <c r="D1920" s="7"/>
      <c r="E1920" s="7"/>
      <c r="F1920" s="10"/>
      <c r="G1920" s="18"/>
      <c r="H1920" s="18"/>
      <c r="I1920" s="7"/>
      <c r="J1920" s="18"/>
      <c r="K1920" s="7"/>
      <c r="L1920" s="7"/>
      <c r="M1920" s="7"/>
      <c r="N1920" s="7"/>
    </row>
    <row r="1921" spans="1:14" ht="15.6" x14ac:dyDescent="0.3">
      <c r="A1921" s="7"/>
      <c r="B1921" s="18"/>
      <c r="C1921" s="18"/>
      <c r="D1921" s="7"/>
      <c r="E1921" s="7"/>
      <c r="F1921" s="10"/>
      <c r="G1921" s="18"/>
      <c r="H1921" s="18"/>
      <c r="I1921" s="7"/>
      <c r="J1921" s="18"/>
      <c r="K1921" s="7"/>
      <c r="L1921" s="7"/>
      <c r="M1921" s="7"/>
      <c r="N1921" s="7"/>
    </row>
    <row r="1922" spans="1:14" ht="15.6" x14ac:dyDescent="0.3">
      <c r="A1922" s="7"/>
      <c r="B1922" s="18"/>
      <c r="C1922" s="18"/>
      <c r="D1922" s="7"/>
      <c r="E1922" s="7"/>
      <c r="F1922" s="10"/>
      <c r="G1922" s="18"/>
      <c r="H1922" s="18"/>
      <c r="I1922" s="7"/>
      <c r="J1922" s="18"/>
      <c r="K1922" s="7"/>
      <c r="L1922" s="7"/>
      <c r="M1922" s="7"/>
      <c r="N1922" s="7"/>
    </row>
    <row r="1923" spans="1:14" ht="15.6" x14ac:dyDescent="0.3">
      <c r="A1923" s="7"/>
      <c r="B1923" s="18"/>
      <c r="C1923" s="18"/>
      <c r="D1923" s="7"/>
      <c r="E1923" s="7"/>
      <c r="F1923" s="10"/>
      <c r="G1923" s="18"/>
      <c r="H1923" s="18"/>
      <c r="I1923" s="7"/>
      <c r="J1923" s="18"/>
      <c r="K1923" s="7"/>
      <c r="L1923" s="7"/>
      <c r="M1923" s="7"/>
      <c r="N1923" s="7"/>
    </row>
    <row r="1924" spans="1:14" ht="15.6" x14ac:dyDescent="0.3">
      <c r="A1924" s="7"/>
      <c r="B1924" s="18"/>
      <c r="C1924" s="18"/>
      <c r="D1924" s="7"/>
      <c r="E1924" s="7"/>
      <c r="F1924" s="10"/>
      <c r="G1924" s="18"/>
      <c r="H1924" s="18"/>
      <c r="I1924" s="7"/>
      <c r="J1924" s="18"/>
      <c r="K1924" s="7"/>
      <c r="L1924" s="7"/>
      <c r="M1924" s="7"/>
      <c r="N1924" s="7"/>
    </row>
    <row r="1925" spans="1:14" ht="15.6" x14ac:dyDescent="0.3">
      <c r="A1925" s="7"/>
      <c r="B1925" s="18"/>
      <c r="C1925" s="18"/>
      <c r="D1925" s="7"/>
      <c r="E1925" s="7"/>
      <c r="F1925" s="10"/>
      <c r="G1925" s="18"/>
      <c r="H1925" s="18"/>
      <c r="I1925" s="7"/>
      <c r="J1925" s="18"/>
      <c r="K1925" s="7"/>
      <c r="L1925" s="7"/>
      <c r="M1925" s="7"/>
      <c r="N1925" s="7"/>
    </row>
    <row r="1926" spans="1:14" ht="15.6" x14ac:dyDescent="0.3">
      <c r="A1926" s="7"/>
      <c r="B1926" s="18"/>
      <c r="C1926" s="18"/>
      <c r="D1926" s="7"/>
      <c r="E1926" s="7"/>
      <c r="F1926" s="10"/>
      <c r="G1926" s="18"/>
      <c r="H1926" s="18"/>
      <c r="I1926" s="7"/>
      <c r="J1926" s="18"/>
      <c r="K1926" s="7"/>
      <c r="L1926" s="7"/>
      <c r="M1926" s="7"/>
      <c r="N1926" s="7"/>
    </row>
    <row r="1927" spans="1:14" ht="15.6" x14ac:dyDescent="0.3">
      <c r="A1927" s="7"/>
      <c r="B1927" s="18"/>
      <c r="C1927" s="18"/>
      <c r="D1927" s="7"/>
      <c r="E1927" s="7"/>
      <c r="F1927" s="10"/>
      <c r="G1927" s="18"/>
      <c r="H1927" s="18"/>
      <c r="I1927" s="7"/>
      <c r="J1927" s="18"/>
      <c r="K1927" s="7"/>
      <c r="L1927" s="7"/>
      <c r="M1927" s="7"/>
      <c r="N1927" s="7"/>
    </row>
    <row r="1928" spans="1:14" ht="15.6" x14ac:dyDescent="0.3">
      <c r="A1928" s="7"/>
      <c r="B1928" s="18"/>
      <c r="C1928" s="18"/>
      <c r="D1928" s="7"/>
      <c r="E1928" s="7"/>
      <c r="F1928" s="10"/>
      <c r="G1928" s="18"/>
      <c r="H1928" s="18"/>
      <c r="I1928" s="7"/>
      <c r="J1928" s="18"/>
      <c r="K1928" s="7"/>
      <c r="L1928" s="7"/>
      <c r="M1928" s="7"/>
      <c r="N1928" s="7"/>
    </row>
    <row r="1929" spans="1:14" ht="15.6" x14ac:dyDescent="0.3">
      <c r="A1929" s="7"/>
      <c r="B1929" s="18"/>
      <c r="C1929" s="18"/>
      <c r="D1929" s="7"/>
      <c r="E1929" s="7"/>
      <c r="F1929" s="10"/>
      <c r="G1929" s="18"/>
      <c r="H1929" s="18"/>
      <c r="I1929" s="7"/>
      <c r="J1929" s="18"/>
      <c r="K1929" s="7"/>
      <c r="L1929" s="7"/>
      <c r="M1929" s="7"/>
      <c r="N1929" s="7"/>
    </row>
    <row r="1930" spans="1:14" ht="15.6" x14ac:dyDescent="0.3">
      <c r="A1930" s="7"/>
      <c r="B1930" s="18"/>
      <c r="C1930" s="18"/>
      <c r="D1930" s="7"/>
      <c r="E1930" s="7"/>
      <c r="F1930" s="10"/>
      <c r="G1930" s="18"/>
      <c r="H1930" s="18"/>
      <c r="I1930" s="7"/>
      <c r="J1930" s="18"/>
      <c r="K1930" s="7"/>
      <c r="L1930" s="7"/>
      <c r="M1930" s="7"/>
      <c r="N1930" s="7"/>
    </row>
    <row r="1931" spans="1:14" ht="15.6" x14ac:dyDescent="0.3">
      <c r="A1931" s="7"/>
      <c r="B1931" s="18"/>
      <c r="C1931" s="18"/>
      <c r="D1931" s="7"/>
      <c r="E1931" s="7"/>
      <c r="F1931" s="10"/>
      <c r="G1931" s="18"/>
      <c r="H1931" s="18"/>
      <c r="I1931" s="7"/>
      <c r="J1931" s="18"/>
      <c r="K1931" s="7"/>
      <c r="L1931" s="7"/>
      <c r="M1931" s="7"/>
      <c r="N1931" s="7"/>
    </row>
    <row r="1932" spans="1:14" ht="15.6" x14ac:dyDescent="0.3">
      <c r="A1932" s="7"/>
      <c r="B1932" s="18"/>
      <c r="C1932" s="18"/>
      <c r="D1932" s="7"/>
      <c r="E1932" s="7"/>
      <c r="F1932" s="10"/>
      <c r="G1932" s="18"/>
      <c r="H1932" s="18"/>
      <c r="I1932" s="7"/>
      <c r="J1932" s="18"/>
      <c r="K1932" s="7"/>
      <c r="L1932" s="7"/>
      <c r="M1932" s="7"/>
      <c r="N1932" s="7"/>
    </row>
    <row r="1933" spans="1:14" ht="15.6" x14ac:dyDescent="0.3">
      <c r="A1933" s="7"/>
      <c r="B1933" s="18"/>
      <c r="C1933" s="18"/>
      <c r="D1933" s="7"/>
      <c r="E1933" s="7"/>
      <c r="F1933" s="10"/>
      <c r="G1933" s="18"/>
      <c r="H1933" s="18"/>
      <c r="I1933" s="7"/>
      <c r="J1933" s="18"/>
      <c r="K1933" s="7"/>
      <c r="L1933" s="7"/>
      <c r="M1933" s="7"/>
      <c r="N1933" s="7"/>
    </row>
    <row r="1934" spans="1:14" ht="15.6" x14ac:dyDescent="0.3">
      <c r="A1934" s="7"/>
      <c r="B1934" s="18"/>
      <c r="C1934" s="18"/>
      <c r="D1934" s="7"/>
      <c r="E1934" s="7"/>
      <c r="F1934" s="10"/>
      <c r="G1934" s="18"/>
      <c r="H1934" s="18"/>
      <c r="I1934" s="7"/>
      <c r="J1934" s="18"/>
      <c r="K1934" s="7"/>
      <c r="L1934" s="7"/>
      <c r="M1934" s="7"/>
      <c r="N1934" s="7"/>
    </row>
    <row r="1935" spans="1:14" ht="15.6" x14ac:dyDescent="0.3">
      <c r="A1935" s="7"/>
      <c r="B1935" s="18"/>
      <c r="C1935" s="18"/>
      <c r="D1935" s="7"/>
      <c r="E1935" s="7"/>
      <c r="F1935" s="10"/>
      <c r="G1935" s="18"/>
      <c r="H1935" s="18"/>
      <c r="I1935" s="7"/>
      <c r="J1935" s="18"/>
      <c r="K1935" s="7"/>
      <c r="L1935" s="7"/>
      <c r="M1935" s="7"/>
      <c r="N1935" s="7"/>
    </row>
    <row r="1936" spans="1:14" ht="15.6" x14ac:dyDescent="0.3">
      <c r="A1936" s="7"/>
      <c r="B1936" s="18"/>
      <c r="C1936" s="18"/>
      <c r="D1936" s="7"/>
      <c r="E1936" s="7"/>
      <c r="F1936" s="10"/>
      <c r="G1936" s="18"/>
      <c r="H1936" s="18"/>
      <c r="I1936" s="7"/>
      <c r="J1936" s="18"/>
      <c r="K1936" s="7"/>
      <c r="L1936" s="7"/>
      <c r="M1936" s="7"/>
      <c r="N1936" s="7"/>
    </row>
    <row r="1937" spans="1:14" ht="15.6" x14ac:dyDescent="0.3">
      <c r="A1937" s="7"/>
      <c r="B1937" s="18"/>
      <c r="C1937" s="18"/>
      <c r="D1937" s="7"/>
      <c r="E1937" s="7"/>
      <c r="F1937" s="10"/>
      <c r="G1937" s="18"/>
      <c r="H1937" s="18"/>
      <c r="I1937" s="7"/>
      <c r="J1937" s="18"/>
      <c r="K1937" s="7"/>
      <c r="L1937" s="7"/>
      <c r="M1937" s="7"/>
      <c r="N1937" s="7"/>
    </row>
    <row r="1938" spans="1:14" ht="15.6" x14ac:dyDescent="0.3">
      <c r="A1938" s="7"/>
      <c r="B1938" s="18"/>
      <c r="C1938" s="18"/>
      <c r="D1938" s="7"/>
      <c r="E1938" s="7"/>
      <c r="F1938" s="10"/>
      <c r="G1938" s="18"/>
      <c r="H1938" s="18"/>
      <c r="I1938" s="7"/>
      <c r="J1938" s="18"/>
      <c r="K1938" s="7"/>
      <c r="L1938" s="7"/>
      <c r="M1938" s="7"/>
      <c r="N1938" s="7"/>
    </row>
    <row r="1939" spans="1:14" ht="15.6" x14ac:dyDescent="0.3">
      <c r="A1939" s="7"/>
      <c r="B1939" s="18"/>
      <c r="C1939" s="18"/>
      <c r="D1939" s="7"/>
      <c r="E1939" s="7"/>
      <c r="F1939" s="10"/>
      <c r="G1939" s="18"/>
      <c r="H1939" s="18"/>
      <c r="I1939" s="7"/>
      <c r="J1939" s="18"/>
      <c r="K1939" s="7"/>
      <c r="L1939" s="7"/>
      <c r="M1939" s="7"/>
      <c r="N1939" s="7"/>
    </row>
    <row r="1940" spans="1:14" ht="15.6" x14ac:dyDescent="0.3">
      <c r="A1940" s="7"/>
      <c r="B1940" s="18"/>
      <c r="C1940" s="18"/>
      <c r="D1940" s="7"/>
      <c r="E1940" s="7"/>
      <c r="F1940" s="10"/>
      <c r="G1940" s="18"/>
      <c r="H1940" s="18"/>
      <c r="I1940" s="7"/>
      <c r="J1940" s="18"/>
      <c r="K1940" s="7"/>
      <c r="L1940" s="7"/>
      <c r="M1940" s="7"/>
      <c r="N1940" s="7"/>
    </row>
    <row r="1941" spans="1:14" ht="15.6" x14ac:dyDescent="0.3">
      <c r="A1941" s="7"/>
      <c r="B1941" s="18"/>
      <c r="C1941" s="18"/>
      <c r="D1941" s="7"/>
      <c r="E1941" s="7"/>
      <c r="F1941" s="10"/>
      <c r="G1941" s="18"/>
      <c r="H1941" s="18"/>
      <c r="I1941" s="7"/>
      <c r="J1941" s="18"/>
      <c r="K1941" s="7"/>
      <c r="L1941" s="7"/>
      <c r="M1941" s="7"/>
      <c r="N1941" s="7"/>
    </row>
    <row r="1942" spans="1:14" ht="15.6" x14ac:dyDescent="0.3">
      <c r="A1942" s="7"/>
      <c r="B1942" s="18"/>
      <c r="C1942" s="18"/>
      <c r="D1942" s="7"/>
      <c r="E1942" s="7"/>
      <c r="F1942" s="10"/>
      <c r="G1942" s="18"/>
      <c r="H1942" s="18"/>
      <c r="I1942" s="7"/>
      <c r="J1942" s="18"/>
      <c r="K1942" s="7"/>
      <c r="L1942" s="7"/>
      <c r="M1942" s="7"/>
      <c r="N1942" s="7"/>
    </row>
    <row r="1943" spans="1:14" ht="15.6" x14ac:dyDescent="0.3">
      <c r="A1943" s="7"/>
      <c r="B1943" s="18"/>
      <c r="C1943" s="18"/>
      <c r="D1943" s="7"/>
      <c r="E1943" s="7"/>
      <c r="F1943" s="10"/>
      <c r="G1943" s="18"/>
      <c r="H1943" s="18"/>
      <c r="I1943" s="7"/>
      <c r="J1943" s="18"/>
      <c r="K1943" s="7"/>
      <c r="L1943" s="7"/>
      <c r="M1943" s="7"/>
      <c r="N1943" s="7"/>
    </row>
    <row r="1944" spans="1:14" ht="15.6" x14ac:dyDescent="0.3">
      <c r="A1944" s="7"/>
      <c r="B1944" s="18"/>
      <c r="C1944" s="18"/>
      <c r="D1944" s="7"/>
      <c r="E1944" s="7"/>
      <c r="F1944" s="10"/>
      <c r="G1944" s="18"/>
      <c r="H1944" s="18"/>
      <c r="I1944" s="7"/>
      <c r="J1944" s="18"/>
      <c r="K1944" s="7"/>
      <c r="L1944" s="7"/>
      <c r="M1944" s="7"/>
      <c r="N1944" s="7"/>
    </row>
    <row r="1945" spans="1:14" ht="15.6" x14ac:dyDescent="0.3">
      <c r="A1945" s="7"/>
      <c r="B1945" s="18"/>
      <c r="C1945" s="18"/>
      <c r="D1945" s="7"/>
      <c r="E1945" s="7"/>
      <c r="F1945" s="10"/>
      <c r="G1945" s="18"/>
      <c r="H1945" s="18"/>
      <c r="I1945" s="7"/>
      <c r="J1945" s="18"/>
      <c r="K1945" s="7"/>
      <c r="L1945" s="7"/>
      <c r="M1945" s="7"/>
      <c r="N1945" s="7"/>
    </row>
    <row r="1946" spans="1:14" ht="15.6" x14ac:dyDescent="0.3">
      <c r="A1946" s="7"/>
      <c r="B1946" s="18"/>
      <c r="C1946" s="18"/>
      <c r="D1946" s="7"/>
      <c r="E1946" s="7"/>
      <c r="F1946" s="10"/>
      <c r="G1946" s="18"/>
      <c r="H1946" s="18"/>
      <c r="I1946" s="7"/>
      <c r="J1946" s="18"/>
      <c r="K1946" s="7"/>
      <c r="L1946" s="7"/>
      <c r="M1946" s="7"/>
      <c r="N1946" s="7"/>
    </row>
    <row r="1947" spans="1:14" ht="15.6" x14ac:dyDescent="0.3">
      <c r="A1947" s="7"/>
      <c r="B1947" s="18"/>
      <c r="C1947" s="18"/>
      <c r="D1947" s="7"/>
      <c r="E1947" s="7"/>
      <c r="F1947" s="10"/>
      <c r="G1947" s="18"/>
      <c r="H1947" s="18"/>
      <c r="I1947" s="7"/>
      <c r="J1947" s="18"/>
      <c r="K1947" s="7"/>
      <c r="L1947" s="7"/>
      <c r="M1947" s="7"/>
      <c r="N1947" s="7"/>
    </row>
    <row r="1948" spans="1:14" ht="15.6" x14ac:dyDescent="0.3">
      <c r="A1948" s="7"/>
      <c r="B1948" s="18"/>
      <c r="C1948" s="18"/>
      <c r="D1948" s="7"/>
      <c r="E1948" s="7"/>
      <c r="F1948" s="10"/>
      <c r="G1948" s="18"/>
      <c r="H1948" s="18"/>
      <c r="I1948" s="7"/>
      <c r="J1948" s="18"/>
      <c r="K1948" s="7"/>
      <c r="L1948" s="7"/>
      <c r="M1948" s="7"/>
      <c r="N1948" s="7"/>
    </row>
    <row r="1949" spans="1:14" ht="15.6" x14ac:dyDescent="0.3">
      <c r="A1949" s="7"/>
      <c r="B1949" s="18"/>
      <c r="C1949" s="18"/>
      <c r="D1949" s="7"/>
      <c r="E1949" s="7"/>
      <c r="F1949" s="10"/>
      <c r="G1949" s="18"/>
      <c r="H1949" s="18"/>
      <c r="I1949" s="7"/>
      <c r="J1949" s="18"/>
      <c r="K1949" s="7"/>
      <c r="L1949" s="7"/>
      <c r="M1949" s="7"/>
      <c r="N1949" s="7"/>
    </row>
    <row r="1950" spans="1:14" ht="15.6" x14ac:dyDescent="0.3">
      <c r="A1950" s="7"/>
      <c r="B1950" s="18"/>
      <c r="C1950" s="18"/>
      <c r="D1950" s="7"/>
      <c r="E1950" s="7"/>
      <c r="F1950" s="10"/>
      <c r="G1950" s="18"/>
      <c r="H1950" s="18"/>
      <c r="I1950" s="7"/>
      <c r="J1950" s="18"/>
      <c r="K1950" s="7"/>
      <c r="L1950" s="7"/>
      <c r="M1950" s="7"/>
      <c r="N1950" s="7"/>
    </row>
    <row r="1951" spans="1:14" ht="15.6" x14ac:dyDescent="0.3">
      <c r="A1951" s="7"/>
      <c r="B1951" s="18"/>
      <c r="C1951" s="18"/>
      <c r="D1951" s="7"/>
      <c r="E1951" s="7"/>
      <c r="F1951" s="10"/>
      <c r="G1951" s="18"/>
      <c r="H1951" s="18"/>
      <c r="I1951" s="7"/>
      <c r="J1951" s="18"/>
      <c r="K1951" s="7"/>
      <c r="L1951" s="7"/>
      <c r="M1951" s="7"/>
      <c r="N1951" s="7"/>
    </row>
    <row r="1952" spans="1:14" ht="15.6" x14ac:dyDescent="0.3">
      <c r="A1952" s="7"/>
      <c r="B1952" s="18"/>
      <c r="C1952" s="18"/>
      <c r="D1952" s="7"/>
      <c r="E1952" s="7"/>
      <c r="F1952" s="10"/>
      <c r="G1952" s="18"/>
      <c r="H1952" s="18"/>
      <c r="I1952" s="7"/>
      <c r="J1952" s="18"/>
      <c r="K1952" s="7"/>
      <c r="L1952" s="7"/>
      <c r="M1952" s="7"/>
      <c r="N1952" s="7"/>
    </row>
    <row r="1953" spans="1:14" ht="15.6" x14ac:dyDescent="0.3">
      <c r="A1953" s="7"/>
      <c r="B1953" s="18"/>
      <c r="C1953" s="18"/>
      <c r="D1953" s="7"/>
      <c r="E1953" s="7"/>
      <c r="F1953" s="10"/>
      <c r="G1953" s="18"/>
      <c r="H1953" s="18"/>
      <c r="I1953" s="7"/>
      <c r="J1953" s="18"/>
      <c r="K1953" s="7"/>
      <c r="L1953" s="7"/>
      <c r="M1953" s="7"/>
      <c r="N1953" s="7"/>
    </row>
    <row r="1954" spans="1:14" ht="15.6" x14ac:dyDescent="0.3">
      <c r="A1954" s="7"/>
      <c r="B1954" s="18"/>
      <c r="C1954" s="18"/>
      <c r="D1954" s="7"/>
      <c r="E1954" s="7"/>
      <c r="F1954" s="10"/>
      <c r="G1954" s="18"/>
      <c r="H1954" s="18"/>
      <c r="I1954" s="7"/>
      <c r="J1954" s="18"/>
      <c r="K1954" s="7"/>
      <c r="L1954" s="7"/>
      <c r="M1954" s="7"/>
      <c r="N1954" s="7"/>
    </row>
    <row r="1955" spans="1:14" ht="15.6" x14ac:dyDescent="0.3">
      <c r="A1955" s="7"/>
      <c r="B1955" s="18"/>
      <c r="C1955" s="18"/>
      <c r="D1955" s="7"/>
      <c r="E1955" s="7"/>
      <c r="F1955" s="10"/>
      <c r="G1955" s="18"/>
      <c r="H1955" s="18"/>
      <c r="I1955" s="7"/>
      <c r="J1955" s="18"/>
      <c r="K1955" s="7"/>
      <c r="L1955" s="7"/>
      <c r="M1955" s="7"/>
      <c r="N1955" s="7"/>
    </row>
    <row r="1956" spans="1:14" ht="15.6" x14ac:dyDescent="0.3">
      <c r="A1956" s="7"/>
      <c r="B1956" s="18"/>
      <c r="C1956" s="18"/>
      <c r="D1956" s="7"/>
      <c r="E1956" s="7"/>
      <c r="F1956" s="10"/>
      <c r="G1956" s="18"/>
      <c r="H1956" s="18"/>
      <c r="I1956" s="7"/>
      <c r="J1956" s="18"/>
      <c r="K1956" s="7"/>
      <c r="L1956" s="7"/>
      <c r="M1956" s="7"/>
      <c r="N1956" s="7"/>
    </row>
    <row r="1957" spans="1:14" ht="15.6" x14ac:dyDescent="0.3">
      <c r="A1957" s="7"/>
      <c r="B1957" s="18"/>
      <c r="C1957" s="18"/>
      <c r="D1957" s="7"/>
      <c r="E1957" s="7"/>
      <c r="F1957" s="10"/>
      <c r="G1957" s="18"/>
      <c r="H1957" s="18"/>
      <c r="I1957" s="7"/>
      <c r="J1957" s="18"/>
      <c r="K1957" s="7"/>
      <c r="L1957" s="7"/>
      <c r="M1957" s="7"/>
      <c r="N1957" s="7"/>
    </row>
    <row r="1958" spans="1:14" ht="15.6" x14ac:dyDescent="0.3">
      <c r="A1958" s="7"/>
      <c r="B1958" s="18"/>
      <c r="C1958" s="18"/>
      <c r="D1958" s="7"/>
      <c r="E1958" s="7"/>
      <c r="F1958" s="10"/>
      <c r="G1958" s="18"/>
      <c r="H1958" s="18"/>
      <c r="I1958" s="7"/>
      <c r="J1958" s="18"/>
      <c r="K1958" s="7"/>
      <c r="L1958" s="7"/>
      <c r="M1958" s="7"/>
      <c r="N1958" s="7"/>
    </row>
    <row r="1959" spans="1:14" ht="15.6" x14ac:dyDescent="0.3">
      <c r="A1959" s="7"/>
      <c r="B1959" s="18"/>
      <c r="C1959" s="18"/>
      <c r="D1959" s="7"/>
      <c r="E1959" s="7"/>
      <c r="F1959" s="10"/>
      <c r="G1959" s="18"/>
      <c r="H1959" s="18"/>
      <c r="I1959" s="7"/>
      <c r="J1959" s="18"/>
      <c r="K1959" s="7"/>
      <c r="L1959" s="7"/>
      <c r="M1959" s="7"/>
      <c r="N1959" s="7"/>
    </row>
    <row r="1960" spans="1:14" ht="15.6" x14ac:dyDescent="0.3">
      <c r="A1960" s="7"/>
      <c r="B1960" s="18"/>
      <c r="C1960" s="18"/>
      <c r="D1960" s="7"/>
      <c r="E1960" s="7"/>
      <c r="F1960" s="10"/>
      <c r="G1960" s="18"/>
      <c r="H1960" s="18"/>
      <c r="I1960" s="7"/>
      <c r="J1960" s="18"/>
      <c r="K1960" s="7"/>
      <c r="L1960" s="7"/>
      <c r="M1960" s="7"/>
      <c r="N1960" s="7"/>
    </row>
    <row r="1961" spans="1:14" ht="15.6" x14ac:dyDescent="0.3">
      <c r="A1961" s="7"/>
      <c r="B1961" s="18"/>
      <c r="C1961" s="18"/>
      <c r="D1961" s="7"/>
      <c r="E1961" s="7"/>
      <c r="F1961" s="10"/>
      <c r="G1961" s="18"/>
      <c r="H1961" s="18"/>
      <c r="I1961" s="7"/>
      <c r="J1961" s="18"/>
      <c r="K1961" s="7"/>
      <c r="L1961" s="7"/>
      <c r="M1961" s="7"/>
      <c r="N1961" s="7"/>
    </row>
    <row r="1962" spans="1:14" ht="15.6" x14ac:dyDescent="0.3">
      <c r="A1962" s="7"/>
      <c r="B1962" s="18"/>
      <c r="C1962" s="18"/>
      <c r="D1962" s="7"/>
      <c r="E1962" s="7"/>
      <c r="F1962" s="10"/>
      <c r="G1962" s="18"/>
      <c r="H1962" s="18"/>
      <c r="I1962" s="7"/>
      <c r="J1962" s="18"/>
      <c r="K1962" s="7"/>
      <c r="L1962" s="7"/>
      <c r="M1962" s="7"/>
      <c r="N1962" s="7"/>
    </row>
    <row r="1963" spans="1:14" ht="15.6" x14ac:dyDescent="0.3">
      <c r="A1963" s="7"/>
      <c r="B1963" s="18"/>
      <c r="C1963" s="18"/>
      <c r="D1963" s="7"/>
      <c r="E1963" s="7"/>
      <c r="F1963" s="10"/>
      <c r="G1963" s="18"/>
      <c r="H1963" s="18"/>
      <c r="I1963" s="7"/>
      <c r="J1963" s="18"/>
      <c r="K1963" s="7"/>
      <c r="L1963" s="7"/>
      <c r="M1963" s="7"/>
      <c r="N1963" s="7"/>
    </row>
    <row r="1964" spans="1:14" ht="15.6" x14ac:dyDescent="0.3">
      <c r="A1964" s="7"/>
      <c r="B1964" s="18"/>
      <c r="C1964" s="18"/>
      <c r="D1964" s="7"/>
      <c r="E1964" s="7"/>
      <c r="F1964" s="10"/>
      <c r="G1964" s="18"/>
      <c r="H1964" s="18"/>
      <c r="I1964" s="7"/>
      <c r="J1964" s="18"/>
      <c r="K1964" s="7"/>
      <c r="L1964" s="7"/>
      <c r="M1964" s="7"/>
      <c r="N1964" s="7"/>
    </row>
    <row r="1965" spans="1:14" ht="15.6" x14ac:dyDescent="0.3">
      <c r="A1965" s="7"/>
      <c r="B1965" s="18"/>
      <c r="C1965" s="18"/>
      <c r="D1965" s="7"/>
      <c r="E1965" s="7"/>
      <c r="F1965" s="10"/>
      <c r="G1965" s="18"/>
      <c r="H1965" s="18"/>
      <c r="I1965" s="7"/>
      <c r="J1965" s="18"/>
      <c r="K1965" s="7"/>
      <c r="L1965" s="7"/>
      <c r="M1965" s="7"/>
      <c r="N1965" s="7"/>
    </row>
    <row r="1966" spans="1:14" ht="15.6" x14ac:dyDescent="0.3">
      <c r="A1966" s="7"/>
      <c r="B1966" s="18"/>
      <c r="C1966" s="18"/>
      <c r="D1966" s="7"/>
      <c r="E1966" s="7"/>
      <c r="F1966" s="10"/>
      <c r="G1966" s="18"/>
      <c r="H1966" s="18"/>
      <c r="I1966" s="7"/>
      <c r="J1966" s="18"/>
      <c r="K1966" s="7"/>
      <c r="L1966" s="7"/>
      <c r="M1966" s="7"/>
      <c r="N1966" s="7"/>
    </row>
    <row r="1967" spans="1:14" ht="15.6" x14ac:dyDescent="0.3">
      <c r="A1967" s="7"/>
      <c r="B1967" s="18"/>
      <c r="C1967" s="18"/>
      <c r="D1967" s="7"/>
      <c r="E1967" s="7"/>
      <c r="F1967" s="10"/>
      <c r="G1967" s="18"/>
      <c r="H1967" s="18"/>
      <c r="I1967" s="7"/>
      <c r="J1967" s="18"/>
      <c r="K1967" s="7"/>
      <c r="L1967" s="7"/>
      <c r="M1967" s="7"/>
      <c r="N1967" s="7"/>
    </row>
    <row r="1968" spans="1:14" ht="15.6" x14ac:dyDescent="0.3">
      <c r="A1968" s="7"/>
      <c r="B1968" s="18"/>
      <c r="C1968" s="18"/>
      <c r="D1968" s="7"/>
      <c r="E1968" s="7"/>
      <c r="F1968" s="10"/>
      <c r="G1968" s="18"/>
      <c r="H1968" s="18"/>
      <c r="I1968" s="7"/>
      <c r="J1968" s="18"/>
      <c r="K1968" s="7"/>
      <c r="L1968" s="7"/>
      <c r="M1968" s="7"/>
      <c r="N1968" s="7"/>
    </row>
    <row r="1969" spans="1:14" ht="15.6" x14ac:dyDescent="0.3">
      <c r="A1969" s="7"/>
      <c r="B1969" s="18"/>
      <c r="C1969" s="18"/>
      <c r="D1969" s="7"/>
      <c r="E1969" s="7"/>
      <c r="F1969" s="10"/>
      <c r="G1969" s="18"/>
      <c r="H1969" s="18"/>
      <c r="I1969" s="7"/>
      <c r="J1969" s="18"/>
      <c r="K1969" s="7"/>
      <c r="L1969" s="7"/>
      <c r="M1969" s="7"/>
      <c r="N1969" s="7"/>
    </row>
    <row r="1970" spans="1:14" ht="15.6" x14ac:dyDescent="0.3">
      <c r="A1970" s="7"/>
      <c r="B1970" s="18"/>
      <c r="C1970" s="18"/>
      <c r="D1970" s="7"/>
      <c r="E1970" s="7"/>
      <c r="F1970" s="10"/>
      <c r="G1970" s="18"/>
      <c r="H1970" s="18"/>
      <c r="I1970" s="7"/>
      <c r="J1970" s="18"/>
      <c r="K1970" s="7"/>
      <c r="L1970" s="7"/>
      <c r="M1970" s="7"/>
      <c r="N1970" s="7"/>
    </row>
    <row r="1971" spans="1:14" ht="15.6" x14ac:dyDescent="0.3">
      <c r="A1971" s="7"/>
      <c r="B1971" s="18"/>
      <c r="C1971" s="18"/>
      <c r="D1971" s="7"/>
      <c r="E1971" s="7"/>
      <c r="F1971" s="10"/>
      <c r="G1971" s="18"/>
      <c r="H1971" s="18"/>
      <c r="I1971" s="7"/>
      <c r="J1971" s="18"/>
      <c r="K1971" s="7"/>
      <c r="L1971" s="7"/>
      <c r="M1971" s="7"/>
      <c r="N1971" s="7"/>
    </row>
    <row r="1972" spans="1:14" ht="15.6" x14ac:dyDescent="0.3">
      <c r="A1972" s="7"/>
      <c r="B1972" s="18"/>
      <c r="C1972" s="18"/>
      <c r="D1972" s="7"/>
      <c r="E1972" s="7"/>
      <c r="F1972" s="10"/>
      <c r="G1972" s="18"/>
      <c r="H1972" s="18"/>
      <c r="I1972" s="7"/>
      <c r="J1972" s="18"/>
      <c r="K1972" s="7"/>
      <c r="L1972" s="7"/>
      <c r="M1972" s="7"/>
      <c r="N1972" s="7"/>
    </row>
    <row r="1973" spans="1:14" ht="15.6" x14ac:dyDescent="0.3">
      <c r="A1973" s="7"/>
      <c r="B1973" s="18"/>
      <c r="C1973" s="18"/>
      <c r="D1973" s="7"/>
      <c r="E1973" s="7"/>
      <c r="F1973" s="10"/>
      <c r="G1973" s="18"/>
      <c r="H1973" s="18"/>
      <c r="I1973" s="7"/>
      <c r="J1973" s="18"/>
      <c r="K1973" s="7"/>
      <c r="L1973" s="7"/>
      <c r="M1973" s="7"/>
      <c r="N1973" s="7"/>
    </row>
    <row r="1974" spans="1:14" ht="15.6" x14ac:dyDescent="0.3">
      <c r="A1974" s="7"/>
      <c r="B1974" s="18"/>
      <c r="C1974" s="18"/>
      <c r="D1974" s="7"/>
      <c r="E1974" s="7"/>
      <c r="F1974" s="10"/>
      <c r="G1974" s="18"/>
      <c r="H1974" s="18"/>
      <c r="I1974" s="7"/>
      <c r="J1974" s="18"/>
      <c r="K1974" s="7"/>
      <c r="L1974" s="7"/>
      <c r="M1974" s="7"/>
      <c r="N1974" s="7"/>
    </row>
    <row r="1975" spans="1:14" ht="15.6" x14ac:dyDescent="0.3">
      <c r="A1975" s="7"/>
      <c r="B1975" s="18"/>
      <c r="C1975" s="18"/>
      <c r="D1975" s="7"/>
      <c r="E1975" s="7"/>
      <c r="F1975" s="10"/>
      <c r="G1975" s="18"/>
      <c r="H1975" s="18"/>
      <c r="I1975" s="7"/>
      <c r="J1975" s="18"/>
      <c r="K1975" s="7"/>
      <c r="L1975" s="7"/>
      <c r="M1975" s="7"/>
      <c r="N1975" s="7"/>
    </row>
    <row r="1976" spans="1:14" ht="15.6" x14ac:dyDescent="0.3">
      <c r="A1976" s="7"/>
      <c r="B1976" s="18"/>
      <c r="C1976" s="18"/>
      <c r="D1976" s="7"/>
      <c r="E1976" s="7"/>
      <c r="F1976" s="10"/>
      <c r="G1976" s="18"/>
      <c r="H1976" s="18"/>
      <c r="I1976" s="7"/>
      <c r="J1976" s="18"/>
      <c r="K1976" s="7"/>
      <c r="L1976" s="7"/>
      <c r="M1976" s="7"/>
      <c r="N1976" s="7"/>
    </row>
    <row r="1977" spans="1:14" ht="15.6" x14ac:dyDescent="0.3">
      <c r="A1977" s="7"/>
      <c r="B1977" s="18"/>
      <c r="C1977" s="18"/>
      <c r="D1977" s="7"/>
      <c r="E1977" s="7"/>
      <c r="F1977" s="10"/>
      <c r="G1977" s="18"/>
      <c r="H1977" s="18"/>
      <c r="I1977" s="7"/>
      <c r="J1977" s="18"/>
      <c r="K1977" s="7"/>
      <c r="L1977" s="7"/>
      <c r="M1977" s="7"/>
      <c r="N1977" s="7"/>
    </row>
    <row r="1978" spans="1:14" ht="15.6" x14ac:dyDescent="0.3">
      <c r="A1978" s="7"/>
      <c r="B1978" s="18"/>
      <c r="C1978" s="18"/>
      <c r="D1978" s="7"/>
      <c r="E1978" s="7"/>
      <c r="F1978" s="10"/>
      <c r="G1978" s="18"/>
      <c r="H1978" s="18"/>
      <c r="I1978" s="7"/>
      <c r="J1978" s="18"/>
      <c r="K1978" s="7"/>
      <c r="L1978" s="7"/>
      <c r="M1978" s="7"/>
      <c r="N1978" s="7"/>
    </row>
    <row r="1979" spans="1:14" ht="15.6" x14ac:dyDescent="0.3">
      <c r="A1979" s="7"/>
      <c r="B1979" s="18"/>
      <c r="C1979" s="18"/>
      <c r="D1979" s="7"/>
      <c r="E1979" s="7"/>
      <c r="F1979" s="10"/>
      <c r="G1979" s="18"/>
      <c r="H1979" s="18"/>
      <c r="I1979" s="7"/>
      <c r="J1979" s="18"/>
      <c r="K1979" s="7"/>
      <c r="L1979" s="7"/>
      <c r="M1979" s="7"/>
      <c r="N1979" s="7"/>
    </row>
    <row r="1980" spans="1:14" ht="15.6" x14ac:dyDescent="0.3">
      <c r="A1980" s="7"/>
      <c r="B1980" s="18"/>
      <c r="C1980" s="18"/>
      <c r="D1980" s="7"/>
      <c r="E1980" s="7"/>
      <c r="F1980" s="10"/>
      <c r="G1980" s="18"/>
      <c r="H1980" s="18"/>
      <c r="I1980" s="7"/>
      <c r="J1980" s="18"/>
      <c r="K1980" s="7"/>
      <c r="L1980" s="7"/>
      <c r="M1980" s="7"/>
      <c r="N1980" s="7"/>
    </row>
    <row r="1981" spans="1:14" ht="15.6" x14ac:dyDescent="0.3">
      <c r="A1981" s="7"/>
      <c r="B1981" s="18"/>
      <c r="C1981" s="18"/>
      <c r="D1981" s="7"/>
      <c r="E1981" s="7"/>
      <c r="F1981" s="10"/>
      <c r="G1981" s="18"/>
      <c r="H1981" s="18"/>
      <c r="I1981" s="7"/>
      <c r="J1981" s="18"/>
      <c r="K1981" s="7"/>
      <c r="L1981" s="7"/>
      <c r="M1981" s="7"/>
      <c r="N1981" s="7"/>
    </row>
    <row r="1982" spans="1:14" ht="15.6" x14ac:dyDescent="0.3">
      <c r="A1982" s="7"/>
      <c r="B1982" s="18"/>
      <c r="C1982" s="18"/>
      <c r="D1982" s="7"/>
      <c r="E1982" s="7"/>
      <c r="F1982" s="10"/>
      <c r="G1982" s="18"/>
      <c r="H1982" s="18"/>
      <c r="I1982" s="7"/>
      <c r="J1982" s="18"/>
      <c r="K1982" s="7"/>
      <c r="L1982" s="7"/>
      <c r="M1982" s="7"/>
      <c r="N1982" s="7"/>
    </row>
    <row r="1983" spans="1:14" ht="15.6" x14ac:dyDescent="0.3">
      <c r="A1983" s="7"/>
      <c r="B1983" s="18"/>
      <c r="C1983" s="18"/>
      <c r="D1983" s="7"/>
      <c r="E1983" s="7"/>
      <c r="F1983" s="10"/>
      <c r="G1983" s="18"/>
      <c r="H1983" s="18"/>
      <c r="I1983" s="7"/>
      <c r="J1983" s="18"/>
      <c r="K1983" s="7"/>
      <c r="L1983" s="7"/>
      <c r="M1983" s="7"/>
      <c r="N1983" s="7"/>
    </row>
    <row r="1984" spans="1:14" ht="15.6" x14ac:dyDescent="0.3">
      <c r="A1984" s="7"/>
      <c r="B1984" s="18"/>
      <c r="C1984" s="18"/>
      <c r="D1984" s="7"/>
      <c r="E1984" s="7"/>
      <c r="F1984" s="10"/>
      <c r="G1984" s="18"/>
      <c r="H1984" s="18"/>
      <c r="I1984" s="7"/>
      <c r="J1984" s="18"/>
      <c r="K1984" s="7"/>
      <c r="L1984" s="7"/>
      <c r="M1984" s="7"/>
      <c r="N1984" s="7"/>
    </row>
    <row r="1985" spans="1:14" ht="15.6" x14ac:dyDescent="0.3">
      <c r="A1985" s="7"/>
      <c r="B1985" s="18"/>
      <c r="C1985" s="18"/>
      <c r="D1985" s="7"/>
      <c r="E1985" s="7"/>
      <c r="F1985" s="10"/>
      <c r="G1985" s="18"/>
      <c r="H1985" s="18"/>
      <c r="I1985" s="7"/>
      <c r="J1985" s="18"/>
      <c r="K1985" s="7"/>
      <c r="L1985" s="7"/>
      <c r="M1985" s="7"/>
      <c r="N1985" s="7"/>
    </row>
    <row r="1986" spans="1:14" ht="15.6" x14ac:dyDescent="0.3">
      <c r="A1986" s="7"/>
      <c r="B1986" s="18"/>
      <c r="C1986" s="18"/>
      <c r="D1986" s="7"/>
      <c r="E1986" s="7"/>
      <c r="F1986" s="10"/>
      <c r="G1986" s="18"/>
      <c r="H1986" s="18"/>
      <c r="I1986" s="7"/>
      <c r="J1986" s="18"/>
      <c r="K1986" s="7"/>
      <c r="L1986" s="7"/>
      <c r="M1986" s="7"/>
      <c r="N1986" s="7"/>
    </row>
    <row r="1987" spans="1:14" ht="15.6" x14ac:dyDescent="0.3">
      <c r="A1987" s="7"/>
      <c r="B1987" s="18"/>
      <c r="C1987" s="18"/>
      <c r="D1987" s="7"/>
      <c r="E1987" s="7"/>
      <c r="F1987" s="10"/>
      <c r="G1987" s="18"/>
      <c r="H1987" s="18"/>
      <c r="I1987" s="7"/>
      <c r="J1987" s="18"/>
      <c r="K1987" s="7"/>
      <c r="L1987" s="7"/>
      <c r="M1987" s="7"/>
      <c r="N1987" s="7"/>
    </row>
    <row r="1988" spans="1:14" ht="15.6" x14ac:dyDescent="0.3">
      <c r="A1988" s="7"/>
      <c r="B1988" s="18"/>
      <c r="C1988" s="18"/>
      <c r="D1988" s="7"/>
      <c r="E1988" s="7"/>
      <c r="F1988" s="10"/>
      <c r="G1988" s="18"/>
      <c r="H1988" s="18"/>
      <c r="I1988" s="7"/>
      <c r="J1988" s="18"/>
      <c r="K1988" s="7"/>
      <c r="L1988" s="7"/>
      <c r="M1988" s="7"/>
      <c r="N1988" s="7"/>
    </row>
    <row r="1989" spans="1:14" ht="15.6" x14ac:dyDescent="0.3">
      <c r="A1989" s="7"/>
      <c r="B1989" s="18"/>
      <c r="C1989" s="18"/>
      <c r="D1989" s="7"/>
      <c r="E1989" s="7"/>
      <c r="F1989" s="10"/>
      <c r="G1989" s="18"/>
      <c r="H1989" s="18"/>
      <c r="I1989" s="7"/>
      <c r="J1989" s="18"/>
      <c r="K1989" s="7"/>
      <c r="L1989" s="7"/>
      <c r="M1989" s="7"/>
      <c r="N1989" s="7"/>
    </row>
    <row r="1990" spans="1:14" ht="15.6" x14ac:dyDescent="0.3">
      <c r="A1990" s="7"/>
      <c r="B1990" s="18"/>
      <c r="C1990" s="18"/>
      <c r="D1990" s="7"/>
      <c r="E1990" s="7"/>
      <c r="F1990" s="10"/>
      <c r="G1990" s="18"/>
      <c r="H1990" s="18"/>
      <c r="I1990" s="7"/>
      <c r="J1990" s="18"/>
      <c r="K1990" s="7"/>
      <c r="L1990" s="7"/>
      <c r="M1990" s="7"/>
      <c r="N1990" s="7"/>
    </row>
    <row r="1991" spans="1:14" ht="15.6" x14ac:dyDescent="0.3">
      <c r="A1991" s="7"/>
      <c r="B1991" s="18"/>
      <c r="C1991" s="18"/>
      <c r="D1991" s="7"/>
      <c r="E1991" s="7"/>
      <c r="F1991" s="10"/>
      <c r="G1991" s="18"/>
      <c r="H1991" s="18"/>
      <c r="I1991" s="7"/>
      <c r="J1991" s="18"/>
      <c r="K1991" s="7"/>
      <c r="L1991" s="7"/>
      <c r="M1991" s="7"/>
      <c r="N1991" s="7"/>
    </row>
    <row r="1992" spans="1:14" ht="15.6" x14ac:dyDescent="0.3">
      <c r="A1992" s="7"/>
      <c r="B1992" s="18"/>
      <c r="C1992" s="18"/>
      <c r="D1992" s="7"/>
      <c r="E1992" s="7"/>
      <c r="F1992" s="10"/>
      <c r="G1992" s="18"/>
      <c r="H1992" s="18"/>
      <c r="I1992" s="7"/>
      <c r="J1992" s="18"/>
      <c r="K1992" s="7"/>
      <c r="L1992" s="7"/>
      <c r="M1992" s="7"/>
      <c r="N1992" s="7"/>
    </row>
    <row r="1993" spans="1:14" ht="15.6" x14ac:dyDescent="0.3">
      <c r="A1993" s="7"/>
      <c r="B1993" s="18"/>
      <c r="C1993" s="18"/>
      <c r="D1993" s="7"/>
      <c r="E1993" s="7"/>
      <c r="F1993" s="10"/>
      <c r="G1993" s="18"/>
      <c r="H1993" s="18"/>
      <c r="I1993" s="7"/>
      <c r="J1993" s="18"/>
      <c r="K1993" s="7"/>
      <c r="L1993" s="7"/>
      <c r="M1993" s="7"/>
      <c r="N1993" s="7"/>
    </row>
    <row r="1994" spans="1:14" ht="15.6" x14ac:dyDescent="0.3">
      <c r="A1994" s="7"/>
      <c r="B1994" s="18"/>
      <c r="C1994" s="18"/>
      <c r="D1994" s="7"/>
      <c r="E1994" s="7"/>
      <c r="F1994" s="10"/>
      <c r="G1994" s="18"/>
      <c r="H1994" s="18"/>
      <c r="I1994" s="7"/>
      <c r="J1994" s="18"/>
      <c r="K1994" s="7"/>
      <c r="L1994" s="7"/>
      <c r="M1994" s="7"/>
      <c r="N1994" s="7"/>
    </row>
    <row r="1995" spans="1:14" ht="15.6" x14ac:dyDescent="0.3">
      <c r="A1995" s="7"/>
      <c r="B1995" s="18"/>
      <c r="C1995" s="18"/>
      <c r="D1995" s="7"/>
      <c r="E1995" s="7"/>
      <c r="F1995" s="10"/>
      <c r="G1995" s="18"/>
      <c r="H1995" s="18"/>
      <c r="I1995" s="7"/>
      <c r="J1995" s="18"/>
      <c r="K1995" s="7"/>
      <c r="L1995" s="7"/>
      <c r="M1995" s="7"/>
      <c r="N1995" s="7"/>
    </row>
    <row r="1996" spans="1:14" ht="15.6" x14ac:dyDescent="0.3">
      <c r="A1996" s="7"/>
      <c r="B1996" s="18"/>
      <c r="C1996" s="18"/>
      <c r="D1996" s="7"/>
      <c r="E1996" s="7"/>
      <c r="F1996" s="10"/>
      <c r="G1996" s="18"/>
      <c r="H1996" s="18"/>
      <c r="I1996" s="7"/>
      <c r="J1996" s="18"/>
      <c r="K1996" s="7"/>
      <c r="L1996" s="7"/>
      <c r="M1996" s="7"/>
      <c r="N1996" s="7"/>
    </row>
    <row r="1997" spans="1:14" ht="15.6" x14ac:dyDescent="0.3">
      <c r="A1997" s="7"/>
      <c r="B1997" s="18"/>
      <c r="C1997" s="18"/>
      <c r="D1997" s="7"/>
      <c r="E1997" s="7"/>
      <c r="F1997" s="10"/>
      <c r="G1997" s="18"/>
      <c r="H1997" s="18"/>
      <c r="I1997" s="7"/>
      <c r="J1997" s="18"/>
      <c r="K1997" s="7"/>
      <c r="L1997" s="7"/>
      <c r="M1997" s="7"/>
      <c r="N1997" s="7"/>
    </row>
    <row r="1998" spans="1:14" ht="15.6" x14ac:dyDescent="0.3">
      <c r="A1998" s="7"/>
      <c r="B1998" s="18"/>
      <c r="C1998" s="18"/>
      <c r="D1998" s="7"/>
      <c r="E1998" s="7"/>
      <c r="F1998" s="10"/>
      <c r="G1998" s="18"/>
      <c r="H1998" s="18"/>
      <c r="I1998" s="7"/>
      <c r="J1998" s="18"/>
      <c r="K1998" s="7"/>
      <c r="L1998" s="7"/>
      <c r="M1998" s="7"/>
      <c r="N1998" s="7"/>
    </row>
    <row r="1999" spans="1:14" ht="15.6" x14ac:dyDescent="0.3">
      <c r="A1999" s="7"/>
      <c r="B1999" s="18"/>
      <c r="C1999" s="18"/>
      <c r="D1999" s="7"/>
      <c r="E1999" s="7"/>
      <c r="F1999" s="10"/>
      <c r="G1999" s="18"/>
      <c r="H1999" s="18"/>
      <c r="I1999" s="7"/>
      <c r="J1999" s="18"/>
      <c r="K1999" s="7"/>
      <c r="L1999" s="7"/>
      <c r="M1999" s="7"/>
      <c r="N1999" s="7"/>
    </row>
    <row r="2000" spans="1:14" ht="15.6" x14ac:dyDescent="0.3">
      <c r="A2000" s="7"/>
      <c r="B2000" s="18"/>
      <c r="C2000" s="18"/>
      <c r="D2000" s="7"/>
      <c r="E2000" s="7"/>
      <c r="F2000" s="10"/>
      <c r="G2000" s="18"/>
      <c r="H2000" s="18"/>
      <c r="I2000" s="7"/>
      <c r="J2000" s="18"/>
      <c r="K2000" s="7"/>
      <c r="L2000" s="7"/>
      <c r="M2000" s="7"/>
      <c r="N2000" s="7"/>
    </row>
    <row r="2001" spans="1:14" ht="15.6" x14ac:dyDescent="0.3">
      <c r="A2001" s="7"/>
      <c r="B2001" s="18"/>
      <c r="C2001" s="18"/>
      <c r="D2001" s="7"/>
      <c r="E2001" s="7"/>
      <c r="F2001" s="10"/>
      <c r="G2001" s="18"/>
      <c r="H2001" s="18"/>
      <c r="I2001" s="7"/>
      <c r="J2001" s="18"/>
      <c r="K2001" s="7"/>
      <c r="L2001" s="7"/>
      <c r="M2001" s="7"/>
      <c r="N2001" s="7"/>
    </row>
    <row r="2002" spans="1:14" ht="15.6" x14ac:dyDescent="0.3">
      <c r="A2002" s="7"/>
      <c r="B2002" s="18"/>
      <c r="C2002" s="18"/>
      <c r="D2002" s="7"/>
      <c r="E2002" s="7"/>
      <c r="F2002" s="10"/>
      <c r="G2002" s="18"/>
      <c r="H2002" s="18"/>
      <c r="I2002" s="7"/>
      <c r="J2002" s="18"/>
      <c r="K2002" s="7"/>
      <c r="L2002" s="7"/>
      <c r="M2002" s="7"/>
      <c r="N2002" s="7"/>
    </row>
    <row r="2003" spans="1:14" ht="15.6" x14ac:dyDescent="0.3">
      <c r="A2003" s="7"/>
      <c r="B2003" s="18"/>
      <c r="C2003" s="18"/>
      <c r="D2003" s="7"/>
      <c r="E2003" s="7"/>
      <c r="F2003" s="10"/>
      <c r="G2003" s="18"/>
      <c r="H2003" s="18"/>
      <c r="I2003" s="7"/>
      <c r="J2003" s="18"/>
      <c r="K2003" s="7"/>
      <c r="L2003" s="7"/>
      <c r="M2003" s="7"/>
      <c r="N2003" s="7"/>
    </row>
    <row r="2004" spans="1:14" ht="15.6" x14ac:dyDescent="0.3">
      <c r="A2004" s="7"/>
      <c r="B2004" s="18"/>
      <c r="C2004" s="18"/>
      <c r="D2004" s="7"/>
      <c r="E2004" s="7"/>
      <c r="F2004" s="10"/>
      <c r="G2004" s="18"/>
      <c r="H2004" s="18"/>
      <c r="I2004" s="7"/>
      <c r="J2004" s="18"/>
      <c r="K2004" s="7"/>
      <c r="L2004" s="7"/>
      <c r="M2004" s="7"/>
      <c r="N2004" s="7"/>
    </row>
    <row r="2005" spans="1:14" ht="15.6" x14ac:dyDescent="0.3">
      <c r="A2005" s="7"/>
      <c r="B2005" s="18"/>
      <c r="C2005" s="18"/>
      <c r="D2005" s="7"/>
      <c r="E2005" s="7"/>
      <c r="F2005" s="10"/>
      <c r="G2005" s="18"/>
      <c r="H2005" s="18"/>
      <c r="I2005" s="7"/>
      <c r="J2005" s="18"/>
      <c r="K2005" s="7"/>
      <c r="L2005" s="7"/>
      <c r="M2005" s="7"/>
      <c r="N2005" s="7"/>
    </row>
    <row r="2006" spans="1:14" ht="15.6" x14ac:dyDescent="0.3">
      <c r="A2006" s="7"/>
      <c r="B2006" s="18"/>
      <c r="C2006" s="18"/>
      <c r="D2006" s="7"/>
      <c r="E2006" s="7"/>
      <c r="F2006" s="10"/>
      <c r="G2006" s="18"/>
      <c r="H2006" s="18"/>
      <c r="I2006" s="7"/>
      <c r="J2006" s="18"/>
      <c r="K2006" s="7"/>
      <c r="L2006" s="7"/>
      <c r="M2006" s="7"/>
      <c r="N2006" s="7"/>
    </row>
    <row r="2007" spans="1:14" ht="15.6" x14ac:dyDescent="0.3">
      <c r="A2007" s="7"/>
      <c r="B2007" s="18"/>
      <c r="C2007" s="18"/>
      <c r="D2007" s="7"/>
      <c r="E2007" s="7"/>
      <c r="F2007" s="10"/>
      <c r="G2007" s="18"/>
      <c r="H2007" s="18"/>
      <c r="I2007" s="7"/>
      <c r="J2007" s="18"/>
      <c r="K2007" s="7"/>
      <c r="L2007" s="7"/>
      <c r="M2007" s="7"/>
      <c r="N2007" s="7"/>
    </row>
    <row r="2008" spans="1:14" ht="15.6" x14ac:dyDescent="0.3">
      <c r="A2008" s="7"/>
      <c r="B2008" s="18"/>
      <c r="C2008" s="18"/>
      <c r="D2008" s="7"/>
      <c r="E2008" s="7"/>
      <c r="F2008" s="10"/>
      <c r="G2008" s="18"/>
      <c r="H2008" s="18"/>
      <c r="I2008" s="7"/>
      <c r="J2008" s="18"/>
      <c r="K2008" s="7"/>
      <c r="L2008" s="7"/>
      <c r="M2008" s="7"/>
      <c r="N2008" s="7"/>
    </row>
    <row r="2009" spans="1:14" ht="15.6" x14ac:dyDescent="0.3">
      <c r="A2009" s="7"/>
      <c r="B2009" s="18"/>
      <c r="C2009" s="18"/>
      <c r="D2009" s="7"/>
      <c r="E2009" s="7"/>
      <c r="F2009" s="10"/>
      <c r="G2009" s="18"/>
      <c r="H2009" s="18"/>
      <c r="I2009" s="7"/>
      <c r="J2009" s="18"/>
      <c r="K2009" s="7"/>
      <c r="L2009" s="7"/>
      <c r="M2009" s="7"/>
      <c r="N2009" s="7"/>
    </row>
    <row r="2010" spans="1:14" ht="15.6" x14ac:dyDescent="0.3">
      <c r="A2010" s="7"/>
      <c r="B2010" s="18"/>
      <c r="C2010" s="18"/>
      <c r="D2010" s="7"/>
      <c r="E2010" s="7"/>
      <c r="F2010" s="10"/>
      <c r="G2010" s="18"/>
      <c r="H2010" s="18"/>
      <c r="I2010" s="7"/>
      <c r="J2010" s="18"/>
      <c r="K2010" s="7"/>
      <c r="L2010" s="7"/>
      <c r="M2010" s="7"/>
      <c r="N2010" s="7"/>
    </row>
    <row r="2011" spans="1:14" ht="15.6" x14ac:dyDescent="0.3">
      <c r="A2011" s="7"/>
      <c r="B2011" s="18"/>
      <c r="C2011" s="18"/>
      <c r="D2011" s="7"/>
      <c r="E2011" s="7"/>
      <c r="F2011" s="10"/>
      <c r="G2011" s="18"/>
      <c r="H2011" s="18"/>
      <c r="I2011" s="7"/>
      <c r="J2011" s="18"/>
      <c r="K2011" s="7"/>
      <c r="L2011" s="7"/>
      <c r="M2011" s="7"/>
      <c r="N2011" s="7"/>
    </row>
    <row r="2012" spans="1:14" ht="15.6" x14ac:dyDescent="0.3">
      <c r="A2012" s="7"/>
      <c r="B2012" s="18"/>
      <c r="C2012" s="18"/>
      <c r="D2012" s="7"/>
      <c r="E2012" s="7"/>
      <c r="F2012" s="10"/>
      <c r="G2012" s="18"/>
      <c r="H2012" s="18"/>
      <c r="I2012" s="7"/>
      <c r="J2012" s="18"/>
      <c r="K2012" s="7"/>
      <c r="L2012" s="7"/>
      <c r="M2012" s="7"/>
      <c r="N2012" s="7"/>
    </row>
    <row r="2013" spans="1:14" ht="15.6" x14ac:dyDescent="0.3">
      <c r="A2013" s="7"/>
      <c r="B2013" s="18"/>
      <c r="C2013" s="18"/>
      <c r="D2013" s="7"/>
      <c r="E2013" s="7"/>
      <c r="F2013" s="10"/>
      <c r="G2013" s="18"/>
      <c r="H2013" s="18"/>
      <c r="I2013" s="7"/>
      <c r="J2013" s="18"/>
      <c r="K2013" s="7"/>
      <c r="L2013" s="7"/>
      <c r="M2013" s="7"/>
      <c r="N2013" s="7"/>
    </row>
    <row r="2014" spans="1:14" ht="15.6" x14ac:dyDescent="0.3">
      <c r="A2014" s="7"/>
      <c r="B2014" s="18"/>
      <c r="C2014" s="18"/>
      <c r="D2014" s="7"/>
      <c r="E2014" s="7"/>
      <c r="F2014" s="10"/>
      <c r="G2014" s="18"/>
      <c r="H2014" s="18"/>
      <c r="I2014" s="7"/>
      <c r="J2014" s="18"/>
      <c r="K2014" s="7"/>
      <c r="L2014" s="7"/>
      <c r="M2014" s="7"/>
      <c r="N2014" s="7"/>
    </row>
    <row r="2015" spans="1:14" ht="15.6" x14ac:dyDescent="0.3">
      <c r="A2015" s="7"/>
      <c r="B2015" s="18"/>
      <c r="C2015" s="18"/>
      <c r="D2015" s="7"/>
      <c r="E2015" s="7"/>
      <c r="F2015" s="10"/>
      <c r="G2015" s="18"/>
      <c r="H2015" s="18"/>
      <c r="I2015" s="7"/>
      <c r="J2015" s="18"/>
      <c r="K2015" s="7"/>
      <c r="L2015" s="7"/>
      <c r="M2015" s="7"/>
      <c r="N2015" s="7"/>
    </row>
    <row r="2016" spans="1:14" ht="15.6" x14ac:dyDescent="0.3">
      <c r="A2016" s="7"/>
      <c r="B2016" s="18"/>
      <c r="C2016" s="18"/>
      <c r="D2016" s="7"/>
      <c r="E2016" s="7"/>
      <c r="F2016" s="10"/>
      <c r="G2016" s="18"/>
      <c r="H2016" s="18"/>
      <c r="I2016" s="7"/>
      <c r="J2016" s="18"/>
      <c r="K2016" s="7"/>
      <c r="L2016" s="7"/>
      <c r="M2016" s="7"/>
      <c r="N2016" s="7"/>
    </row>
    <row r="2017" spans="1:14" ht="15.6" x14ac:dyDescent="0.3">
      <c r="A2017" s="7"/>
      <c r="B2017" s="18"/>
      <c r="C2017" s="18"/>
      <c r="D2017" s="7"/>
      <c r="E2017" s="7"/>
      <c r="F2017" s="10"/>
      <c r="G2017" s="18"/>
      <c r="H2017" s="18"/>
      <c r="I2017" s="7"/>
      <c r="J2017" s="18"/>
      <c r="K2017" s="7"/>
      <c r="L2017" s="7"/>
      <c r="M2017" s="7"/>
      <c r="N2017" s="7"/>
    </row>
    <row r="2018" spans="1:14" ht="15.6" x14ac:dyDescent="0.3">
      <c r="A2018" s="7"/>
      <c r="B2018" s="18"/>
      <c r="C2018" s="18"/>
      <c r="D2018" s="7"/>
      <c r="E2018" s="7"/>
      <c r="F2018" s="10"/>
      <c r="G2018" s="18"/>
      <c r="H2018" s="18"/>
      <c r="I2018" s="7"/>
      <c r="J2018" s="18"/>
      <c r="K2018" s="7"/>
      <c r="L2018" s="7"/>
      <c r="M2018" s="7"/>
      <c r="N2018" s="7"/>
    </row>
    <row r="2019" spans="1:14" ht="15.6" x14ac:dyDescent="0.3">
      <c r="A2019" s="7"/>
      <c r="B2019" s="18"/>
      <c r="C2019" s="18"/>
      <c r="D2019" s="7"/>
      <c r="E2019" s="7"/>
      <c r="F2019" s="10"/>
      <c r="G2019" s="18"/>
      <c r="H2019" s="18"/>
      <c r="I2019" s="7"/>
      <c r="J2019" s="18"/>
      <c r="K2019" s="7"/>
      <c r="L2019" s="7"/>
      <c r="M2019" s="7"/>
      <c r="N2019" s="7"/>
    </row>
    <row r="2020" spans="1:14" ht="15.6" x14ac:dyDescent="0.3">
      <c r="A2020" s="7"/>
      <c r="B2020" s="18"/>
      <c r="C2020" s="18"/>
      <c r="D2020" s="7"/>
      <c r="E2020" s="7"/>
      <c r="F2020" s="10"/>
      <c r="G2020" s="18"/>
      <c r="H2020" s="18"/>
      <c r="I2020" s="7"/>
      <c r="J2020" s="18"/>
      <c r="K2020" s="7"/>
      <c r="L2020" s="7"/>
      <c r="M2020" s="7"/>
      <c r="N2020" s="7"/>
    </row>
    <row r="2021" spans="1:14" ht="15.6" x14ac:dyDescent="0.3">
      <c r="A2021" s="7"/>
      <c r="B2021" s="18"/>
      <c r="C2021" s="18"/>
      <c r="D2021" s="7"/>
      <c r="E2021" s="7"/>
      <c r="F2021" s="10"/>
      <c r="G2021" s="18"/>
      <c r="H2021" s="18"/>
      <c r="I2021" s="7"/>
      <c r="J2021" s="18"/>
      <c r="K2021" s="7"/>
      <c r="L2021" s="7"/>
      <c r="M2021" s="7"/>
      <c r="N2021" s="7"/>
    </row>
    <row r="2022" spans="1:14" ht="15.6" x14ac:dyDescent="0.3">
      <c r="A2022" s="7"/>
      <c r="B2022" s="18"/>
      <c r="C2022" s="18"/>
      <c r="D2022" s="7"/>
      <c r="E2022" s="7"/>
      <c r="F2022" s="10"/>
      <c r="G2022" s="18"/>
      <c r="H2022" s="18"/>
      <c r="I2022" s="7"/>
      <c r="J2022" s="18"/>
      <c r="K2022" s="7"/>
      <c r="L2022" s="7"/>
      <c r="M2022" s="7"/>
      <c r="N2022" s="7"/>
    </row>
    <row r="2023" spans="1:14" ht="15.6" x14ac:dyDescent="0.3">
      <c r="A2023" s="7"/>
      <c r="B2023" s="18"/>
      <c r="C2023" s="18"/>
      <c r="D2023" s="7"/>
      <c r="E2023" s="7"/>
      <c r="F2023" s="10"/>
      <c r="G2023" s="18"/>
      <c r="H2023" s="18"/>
      <c r="I2023" s="7"/>
      <c r="J2023" s="18"/>
      <c r="K2023" s="7"/>
      <c r="L2023" s="7"/>
      <c r="M2023" s="7"/>
      <c r="N2023" s="7"/>
    </row>
    <row r="2024" spans="1:14" ht="15.6" x14ac:dyDescent="0.3">
      <c r="A2024" s="7"/>
      <c r="B2024" s="18"/>
      <c r="C2024" s="18"/>
      <c r="D2024" s="7"/>
      <c r="E2024" s="7"/>
      <c r="F2024" s="10"/>
      <c r="G2024" s="18"/>
      <c r="H2024" s="18"/>
      <c r="I2024" s="7"/>
      <c r="J2024" s="18"/>
      <c r="K2024" s="7"/>
      <c r="L2024" s="7"/>
      <c r="M2024" s="7"/>
      <c r="N2024" s="7"/>
    </row>
    <row r="2025" spans="1:14" ht="15.6" x14ac:dyDescent="0.3">
      <c r="A2025" s="7"/>
      <c r="B2025" s="18"/>
      <c r="C2025" s="18"/>
      <c r="D2025" s="7"/>
      <c r="E2025" s="7"/>
      <c r="F2025" s="10"/>
      <c r="G2025" s="18"/>
      <c r="H2025" s="18"/>
      <c r="I2025" s="7"/>
      <c r="J2025" s="18"/>
      <c r="K2025" s="7"/>
      <c r="L2025" s="7"/>
      <c r="M2025" s="7"/>
      <c r="N2025" s="7"/>
    </row>
    <row r="2026" spans="1:14" ht="15.6" x14ac:dyDescent="0.3">
      <c r="A2026" s="7"/>
      <c r="B2026" s="18"/>
      <c r="C2026" s="18"/>
      <c r="D2026" s="7"/>
      <c r="E2026" s="7"/>
      <c r="F2026" s="10"/>
      <c r="G2026" s="18"/>
      <c r="H2026" s="18"/>
      <c r="I2026" s="7"/>
      <c r="J2026" s="18"/>
      <c r="K2026" s="7"/>
      <c r="L2026" s="7"/>
      <c r="M2026" s="7"/>
      <c r="N2026" s="7"/>
    </row>
    <row r="2027" spans="1:14" ht="15.6" x14ac:dyDescent="0.3">
      <c r="A2027" s="7"/>
      <c r="B2027" s="18"/>
      <c r="C2027" s="18"/>
      <c r="D2027" s="7"/>
      <c r="E2027" s="7"/>
      <c r="F2027" s="10"/>
      <c r="G2027" s="18"/>
      <c r="H2027" s="18"/>
      <c r="I2027" s="7"/>
      <c r="J2027" s="18"/>
      <c r="K2027" s="7"/>
      <c r="L2027" s="7"/>
      <c r="M2027" s="7"/>
      <c r="N2027" s="7"/>
    </row>
    <row r="2028" spans="1:14" ht="15.6" x14ac:dyDescent="0.3">
      <c r="A2028" s="7"/>
      <c r="B2028" s="18"/>
      <c r="C2028" s="18"/>
      <c r="D2028" s="7"/>
      <c r="E2028" s="7"/>
      <c r="F2028" s="10"/>
      <c r="G2028" s="18"/>
      <c r="H2028" s="18"/>
      <c r="I2028" s="7"/>
      <c r="J2028" s="18"/>
      <c r="K2028" s="7"/>
      <c r="L2028" s="7"/>
      <c r="M2028" s="7"/>
      <c r="N2028" s="7"/>
    </row>
    <row r="2029" spans="1:14" ht="15.6" x14ac:dyDescent="0.3">
      <c r="A2029" s="7"/>
      <c r="B2029" s="18"/>
      <c r="C2029" s="18"/>
      <c r="D2029" s="7"/>
      <c r="E2029" s="7"/>
      <c r="F2029" s="10"/>
      <c r="G2029" s="18"/>
      <c r="H2029" s="18"/>
      <c r="I2029" s="7"/>
      <c r="J2029" s="18"/>
      <c r="K2029" s="7"/>
      <c r="L2029" s="7"/>
      <c r="M2029" s="7"/>
      <c r="N2029" s="7"/>
    </row>
    <row r="2030" spans="1:14" ht="15.6" x14ac:dyDescent="0.3">
      <c r="A2030" s="7"/>
      <c r="B2030" s="18"/>
      <c r="C2030" s="18"/>
      <c r="D2030" s="7"/>
      <c r="E2030" s="7"/>
      <c r="F2030" s="10"/>
      <c r="G2030" s="18"/>
      <c r="H2030" s="18"/>
      <c r="I2030" s="7"/>
      <c r="J2030" s="18"/>
      <c r="K2030" s="7"/>
      <c r="L2030" s="7"/>
      <c r="M2030" s="7"/>
      <c r="N2030" s="7"/>
    </row>
    <row r="2031" spans="1:14" ht="15.6" x14ac:dyDescent="0.3">
      <c r="A2031" s="7"/>
      <c r="B2031" s="18"/>
      <c r="C2031" s="18"/>
      <c r="D2031" s="7"/>
      <c r="E2031" s="7"/>
      <c r="F2031" s="10"/>
      <c r="G2031" s="18"/>
      <c r="H2031" s="18"/>
      <c r="I2031" s="7"/>
      <c r="J2031" s="18"/>
      <c r="K2031" s="7"/>
      <c r="L2031" s="7"/>
      <c r="M2031" s="7"/>
      <c r="N2031" s="7"/>
    </row>
    <row r="2032" spans="1:14" ht="15.6" x14ac:dyDescent="0.3">
      <c r="A2032" s="7"/>
      <c r="B2032" s="18"/>
      <c r="C2032" s="18"/>
      <c r="D2032" s="7"/>
      <c r="E2032" s="7"/>
      <c r="F2032" s="10"/>
      <c r="G2032" s="18"/>
      <c r="H2032" s="18"/>
      <c r="I2032" s="7"/>
      <c r="J2032" s="18"/>
      <c r="K2032" s="7"/>
      <c r="L2032" s="7"/>
      <c r="M2032" s="7"/>
      <c r="N2032" s="7"/>
    </row>
    <row r="2033" spans="1:14" ht="15.6" x14ac:dyDescent="0.3">
      <c r="A2033" s="7"/>
      <c r="B2033" s="18"/>
      <c r="C2033" s="18"/>
      <c r="D2033" s="7"/>
      <c r="E2033" s="7"/>
      <c r="F2033" s="10"/>
      <c r="G2033" s="18"/>
      <c r="H2033" s="18"/>
      <c r="I2033" s="7"/>
      <c r="J2033" s="18"/>
      <c r="K2033" s="7"/>
      <c r="L2033" s="7"/>
      <c r="M2033" s="7"/>
      <c r="N2033" s="7"/>
    </row>
    <row r="2034" spans="1:14" ht="15.6" x14ac:dyDescent="0.3">
      <c r="A2034" s="7"/>
      <c r="B2034" s="18"/>
      <c r="C2034" s="18"/>
      <c r="D2034" s="7"/>
      <c r="E2034" s="7"/>
      <c r="F2034" s="10"/>
      <c r="G2034" s="18"/>
      <c r="H2034" s="18"/>
      <c r="I2034" s="7"/>
      <c r="J2034" s="18"/>
      <c r="K2034" s="7"/>
      <c r="L2034" s="7"/>
      <c r="M2034" s="7"/>
      <c r="N2034" s="7"/>
    </row>
    <row r="2035" spans="1:14" ht="15.6" x14ac:dyDescent="0.3">
      <c r="A2035" s="7"/>
      <c r="B2035" s="18"/>
      <c r="C2035" s="18"/>
      <c r="D2035" s="7"/>
      <c r="E2035" s="7"/>
      <c r="F2035" s="10"/>
      <c r="G2035" s="18"/>
      <c r="H2035" s="18"/>
      <c r="I2035" s="7"/>
      <c r="J2035" s="18"/>
      <c r="K2035" s="7"/>
      <c r="L2035" s="7"/>
      <c r="M2035" s="7"/>
      <c r="N2035" s="7"/>
    </row>
    <row r="2036" spans="1:14" ht="15.6" x14ac:dyDescent="0.3">
      <c r="A2036" s="7"/>
      <c r="B2036" s="18"/>
      <c r="C2036" s="18"/>
      <c r="D2036" s="7"/>
      <c r="E2036" s="7"/>
      <c r="F2036" s="10"/>
      <c r="G2036" s="18"/>
      <c r="H2036" s="18"/>
      <c r="I2036" s="7"/>
      <c r="J2036" s="18"/>
      <c r="K2036" s="7"/>
      <c r="L2036" s="7"/>
      <c r="M2036" s="7"/>
      <c r="N2036" s="7"/>
    </row>
    <row r="2037" spans="1:14" ht="15.6" x14ac:dyDescent="0.3">
      <c r="A2037" s="7"/>
      <c r="B2037" s="18"/>
      <c r="C2037" s="18"/>
      <c r="D2037" s="7"/>
      <c r="E2037" s="7"/>
      <c r="F2037" s="10"/>
      <c r="G2037" s="18"/>
      <c r="H2037" s="18"/>
      <c r="I2037" s="7"/>
      <c r="J2037" s="18"/>
      <c r="K2037" s="7"/>
      <c r="L2037" s="7"/>
      <c r="M2037" s="7"/>
      <c r="N2037" s="7"/>
    </row>
    <row r="2038" spans="1:14" ht="15.6" x14ac:dyDescent="0.3">
      <c r="A2038" s="7"/>
      <c r="B2038" s="18"/>
      <c r="C2038" s="18"/>
      <c r="D2038" s="7"/>
      <c r="E2038" s="7"/>
      <c r="F2038" s="10"/>
      <c r="G2038" s="18"/>
      <c r="H2038" s="18"/>
      <c r="I2038" s="7"/>
      <c r="J2038" s="18"/>
      <c r="K2038" s="7"/>
      <c r="L2038" s="7"/>
      <c r="M2038" s="7"/>
      <c r="N2038" s="7"/>
    </row>
    <row r="2039" spans="1:14" ht="15.6" x14ac:dyDescent="0.3">
      <c r="A2039" s="7"/>
      <c r="B2039" s="18"/>
      <c r="C2039" s="18"/>
      <c r="D2039" s="7"/>
      <c r="E2039" s="7"/>
      <c r="F2039" s="10"/>
      <c r="G2039" s="18"/>
      <c r="H2039" s="18"/>
      <c r="I2039" s="7"/>
      <c r="J2039" s="18"/>
      <c r="K2039" s="7"/>
      <c r="L2039" s="7"/>
      <c r="M2039" s="7"/>
      <c r="N2039" s="7"/>
    </row>
    <row r="2040" spans="1:14" ht="15.6" x14ac:dyDescent="0.3">
      <c r="A2040" s="7"/>
      <c r="B2040" s="18"/>
      <c r="C2040" s="18"/>
      <c r="D2040" s="7"/>
      <c r="E2040" s="7"/>
      <c r="F2040" s="10"/>
      <c r="G2040" s="18"/>
      <c r="H2040" s="18"/>
      <c r="I2040" s="7"/>
      <c r="J2040" s="18"/>
      <c r="K2040" s="7"/>
      <c r="L2040" s="7"/>
      <c r="M2040" s="7"/>
      <c r="N2040" s="7"/>
    </row>
    <row r="2041" spans="1:14" ht="15.6" x14ac:dyDescent="0.3">
      <c r="A2041" s="7"/>
      <c r="B2041" s="18"/>
      <c r="C2041" s="18"/>
      <c r="D2041" s="7"/>
      <c r="E2041" s="7"/>
      <c r="F2041" s="10"/>
      <c r="G2041" s="18"/>
      <c r="H2041" s="18"/>
      <c r="I2041" s="7"/>
      <c r="J2041" s="18"/>
      <c r="K2041" s="7"/>
      <c r="L2041" s="7"/>
      <c r="M2041" s="7"/>
      <c r="N2041" s="7"/>
    </row>
    <row r="2042" spans="1:14" ht="15.6" x14ac:dyDescent="0.3">
      <c r="A2042" s="7"/>
      <c r="B2042" s="18"/>
      <c r="C2042" s="18"/>
      <c r="D2042" s="7"/>
      <c r="E2042" s="7"/>
      <c r="F2042" s="10"/>
      <c r="G2042" s="18"/>
      <c r="H2042" s="18"/>
      <c r="I2042" s="7"/>
      <c r="J2042" s="18"/>
      <c r="K2042" s="7"/>
      <c r="L2042" s="7"/>
      <c r="M2042" s="7"/>
      <c r="N2042" s="7"/>
    </row>
    <row r="2043" spans="1:14" ht="15.6" x14ac:dyDescent="0.3">
      <c r="A2043" s="7"/>
      <c r="B2043" s="18"/>
      <c r="C2043" s="18"/>
      <c r="D2043" s="7"/>
      <c r="E2043" s="7"/>
      <c r="F2043" s="10"/>
      <c r="G2043" s="18"/>
      <c r="H2043" s="18"/>
      <c r="I2043" s="7"/>
      <c r="J2043" s="18"/>
      <c r="K2043" s="7"/>
      <c r="L2043" s="7"/>
      <c r="M2043" s="7"/>
      <c r="N2043" s="7"/>
    </row>
    <row r="2044" spans="1:14" ht="15.6" x14ac:dyDescent="0.3">
      <c r="A2044" s="7"/>
      <c r="B2044" s="18"/>
      <c r="C2044" s="18"/>
      <c r="D2044" s="7"/>
      <c r="E2044" s="7"/>
      <c r="F2044" s="10"/>
      <c r="G2044" s="18"/>
      <c r="H2044" s="18"/>
      <c r="I2044" s="7"/>
      <c r="J2044" s="18"/>
      <c r="K2044" s="7"/>
      <c r="L2044" s="7"/>
      <c r="M2044" s="7"/>
      <c r="N2044" s="7"/>
    </row>
    <row r="2045" spans="1:14" ht="15.6" x14ac:dyDescent="0.3">
      <c r="A2045" s="7"/>
      <c r="B2045" s="18"/>
      <c r="C2045" s="18"/>
      <c r="D2045" s="7"/>
      <c r="E2045" s="7"/>
      <c r="F2045" s="10"/>
      <c r="G2045" s="18"/>
      <c r="H2045" s="18"/>
      <c r="I2045" s="7"/>
      <c r="J2045" s="18"/>
      <c r="K2045" s="7"/>
      <c r="L2045" s="7"/>
      <c r="M2045" s="7"/>
      <c r="N2045" s="7"/>
    </row>
    <row r="2046" spans="1:14" ht="15.6" x14ac:dyDescent="0.3">
      <c r="A2046" s="7"/>
      <c r="B2046" s="18"/>
      <c r="C2046" s="18"/>
      <c r="D2046" s="7"/>
      <c r="E2046" s="7"/>
      <c r="F2046" s="10"/>
      <c r="G2046" s="18"/>
      <c r="H2046" s="18"/>
      <c r="I2046" s="7"/>
      <c r="J2046" s="18"/>
      <c r="K2046" s="7"/>
      <c r="L2046" s="7"/>
      <c r="M2046" s="7"/>
      <c r="N2046" s="7"/>
    </row>
    <row r="2047" spans="1:14" ht="15.6" x14ac:dyDescent="0.3">
      <c r="A2047" s="7"/>
      <c r="B2047" s="18"/>
      <c r="C2047" s="18"/>
      <c r="D2047" s="7"/>
      <c r="E2047" s="7"/>
      <c r="F2047" s="10"/>
      <c r="G2047" s="18"/>
      <c r="H2047" s="18"/>
      <c r="I2047" s="7"/>
      <c r="J2047" s="18"/>
      <c r="K2047" s="7"/>
      <c r="L2047" s="7"/>
      <c r="M2047" s="7"/>
      <c r="N2047" s="7"/>
    </row>
    <row r="2048" spans="1:14" ht="15.6" x14ac:dyDescent="0.3">
      <c r="A2048" s="7"/>
      <c r="B2048" s="18"/>
      <c r="C2048" s="18"/>
      <c r="D2048" s="7"/>
      <c r="E2048" s="7"/>
      <c r="F2048" s="10"/>
      <c r="G2048" s="18"/>
      <c r="H2048" s="18"/>
      <c r="I2048" s="7"/>
      <c r="J2048" s="18"/>
      <c r="K2048" s="7"/>
      <c r="L2048" s="7"/>
      <c r="M2048" s="7"/>
      <c r="N2048" s="7"/>
    </row>
    <row r="2049" spans="1:14" ht="15.6" x14ac:dyDescent="0.3">
      <c r="A2049" s="7"/>
      <c r="B2049" s="18"/>
      <c r="C2049" s="18"/>
      <c r="D2049" s="7"/>
      <c r="E2049" s="7"/>
      <c r="F2049" s="10"/>
      <c r="G2049" s="18"/>
      <c r="H2049" s="18"/>
      <c r="I2049" s="7"/>
      <c r="J2049" s="18"/>
      <c r="K2049" s="7"/>
      <c r="L2049" s="7"/>
      <c r="M2049" s="7"/>
      <c r="N2049" s="7"/>
    </row>
    <row r="2050" spans="1:14" ht="15.6" x14ac:dyDescent="0.3">
      <c r="A2050" s="7"/>
      <c r="B2050" s="18"/>
      <c r="C2050" s="18"/>
      <c r="D2050" s="7"/>
      <c r="E2050" s="7"/>
      <c r="F2050" s="10"/>
      <c r="G2050" s="18"/>
      <c r="H2050" s="18"/>
      <c r="I2050" s="7"/>
      <c r="J2050" s="18"/>
      <c r="K2050" s="7"/>
      <c r="L2050" s="7"/>
      <c r="M2050" s="7"/>
      <c r="N2050" s="7"/>
    </row>
    <row r="2051" spans="1:14" ht="15.6" x14ac:dyDescent="0.3">
      <c r="A2051" s="7"/>
      <c r="B2051" s="18"/>
      <c r="C2051" s="18"/>
      <c r="D2051" s="7"/>
      <c r="E2051" s="7"/>
      <c r="F2051" s="10"/>
      <c r="G2051" s="18"/>
      <c r="H2051" s="18"/>
      <c r="I2051" s="7"/>
      <c r="J2051" s="18"/>
      <c r="K2051" s="7"/>
      <c r="L2051" s="7"/>
      <c r="M2051" s="7"/>
      <c r="N2051" s="7"/>
    </row>
    <row r="2052" spans="1:14" ht="15.6" x14ac:dyDescent="0.3">
      <c r="A2052" s="7"/>
      <c r="B2052" s="18"/>
      <c r="C2052" s="18"/>
      <c r="D2052" s="7"/>
      <c r="E2052" s="7"/>
      <c r="F2052" s="10"/>
      <c r="G2052" s="18"/>
      <c r="H2052" s="18"/>
      <c r="I2052" s="7"/>
      <c r="J2052" s="18"/>
      <c r="K2052" s="7"/>
      <c r="L2052" s="7"/>
      <c r="M2052" s="7"/>
      <c r="N2052" s="7"/>
    </row>
    <row r="2053" spans="1:14" ht="15.6" x14ac:dyDescent="0.3">
      <c r="A2053" s="7"/>
      <c r="B2053" s="18"/>
      <c r="C2053" s="18"/>
      <c r="D2053" s="7"/>
      <c r="E2053" s="7"/>
      <c r="F2053" s="10"/>
      <c r="G2053" s="18"/>
      <c r="H2053" s="18"/>
      <c r="I2053" s="7"/>
      <c r="J2053" s="18"/>
      <c r="K2053" s="7"/>
      <c r="L2053" s="7"/>
      <c r="M2053" s="7"/>
      <c r="N2053" s="7"/>
    </row>
    <row r="2054" spans="1:14" ht="15.6" x14ac:dyDescent="0.3">
      <c r="A2054" s="7"/>
      <c r="B2054" s="18"/>
      <c r="C2054" s="18"/>
      <c r="D2054" s="7"/>
      <c r="E2054" s="7"/>
      <c r="F2054" s="10"/>
      <c r="G2054" s="18"/>
      <c r="H2054" s="18"/>
      <c r="I2054" s="7"/>
      <c r="J2054" s="18"/>
      <c r="K2054" s="7"/>
      <c r="L2054" s="7"/>
      <c r="M2054" s="7"/>
      <c r="N2054" s="7"/>
    </row>
    <row r="2055" spans="1:14" ht="15.6" x14ac:dyDescent="0.3">
      <c r="A2055" s="7"/>
      <c r="B2055" s="18"/>
      <c r="C2055" s="18"/>
      <c r="D2055" s="7"/>
      <c r="E2055" s="7"/>
      <c r="F2055" s="10"/>
      <c r="G2055" s="18"/>
      <c r="H2055" s="18"/>
      <c r="I2055" s="7"/>
      <c r="J2055" s="18"/>
      <c r="K2055" s="7"/>
      <c r="L2055" s="7"/>
      <c r="M2055" s="7"/>
      <c r="N2055" s="7"/>
    </row>
    <row r="2056" spans="1:14" ht="15.6" x14ac:dyDescent="0.3">
      <c r="A2056" s="7"/>
      <c r="B2056" s="18"/>
      <c r="C2056" s="18"/>
      <c r="D2056" s="7"/>
      <c r="E2056" s="7"/>
      <c r="F2056" s="10"/>
      <c r="G2056" s="18"/>
      <c r="H2056" s="18"/>
      <c r="I2056" s="7"/>
      <c r="J2056" s="18"/>
      <c r="K2056" s="7"/>
      <c r="L2056" s="7"/>
      <c r="M2056" s="7"/>
      <c r="N2056" s="7"/>
    </row>
    <row r="2057" spans="1:14" ht="15.6" x14ac:dyDescent="0.3">
      <c r="A2057" s="7"/>
      <c r="B2057" s="18"/>
      <c r="C2057" s="18"/>
      <c r="D2057" s="7"/>
      <c r="E2057" s="7"/>
      <c r="F2057" s="10"/>
      <c r="G2057" s="18"/>
      <c r="H2057" s="18"/>
      <c r="I2057" s="7"/>
      <c r="J2057" s="18"/>
      <c r="K2057" s="7"/>
      <c r="L2057" s="7"/>
      <c r="M2057" s="7"/>
      <c r="N2057" s="7"/>
    </row>
    <row r="2058" spans="1:14" ht="15.6" x14ac:dyDescent="0.3">
      <c r="A2058" s="7"/>
      <c r="B2058" s="18"/>
      <c r="C2058" s="18"/>
      <c r="D2058" s="7"/>
      <c r="E2058" s="7"/>
      <c r="F2058" s="10"/>
      <c r="G2058" s="18"/>
      <c r="H2058" s="18"/>
      <c r="I2058" s="7"/>
      <c r="J2058" s="18"/>
      <c r="K2058" s="7"/>
      <c r="L2058" s="7"/>
      <c r="M2058" s="7"/>
      <c r="N2058" s="7"/>
    </row>
    <row r="2059" spans="1:14" ht="15.6" x14ac:dyDescent="0.3">
      <c r="A2059" s="7"/>
      <c r="B2059" s="18"/>
      <c r="C2059" s="18"/>
      <c r="D2059" s="7"/>
      <c r="E2059" s="7"/>
      <c r="F2059" s="10"/>
      <c r="G2059" s="18"/>
      <c r="H2059" s="18"/>
      <c r="I2059" s="7"/>
      <c r="J2059" s="18"/>
      <c r="K2059" s="7"/>
      <c r="L2059" s="7"/>
      <c r="M2059" s="7"/>
      <c r="N2059" s="7"/>
    </row>
    <row r="2060" spans="1:14" ht="15.6" x14ac:dyDescent="0.3">
      <c r="A2060" s="7"/>
      <c r="B2060" s="18"/>
      <c r="C2060" s="18"/>
      <c r="D2060" s="7"/>
      <c r="E2060" s="7"/>
      <c r="F2060" s="10"/>
      <c r="G2060" s="18"/>
      <c r="H2060" s="18"/>
      <c r="I2060" s="7"/>
      <c r="J2060" s="18"/>
      <c r="K2060" s="7"/>
      <c r="L2060" s="7"/>
      <c r="M2060" s="7"/>
      <c r="N2060" s="7"/>
    </row>
    <row r="2061" spans="1:14" ht="15.6" x14ac:dyDescent="0.3">
      <c r="A2061" s="7"/>
      <c r="B2061" s="18"/>
      <c r="C2061" s="18"/>
      <c r="D2061" s="7"/>
      <c r="E2061" s="7"/>
      <c r="F2061" s="10"/>
      <c r="G2061" s="18"/>
      <c r="H2061" s="18"/>
      <c r="I2061" s="7"/>
      <c r="J2061" s="18"/>
      <c r="K2061" s="7"/>
      <c r="L2061" s="7"/>
      <c r="M2061" s="7"/>
      <c r="N2061" s="7"/>
    </row>
    <row r="2062" spans="1:14" ht="15.6" x14ac:dyDescent="0.3">
      <c r="A2062" s="7"/>
      <c r="B2062" s="18"/>
      <c r="C2062" s="18"/>
      <c r="D2062" s="7"/>
      <c r="E2062" s="7"/>
      <c r="F2062" s="10"/>
      <c r="G2062" s="18"/>
      <c r="H2062" s="18"/>
      <c r="I2062" s="7"/>
      <c r="J2062" s="18"/>
      <c r="K2062" s="7"/>
      <c r="L2062" s="7"/>
      <c r="M2062" s="7"/>
      <c r="N2062" s="7"/>
    </row>
    <row r="2063" spans="1:14" ht="15.6" x14ac:dyDescent="0.3">
      <c r="A2063" s="7"/>
      <c r="B2063" s="18"/>
      <c r="C2063" s="18"/>
      <c r="D2063" s="7"/>
      <c r="E2063" s="7"/>
      <c r="F2063" s="10"/>
      <c r="G2063" s="18"/>
      <c r="H2063" s="18"/>
      <c r="I2063" s="7"/>
      <c r="J2063" s="18"/>
      <c r="K2063" s="7"/>
      <c r="L2063" s="7"/>
      <c r="M2063" s="7"/>
      <c r="N2063" s="7"/>
    </row>
    <row r="2064" spans="1:14" ht="15.6" x14ac:dyDescent="0.3">
      <c r="A2064" s="7"/>
      <c r="B2064" s="18"/>
      <c r="C2064" s="18"/>
      <c r="D2064" s="7"/>
      <c r="E2064" s="7"/>
      <c r="F2064" s="10"/>
      <c r="G2064" s="18"/>
      <c r="H2064" s="18"/>
      <c r="I2064" s="7"/>
      <c r="J2064" s="18"/>
      <c r="K2064" s="7"/>
      <c r="L2064" s="7"/>
      <c r="M2064" s="7"/>
      <c r="N2064" s="7"/>
    </row>
    <row r="2065" spans="1:14" ht="15.6" x14ac:dyDescent="0.3">
      <c r="A2065" s="7"/>
      <c r="B2065" s="18"/>
      <c r="C2065" s="18"/>
      <c r="D2065" s="7"/>
      <c r="E2065" s="7"/>
      <c r="F2065" s="10"/>
      <c r="G2065" s="18"/>
      <c r="H2065" s="18"/>
      <c r="I2065" s="7"/>
      <c r="J2065" s="18"/>
      <c r="K2065" s="7"/>
      <c r="L2065" s="7"/>
      <c r="M2065" s="7"/>
      <c r="N2065" s="7"/>
    </row>
    <row r="2066" spans="1:14" ht="15.6" x14ac:dyDescent="0.3">
      <c r="A2066" s="7"/>
      <c r="B2066" s="18"/>
      <c r="C2066" s="18"/>
      <c r="D2066" s="7"/>
      <c r="E2066" s="7"/>
      <c r="F2066" s="10"/>
      <c r="G2066" s="18"/>
      <c r="H2066" s="18"/>
      <c r="I2066" s="7"/>
      <c r="J2066" s="18"/>
      <c r="K2066" s="7"/>
      <c r="L2066" s="7"/>
      <c r="M2066" s="7"/>
      <c r="N2066" s="7"/>
    </row>
    <row r="2067" spans="1:14" ht="15.6" x14ac:dyDescent="0.3">
      <c r="A2067" s="7"/>
      <c r="B2067" s="18"/>
      <c r="C2067" s="18"/>
      <c r="D2067" s="7"/>
      <c r="E2067" s="7"/>
      <c r="F2067" s="10"/>
      <c r="G2067" s="18"/>
      <c r="H2067" s="18"/>
      <c r="I2067" s="7"/>
      <c r="J2067" s="18"/>
      <c r="K2067" s="7"/>
      <c r="L2067" s="7"/>
      <c r="M2067" s="7"/>
      <c r="N2067" s="7"/>
    </row>
    <row r="2068" spans="1:14" ht="15.6" x14ac:dyDescent="0.3">
      <c r="A2068" s="7"/>
      <c r="B2068" s="18"/>
      <c r="C2068" s="18"/>
      <c r="D2068" s="7"/>
      <c r="E2068" s="7"/>
      <c r="F2068" s="10"/>
      <c r="G2068" s="18"/>
      <c r="H2068" s="18"/>
      <c r="I2068" s="7"/>
      <c r="J2068" s="18"/>
      <c r="K2068" s="7"/>
      <c r="L2068" s="7"/>
      <c r="M2068" s="7"/>
      <c r="N2068" s="7"/>
    </row>
    <row r="2069" spans="1:14" ht="15.6" x14ac:dyDescent="0.3">
      <c r="A2069" s="7"/>
      <c r="B2069" s="18"/>
      <c r="C2069" s="18"/>
      <c r="D2069" s="7"/>
      <c r="E2069" s="7"/>
      <c r="F2069" s="10"/>
      <c r="G2069" s="18"/>
      <c r="H2069" s="18"/>
      <c r="I2069" s="7"/>
      <c r="J2069" s="18"/>
      <c r="K2069" s="7"/>
      <c r="L2069" s="7"/>
      <c r="M2069" s="7"/>
      <c r="N2069" s="7"/>
    </row>
    <row r="2070" spans="1:14" ht="15.6" x14ac:dyDescent="0.3">
      <c r="A2070" s="7"/>
      <c r="B2070" s="18"/>
      <c r="C2070" s="18"/>
      <c r="D2070" s="7"/>
      <c r="E2070" s="7"/>
      <c r="F2070" s="10"/>
      <c r="G2070" s="18"/>
      <c r="H2070" s="18"/>
      <c r="I2070" s="7"/>
      <c r="J2070" s="18"/>
      <c r="K2070" s="7"/>
      <c r="L2070" s="7"/>
      <c r="M2070" s="7"/>
      <c r="N2070" s="7"/>
    </row>
    <row r="2071" spans="1:14" ht="15.6" x14ac:dyDescent="0.3">
      <c r="A2071" s="7"/>
      <c r="B2071" s="18"/>
      <c r="C2071" s="18"/>
      <c r="D2071" s="7"/>
      <c r="E2071" s="7"/>
      <c r="F2071" s="10"/>
      <c r="G2071" s="18"/>
      <c r="H2071" s="18"/>
      <c r="I2071" s="7"/>
      <c r="J2071" s="18"/>
      <c r="K2071" s="7"/>
      <c r="L2071" s="7"/>
      <c r="M2071" s="7"/>
      <c r="N2071" s="7"/>
    </row>
    <row r="2072" spans="1:14" ht="15.6" x14ac:dyDescent="0.3">
      <c r="A2072" s="7"/>
      <c r="B2072" s="18"/>
      <c r="C2072" s="18"/>
      <c r="D2072" s="7"/>
      <c r="E2072" s="7"/>
      <c r="F2072" s="10"/>
      <c r="G2072" s="18"/>
      <c r="H2072" s="18"/>
      <c r="I2072" s="7"/>
      <c r="J2072" s="18"/>
      <c r="K2072" s="7"/>
      <c r="L2072" s="7"/>
      <c r="M2072" s="7"/>
      <c r="N2072" s="7"/>
    </row>
    <row r="2073" spans="1:14" ht="15.6" x14ac:dyDescent="0.3">
      <c r="A2073" s="7"/>
      <c r="B2073" s="18"/>
      <c r="C2073" s="18"/>
      <c r="D2073" s="7"/>
      <c r="E2073" s="7"/>
      <c r="F2073" s="10"/>
      <c r="G2073" s="18"/>
      <c r="H2073" s="18"/>
      <c r="I2073" s="7"/>
      <c r="J2073" s="18"/>
      <c r="K2073" s="7"/>
      <c r="L2073" s="7"/>
      <c r="M2073" s="7"/>
      <c r="N2073" s="7"/>
    </row>
    <row r="2074" spans="1:14" ht="15.6" x14ac:dyDescent="0.3">
      <c r="A2074" s="7"/>
      <c r="B2074" s="18"/>
      <c r="C2074" s="18"/>
      <c r="D2074" s="7"/>
      <c r="E2074" s="7"/>
      <c r="F2074" s="10"/>
      <c r="G2074" s="18"/>
      <c r="H2074" s="18"/>
      <c r="I2074" s="7"/>
      <c r="J2074" s="18"/>
      <c r="K2074" s="7"/>
      <c r="L2074" s="7"/>
      <c r="M2074" s="7"/>
      <c r="N2074" s="7"/>
    </row>
    <row r="2075" spans="1:14" ht="15.6" x14ac:dyDescent="0.3">
      <c r="A2075" s="7"/>
      <c r="B2075" s="18"/>
      <c r="C2075" s="18"/>
      <c r="D2075" s="7"/>
      <c r="E2075" s="7"/>
      <c r="F2075" s="10"/>
      <c r="G2075" s="18"/>
      <c r="H2075" s="18"/>
      <c r="I2075" s="7"/>
      <c r="J2075" s="18"/>
      <c r="K2075" s="7"/>
      <c r="L2075" s="7"/>
      <c r="M2075" s="7"/>
      <c r="N2075" s="7"/>
    </row>
    <row r="2076" spans="1:14" ht="15.6" x14ac:dyDescent="0.3">
      <c r="A2076" s="7"/>
      <c r="B2076" s="18"/>
      <c r="C2076" s="18"/>
      <c r="D2076" s="7"/>
      <c r="E2076" s="7"/>
      <c r="F2076" s="10"/>
      <c r="G2076" s="18"/>
      <c r="H2076" s="18"/>
      <c r="I2076" s="7"/>
      <c r="J2076" s="18"/>
      <c r="K2076" s="7"/>
      <c r="L2076" s="7"/>
      <c r="M2076" s="7"/>
      <c r="N2076" s="7"/>
    </row>
    <row r="2077" spans="1:14" ht="15.6" x14ac:dyDescent="0.3">
      <c r="A2077" s="7"/>
      <c r="B2077" s="18"/>
      <c r="C2077" s="18"/>
      <c r="D2077" s="7"/>
      <c r="E2077" s="7"/>
      <c r="F2077" s="10"/>
      <c r="G2077" s="18"/>
      <c r="H2077" s="18"/>
      <c r="I2077" s="7"/>
      <c r="J2077" s="18"/>
      <c r="K2077" s="7"/>
      <c r="L2077" s="7"/>
      <c r="M2077" s="7"/>
      <c r="N2077" s="7"/>
    </row>
    <row r="2078" spans="1:14" ht="15.6" x14ac:dyDescent="0.3">
      <c r="A2078" s="7"/>
      <c r="B2078" s="18"/>
      <c r="C2078" s="18"/>
      <c r="D2078" s="7"/>
      <c r="E2078" s="7"/>
      <c r="F2078" s="10"/>
      <c r="G2078" s="18"/>
      <c r="H2078" s="18"/>
      <c r="I2078" s="7"/>
      <c r="J2078" s="18"/>
      <c r="K2078" s="7"/>
      <c r="L2078" s="7"/>
      <c r="M2078" s="7"/>
      <c r="N2078" s="7"/>
    </row>
    <row r="2079" spans="1:14" ht="15.6" x14ac:dyDescent="0.3">
      <c r="A2079" s="7"/>
      <c r="B2079" s="18"/>
      <c r="C2079" s="18"/>
      <c r="D2079" s="7"/>
      <c r="E2079" s="7"/>
      <c r="F2079" s="10"/>
      <c r="G2079" s="18"/>
      <c r="H2079" s="18"/>
      <c r="I2079" s="7"/>
      <c r="J2079" s="18"/>
      <c r="K2079" s="7"/>
      <c r="L2079" s="7"/>
      <c r="M2079" s="7"/>
      <c r="N2079" s="7"/>
    </row>
    <row r="2080" spans="1:14" ht="15.6" x14ac:dyDescent="0.3">
      <c r="A2080" s="7"/>
      <c r="B2080" s="18"/>
      <c r="C2080" s="18"/>
      <c r="D2080" s="7"/>
      <c r="E2080" s="7"/>
      <c r="F2080" s="10"/>
      <c r="G2080" s="18"/>
      <c r="H2080" s="18"/>
      <c r="I2080" s="7"/>
      <c r="J2080" s="18"/>
      <c r="K2080" s="7"/>
      <c r="L2080" s="7"/>
      <c r="M2080" s="7"/>
      <c r="N2080" s="7"/>
    </row>
    <row r="2081" spans="1:14" ht="15.6" x14ac:dyDescent="0.3">
      <c r="A2081" s="7"/>
      <c r="B2081" s="18"/>
      <c r="C2081" s="18"/>
      <c r="D2081" s="7"/>
      <c r="E2081" s="7"/>
      <c r="F2081" s="10"/>
      <c r="G2081" s="18"/>
      <c r="H2081" s="18"/>
      <c r="I2081" s="7"/>
      <c r="J2081" s="18"/>
      <c r="K2081" s="7"/>
      <c r="L2081" s="7"/>
      <c r="M2081" s="7"/>
      <c r="N2081" s="7"/>
    </row>
    <row r="2082" spans="1:14" ht="15.6" x14ac:dyDescent="0.3">
      <c r="A2082" s="7"/>
      <c r="B2082" s="18"/>
      <c r="C2082" s="18"/>
      <c r="D2082" s="7"/>
      <c r="E2082" s="7"/>
      <c r="F2082" s="10"/>
      <c r="G2082" s="18"/>
      <c r="H2082" s="18"/>
      <c r="I2082" s="7"/>
      <c r="J2082" s="18"/>
      <c r="K2082" s="7"/>
      <c r="L2082" s="7"/>
      <c r="M2082" s="7"/>
      <c r="N2082" s="7"/>
    </row>
    <row r="2083" spans="1:14" ht="15.6" x14ac:dyDescent="0.3">
      <c r="A2083" s="7"/>
      <c r="B2083" s="18"/>
      <c r="C2083" s="18"/>
      <c r="D2083" s="7"/>
      <c r="E2083" s="7"/>
      <c r="F2083" s="10"/>
      <c r="G2083" s="18"/>
      <c r="H2083" s="18"/>
      <c r="I2083" s="7"/>
      <c r="J2083" s="18"/>
      <c r="K2083" s="7"/>
      <c r="L2083" s="7"/>
      <c r="M2083" s="7"/>
      <c r="N2083" s="7"/>
    </row>
    <row r="2084" spans="1:14" ht="15.6" x14ac:dyDescent="0.3">
      <c r="A2084" s="7"/>
      <c r="B2084" s="18"/>
      <c r="C2084" s="18"/>
      <c r="D2084" s="7"/>
      <c r="E2084" s="7"/>
      <c r="F2084" s="10"/>
      <c r="G2084" s="18"/>
      <c r="H2084" s="18"/>
      <c r="I2084" s="7"/>
      <c r="J2084" s="18"/>
      <c r="K2084" s="7"/>
      <c r="L2084" s="7"/>
      <c r="M2084" s="7"/>
      <c r="N2084" s="7"/>
    </row>
    <row r="2085" spans="1:14" ht="15.6" x14ac:dyDescent="0.3">
      <c r="A2085" s="7"/>
      <c r="B2085" s="18"/>
      <c r="C2085" s="18"/>
      <c r="D2085" s="7"/>
      <c r="E2085" s="7"/>
      <c r="F2085" s="10"/>
      <c r="G2085" s="18"/>
      <c r="H2085" s="18"/>
      <c r="I2085" s="7"/>
      <c r="J2085" s="18"/>
      <c r="K2085" s="7"/>
      <c r="L2085" s="7"/>
      <c r="M2085" s="7"/>
      <c r="N2085" s="7"/>
    </row>
    <row r="2086" spans="1:14" ht="15.6" x14ac:dyDescent="0.3">
      <c r="A2086" s="7"/>
      <c r="B2086" s="18"/>
      <c r="C2086" s="18"/>
      <c r="D2086" s="7"/>
      <c r="E2086" s="7"/>
      <c r="F2086" s="10"/>
      <c r="G2086" s="18"/>
      <c r="H2086" s="18"/>
      <c r="I2086" s="7"/>
      <c r="J2086" s="18"/>
      <c r="K2086" s="7"/>
      <c r="L2086" s="7"/>
      <c r="M2086" s="7"/>
      <c r="N2086" s="7"/>
    </row>
    <row r="2087" spans="1:14" ht="15.6" x14ac:dyDescent="0.3">
      <c r="A2087" s="7"/>
      <c r="B2087" s="18"/>
      <c r="C2087" s="18"/>
      <c r="D2087" s="7"/>
      <c r="E2087" s="7"/>
      <c r="F2087" s="10"/>
      <c r="G2087" s="18"/>
      <c r="H2087" s="18"/>
      <c r="I2087" s="7"/>
      <c r="J2087" s="18"/>
      <c r="K2087" s="7"/>
      <c r="L2087" s="7"/>
      <c r="M2087" s="7"/>
      <c r="N2087" s="7"/>
    </row>
    <row r="2088" spans="1:14" ht="15.6" x14ac:dyDescent="0.3">
      <c r="A2088" s="7"/>
      <c r="B2088" s="18"/>
      <c r="C2088" s="18"/>
      <c r="D2088" s="7"/>
      <c r="E2088" s="7"/>
      <c r="F2088" s="10"/>
      <c r="G2088" s="18"/>
      <c r="H2088" s="18"/>
      <c r="I2088" s="7"/>
      <c r="J2088" s="18"/>
      <c r="K2088" s="7"/>
      <c r="L2088" s="7"/>
      <c r="M2088" s="7"/>
      <c r="N2088" s="7"/>
    </row>
    <row r="2089" spans="1:14" ht="15.6" x14ac:dyDescent="0.3">
      <c r="A2089" s="7"/>
      <c r="B2089" s="18"/>
      <c r="C2089" s="18"/>
      <c r="D2089" s="7"/>
      <c r="E2089" s="7"/>
      <c r="F2089" s="10"/>
      <c r="G2089" s="18"/>
      <c r="H2089" s="18"/>
      <c r="I2089" s="7"/>
      <c r="J2089" s="18"/>
      <c r="K2089" s="7"/>
      <c r="L2089" s="7"/>
      <c r="M2089" s="7"/>
      <c r="N2089" s="7"/>
    </row>
    <row r="2090" spans="1:14" ht="15.6" x14ac:dyDescent="0.3">
      <c r="A2090" s="7"/>
      <c r="B2090" s="18"/>
      <c r="C2090" s="18"/>
      <c r="D2090" s="7"/>
      <c r="E2090" s="7"/>
      <c r="F2090" s="10"/>
      <c r="G2090" s="18"/>
      <c r="H2090" s="18"/>
      <c r="I2090" s="7"/>
      <c r="J2090" s="18"/>
      <c r="K2090" s="7"/>
      <c r="L2090" s="7"/>
      <c r="M2090" s="7"/>
      <c r="N2090" s="7"/>
    </row>
    <row r="2091" spans="1:14" ht="15.6" x14ac:dyDescent="0.3">
      <c r="A2091" s="7"/>
      <c r="B2091" s="18"/>
      <c r="C2091" s="18"/>
      <c r="D2091" s="7"/>
      <c r="E2091" s="7"/>
      <c r="F2091" s="10"/>
      <c r="G2091" s="18"/>
      <c r="H2091" s="18"/>
      <c r="I2091" s="7"/>
      <c r="J2091" s="18"/>
      <c r="K2091" s="7"/>
      <c r="L2091" s="7"/>
      <c r="M2091" s="7"/>
      <c r="N2091" s="7"/>
    </row>
    <row r="2092" spans="1:14" ht="15.6" x14ac:dyDescent="0.3">
      <c r="A2092" s="7"/>
      <c r="B2092" s="18"/>
      <c r="C2092" s="18"/>
      <c r="D2092" s="7"/>
      <c r="E2092" s="7"/>
      <c r="F2092" s="10"/>
      <c r="G2092" s="18"/>
      <c r="H2092" s="18"/>
      <c r="I2092" s="7"/>
      <c r="J2092" s="18"/>
      <c r="K2092" s="7"/>
      <c r="L2092" s="7"/>
      <c r="M2092" s="7"/>
      <c r="N2092" s="7"/>
    </row>
    <row r="2093" spans="1:14" ht="15.6" x14ac:dyDescent="0.3">
      <c r="A2093" s="7"/>
      <c r="B2093" s="18"/>
      <c r="C2093" s="18"/>
      <c r="D2093" s="7"/>
      <c r="E2093" s="7"/>
      <c r="F2093" s="10"/>
      <c r="G2093" s="18"/>
      <c r="H2093" s="18"/>
      <c r="I2093" s="7"/>
      <c r="J2093" s="18"/>
      <c r="K2093" s="7"/>
      <c r="L2093" s="7"/>
      <c r="M2093" s="7"/>
      <c r="N2093" s="7"/>
    </row>
    <row r="2094" spans="1:14" ht="15.6" x14ac:dyDescent="0.3">
      <c r="A2094" s="7"/>
      <c r="B2094" s="18"/>
      <c r="C2094" s="18"/>
      <c r="D2094" s="7"/>
      <c r="E2094" s="7"/>
      <c r="F2094" s="10"/>
      <c r="G2094" s="18"/>
      <c r="H2094" s="18"/>
      <c r="I2094" s="7"/>
      <c r="J2094" s="18"/>
      <c r="K2094" s="7"/>
      <c r="L2094" s="7"/>
      <c r="M2094" s="7"/>
      <c r="N2094" s="7"/>
    </row>
    <row r="2095" spans="1:14" ht="15.6" x14ac:dyDescent="0.3">
      <c r="A2095" s="7"/>
      <c r="B2095" s="18"/>
      <c r="C2095" s="18"/>
      <c r="D2095" s="7"/>
      <c r="E2095" s="7"/>
      <c r="F2095" s="10"/>
      <c r="G2095" s="18"/>
      <c r="H2095" s="18"/>
      <c r="I2095" s="7"/>
      <c r="J2095" s="18"/>
      <c r="K2095" s="7"/>
      <c r="L2095" s="7"/>
      <c r="M2095" s="7"/>
      <c r="N2095" s="7"/>
    </row>
    <row r="2096" spans="1:14" ht="15.6" x14ac:dyDescent="0.3">
      <c r="A2096" s="7"/>
      <c r="B2096" s="18"/>
      <c r="C2096" s="18"/>
      <c r="D2096" s="7"/>
      <c r="E2096" s="7"/>
      <c r="F2096" s="10"/>
      <c r="G2096" s="18"/>
      <c r="H2096" s="18"/>
      <c r="I2096" s="7"/>
      <c r="J2096" s="18"/>
      <c r="K2096" s="7"/>
      <c r="L2096" s="7"/>
      <c r="M2096" s="7"/>
      <c r="N2096" s="7"/>
    </row>
    <row r="2097" spans="1:14" ht="15.6" x14ac:dyDescent="0.3">
      <c r="A2097" s="7"/>
      <c r="B2097" s="18"/>
      <c r="C2097" s="18"/>
      <c r="D2097" s="7"/>
      <c r="E2097" s="7"/>
      <c r="F2097" s="10"/>
      <c r="G2097" s="18"/>
      <c r="H2097" s="18"/>
      <c r="I2097" s="7"/>
      <c r="J2097" s="18"/>
      <c r="K2097" s="7"/>
      <c r="L2097" s="7"/>
      <c r="M2097" s="7"/>
      <c r="N2097" s="7"/>
    </row>
    <row r="2098" spans="1:14" ht="15.6" x14ac:dyDescent="0.3">
      <c r="A2098" s="7"/>
      <c r="B2098" s="18"/>
      <c r="C2098" s="18"/>
      <c r="D2098" s="7"/>
      <c r="E2098" s="7"/>
      <c r="F2098" s="10"/>
      <c r="G2098" s="18"/>
      <c r="H2098" s="18"/>
      <c r="I2098" s="7"/>
      <c r="J2098" s="18"/>
      <c r="K2098" s="7"/>
      <c r="L2098" s="7"/>
      <c r="M2098" s="7"/>
      <c r="N2098" s="7"/>
    </row>
    <row r="2099" spans="1:14" ht="15.6" x14ac:dyDescent="0.3">
      <c r="A2099" s="7"/>
      <c r="B2099" s="18"/>
      <c r="C2099" s="18"/>
      <c r="D2099" s="7"/>
      <c r="E2099" s="7"/>
      <c r="F2099" s="10"/>
      <c r="G2099" s="18"/>
      <c r="H2099" s="18"/>
      <c r="I2099" s="7"/>
      <c r="J2099" s="18"/>
      <c r="K2099" s="7"/>
      <c r="L2099" s="7"/>
      <c r="M2099" s="7"/>
      <c r="N2099" s="7"/>
    </row>
    <row r="2100" spans="1:14" ht="15.6" x14ac:dyDescent="0.3">
      <c r="A2100" s="7"/>
      <c r="B2100" s="18"/>
      <c r="C2100" s="18"/>
      <c r="D2100" s="7"/>
      <c r="E2100" s="7"/>
      <c r="F2100" s="10"/>
      <c r="G2100" s="18"/>
      <c r="H2100" s="18"/>
      <c r="I2100" s="7"/>
      <c r="J2100" s="18"/>
      <c r="K2100" s="7"/>
      <c r="L2100" s="7"/>
      <c r="M2100" s="7"/>
      <c r="N2100" s="7"/>
    </row>
    <row r="2101" spans="1:14" ht="15.6" x14ac:dyDescent="0.3">
      <c r="A2101" s="7"/>
      <c r="B2101" s="18"/>
      <c r="C2101" s="18"/>
      <c r="D2101" s="7"/>
      <c r="E2101" s="7"/>
      <c r="F2101" s="10"/>
      <c r="G2101" s="18"/>
      <c r="H2101" s="18"/>
      <c r="I2101" s="7"/>
      <c r="J2101" s="18"/>
      <c r="K2101" s="7"/>
      <c r="L2101" s="7"/>
      <c r="M2101" s="7"/>
      <c r="N2101" s="7"/>
    </row>
    <row r="2102" spans="1:14" ht="15.6" x14ac:dyDescent="0.3">
      <c r="A2102" s="7"/>
      <c r="B2102" s="18"/>
      <c r="C2102" s="18"/>
      <c r="D2102" s="7"/>
      <c r="E2102" s="7"/>
      <c r="F2102" s="10"/>
      <c r="G2102" s="18"/>
      <c r="H2102" s="18"/>
      <c r="I2102" s="7"/>
      <c r="J2102" s="18"/>
      <c r="K2102" s="7"/>
      <c r="L2102" s="7"/>
      <c r="M2102" s="7"/>
      <c r="N2102" s="7"/>
    </row>
    <row r="2103" spans="1:14" ht="15.6" x14ac:dyDescent="0.3">
      <c r="A2103" s="7"/>
      <c r="B2103" s="18"/>
      <c r="C2103" s="18"/>
      <c r="D2103" s="7"/>
      <c r="E2103" s="7"/>
      <c r="F2103" s="10"/>
      <c r="G2103" s="18"/>
      <c r="H2103" s="18"/>
      <c r="I2103" s="7"/>
      <c r="J2103" s="18"/>
      <c r="K2103" s="7"/>
      <c r="L2103" s="7"/>
      <c r="M2103" s="7"/>
      <c r="N2103" s="7"/>
    </row>
    <row r="2104" spans="1:14" ht="15.6" x14ac:dyDescent="0.3">
      <c r="A2104" s="7"/>
      <c r="B2104" s="18"/>
      <c r="C2104" s="18"/>
      <c r="D2104" s="7"/>
      <c r="E2104" s="7"/>
      <c r="F2104" s="10"/>
      <c r="G2104" s="18"/>
      <c r="H2104" s="18"/>
      <c r="I2104" s="7"/>
      <c r="J2104" s="18"/>
      <c r="K2104" s="7"/>
      <c r="L2104" s="7"/>
      <c r="M2104" s="7"/>
      <c r="N2104" s="7"/>
    </row>
    <row r="2105" spans="1:14" ht="15.6" x14ac:dyDescent="0.3">
      <c r="A2105" s="7"/>
      <c r="B2105" s="18"/>
      <c r="C2105" s="18"/>
      <c r="D2105" s="7"/>
      <c r="E2105" s="7"/>
      <c r="F2105" s="10"/>
      <c r="G2105" s="18"/>
      <c r="H2105" s="18"/>
      <c r="I2105" s="7"/>
      <c r="J2105" s="18"/>
      <c r="K2105" s="7"/>
      <c r="L2105" s="7"/>
      <c r="M2105" s="7"/>
      <c r="N2105" s="7"/>
    </row>
    <row r="2106" spans="1:14" ht="15.6" x14ac:dyDescent="0.3">
      <c r="A2106" s="7"/>
      <c r="B2106" s="18"/>
      <c r="C2106" s="18"/>
      <c r="D2106" s="7"/>
      <c r="E2106" s="7"/>
      <c r="F2106" s="10"/>
      <c r="G2106" s="18"/>
      <c r="H2106" s="18"/>
      <c r="I2106" s="7"/>
      <c r="J2106" s="18"/>
      <c r="K2106" s="7"/>
      <c r="L2106" s="7"/>
      <c r="M2106" s="7"/>
      <c r="N2106" s="7"/>
    </row>
    <row r="2107" spans="1:14" ht="15.6" x14ac:dyDescent="0.3">
      <c r="A2107" s="7"/>
      <c r="B2107" s="18"/>
      <c r="C2107" s="18"/>
      <c r="D2107" s="7"/>
      <c r="E2107" s="7"/>
      <c r="F2107" s="10"/>
      <c r="G2107" s="18"/>
      <c r="H2107" s="18"/>
      <c r="I2107" s="7"/>
      <c r="J2107" s="18"/>
      <c r="K2107" s="7"/>
      <c r="L2107" s="7"/>
      <c r="M2107" s="7"/>
      <c r="N2107" s="7"/>
    </row>
    <row r="2108" spans="1:14" ht="15.6" x14ac:dyDescent="0.3">
      <c r="A2108" s="7"/>
      <c r="B2108" s="18"/>
      <c r="C2108" s="18"/>
      <c r="D2108" s="7"/>
      <c r="E2108" s="7"/>
      <c r="F2108" s="10"/>
      <c r="G2108" s="18"/>
      <c r="H2108" s="18"/>
      <c r="I2108" s="7"/>
      <c r="J2108" s="18"/>
      <c r="K2108" s="7"/>
      <c r="L2108" s="7"/>
      <c r="M2108" s="7"/>
      <c r="N2108" s="7"/>
    </row>
    <row r="2109" spans="1:14" ht="15.6" x14ac:dyDescent="0.3">
      <c r="A2109" s="7"/>
      <c r="B2109" s="18"/>
      <c r="C2109" s="18"/>
      <c r="D2109" s="7"/>
      <c r="E2109" s="7"/>
      <c r="F2109" s="10"/>
      <c r="G2109" s="18"/>
      <c r="H2109" s="18"/>
      <c r="I2109" s="7"/>
      <c r="J2109" s="18"/>
      <c r="K2109" s="7"/>
      <c r="L2109" s="7"/>
      <c r="M2109" s="7"/>
      <c r="N2109" s="7"/>
    </row>
    <row r="2110" spans="1:14" ht="15.6" x14ac:dyDescent="0.3">
      <c r="A2110" s="7"/>
      <c r="B2110" s="18"/>
      <c r="C2110" s="18"/>
      <c r="D2110" s="7"/>
      <c r="E2110" s="7"/>
      <c r="F2110" s="10"/>
      <c r="G2110" s="18"/>
      <c r="H2110" s="18"/>
      <c r="I2110" s="7"/>
      <c r="J2110" s="18"/>
      <c r="K2110" s="7"/>
      <c r="L2110" s="7"/>
      <c r="M2110" s="7"/>
      <c r="N2110" s="7"/>
    </row>
    <row r="2111" spans="1:14" ht="15.6" x14ac:dyDescent="0.3">
      <c r="A2111" s="7"/>
      <c r="B2111" s="18"/>
      <c r="C2111" s="18"/>
      <c r="D2111" s="7"/>
      <c r="E2111" s="7"/>
      <c r="F2111" s="10"/>
      <c r="G2111" s="18"/>
      <c r="H2111" s="18"/>
      <c r="I2111" s="7"/>
      <c r="J2111" s="18"/>
      <c r="K2111" s="7"/>
      <c r="L2111" s="7"/>
      <c r="M2111" s="7"/>
      <c r="N2111" s="7"/>
    </row>
    <row r="2112" spans="1:14" ht="15.6" x14ac:dyDescent="0.3">
      <c r="A2112" s="7"/>
      <c r="B2112" s="18"/>
      <c r="C2112" s="18"/>
      <c r="D2112" s="7"/>
      <c r="E2112" s="7"/>
      <c r="F2112" s="10"/>
      <c r="G2112" s="18"/>
      <c r="H2112" s="18"/>
      <c r="I2112" s="7"/>
      <c r="J2112" s="18"/>
      <c r="K2112" s="7"/>
      <c r="L2112" s="7"/>
      <c r="M2112" s="7"/>
      <c r="N2112" s="7"/>
    </row>
    <row r="2113" spans="1:14" ht="15.6" x14ac:dyDescent="0.3">
      <c r="A2113" s="7"/>
      <c r="B2113" s="18"/>
      <c r="C2113" s="18"/>
      <c r="D2113" s="7"/>
      <c r="E2113" s="7"/>
      <c r="F2113" s="10"/>
      <c r="G2113" s="18"/>
      <c r="H2113" s="18"/>
      <c r="I2113" s="7"/>
      <c r="J2113" s="18"/>
      <c r="K2113" s="7"/>
      <c r="L2113" s="7"/>
      <c r="M2113" s="7"/>
      <c r="N2113" s="7"/>
    </row>
    <row r="2114" spans="1:14" ht="15.6" x14ac:dyDescent="0.3">
      <c r="A2114" s="7"/>
      <c r="B2114" s="18"/>
      <c r="C2114" s="18"/>
      <c r="D2114" s="7"/>
      <c r="E2114" s="7"/>
      <c r="F2114" s="10"/>
      <c r="G2114" s="18"/>
      <c r="H2114" s="18"/>
      <c r="I2114" s="7"/>
      <c r="J2114" s="18"/>
      <c r="K2114" s="7"/>
      <c r="L2114" s="7"/>
      <c r="M2114" s="7"/>
      <c r="N2114" s="7"/>
    </row>
    <row r="2115" spans="1:14" ht="15.6" x14ac:dyDescent="0.3">
      <c r="A2115" s="7"/>
      <c r="B2115" s="18"/>
      <c r="C2115" s="18"/>
      <c r="D2115" s="7"/>
      <c r="E2115" s="7"/>
      <c r="F2115" s="10"/>
      <c r="G2115" s="18"/>
      <c r="H2115" s="18"/>
      <c r="I2115" s="7"/>
      <c r="J2115" s="18"/>
      <c r="K2115" s="7"/>
      <c r="L2115" s="7"/>
      <c r="M2115" s="7"/>
      <c r="N2115" s="7"/>
    </row>
    <row r="2116" spans="1:14" ht="15.6" x14ac:dyDescent="0.3">
      <c r="A2116" s="7"/>
      <c r="B2116" s="18"/>
      <c r="C2116" s="18"/>
      <c r="D2116" s="7"/>
      <c r="E2116" s="7"/>
      <c r="F2116" s="10"/>
      <c r="G2116" s="18"/>
      <c r="H2116" s="18"/>
      <c r="I2116" s="7"/>
      <c r="J2116" s="18"/>
      <c r="K2116" s="7"/>
      <c r="L2116" s="7"/>
      <c r="M2116" s="7"/>
      <c r="N2116" s="7"/>
    </row>
    <row r="2117" spans="1:14" ht="15.6" x14ac:dyDescent="0.3">
      <c r="A2117" s="7"/>
      <c r="B2117" s="18"/>
      <c r="C2117" s="18"/>
      <c r="D2117" s="7"/>
      <c r="E2117" s="7"/>
      <c r="F2117" s="10"/>
      <c r="G2117" s="18"/>
      <c r="H2117" s="18"/>
      <c r="I2117" s="7"/>
      <c r="J2117" s="18"/>
      <c r="K2117" s="7"/>
      <c r="L2117" s="7"/>
      <c r="M2117" s="7"/>
      <c r="N2117" s="7"/>
    </row>
    <row r="2118" spans="1:14" ht="15.6" x14ac:dyDescent="0.3">
      <c r="A2118" s="7"/>
      <c r="B2118" s="18"/>
      <c r="C2118" s="18"/>
      <c r="D2118" s="7"/>
      <c r="E2118" s="7"/>
      <c r="F2118" s="10"/>
      <c r="G2118" s="18"/>
      <c r="H2118" s="18"/>
      <c r="I2118" s="7"/>
      <c r="J2118" s="18"/>
      <c r="K2118" s="7"/>
      <c r="L2118" s="7"/>
      <c r="M2118" s="7"/>
      <c r="N2118" s="7"/>
    </row>
    <row r="2119" spans="1:14" ht="15.6" x14ac:dyDescent="0.3">
      <c r="A2119" s="7"/>
      <c r="B2119" s="18"/>
      <c r="C2119" s="18"/>
      <c r="D2119" s="7"/>
      <c r="E2119" s="7"/>
      <c r="F2119" s="10"/>
      <c r="G2119" s="18"/>
      <c r="H2119" s="18"/>
      <c r="I2119" s="7"/>
      <c r="J2119" s="18"/>
      <c r="K2119" s="7"/>
      <c r="L2119" s="7"/>
      <c r="M2119" s="7"/>
      <c r="N2119" s="7"/>
    </row>
    <row r="2120" spans="1:14" ht="15.6" x14ac:dyDescent="0.3">
      <c r="A2120" s="7"/>
      <c r="B2120" s="18"/>
      <c r="C2120" s="18"/>
      <c r="D2120" s="7"/>
      <c r="E2120" s="7"/>
      <c r="F2120" s="10"/>
      <c r="G2120" s="18"/>
      <c r="H2120" s="18"/>
      <c r="I2120" s="7"/>
      <c r="J2120" s="18"/>
      <c r="K2120" s="7"/>
      <c r="L2120" s="7"/>
      <c r="M2120" s="7"/>
      <c r="N2120" s="7"/>
    </row>
    <row r="2121" spans="1:14" ht="15.6" x14ac:dyDescent="0.3">
      <c r="A2121" s="7"/>
      <c r="B2121" s="18"/>
      <c r="C2121" s="18"/>
      <c r="D2121" s="7"/>
      <c r="E2121" s="7"/>
      <c r="F2121" s="10"/>
      <c r="G2121" s="18"/>
      <c r="H2121" s="18"/>
      <c r="I2121" s="7"/>
      <c r="J2121" s="18"/>
      <c r="K2121" s="7"/>
      <c r="L2121" s="7"/>
      <c r="M2121" s="7"/>
      <c r="N2121" s="7"/>
    </row>
    <row r="2122" spans="1:14" ht="15.6" x14ac:dyDescent="0.3">
      <c r="A2122" s="7"/>
      <c r="B2122" s="18"/>
      <c r="C2122" s="18"/>
      <c r="D2122" s="7"/>
      <c r="E2122" s="7"/>
      <c r="F2122" s="10"/>
      <c r="G2122" s="18"/>
      <c r="H2122" s="18"/>
      <c r="I2122" s="7"/>
      <c r="J2122" s="18"/>
      <c r="K2122" s="7"/>
      <c r="L2122" s="7"/>
      <c r="M2122" s="7"/>
      <c r="N2122" s="7"/>
    </row>
    <row r="2123" spans="1:14" ht="15.6" x14ac:dyDescent="0.3">
      <c r="A2123" s="7"/>
      <c r="B2123" s="18"/>
      <c r="C2123" s="18"/>
      <c r="D2123" s="7"/>
      <c r="E2123" s="7"/>
      <c r="F2123" s="10"/>
      <c r="G2123" s="18"/>
      <c r="H2123" s="18"/>
      <c r="I2123" s="7"/>
      <c r="J2123" s="18"/>
      <c r="K2123" s="7"/>
      <c r="L2123" s="7"/>
      <c r="M2123" s="7"/>
      <c r="N2123" s="7"/>
    </row>
    <row r="2124" spans="1:14" ht="15.6" x14ac:dyDescent="0.3">
      <c r="A2124" s="7"/>
      <c r="B2124" s="18"/>
      <c r="C2124" s="18"/>
      <c r="D2124" s="7"/>
      <c r="E2124" s="7"/>
      <c r="F2124" s="10"/>
      <c r="G2124" s="18"/>
      <c r="H2124" s="18"/>
      <c r="I2124" s="7"/>
      <c r="J2124" s="18"/>
      <c r="K2124" s="7"/>
      <c r="L2124" s="7"/>
      <c r="M2124" s="7"/>
      <c r="N2124" s="7"/>
    </row>
    <row r="2125" spans="1:14" ht="15.6" x14ac:dyDescent="0.3">
      <c r="A2125" s="7"/>
      <c r="B2125" s="18"/>
      <c r="C2125" s="18"/>
      <c r="D2125" s="7"/>
      <c r="E2125" s="7"/>
      <c r="F2125" s="10"/>
      <c r="G2125" s="18"/>
      <c r="H2125" s="18"/>
      <c r="I2125" s="7"/>
      <c r="J2125" s="18"/>
      <c r="K2125" s="7"/>
      <c r="L2125" s="7"/>
      <c r="M2125" s="7"/>
      <c r="N2125" s="7"/>
    </row>
    <row r="2126" spans="1:14" ht="15.6" x14ac:dyDescent="0.3">
      <c r="A2126" s="7"/>
      <c r="B2126" s="18"/>
      <c r="C2126" s="18"/>
      <c r="D2126" s="7"/>
      <c r="E2126" s="7"/>
      <c r="F2126" s="10"/>
      <c r="G2126" s="18"/>
      <c r="H2126" s="18"/>
      <c r="I2126" s="7"/>
      <c r="J2126" s="18"/>
      <c r="K2126" s="7"/>
      <c r="L2126" s="7"/>
      <c r="M2126" s="7"/>
      <c r="N2126" s="7"/>
    </row>
    <row r="2127" spans="1:14" ht="15.6" x14ac:dyDescent="0.3">
      <c r="A2127" s="7"/>
      <c r="B2127" s="18"/>
      <c r="C2127" s="18"/>
      <c r="D2127" s="7"/>
      <c r="E2127" s="7"/>
      <c r="F2127" s="10"/>
      <c r="G2127" s="18"/>
      <c r="H2127" s="18"/>
      <c r="I2127" s="7"/>
      <c r="J2127" s="18"/>
      <c r="K2127" s="7"/>
      <c r="L2127" s="7"/>
      <c r="M2127" s="7"/>
      <c r="N2127" s="7"/>
    </row>
    <row r="2128" spans="1:14" ht="15.6" x14ac:dyDescent="0.3">
      <c r="A2128" s="7"/>
      <c r="B2128" s="18"/>
      <c r="C2128" s="18"/>
      <c r="D2128" s="7"/>
      <c r="E2128" s="7"/>
      <c r="F2128" s="10"/>
      <c r="G2128" s="18"/>
      <c r="H2128" s="18"/>
      <c r="I2128" s="7"/>
      <c r="J2128" s="18"/>
      <c r="K2128" s="7"/>
      <c r="L2128" s="7"/>
      <c r="M2128" s="7"/>
      <c r="N2128" s="7"/>
    </row>
    <row r="2129" spans="1:14" ht="15.6" x14ac:dyDescent="0.3">
      <c r="A2129" s="7"/>
      <c r="B2129" s="18"/>
      <c r="C2129" s="18"/>
      <c r="D2129" s="7"/>
      <c r="E2129" s="7"/>
      <c r="F2129" s="10"/>
      <c r="G2129" s="18"/>
      <c r="H2129" s="18"/>
      <c r="I2129" s="7"/>
      <c r="J2129" s="18"/>
      <c r="K2129" s="7"/>
      <c r="L2129" s="7"/>
      <c r="M2129" s="7"/>
      <c r="N2129" s="7"/>
    </row>
    <row r="2130" spans="1:14" ht="15.6" x14ac:dyDescent="0.3">
      <c r="A2130" s="7"/>
      <c r="B2130" s="18"/>
      <c r="C2130" s="18"/>
      <c r="D2130" s="7"/>
      <c r="E2130" s="7"/>
      <c r="F2130" s="10"/>
      <c r="G2130" s="18"/>
      <c r="H2130" s="18"/>
      <c r="I2130" s="7"/>
      <c r="J2130" s="18"/>
      <c r="K2130" s="7"/>
      <c r="L2130" s="7"/>
      <c r="M2130" s="7"/>
      <c r="N2130" s="7"/>
    </row>
    <row r="2131" spans="1:14" ht="15.6" x14ac:dyDescent="0.3">
      <c r="A2131" s="7"/>
      <c r="B2131" s="18"/>
      <c r="C2131" s="18"/>
      <c r="D2131" s="7"/>
      <c r="E2131" s="7"/>
      <c r="F2131" s="10"/>
      <c r="G2131" s="18"/>
      <c r="H2131" s="18"/>
      <c r="I2131" s="7"/>
      <c r="J2131" s="18"/>
      <c r="K2131" s="7"/>
      <c r="L2131" s="7"/>
      <c r="M2131" s="7"/>
      <c r="N2131" s="7"/>
    </row>
    <row r="2132" spans="1:14" ht="15.6" x14ac:dyDescent="0.3">
      <c r="A2132" s="7"/>
      <c r="B2132" s="18"/>
      <c r="C2132" s="18"/>
      <c r="D2132" s="7"/>
      <c r="E2132" s="7"/>
      <c r="F2132" s="10"/>
      <c r="G2132" s="18"/>
      <c r="H2132" s="18"/>
      <c r="I2132" s="7"/>
      <c r="J2132" s="18"/>
      <c r="K2132" s="7"/>
      <c r="L2132" s="7"/>
      <c r="M2132" s="7"/>
      <c r="N2132" s="7"/>
    </row>
    <row r="2133" spans="1:14" ht="15.6" x14ac:dyDescent="0.3">
      <c r="A2133" s="7"/>
      <c r="B2133" s="18"/>
      <c r="C2133" s="18"/>
      <c r="D2133" s="7"/>
      <c r="E2133" s="7"/>
      <c r="F2133" s="10"/>
      <c r="G2133" s="18"/>
      <c r="H2133" s="18"/>
      <c r="I2133" s="7"/>
      <c r="J2133" s="18"/>
      <c r="K2133" s="7"/>
      <c r="L2133" s="7"/>
      <c r="M2133" s="7"/>
      <c r="N2133" s="7"/>
    </row>
    <row r="2134" spans="1:14" ht="15.6" x14ac:dyDescent="0.3">
      <c r="A2134" s="7"/>
      <c r="B2134" s="18"/>
      <c r="C2134" s="18"/>
      <c r="D2134" s="7"/>
      <c r="E2134" s="7"/>
      <c r="F2134" s="10"/>
      <c r="G2134" s="18"/>
      <c r="H2134" s="18"/>
      <c r="I2134" s="7"/>
      <c r="J2134" s="18"/>
      <c r="K2134" s="7"/>
      <c r="L2134" s="7"/>
      <c r="M2134" s="7"/>
      <c r="N2134" s="7"/>
    </row>
    <row r="2135" spans="1:14" ht="15.6" x14ac:dyDescent="0.3">
      <c r="A2135" s="7"/>
      <c r="B2135" s="18"/>
      <c r="C2135" s="18"/>
      <c r="D2135" s="7"/>
      <c r="E2135" s="7"/>
      <c r="F2135" s="10"/>
      <c r="G2135" s="18"/>
      <c r="H2135" s="18"/>
      <c r="I2135" s="7"/>
      <c r="J2135" s="18"/>
      <c r="K2135" s="7"/>
      <c r="L2135" s="7"/>
      <c r="M2135" s="7"/>
      <c r="N2135" s="7"/>
    </row>
    <row r="2136" spans="1:14" ht="15.6" x14ac:dyDescent="0.3">
      <c r="A2136" s="7"/>
      <c r="B2136" s="18"/>
      <c r="C2136" s="18"/>
      <c r="D2136" s="7"/>
      <c r="E2136" s="7"/>
      <c r="F2136" s="10"/>
      <c r="G2136" s="18"/>
      <c r="H2136" s="18"/>
      <c r="I2136" s="7"/>
      <c r="J2136" s="18"/>
      <c r="K2136" s="7"/>
      <c r="L2136" s="7"/>
      <c r="M2136" s="7"/>
      <c r="N2136" s="7"/>
    </row>
    <row r="2137" spans="1:14" ht="15.6" x14ac:dyDescent="0.3">
      <c r="A2137" s="7"/>
      <c r="B2137" s="18"/>
      <c r="C2137" s="18"/>
      <c r="D2137" s="7"/>
      <c r="E2137" s="7"/>
      <c r="F2137" s="10"/>
      <c r="G2137" s="18"/>
      <c r="H2137" s="18"/>
      <c r="I2137" s="7"/>
      <c r="J2137" s="18"/>
      <c r="K2137" s="7"/>
      <c r="L2137" s="7"/>
      <c r="M2137" s="7"/>
      <c r="N2137" s="7"/>
    </row>
    <row r="2138" spans="1:14" ht="15.6" x14ac:dyDescent="0.3">
      <c r="A2138" s="7"/>
      <c r="B2138" s="18"/>
      <c r="C2138" s="18"/>
      <c r="D2138" s="7"/>
      <c r="E2138" s="7"/>
      <c r="F2138" s="10"/>
      <c r="G2138" s="18"/>
      <c r="H2138" s="18"/>
      <c r="I2138" s="7"/>
      <c r="J2138" s="18"/>
      <c r="K2138" s="7"/>
      <c r="L2138" s="7"/>
      <c r="M2138" s="7"/>
      <c r="N2138" s="7"/>
    </row>
    <row r="2139" spans="1:14" ht="15.6" x14ac:dyDescent="0.3">
      <c r="A2139" s="7"/>
      <c r="B2139" s="18"/>
      <c r="C2139" s="18"/>
      <c r="D2139" s="7"/>
      <c r="E2139" s="7"/>
      <c r="F2139" s="10"/>
      <c r="G2139" s="18"/>
      <c r="H2139" s="18"/>
      <c r="I2139" s="7"/>
      <c r="J2139" s="18"/>
      <c r="K2139" s="7"/>
      <c r="L2139" s="7"/>
      <c r="M2139" s="7"/>
      <c r="N2139" s="7"/>
    </row>
    <row r="2140" spans="1:14" ht="15.6" x14ac:dyDescent="0.3">
      <c r="A2140" s="7"/>
      <c r="B2140" s="18"/>
      <c r="C2140" s="18"/>
      <c r="D2140" s="7"/>
      <c r="E2140" s="7"/>
      <c r="F2140" s="10"/>
      <c r="G2140" s="18"/>
      <c r="H2140" s="18"/>
      <c r="I2140" s="7"/>
      <c r="J2140" s="18"/>
      <c r="K2140" s="7"/>
      <c r="L2140" s="7"/>
      <c r="M2140" s="7"/>
      <c r="N2140" s="7"/>
    </row>
    <row r="2141" spans="1:14" ht="15.6" x14ac:dyDescent="0.3">
      <c r="A2141" s="7"/>
      <c r="B2141" s="18"/>
      <c r="C2141" s="18"/>
      <c r="D2141" s="7"/>
      <c r="E2141" s="7"/>
      <c r="F2141" s="10"/>
      <c r="G2141" s="18"/>
      <c r="H2141" s="18"/>
      <c r="I2141" s="7"/>
      <c r="J2141" s="18"/>
      <c r="K2141" s="7"/>
      <c r="L2141" s="7"/>
      <c r="M2141" s="7"/>
      <c r="N2141" s="7"/>
    </row>
    <row r="2142" spans="1:14" ht="15.6" x14ac:dyDescent="0.3">
      <c r="A2142" s="7"/>
      <c r="B2142" s="18"/>
      <c r="C2142" s="18"/>
      <c r="D2142" s="7"/>
      <c r="E2142" s="7"/>
      <c r="F2142" s="10"/>
      <c r="G2142" s="18"/>
      <c r="H2142" s="18"/>
      <c r="I2142" s="7"/>
      <c r="J2142" s="18"/>
      <c r="K2142" s="7"/>
      <c r="L2142" s="7"/>
      <c r="M2142" s="7"/>
      <c r="N2142" s="7"/>
    </row>
    <row r="2143" spans="1:14" ht="15.6" x14ac:dyDescent="0.3">
      <c r="A2143" s="7"/>
      <c r="B2143" s="18"/>
      <c r="C2143" s="18"/>
      <c r="D2143" s="7"/>
      <c r="E2143" s="7"/>
      <c r="F2143" s="10"/>
      <c r="G2143" s="18"/>
      <c r="H2143" s="18"/>
      <c r="I2143" s="7"/>
      <c r="J2143" s="18"/>
      <c r="K2143" s="7"/>
      <c r="L2143" s="7"/>
      <c r="M2143" s="7"/>
      <c r="N2143" s="7"/>
    </row>
    <row r="2144" spans="1:14" ht="15.6" x14ac:dyDescent="0.3">
      <c r="A2144" s="7"/>
      <c r="B2144" s="18"/>
      <c r="C2144" s="18"/>
      <c r="D2144" s="7"/>
      <c r="E2144" s="7"/>
      <c r="F2144" s="10"/>
      <c r="G2144" s="18"/>
      <c r="H2144" s="18"/>
      <c r="I2144" s="7"/>
      <c r="J2144" s="18"/>
      <c r="K2144" s="7"/>
      <c r="L2144" s="7"/>
      <c r="M2144" s="7"/>
      <c r="N2144" s="7"/>
    </row>
    <row r="2145" spans="1:14" ht="15.6" x14ac:dyDescent="0.3">
      <c r="A2145" s="7"/>
      <c r="B2145" s="18"/>
      <c r="C2145" s="18"/>
      <c r="D2145" s="7"/>
      <c r="E2145" s="7"/>
      <c r="F2145" s="10"/>
      <c r="G2145" s="18"/>
      <c r="H2145" s="18"/>
      <c r="I2145" s="7"/>
      <c r="J2145" s="18"/>
      <c r="K2145" s="7"/>
      <c r="L2145" s="7"/>
      <c r="M2145" s="7"/>
      <c r="N2145" s="7"/>
    </row>
    <row r="2146" spans="1:14" ht="15.6" x14ac:dyDescent="0.3">
      <c r="A2146" s="7"/>
      <c r="B2146" s="18"/>
      <c r="C2146" s="18"/>
      <c r="D2146" s="7"/>
      <c r="E2146" s="7"/>
      <c r="F2146" s="10"/>
      <c r="G2146" s="18"/>
      <c r="H2146" s="18"/>
      <c r="I2146" s="7"/>
      <c r="J2146" s="18"/>
      <c r="K2146" s="7"/>
      <c r="L2146" s="7"/>
      <c r="M2146" s="7"/>
      <c r="N2146" s="7"/>
    </row>
    <row r="2147" spans="1:14" ht="15.6" x14ac:dyDescent="0.3">
      <c r="A2147" s="7"/>
      <c r="B2147" s="18"/>
      <c r="C2147" s="18"/>
      <c r="D2147" s="7"/>
      <c r="E2147" s="7"/>
      <c r="F2147" s="10"/>
      <c r="G2147" s="18"/>
      <c r="H2147" s="18"/>
      <c r="I2147" s="7"/>
      <c r="J2147" s="18"/>
      <c r="K2147" s="7"/>
      <c r="L2147" s="7"/>
      <c r="M2147" s="7"/>
      <c r="N2147" s="7"/>
    </row>
    <row r="2148" spans="1:14" ht="15.6" x14ac:dyDescent="0.3">
      <c r="A2148" s="7"/>
      <c r="B2148" s="18"/>
      <c r="C2148" s="18"/>
      <c r="D2148" s="7"/>
      <c r="E2148" s="7"/>
      <c r="F2148" s="10"/>
      <c r="G2148" s="18"/>
      <c r="H2148" s="18"/>
      <c r="I2148" s="7"/>
      <c r="J2148" s="18"/>
      <c r="K2148" s="7"/>
      <c r="L2148" s="7"/>
      <c r="M2148" s="7"/>
      <c r="N2148" s="7"/>
    </row>
    <row r="2149" spans="1:14" ht="15.6" x14ac:dyDescent="0.3">
      <c r="A2149" s="7"/>
      <c r="B2149" s="18"/>
      <c r="C2149" s="18"/>
      <c r="D2149" s="7"/>
      <c r="E2149" s="7"/>
      <c r="F2149" s="10"/>
      <c r="G2149" s="18"/>
      <c r="H2149" s="18"/>
      <c r="I2149" s="7"/>
      <c r="J2149" s="18"/>
      <c r="K2149" s="7"/>
      <c r="L2149" s="7"/>
      <c r="M2149" s="7"/>
      <c r="N2149" s="7"/>
    </row>
    <row r="2150" spans="1:14" ht="15.6" x14ac:dyDescent="0.3">
      <c r="A2150" s="7"/>
      <c r="B2150" s="18"/>
      <c r="C2150" s="18"/>
      <c r="D2150" s="7"/>
      <c r="E2150" s="7"/>
      <c r="F2150" s="10"/>
      <c r="G2150" s="18"/>
      <c r="H2150" s="18"/>
      <c r="I2150" s="7"/>
      <c r="J2150" s="18"/>
      <c r="K2150" s="7"/>
      <c r="L2150" s="7"/>
      <c r="M2150" s="7"/>
      <c r="N2150" s="7"/>
    </row>
    <row r="2151" spans="1:14" ht="15.6" x14ac:dyDescent="0.3">
      <c r="A2151" s="7"/>
      <c r="B2151" s="18"/>
      <c r="C2151" s="18"/>
      <c r="D2151" s="7"/>
      <c r="E2151" s="7"/>
      <c r="F2151" s="10"/>
      <c r="G2151" s="18"/>
      <c r="H2151" s="18"/>
      <c r="I2151" s="7"/>
      <c r="J2151" s="18"/>
      <c r="K2151" s="7"/>
      <c r="L2151" s="7"/>
      <c r="M2151" s="7"/>
      <c r="N2151" s="7"/>
    </row>
    <row r="2152" spans="1:14" ht="15.6" x14ac:dyDescent="0.3">
      <c r="A2152" s="7"/>
      <c r="B2152" s="18"/>
      <c r="C2152" s="18"/>
      <c r="D2152" s="7"/>
      <c r="E2152" s="7"/>
      <c r="F2152" s="10"/>
      <c r="G2152" s="18"/>
      <c r="H2152" s="18"/>
      <c r="I2152" s="7"/>
      <c r="J2152" s="18"/>
      <c r="K2152" s="7"/>
      <c r="L2152" s="7"/>
      <c r="M2152" s="7"/>
      <c r="N2152" s="7"/>
    </row>
    <row r="2153" spans="1:14" ht="15.6" x14ac:dyDescent="0.3">
      <c r="A2153" s="7"/>
      <c r="B2153" s="18"/>
      <c r="C2153" s="18"/>
      <c r="D2153" s="7"/>
      <c r="E2153" s="7"/>
      <c r="F2153" s="10"/>
      <c r="G2153" s="18"/>
      <c r="H2153" s="18"/>
      <c r="I2153" s="7"/>
      <c r="J2153" s="18"/>
      <c r="K2153" s="7"/>
      <c r="L2153" s="7"/>
      <c r="M2153" s="7"/>
      <c r="N2153" s="7"/>
    </row>
    <row r="2154" spans="1:14" ht="15.6" x14ac:dyDescent="0.3">
      <c r="A2154" s="7"/>
      <c r="B2154" s="18"/>
      <c r="C2154" s="18"/>
      <c r="D2154" s="7"/>
      <c r="E2154" s="7"/>
      <c r="F2154" s="10"/>
      <c r="G2154" s="18"/>
      <c r="H2154" s="18"/>
      <c r="I2154" s="7"/>
      <c r="J2154" s="18"/>
      <c r="K2154" s="7"/>
      <c r="L2154" s="7"/>
      <c r="M2154" s="7"/>
      <c r="N2154" s="7"/>
    </row>
    <row r="2155" spans="1:14" ht="15.6" x14ac:dyDescent="0.3">
      <c r="A2155" s="7"/>
      <c r="B2155" s="18"/>
      <c r="C2155" s="18"/>
      <c r="D2155" s="7"/>
      <c r="E2155" s="7"/>
      <c r="F2155" s="10"/>
      <c r="G2155" s="18"/>
      <c r="H2155" s="18"/>
      <c r="I2155" s="7"/>
      <c r="J2155" s="18"/>
      <c r="K2155" s="7"/>
      <c r="L2155" s="7"/>
      <c r="M2155" s="7"/>
      <c r="N2155" s="7"/>
    </row>
    <row r="2156" spans="1:14" ht="15.6" x14ac:dyDescent="0.3">
      <c r="A2156" s="7"/>
      <c r="B2156" s="18"/>
      <c r="C2156" s="18"/>
      <c r="D2156" s="7"/>
      <c r="E2156" s="7"/>
      <c r="F2156" s="10"/>
      <c r="G2156" s="18"/>
      <c r="H2156" s="18"/>
      <c r="I2156" s="7"/>
      <c r="J2156" s="18"/>
      <c r="K2156" s="7"/>
      <c r="L2156" s="7"/>
      <c r="M2156" s="7"/>
      <c r="N2156" s="7"/>
    </row>
    <row r="2157" spans="1:14" ht="15.6" x14ac:dyDescent="0.3">
      <c r="A2157" s="7"/>
      <c r="B2157" s="18"/>
      <c r="C2157" s="18"/>
      <c r="D2157" s="7"/>
      <c r="E2157" s="7"/>
      <c r="F2157" s="10"/>
      <c r="G2157" s="18"/>
      <c r="H2157" s="18"/>
      <c r="I2157" s="7"/>
      <c r="J2157" s="18"/>
      <c r="K2157" s="7"/>
      <c r="L2157" s="7"/>
      <c r="M2157" s="7"/>
      <c r="N2157" s="7"/>
    </row>
    <row r="2158" spans="1:14" ht="15.6" x14ac:dyDescent="0.3">
      <c r="A2158" s="7"/>
      <c r="B2158" s="18"/>
      <c r="C2158" s="18"/>
      <c r="D2158" s="7"/>
      <c r="E2158" s="7"/>
      <c r="F2158" s="10"/>
      <c r="G2158" s="18"/>
      <c r="H2158" s="18"/>
      <c r="I2158" s="7"/>
      <c r="J2158" s="18"/>
      <c r="K2158" s="7"/>
      <c r="L2158" s="7"/>
      <c r="M2158" s="7"/>
      <c r="N2158" s="7"/>
    </row>
    <row r="2159" spans="1:14" ht="15.6" x14ac:dyDescent="0.3">
      <c r="A2159" s="7"/>
      <c r="B2159" s="18"/>
      <c r="C2159" s="18"/>
      <c r="D2159" s="7"/>
      <c r="E2159" s="7"/>
      <c r="F2159" s="10"/>
      <c r="G2159" s="18"/>
      <c r="H2159" s="18"/>
      <c r="I2159" s="7"/>
      <c r="J2159" s="18"/>
      <c r="K2159" s="7"/>
      <c r="L2159" s="7"/>
      <c r="M2159" s="7"/>
      <c r="N2159" s="7"/>
    </row>
    <row r="2160" spans="1:14" ht="15.6" x14ac:dyDescent="0.3">
      <c r="A2160" s="7"/>
      <c r="B2160" s="18"/>
      <c r="C2160" s="18"/>
      <c r="D2160" s="7"/>
      <c r="E2160" s="7"/>
      <c r="F2160" s="10"/>
      <c r="G2160" s="18"/>
      <c r="H2160" s="18"/>
      <c r="I2160" s="7"/>
      <c r="J2160" s="18"/>
      <c r="K2160" s="7"/>
      <c r="L2160" s="7"/>
      <c r="M2160" s="7"/>
      <c r="N2160" s="7"/>
    </row>
    <row r="2161" spans="1:14" ht="15.6" x14ac:dyDescent="0.3">
      <c r="A2161" s="7"/>
      <c r="B2161" s="18"/>
      <c r="C2161" s="18"/>
      <c r="D2161" s="7"/>
      <c r="E2161" s="7"/>
      <c r="F2161" s="10"/>
      <c r="G2161" s="18"/>
      <c r="H2161" s="18"/>
      <c r="I2161" s="7"/>
      <c r="J2161" s="18"/>
      <c r="K2161" s="7"/>
      <c r="L2161" s="7"/>
      <c r="M2161" s="7"/>
      <c r="N2161" s="7"/>
    </row>
    <row r="2162" spans="1:14" ht="15.6" x14ac:dyDescent="0.3">
      <c r="A2162" s="7"/>
      <c r="B2162" s="18"/>
      <c r="C2162" s="18"/>
      <c r="D2162" s="7"/>
      <c r="E2162" s="7"/>
      <c r="F2162" s="10"/>
      <c r="G2162" s="18"/>
      <c r="H2162" s="18"/>
      <c r="I2162" s="7"/>
      <c r="J2162" s="18"/>
      <c r="K2162" s="7"/>
      <c r="L2162" s="7"/>
      <c r="M2162" s="7"/>
      <c r="N2162" s="7"/>
    </row>
    <row r="2163" spans="1:14" ht="15.6" x14ac:dyDescent="0.3">
      <c r="A2163" s="7"/>
      <c r="B2163" s="18"/>
      <c r="C2163" s="18"/>
      <c r="D2163" s="7"/>
      <c r="E2163" s="7"/>
      <c r="F2163" s="10"/>
      <c r="G2163" s="18"/>
      <c r="H2163" s="18"/>
      <c r="I2163" s="7"/>
      <c r="J2163" s="18"/>
      <c r="K2163" s="7"/>
      <c r="L2163" s="7"/>
      <c r="M2163" s="7"/>
      <c r="N2163" s="7"/>
    </row>
    <row r="2164" spans="1:14" ht="15.6" x14ac:dyDescent="0.3">
      <c r="A2164" s="7"/>
      <c r="B2164" s="18"/>
      <c r="C2164" s="18"/>
      <c r="D2164" s="7"/>
      <c r="E2164" s="7"/>
      <c r="F2164" s="10"/>
      <c r="G2164" s="18"/>
      <c r="H2164" s="18"/>
      <c r="I2164" s="7"/>
      <c r="J2164" s="18"/>
      <c r="K2164" s="7"/>
      <c r="L2164" s="7"/>
      <c r="M2164" s="7"/>
      <c r="N2164" s="7"/>
    </row>
    <row r="2165" spans="1:14" ht="15.6" x14ac:dyDescent="0.3">
      <c r="A2165" s="7"/>
      <c r="B2165" s="18"/>
      <c r="C2165" s="18"/>
      <c r="D2165" s="7"/>
      <c r="E2165" s="7"/>
      <c r="F2165" s="10"/>
      <c r="G2165" s="18"/>
      <c r="H2165" s="18"/>
      <c r="I2165" s="7"/>
      <c r="J2165" s="18"/>
      <c r="K2165" s="7"/>
      <c r="L2165" s="7"/>
      <c r="M2165" s="7"/>
      <c r="N2165" s="7"/>
    </row>
    <row r="2166" spans="1:14" ht="15.6" x14ac:dyDescent="0.3">
      <c r="A2166" s="7"/>
      <c r="B2166" s="18"/>
      <c r="C2166" s="18"/>
      <c r="D2166" s="7"/>
      <c r="E2166" s="7"/>
      <c r="F2166" s="10"/>
      <c r="G2166" s="18"/>
      <c r="H2166" s="18"/>
      <c r="I2166" s="7"/>
      <c r="J2166" s="18"/>
      <c r="K2166" s="7"/>
      <c r="L2166" s="7"/>
      <c r="M2166" s="7"/>
      <c r="N2166" s="7"/>
    </row>
    <row r="2167" spans="1:14" ht="15.6" x14ac:dyDescent="0.3">
      <c r="A2167" s="7"/>
      <c r="B2167" s="18"/>
      <c r="C2167" s="18"/>
      <c r="D2167" s="7"/>
      <c r="E2167" s="7"/>
      <c r="F2167" s="10"/>
      <c r="G2167" s="18"/>
      <c r="H2167" s="18"/>
      <c r="I2167" s="7"/>
      <c r="J2167" s="18"/>
      <c r="K2167" s="7"/>
      <c r="L2167" s="7"/>
      <c r="M2167" s="7"/>
      <c r="N2167" s="7"/>
    </row>
    <row r="2168" spans="1:14" ht="15.6" x14ac:dyDescent="0.3">
      <c r="A2168" s="7"/>
      <c r="B2168" s="18"/>
      <c r="C2168" s="18"/>
      <c r="D2168" s="7"/>
      <c r="E2168" s="7"/>
      <c r="F2168" s="10"/>
      <c r="G2168" s="18"/>
      <c r="H2168" s="18"/>
      <c r="I2168" s="7"/>
      <c r="J2168" s="18"/>
      <c r="K2168" s="7"/>
      <c r="L2168" s="7"/>
      <c r="M2168" s="7"/>
      <c r="N2168" s="7"/>
    </row>
    <row r="2169" spans="1:14" ht="15.6" x14ac:dyDescent="0.3">
      <c r="A2169" s="7"/>
      <c r="B2169" s="18"/>
      <c r="C2169" s="18"/>
      <c r="D2169" s="7"/>
      <c r="E2169" s="7"/>
      <c r="F2169" s="10"/>
      <c r="G2169" s="18"/>
      <c r="H2169" s="18"/>
      <c r="I2169" s="7"/>
      <c r="J2169" s="18"/>
      <c r="K2169" s="7"/>
      <c r="L2169" s="7"/>
      <c r="M2169" s="7"/>
      <c r="N2169" s="7"/>
    </row>
    <row r="2170" spans="1:14" ht="15.6" x14ac:dyDescent="0.3">
      <c r="A2170" s="7"/>
      <c r="B2170" s="18"/>
      <c r="C2170" s="18"/>
      <c r="D2170" s="7"/>
      <c r="E2170" s="7"/>
      <c r="F2170" s="10"/>
      <c r="G2170" s="18"/>
      <c r="H2170" s="18"/>
      <c r="I2170" s="7"/>
      <c r="J2170" s="18"/>
      <c r="K2170" s="7"/>
      <c r="L2170" s="7"/>
      <c r="M2170" s="7"/>
      <c r="N2170" s="7"/>
    </row>
    <row r="2171" spans="1:14" ht="15.6" x14ac:dyDescent="0.3">
      <c r="A2171" s="7"/>
      <c r="B2171" s="18"/>
      <c r="C2171" s="18"/>
      <c r="D2171" s="7"/>
      <c r="E2171" s="7"/>
      <c r="F2171" s="10"/>
      <c r="G2171" s="18"/>
      <c r="H2171" s="18"/>
      <c r="I2171" s="7"/>
      <c r="J2171" s="18"/>
      <c r="K2171" s="7"/>
      <c r="L2171" s="7"/>
      <c r="M2171" s="7"/>
      <c r="N2171" s="7"/>
    </row>
    <row r="2172" spans="1:14" ht="15.6" x14ac:dyDescent="0.3">
      <c r="A2172" s="7"/>
      <c r="B2172" s="18"/>
      <c r="C2172" s="18"/>
      <c r="D2172" s="7"/>
      <c r="E2172" s="7"/>
      <c r="F2172" s="10"/>
      <c r="G2172" s="18"/>
      <c r="H2172" s="18"/>
      <c r="I2172" s="7"/>
      <c r="J2172" s="18"/>
      <c r="K2172" s="7"/>
      <c r="L2172" s="7"/>
      <c r="M2172" s="7"/>
      <c r="N2172" s="7"/>
    </row>
    <row r="2173" spans="1:14" ht="15.6" x14ac:dyDescent="0.3">
      <c r="A2173" s="7"/>
      <c r="B2173" s="18"/>
      <c r="C2173" s="18"/>
      <c r="D2173" s="7"/>
      <c r="E2173" s="7"/>
      <c r="F2173" s="10"/>
      <c r="G2173" s="18"/>
      <c r="H2173" s="18"/>
      <c r="I2173" s="7"/>
      <c r="J2173" s="18"/>
      <c r="K2173" s="7"/>
      <c r="L2173" s="7"/>
      <c r="M2173" s="7"/>
      <c r="N2173" s="7"/>
    </row>
    <row r="2174" spans="1:14" ht="15.6" x14ac:dyDescent="0.3">
      <c r="A2174" s="7"/>
      <c r="B2174" s="18"/>
      <c r="C2174" s="18"/>
      <c r="D2174" s="7"/>
      <c r="E2174" s="7"/>
      <c r="F2174" s="10"/>
      <c r="G2174" s="18"/>
      <c r="H2174" s="18"/>
      <c r="I2174" s="7"/>
      <c r="J2174" s="18"/>
      <c r="K2174" s="7"/>
      <c r="L2174" s="7"/>
      <c r="M2174" s="7"/>
      <c r="N2174" s="7"/>
    </row>
    <row r="2175" spans="1:14" ht="15.6" x14ac:dyDescent="0.3">
      <c r="A2175" s="7"/>
      <c r="B2175" s="18"/>
      <c r="C2175" s="18"/>
      <c r="D2175" s="7"/>
      <c r="E2175" s="7"/>
      <c r="F2175" s="10"/>
      <c r="G2175" s="18"/>
      <c r="H2175" s="18"/>
      <c r="I2175" s="7"/>
      <c r="J2175" s="18"/>
      <c r="K2175" s="7"/>
      <c r="L2175" s="7"/>
      <c r="M2175" s="7"/>
      <c r="N2175" s="7"/>
    </row>
    <row r="2176" spans="1:14" ht="15.6" x14ac:dyDescent="0.3">
      <c r="A2176" s="7"/>
      <c r="B2176" s="18"/>
      <c r="C2176" s="18"/>
      <c r="D2176" s="7"/>
      <c r="E2176" s="7"/>
      <c r="F2176" s="10"/>
      <c r="G2176" s="18"/>
      <c r="H2176" s="18"/>
      <c r="I2176" s="7"/>
      <c r="J2176" s="18"/>
      <c r="K2176" s="7"/>
      <c r="L2176" s="7"/>
      <c r="M2176" s="7"/>
      <c r="N2176" s="7"/>
    </row>
    <row r="2177" spans="1:14" ht="15.6" x14ac:dyDescent="0.3">
      <c r="A2177" s="7"/>
      <c r="B2177" s="18"/>
      <c r="C2177" s="18"/>
      <c r="D2177" s="7"/>
      <c r="E2177" s="7"/>
      <c r="F2177" s="10"/>
      <c r="G2177" s="18"/>
      <c r="H2177" s="18"/>
      <c r="I2177" s="7"/>
      <c r="J2177" s="18"/>
      <c r="K2177" s="7"/>
      <c r="L2177" s="7"/>
      <c r="M2177" s="7"/>
      <c r="N2177" s="7"/>
    </row>
    <row r="2178" spans="1:14" ht="15.6" x14ac:dyDescent="0.3">
      <c r="A2178" s="7"/>
      <c r="B2178" s="18"/>
      <c r="C2178" s="18"/>
      <c r="D2178" s="7"/>
      <c r="E2178" s="7"/>
      <c r="F2178" s="10"/>
      <c r="G2178" s="18"/>
      <c r="H2178" s="18"/>
      <c r="I2178" s="7"/>
      <c r="J2178" s="18"/>
      <c r="K2178" s="7"/>
      <c r="L2178" s="7"/>
      <c r="M2178" s="7"/>
      <c r="N2178" s="7"/>
    </row>
    <row r="2179" spans="1:14" ht="15.6" x14ac:dyDescent="0.3">
      <c r="A2179" s="7"/>
      <c r="B2179" s="18"/>
      <c r="C2179" s="18"/>
      <c r="D2179" s="7"/>
      <c r="E2179" s="7"/>
      <c r="F2179" s="10"/>
      <c r="G2179" s="18"/>
      <c r="H2179" s="18"/>
      <c r="I2179" s="7"/>
      <c r="J2179" s="18"/>
      <c r="K2179" s="7"/>
      <c r="L2179" s="7"/>
      <c r="M2179" s="7"/>
      <c r="N2179" s="7"/>
    </row>
    <row r="2180" spans="1:14" ht="15.6" x14ac:dyDescent="0.3">
      <c r="A2180" s="7"/>
      <c r="B2180" s="18"/>
      <c r="C2180" s="18"/>
      <c r="D2180" s="7"/>
      <c r="E2180" s="7"/>
      <c r="F2180" s="10"/>
      <c r="G2180" s="18"/>
      <c r="H2180" s="18"/>
      <c r="I2180" s="7"/>
      <c r="J2180" s="18"/>
      <c r="K2180" s="7"/>
      <c r="L2180" s="7"/>
      <c r="M2180" s="7"/>
      <c r="N2180" s="7"/>
    </row>
    <row r="2181" spans="1:14" ht="15.6" x14ac:dyDescent="0.3">
      <c r="A2181" s="7"/>
      <c r="B2181" s="18"/>
      <c r="C2181" s="18"/>
      <c r="D2181" s="7"/>
      <c r="E2181" s="7"/>
      <c r="F2181" s="10"/>
      <c r="G2181" s="18"/>
      <c r="H2181" s="18"/>
      <c r="I2181" s="7"/>
      <c r="J2181" s="18"/>
      <c r="K2181" s="7"/>
      <c r="L2181" s="7"/>
      <c r="M2181" s="7"/>
      <c r="N2181" s="7"/>
    </row>
    <row r="2182" spans="1:14" ht="15.6" x14ac:dyDescent="0.3">
      <c r="A2182" s="7"/>
      <c r="B2182" s="18"/>
      <c r="C2182" s="18"/>
      <c r="D2182" s="7"/>
      <c r="E2182" s="7"/>
      <c r="F2182" s="10"/>
      <c r="G2182" s="18"/>
      <c r="H2182" s="18"/>
      <c r="I2182" s="7"/>
      <c r="J2182" s="18"/>
      <c r="K2182" s="7"/>
      <c r="L2182" s="7"/>
      <c r="M2182" s="7"/>
      <c r="N2182" s="7"/>
    </row>
    <row r="2183" spans="1:14" ht="15.6" x14ac:dyDescent="0.3">
      <c r="A2183" s="7"/>
      <c r="B2183" s="18"/>
      <c r="C2183" s="18"/>
      <c r="D2183" s="7"/>
      <c r="E2183" s="7"/>
      <c r="F2183" s="10"/>
      <c r="G2183" s="18"/>
      <c r="H2183" s="18"/>
      <c r="I2183" s="7"/>
      <c r="J2183" s="18"/>
      <c r="K2183" s="7"/>
      <c r="L2183" s="7"/>
      <c r="M2183" s="7"/>
      <c r="N2183" s="7"/>
    </row>
    <row r="2184" spans="1:14" ht="15.6" x14ac:dyDescent="0.3">
      <c r="A2184" s="7"/>
      <c r="B2184" s="18"/>
      <c r="C2184" s="18"/>
      <c r="D2184" s="7"/>
      <c r="E2184" s="7"/>
      <c r="F2184" s="10"/>
      <c r="G2184" s="18"/>
      <c r="H2184" s="18"/>
      <c r="I2184" s="7"/>
      <c r="J2184" s="18"/>
      <c r="K2184" s="7"/>
      <c r="L2184" s="7"/>
      <c r="M2184" s="7"/>
      <c r="N2184" s="7"/>
    </row>
    <row r="2185" spans="1:14" ht="15.6" x14ac:dyDescent="0.3">
      <c r="A2185" s="7"/>
      <c r="B2185" s="18"/>
      <c r="C2185" s="18"/>
      <c r="D2185" s="7"/>
      <c r="E2185" s="7"/>
      <c r="F2185" s="10"/>
      <c r="G2185" s="18"/>
      <c r="H2185" s="18"/>
      <c r="I2185" s="7"/>
      <c r="J2185" s="18"/>
      <c r="K2185" s="7"/>
      <c r="L2185" s="7"/>
      <c r="M2185" s="7"/>
      <c r="N2185" s="7"/>
    </row>
    <row r="2186" spans="1:14" ht="15.6" x14ac:dyDescent="0.3">
      <c r="A2186" s="7"/>
      <c r="B2186" s="18"/>
      <c r="C2186" s="18"/>
      <c r="D2186" s="7"/>
      <c r="E2186" s="7"/>
      <c r="F2186" s="10"/>
      <c r="G2186" s="18"/>
      <c r="H2186" s="18"/>
      <c r="I2186" s="7"/>
      <c r="J2186" s="18"/>
      <c r="K2186" s="7"/>
      <c r="L2186" s="7"/>
      <c r="M2186" s="7"/>
      <c r="N2186" s="7"/>
    </row>
    <row r="2187" spans="1:14" ht="15.6" x14ac:dyDescent="0.3">
      <c r="A2187" s="7"/>
      <c r="B2187" s="18"/>
      <c r="C2187" s="18"/>
      <c r="D2187" s="7"/>
      <c r="E2187" s="7"/>
      <c r="F2187" s="10"/>
      <c r="G2187" s="18"/>
      <c r="H2187" s="18"/>
      <c r="I2187" s="7"/>
      <c r="J2187" s="18"/>
      <c r="K2187" s="7"/>
      <c r="L2187" s="7"/>
      <c r="M2187" s="7"/>
      <c r="N2187" s="7"/>
    </row>
    <row r="2188" spans="1:14" ht="15.6" x14ac:dyDescent="0.3">
      <c r="A2188" s="7"/>
      <c r="B2188" s="18"/>
      <c r="C2188" s="18"/>
      <c r="D2188" s="7"/>
      <c r="E2188" s="7"/>
      <c r="F2188" s="10"/>
      <c r="G2188" s="18"/>
      <c r="H2188" s="18"/>
      <c r="I2188" s="7"/>
      <c r="J2188" s="18"/>
      <c r="K2188" s="7"/>
      <c r="L2188" s="7"/>
      <c r="M2188" s="7"/>
      <c r="N2188" s="7"/>
    </row>
    <row r="2189" spans="1:14" ht="15.6" x14ac:dyDescent="0.3">
      <c r="A2189" s="7"/>
      <c r="B2189" s="18"/>
      <c r="C2189" s="18"/>
      <c r="D2189" s="7"/>
      <c r="E2189" s="7"/>
      <c r="F2189" s="10"/>
      <c r="G2189" s="18"/>
      <c r="H2189" s="18"/>
      <c r="I2189" s="7"/>
      <c r="J2189" s="18"/>
      <c r="K2189" s="7"/>
      <c r="L2189" s="7"/>
      <c r="M2189" s="7"/>
      <c r="N2189" s="7"/>
    </row>
    <row r="2190" spans="1:14" ht="15.6" x14ac:dyDescent="0.3">
      <c r="A2190" s="7"/>
      <c r="B2190" s="7"/>
      <c r="C2190" s="10"/>
      <c r="D2190" s="7"/>
      <c r="E2190" s="7"/>
      <c r="F2190" s="7"/>
    </row>
    <row r="2191" spans="1:14" ht="18.600000000000001" x14ac:dyDescent="0.3">
      <c r="A2191" s="14"/>
      <c r="B2191" s="7"/>
      <c r="C2191" s="10"/>
      <c r="D2191" s="7"/>
      <c r="E2191" s="7"/>
      <c r="F2191" s="7"/>
    </row>
    <row r="2192" spans="1:14" ht="18.600000000000001" x14ac:dyDescent="0.3">
      <c r="A2192" s="14"/>
      <c r="B2192" s="7"/>
      <c r="C2192" s="10"/>
      <c r="D2192" s="7"/>
      <c r="E2192" s="7"/>
      <c r="F2192" s="7"/>
    </row>
    <row r="2193" spans="1:6" ht="18.600000000000001" x14ac:dyDescent="0.3">
      <c r="A2193" s="14"/>
      <c r="B2193" s="7"/>
      <c r="C2193" s="10"/>
      <c r="D2193" s="7"/>
      <c r="E2193" s="7"/>
      <c r="F2193" s="7"/>
    </row>
    <row r="2194" spans="1:6" ht="15.6" x14ac:dyDescent="0.3">
      <c r="A2194" s="7"/>
      <c r="B2194" s="7"/>
      <c r="C2194" s="10"/>
      <c r="D2194" s="7"/>
      <c r="E2194" s="7"/>
      <c r="F2194" s="7"/>
    </row>
    <row r="2195" spans="1:6" ht="15.6" x14ac:dyDescent="0.3">
      <c r="A2195" s="7"/>
      <c r="B2195" s="7"/>
      <c r="C2195" s="10"/>
      <c r="D2195" s="7"/>
      <c r="E2195" s="7"/>
      <c r="F2195" s="7"/>
    </row>
    <row r="2196" spans="1:6" ht="15.6" x14ac:dyDescent="0.3">
      <c r="A2196" s="7"/>
      <c r="B2196" s="7"/>
      <c r="C2196" s="10"/>
      <c r="D2196" s="7"/>
      <c r="E2196" s="7"/>
      <c r="F2196" s="7"/>
    </row>
    <row r="2197" spans="1:6" ht="15.6" x14ac:dyDescent="0.3">
      <c r="A2197" s="7"/>
      <c r="B2197" s="7"/>
      <c r="C2197" s="10"/>
      <c r="D2197" s="7"/>
      <c r="E2197" s="7"/>
      <c r="F2197" s="7"/>
    </row>
    <row r="2198" spans="1:6" ht="15.6" x14ac:dyDescent="0.3">
      <c r="A2198" s="7"/>
      <c r="B2198" s="7"/>
      <c r="C2198" s="10"/>
      <c r="D2198" s="7"/>
      <c r="E2198" s="7"/>
      <c r="F2198" s="7"/>
    </row>
    <row r="2199" spans="1:6" ht="15.6" x14ac:dyDescent="0.3">
      <c r="A2199" s="7"/>
      <c r="B2199" s="7"/>
      <c r="C2199" s="10"/>
      <c r="D2199" s="7"/>
      <c r="E2199" s="7"/>
      <c r="F2199" s="7"/>
    </row>
    <row r="2200" spans="1:6" ht="15.6" x14ac:dyDescent="0.3">
      <c r="A2200" s="7"/>
      <c r="B2200" s="7"/>
      <c r="C2200" s="10"/>
      <c r="D2200" s="7"/>
      <c r="E2200" s="7"/>
      <c r="F2200" s="7"/>
    </row>
    <row r="2201" spans="1:6" ht="15.6" x14ac:dyDescent="0.3">
      <c r="A2201" s="7"/>
      <c r="B2201" s="7"/>
      <c r="C2201" s="10"/>
      <c r="D2201" s="7"/>
      <c r="E2201" s="7"/>
      <c r="F2201" s="7"/>
    </row>
    <row r="2202" spans="1:6" ht="15.6" x14ac:dyDescent="0.3">
      <c r="A2202" s="7"/>
      <c r="B2202" s="7"/>
      <c r="C2202" s="10"/>
      <c r="D2202" s="7"/>
      <c r="E2202" s="7"/>
      <c r="F2202" s="7"/>
    </row>
    <row r="2203" spans="1:6" ht="15.6" x14ac:dyDescent="0.3">
      <c r="A2203" s="7"/>
      <c r="B2203" s="7"/>
      <c r="C2203" s="10"/>
      <c r="D2203" s="7"/>
      <c r="E2203" s="7"/>
      <c r="F2203" s="7"/>
    </row>
    <row r="2204" spans="1:6" ht="15.6" x14ac:dyDescent="0.3">
      <c r="A2204" s="7"/>
      <c r="B2204" s="7"/>
      <c r="C2204" s="10"/>
      <c r="D2204" s="7"/>
      <c r="E2204" s="7"/>
      <c r="F2204" s="7"/>
    </row>
    <row r="2205" spans="1:6" ht="15.6" x14ac:dyDescent="0.3">
      <c r="A2205" s="7"/>
      <c r="B2205" s="7"/>
      <c r="C2205" s="10"/>
      <c r="D2205" s="7"/>
      <c r="E2205" s="7"/>
      <c r="F2205" s="7"/>
    </row>
    <row r="2206" spans="1:6" ht="15.6" x14ac:dyDescent="0.3">
      <c r="A2206" s="7"/>
      <c r="B2206" s="7"/>
      <c r="C2206" s="10"/>
      <c r="D2206" s="7"/>
      <c r="E2206" s="7"/>
      <c r="F2206" s="7"/>
    </row>
    <row r="2207" spans="1:6" ht="15.6" x14ac:dyDescent="0.3">
      <c r="A2207" s="7"/>
      <c r="B2207" s="7"/>
      <c r="C2207" s="10"/>
      <c r="D2207" s="7"/>
      <c r="E2207" s="7"/>
      <c r="F2207" s="7"/>
    </row>
    <row r="2208" spans="1:6" ht="15.6" x14ac:dyDescent="0.3">
      <c r="A2208" s="7"/>
      <c r="B2208" s="7"/>
      <c r="C2208" s="10"/>
      <c r="D2208" s="7"/>
      <c r="E2208" s="7"/>
      <c r="F2208" s="7"/>
    </row>
    <row r="2209" spans="1:6" ht="15.6" x14ac:dyDescent="0.3">
      <c r="A2209" s="7"/>
      <c r="B2209" s="7"/>
      <c r="C2209" s="10"/>
      <c r="D2209" s="7"/>
      <c r="E2209" s="7"/>
      <c r="F2209" s="7"/>
    </row>
    <row r="2210" spans="1:6" ht="15.6" x14ac:dyDescent="0.3">
      <c r="A2210" s="7"/>
      <c r="B2210" s="7"/>
      <c r="C2210" s="10"/>
      <c r="D2210" s="7"/>
      <c r="E2210" s="7"/>
      <c r="F2210" s="7"/>
    </row>
    <row r="2211" spans="1:6" ht="15.6" x14ac:dyDescent="0.3">
      <c r="A2211" s="7"/>
      <c r="B2211" s="7"/>
      <c r="C2211" s="10"/>
      <c r="D2211" s="7"/>
      <c r="E2211" s="7"/>
      <c r="F2211" s="7"/>
    </row>
    <row r="2212" spans="1:6" ht="15.6" x14ac:dyDescent="0.3">
      <c r="A2212" s="7"/>
      <c r="B2212" s="7"/>
      <c r="C2212" s="10"/>
      <c r="D2212" s="7"/>
      <c r="E2212" s="7"/>
      <c r="F2212" s="7"/>
    </row>
    <row r="2213" spans="1:6" ht="15.6" x14ac:dyDescent="0.3">
      <c r="A2213" s="7"/>
      <c r="B2213" s="7"/>
      <c r="C2213" s="10"/>
      <c r="D2213" s="7"/>
      <c r="E2213" s="7"/>
      <c r="F2213" s="7"/>
    </row>
    <row r="2214" spans="1:6" ht="15.6" x14ac:dyDescent="0.3">
      <c r="A2214" s="7"/>
      <c r="B2214" s="7"/>
      <c r="C2214" s="10"/>
      <c r="D2214" s="7"/>
      <c r="E2214" s="7"/>
      <c r="F2214" s="7"/>
    </row>
    <row r="2215" spans="1:6" ht="15.6" x14ac:dyDescent="0.3">
      <c r="A2215" s="7"/>
      <c r="B2215" s="7"/>
      <c r="C2215" s="10"/>
      <c r="D2215" s="7"/>
      <c r="E2215" s="7"/>
      <c r="F2215" s="7"/>
    </row>
    <row r="2216" spans="1:6" ht="15.6" x14ac:dyDescent="0.3">
      <c r="A2216" s="7"/>
      <c r="B2216" s="7"/>
      <c r="C2216" s="10"/>
      <c r="D2216" s="7"/>
      <c r="E2216" s="7"/>
      <c r="F2216" s="7"/>
    </row>
    <row r="2217" spans="1:6" ht="15.6" x14ac:dyDescent="0.3">
      <c r="A2217" s="7"/>
      <c r="B2217" s="7"/>
      <c r="C2217" s="10"/>
      <c r="D2217" s="7"/>
      <c r="E2217" s="7"/>
      <c r="F2217" s="7"/>
    </row>
    <row r="2218" spans="1:6" ht="15.6" x14ac:dyDescent="0.3">
      <c r="A2218" s="7"/>
      <c r="B2218" s="7"/>
      <c r="C2218" s="10"/>
      <c r="D2218" s="7"/>
      <c r="E2218" s="7"/>
      <c r="F2218" s="7"/>
    </row>
    <row r="2219" spans="1:6" ht="15.6" x14ac:dyDescent="0.3">
      <c r="A2219" s="7"/>
      <c r="B2219" s="7"/>
      <c r="C2219" s="10"/>
      <c r="D2219" s="7"/>
      <c r="E2219" s="7"/>
      <c r="F2219" s="7"/>
    </row>
    <row r="2220" spans="1:6" ht="15.6" x14ac:dyDescent="0.3">
      <c r="A2220" s="7"/>
      <c r="B2220" s="7"/>
      <c r="C2220" s="10"/>
      <c r="D2220" s="7"/>
      <c r="E2220" s="7"/>
      <c r="F2220" s="7"/>
    </row>
    <row r="2221" spans="1:6" ht="15.6" x14ac:dyDescent="0.3">
      <c r="A2221" s="7"/>
      <c r="B2221" s="7"/>
      <c r="C2221" s="10"/>
      <c r="D2221" s="7"/>
      <c r="E2221" s="7"/>
      <c r="F2221" s="7"/>
    </row>
    <row r="2222" spans="1:6" ht="15.6" x14ac:dyDescent="0.3">
      <c r="A2222" s="7"/>
      <c r="B2222" s="7"/>
      <c r="C2222" s="10"/>
      <c r="D2222" s="7"/>
      <c r="E2222" s="7"/>
      <c r="F2222" s="7"/>
    </row>
    <row r="2223" spans="1:6" ht="15.6" x14ac:dyDescent="0.3">
      <c r="A2223" s="7"/>
      <c r="B2223" s="7"/>
      <c r="C2223" s="10"/>
      <c r="D2223" s="7"/>
      <c r="E2223" s="7"/>
      <c r="F2223" s="7"/>
    </row>
    <row r="2224" spans="1:6" ht="15.6" x14ac:dyDescent="0.3">
      <c r="A2224" s="7"/>
      <c r="B2224" s="7"/>
      <c r="C2224" s="10"/>
      <c r="D2224" s="7"/>
      <c r="E2224" s="7"/>
      <c r="F2224" s="7"/>
    </row>
    <row r="2225" spans="1:6" ht="15.6" x14ac:dyDescent="0.3">
      <c r="A2225" s="7"/>
      <c r="B2225" s="7"/>
      <c r="C2225" s="10"/>
      <c r="D2225" s="7"/>
      <c r="E2225" s="7"/>
      <c r="F2225" s="7"/>
    </row>
    <row r="2226" spans="1:6" ht="15.6" x14ac:dyDescent="0.3">
      <c r="A2226" s="7"/>
      <c r="B2226" s="7"/>
      <c r="C2226" s="10"/>
      <c r="D2226" s="7"/>
      <c r="E2226" s="7"/>
      <c r="F2226" s="7"/>
    </row>
    <row r="2227" spans="1:6" ht="15.6" x14ac:dyDescent="0.3">
      <c r="A2227" s="7"/>
      <c r="B2227" s="7"/>
      <c r="C2227" s="10"/>
      <c r="D2227" s="7"/>
      <c r="E2227" s="7"/>
      <c r="F2227" s="7"/>
    </row>
    <row r="2228" spans="1:6" ht="15.6" x14ac:dyDescent="0.3">
      <c r="A2228" s="7"/>
      <c r="B2228" s="7"/>
      <c r="C2228" s="10"/>
      <c r="D2228" s="7"/>
      <c r="E2228" s="7"/>
      <c r="F2228" s="7"/>
    </row>
    <row r="2229" spans="1:6" ht="15.6" x14ac:dyDescent="0.3">
      <c r="A2229" s="7"/>
      <c r="B2229" s="7"/>
      <c r="C2229" s="10"/>
      <c r="D2229" s="7"/>
      <c r="E2229" s="7"/>
      <c r="F2229" s="7"/>
    </row>
    <row r="2230" spans="1:6" s="15" customFormat="1" ht="18.600000000000001" x14ac:dyDescent="0.3">
      <c r="A2230" s="14"/>
    </row>
    <row r="2231" spans="1:6" ht="18.600000000000001" x14ac:dyDescent="0.3">
      <c r="A2231" s="14"/>
    </row>
    <row r="2232" spans="1:6" ht="18.600000000000001" x14ac:dyDescent="0.3">
      <c r="A2232" s="14"/>
    </row>
    <row r="2233" spans="1:6" ht="18.600000000000001" x14ac:dyDescent="0.3">
      <c r="A2233" s="14"/>
    </row>
    <row r="2234" spans="1:6" s="7" customFormat="1" ht="18.600000000000001" x14ac:dyDescent="0.3">
      <c r="A2234" s="14"/>
    </row>
  </sheetData>
  <mergeCells count="4">
    <mergeCell ref="A1:XFD1"/>
    <mergeCell ref="A1904:XFD1904"/>
    <mergeCell ref="A1906:XFD1906"/>
    <mergeCell ref="A1907:XFD1907"/>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213F-57E6-4447-AB31-3EB7C6D4F47E}">
  <dimension ref="A1:F20"/>
  <sheetViews>
    <sheetView workbookViewId="0">
      <selection activeCell="H7" sqref="H7"/>
    </sheetView>
  </sheetViews>
  <sheetFormatPr defaultRowHeight="15.6" x14ac:dyDescent="0.3"/>
  <cols>
    <col min="1" max="1" width="23.109375" style="7" customWidth="1"/>
    <col min="2" max="2" width="21.5546875" style="7" customWidth="1"/>
    <col min="3" max="3" width="26.5546875" style="7" customWidth="1"/>
    <col min="4" max="4" width="29.77734375" style="7" customWidth="1"/>
    <col min="5" max="5" width="37.109375" style="7" customWidth="1"/>
    <col min="6" max="6" width="36.6640625" style="7" customWidth="1"/>
    <col min="7" max="16384" width="8.88671875" style="7"/>
  </cols>
  <sheetData>
    <row r="1" spans="1:6" s="66" customFormat="1" x14ac:dyDescent="0.3">
      <c r="A1" s="66" t="s">
        <v>4130</v>
      </c>
    </row>
    <row r="2" spans="1:6" s="17" customFormat="1" ht="46.8" x14ac:dyDescent="0.3">
      <c r="A2" s="17" t="s">
        <v>3531</v>
      </c>
      <c r="B2" s="17" t="s">
        <v>3680</v>
      </c>
      <c r="C2" s="35" t="s">
        <v>3677</v>
      </c>
      <c r="D2" s="17" t="s">
        <v>3678</v>
      </c>
      <c r="E2" s="35" t="s">
        <v>4114</v>
      </c>
      <c r="F2" s="35" t="s">
        <v>4116</v>
      </c>
    </row>
    <row r="3" spans="1:6" x14ac:dyDescent="0.3">
      <c r="A3" s="7" t="s">
        <v>3532</v>
      </c>
      <c r="B3" s="7" t="s">
        <v>3683</v>
      </c>
      <c r="C3" s="7">
        <v>1224</v>
      </c>
      <c r="D3" s="7">
        <v>90</v>
      </c>
      <c r="E3" s="7">
        <v>34</v>
      </c>
      <c r="F3" s="7">
        <v>59</v>
      </c>
    </row>
    <row r="4" spans="1:6" ht="18.600000000000001" x14ac:dyDescent="0.3">
      <c r="A4" s="7" t="s">
        <v>4121</v>
      </c>
      <c r="B4" s="7" t="s">
        <v>3681</v>
      </c>
      <c r="C4" s="7">
        <v>39</v>
      </c>
      <c r="D4" s="7">
        <v>39</v>
      </c>
      <c r="E4" s="7">
        <v>67</v>
      </c>
      <c r="F4" s="7">
        <v>67</v>
      </c>
    </row>
    <row r="5" spans="1:6" ht="18.600000000000001" x14ac:dyDescent="0.3">
      <c r="A5" s="7" t="s">
        <v>4119</v>
      </c>
      <c r="B5" s="7" t="s">
        <v>3682</v>
      </c>
      <c r="C5" s="7">
        <v>20</v>
      </c>
      <c r="D5" s="7">
        <v>4</v>
      </c>
      <c r="E5" s="7">
        <v>95</v>
      </c>
      <c r="F5" s="7">
        <v>100</v>
      </c>
    </row>
    <row r="6" spans="1:6" ht="18.600000000000001" x14ac:dyDescent="0.3">
      <c r="A6" s="7" t="s">
        <v>4122</v>
      </c>
      <c r="B6" s="7" t="s">
        <v>3683</v>
      </c>
      <c r="C6" s="7">
        <v>83</v>
      </c>
      <c r="D6" s="7">
        <v>83</v>
      </c>
      <c r="E6" s="7">
        <v>39</v>
      </c>
      <c r="F6" s="7">
        <v>39</v>
      </c>
    </row>
    <row r="7" spans="1:6" ht="18.600000000000001" x14ac:dyDescent="0.3">
      <c r="A7" s="7" t="s">
        <v>4120</v>
      </c>
      <c r="B7" s="7" t="s">
        <v>3683</v>
      </c>
      <c r="C7" s="7">
        <v>19</v>
      </c>
      <c r="D7" s="7">
        <v>16</v>
      </c>
      <c r="E7" s="7">
        <v>88</v>
      </c>
      <c r="F7" s="7">
        <v>84</v>
      </c>
    </row>
    <row r="8" spans="1:6" ht="18.600000000000001" x14ac:dyDescent="0.3">
      <c r="A8" s="7" t="s">
        <v>4124</v>
      </c>
      <c r="B8" s="7" t="s">
        <v>3683</v>
      </c>
      <c r="C8" s="7">
        <v>18</v>
      </c>
      <c r="D8" s="7">
        <v>9</v>
      </c>
      <c r="E8" s="7">
        <v>44</v>
      </c>
      <c r="F8" s="7">
        <v>44</v>
      </c>
    </row>
    <row r="9" spans="1:6" ht="18.600000000000001" x14ac:dyDescent="0.3">
      <c r="A9" s="7" t="s">
        <v>4123</v>
      </c>
      <c r="B9" s="7" t="s">
        <v>3684</v>
      </c>
      <c r="C9" s="7">
        <v>32</v>
      </c>
      <c r="D9" s="7">
        <v>32</v>
      </c>
      <c r="E9" s="7">
        <v>88</v>
      </c>
      <c r="F9" s="7">
        <v>88</v>
      </c>
    </row>
    <row r="11" spans="1:6" s="68" customFormat="1" ht="17.399999999999999" customHeight="1" x14ac:dyDescent="0.3">
      <c r="A11" s="68" t="s">
        <v>4115</v>
      </c>
    </row>
    <row r="12" spans="1:6" s="65" customFormat="1" ht="17.399999999999999" customHeight="1" x14ac:dyDescent="0.3">
      <c r="A12" s="65" t="s">
        <v>4117</v>
      </c>
    </row>
    <row r="13" spans="1:6" s="65" customFormat="1" ht="31.2" customHeight="1" x14ac:dyDescent="0.3">
      <c r="A13" s="65" t="s">
        <v>4118</v>
      </c>
    </row>
    <row r="14" spans="1:6" s="65" customFormat="1" ht="31.2" customHeight="1" x14ac:dyDescent="0.3">
      <c r="A14" s="65" t="s">
        <v>4125</v>
      </c>
    </row>
    <row r="15" spans="1:6" s="65" customFormat="1" ht="46.2" customHeight="1" x14ac:dyDescent="0.3">
      <c r="A15" s="65" t="s">
        <v>4126</v>
      </c>
    </row>
    <row r="16" spans="1:6" ht="18.600000000000001" x14ac:dyDescent="0.3">
      <c r="A16" s="14" t="s">
        <v>4127</v>
      </c>
    </row>
    <row r="17" spans="1:1" ht="18.600000000000001" x14ac:dyDescent="0.3">
      <c r="A17" s="14" t="s">
        <v>4128</v>
      </c>
    </row>
    <row r="18" spans="1:1" ht="18.600000000000001" x14ac:dyDescent="0.3">
      <c r="A18" s="14" t="s">
        <v>4129</v>
      </c>
    </row>
    <row r="19" spans="1:1" s="65" customFormat="1" ht="18.600000000000001" x14ac:dyDescent="0.3">
      <c r="A19" s="65" t="s">
        <v>4132</v>
      </c>
    </row>
    <row r="20" spans="1:1" ht="18.600000000000001" x14ac:dyDescent="0.3">
      <c r="A20" s="14" t="s">
        <v>4131</v>
      </c>
    </row>
  </sheetData>
  <mergeCells count="7">
    <mergeCell ref="A19:XFD19"/>
    <mergeCell ref="A1:XFD1"/>
    <mergeCell ref="A13:XFD13"/>
    <mergeCell ref="A14:XFD14"/>
    <mergeCell ref="A15:XFD15"/>
    <mergeCell ref="A11:XFD11"/>
    <mergeCell ref="A12:XFD1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887FD-49DE-4109-B229-25F04AA212DA}">
  <dimension ref="A1:Q233"/>
  <sheetViews>
    <sheetView workbookViewId="0">
      <selection activeCell="F24" sqref="F24"/>
    </sheetView>
  </sheetViews>
  <sheetFormatPr defaultRowHeight="15.6" x14ac:dyDescent="0.3"/>
  <cols>
    <col min="1" max="1" width="17.77734375" style="7" customWidth="1"/>
    <col min="2" max="2" width="23" style="7" customWidth="1"/>
    <col min="3" max="5" width="23.109375" style="7" customWidth="1"/>
    <col min="6" max="6" width="19.77734375" style="7" customWidth="1"/>
    <col min="7" max="7" width="21.5546875" style="7" customWidth="1"/>
    <col min="8" max="8" width="27.88671875" style="7" customWidth="1"/>
    <col min="9" max="9" width="28.88671875" style="7" customWidth="1"/>
    <col min="10" max="10" width="24" style="18" customWidth="1"/>
    <col min="11" max="11" width="25" style="18" customWidth="1"/>
    <col min="12" max="12" width="23.6640625" style="7" customWidth="1"/>
    <col min="13" max="13" width="24.5546875" style="7" customWidth="1"/>
    <col min="14" max="14" width="23.6640625" style="7" customWidth="1"/>
    <col min="15" max="15" width="24.5546875" style="7" customWidth="1"/>
    <col min="16" max="16" width="21.5546875" style="7" customWidth="1"/>
    <col min="17" max="17" width="22.5546875" style="7" customWidth="1"/>
    <col min="18" max="16384" width="8.88671875" style="7"/>
  </cols>
  <sheetData>
    <row r="1" spans="1:17" s="68" customFormat="1" ht="31.8" customHeight="1" x14ac:dyDescent="0.3">
      <c r="A1" s="68" t="s">
        <v>4085</v>
      </c>
    </row>
    <row r="2" spans="1:17" s="17" customFormat="1" ht="18" x14ac:dyDescent="0.3">
      <c r="A2" s="41" t="s">
        <v>30</v>
      </c>
      <c r="B2" s="41" t="s">
        <v>4079</v>
      </c>
      <c r="C2" s="41" t="s">
        <v>4080</v>
      </c>
      <c r="D2" s="41" t="s">
        <v>4081</v>
      </c>
      <c r="E2" s="41" t="s">
        <v>4082</v>
      </c>
      <c r="F2" s="41" t="s">
        <v>3679</v>
      </c>
      <c r="G2" s="41" t="s">
        <v>4078</v>
      </c>
      <c r="H2" s="41" t="s">
        <v>3686</v>
      </c>
      <c r="I2" s="41" t="s">
        <v>3687</v>
      </c>
      <c r="J2" s="44" t="s">
        <v>3696</v>
      </c>
      <c r="K2" s="44" t="s">
        <v>3697</v>
      </c>
      <c r="L2" s="41" t="s">
        <v>3729</v>
      </c>
      <c r="M2" s="41" t="s">
        <v>3730</v>
      </c>
      <c r="N2" s="41" t="s">
        <v>3739</v>
      </c>
      <c r="O2" s="41" t="s">
        <v>3740</v>
      </c>
      <c r="P2" s="41" t="s">
        <v>3741</v>
      </c>
      <c r="Q2" s="41" t="s">
        <v>3742</v>
      </c>
    </row>
    <row r="3" spans="1:17" s="17" customFormat="1" x14ac:dyDescent="0.3">
      <c r="A3" s="40" t="s">
        <v>3698</v>
      </c>
      <c r="J3" s="43">
        <v>6.7055311588000007E-3</v>
      </c>
      <c r="K3" s="43">
        <v>0.27300000000000002</v>
      </c>
    </row>
    <row r="4" spans="1:17" ht="18.600000000000001" x14ac:dyDescent="0.3">
      <c r="A4" s="7" t="s">
        <v>1729</v>
      </c>
      <c r="B4" s="7" t="s">
        <v>4076</v>
      </c>
      <c r="C4" s="7" t="s">
        <v>3593</v>
      </c>
      <c r="D4" s="7" t="s">
        <v>3772</v>
      </c>
      <c r="E4" s="7" t="s">
        <v>3776</v>
      </c>
      <c r="F4" s="7" t="s">
        <v>4075</v>
      </c>
      <c r="G4" s="7">
        <v>9.59</v>
      </c>
      <c r="P4" s="45">
        <v>2.88002</v>
      </c>
      <c r="Q4" s="45">
        <v>1.06067</v>
      </c>
    </row>
    <row r="5" spans="1:17" x14ac:dyDescent="0.3">
      <c r="A5" s="7" t="s">
        <v>1769</v>
      </c>
      <c r="B5" s="7" t="s">
        <v>3534</v>
      </c>
      <c r="C5" s="7" t="s">
        <v>3594</v>
      </c>
      <c r="D5" s="7" t="s">
        <v>3773</v>
      </c>
      <c r="E5" s="7" t="s">
        <v>3777</v>
      </c>
      <c r="F5" s="7">
        <v>20.52</v>
      </c>
      <c r="G5" s="7">
        <v>1.72</v>
      </c>
      <c r="J5" s="43">
        <v>0.1241992436912</v>
      </c>
      <c r="K5" s="43">
        <v>0.872</v>
      </c>
    </row>
    <row r="6" spans="1:17" x14ac:dyDescent="0.3">
      <c r="A6" s="40" t="s">
        <v>3699</v>
      </c>
      <c r="J6" s="43">
        <v>48.001219058823501</v>
      </c>
      <c r="K6" s="43">
        <v>68.7</v>
      </c>
    </row>
    <row r="7" spans="1:17" x14ac:dyDescent="0.3">
      <c r="A7" s="40" t="s">
        <v>2345</v>
      </c>
      <c r="J7" s="43">
        <v>4.3428498073529003</v>
      </c>
      <c r="K7" s="43">
        <v>14.2</v>
      </c>
    </row>
    <row r="8" spans="1:17" x14ac:dyDescent="0.3">
      <c r="A8" s="7" t="s">
        <v>1759</v>
      </c>
      <c r="B8" s="7" t="s">
        <v>3535</v>
      </c>
      <c r="C8" s="7" t="s">
        <v>3595</v>
      </c>
      <c r="D8" s="7" t="s">
        <v>3774</v>
      </c>
      <c r="E8" s="7" t="s">
        <v>3778</v>
      </c>
      <c r="J8" s="43">
        <v>13.9472990735294</v>
      </c>
      <c r="K8" s="43">
        <v>2.95</v>
      </c>
    </row>
    <row r="9" spans="1:17" x14ac:dyDescent="0.3">
      <c r="A9" s="7" t="s">
        <v>3700</v>
      </c>
      <c r="J9" s="43">
        <v>8.9340415617646993</v>
      </c>
      <c r="K9" s="43">
        <v>37</v>
      </c>
    </row>
    <row r="10" spans="1:17" x14ac:dyDescent="0.3">
      <c r="A10" s="7" t="s">
        <v>1868</v>
      </c>
      <c r="J10" s="43">
        <v>36.3310625441176</v>
      </c>
      <c r="K10" s="43">
        <v>47.253</v>
      </c>
    </row>
    <row r="11" spans="1:17" x14ac:dyDescent="0.3">
      <c r="A11" s="7" t="s">
        <v>1721</v>
      </c>
      <c r="B11" s="7">
        <v>0.51</v>
      </c>
      <c r="C11" s="7" t="s">
        <v>3596</v>
      </c>
      <c r="D11" s="7" t="s">
        <v>3775</v>
      </c>
      <c r="E11" s="7" t="s">
        <v>3779</v>
      </c>
      <c r="J11" s="43">
        <v>2.5047037367647</v>
      </c>
      <c r="K11" s="43">
        <v>23.5</v>
      </c>
      <c r="N11" s="7">
        <v>0.1</v>
      </c>
      <c r="O11" s="7" t="s">
        <v>3743</v>
      </c>
    </row>
    <row r="12" spans="1:17" x14ac:dyDescent="0.3">
      <c r="A12" s="7" t="s">
        <v>3676</v>
      </c>
      <c r="F12" s="7">
        <v>0.32</v>
      </c>
      <c r="G12" s="7">
        <v>0.26</v>
      </c>
    </row>
    <row r="13" spans="1:17" x14ac:dyDescent="0.3">
      <c r="A13" s="7" t="s">
        <v>1870</v>
      </c>
      <c r="J13" s="43">
        <v>7.5359910411765005</v>
      </c>
      <c r="K13" s="43">
        <v>2.2690000000000001</v>
      </c>
    </row>
    <row r="14" spans="1:17" x14ac:dyDescent="0.3">
      <c r="A14" s="7" t="s">
        <v>1730</v>
      </c>
      <c r="B14" s="7" t="s">
        <v>3536</v>
      </c>
      <c r="C14" s="7" t="s">
        <v>3597</v>
      </c>
      <c r="D14" s="7">
        <v>0</v>
      </c>
      <c r="E14" s="7" t="s">
        <v>3780</v>
      </c>
      <c r="J14" s="43">
        <v>0.16187990161760002</v>
      </c>
      <c r="K14" s="43">
        <v>0.33</v>
      </c>
    </row>
    <row r="15" spans="1:17" x14ac:dyDescent="0.3">
      <c r="A15" s="7" t="s">
        <v>1871</v>
      </c>
      <c r="J15" s="43">
        <v>9.2656842882400003E-2</v>
      </c>
      <c r="K15" s="43">
        <v>2.5000000000000001E-2</v>
      </c>
    </row>
    <row r="16" spans="1:17" x14ac:dyDescent="0.3">
      <c r="A16" s="7" t="s">
        <v>1792</v>
      </c>
      <c r="B16" s="7">
        <v>451.65</v>
      </c>
      <c r="C16" s="7">
        <v>2.14</v>
      </c>
      <c r="D16" s="7" t="s">
        <v>3781</v>
      </c>
      <c r="E16" s="7" t="s">
        <v>3775</v>
      </c>
      <c r="J16" s="43">
        <v>0.15243992764710002</v>
      </c>
      <c r="K16" s="43">
        <v>0.12</v>
      </c>
      <c r="N16" s="7" t="s">
        <v>3744</v>
      </c>
      <c r="O16" s="7" t="s">
        <v>3745</v>
      </c>
    </row>
    <row r="17" spans="1:17" x14ac:dyDescent="0.3">
      <c r="A17" s="7" t="s">
        <v>1726</v>
      </c>
      <c r="B17" s="7">
        <v>0</v>
      </c>
      <c r="C17" s="7" t="s">
        <v>3598</v>
      </c>
      <c r="D17" s="7">
        <v>0</v>
      </c>
      <c r="E17" s="7" t="s">
        <v>3782</v>
      </c>
      <c r="J17" s="43">
        <v>306.95488073529401</v>
      </c>
      <c r="K17" s="43">
        <v>87.912000000000006</v>
      </c>
    </row>
    <row r="18" spans="1:17" x14ac:dyDescent="0.3">
      <c r="A18" s="7" t="s">
        <v>1760</v>
      </c>
      <c r="B18" s="7" t="s">
        <v>3537</v>
      </c>
      <c r="C18" s="7" t="s">
        <v>3599</v>
      </c>
      <c r="D18" s="7" t="s">
        <v>3783</v>
      </c>
      <c r="E18" s="7" t="s">
        <v>3784</v>
      </c>
      <c r="F18" s="7">
        <v>1.68</v>
      </c>
      <c r="G18" s="7">
        <v>0.18</v>
      </c>
      <c r="J18" s="43">
        <v>2.0745865499999998</v>
      </c>
      <c r="K18" s="43">
        <v>1.9</v>
      </c>
    </row>
    <row r="19" spans="1:17" x14ac:dyDescent="0.3">
      <c r="A19" s="7" t="s">
        <v>1872</v>
      </c>
      <c r="J19" s="43">
        <v>0.36889107882349997</v>
      </c>
      <c r="K19" s="43">
        <v>0.152</v>
      </c>
    </row>
    <row r="20" spans="1:17" x14ac:dyDescent="0.3">
      <c r="A20" s="7" t="s">
        <v>3771</v>
      </c>
      <c r="J20" s="43"/>
      <c r="K20" s="43"/>
      <c r="P20" s="45">
        <v>6.5790000000000001E-2</v>
      </c>
      <c r="Q20" s="45">
        <v>9.2700000000000005E-2</v>
      </c>
    </row>
    <row r="21" spans="1:17" x14ac:dyDescent="0.3">
      <c r="A21" s="7" t="s">
        <v>1768</v>
      </c>
      <c r="B21" s="7" t="s">
        <v>3538</v>
      </c>
      <c r="C21" s="7" t="s">
        <v>3600</v>
      </c>
      <c r="D21" s="7" t="s">
        <v>3785</v>
      </c>
      <c r="E21" s="7" t="s">
        <v>3786</v>
      </c>
      <c r="J21" s="43">
        <v>1.6310432161765001</v>
      </c>
      <c r="K21" s="43">
        <v>14.9</v>
      </c>
    </row>
    <row r="22" spans="1:17" x14ac:dyDescent="0.3">
      <c r="A22" s="7" t="s">
        <v>1874</v>
      </c>
      <c r="F22" s="7">
        <v>0.13</v>
      </c>
      <c r="G22" s="7">
        <v>0.15</v>
      </c>
    </row>
    <row r="23" spans="1:17" x14ac:dyDescent="0.3">
      <c r="A23" s="7" t="s">
        <v>3701</v>
      </c>
      <c r="J23" s="43">
        <v>16.211904485294102</v>
      </c>
      <c r="K23" s="43">
        <v>24.6</v>
      </c>
    </row>
    <row r="24" spans="1:17" x14ac:dyDescent="0.3">
      <c r="A24" s="7" t="s">
        <v>1753</v>
      </c>
      <c r="B24" s="7" t="s">
        <v>3539</v>
      </c>
      <c r="C24" s="7" t="s">
        <v>3601</v>
      </c>
      <c r="D24" s="7" t="s">
        <v>3787</v>
      </c>
      <c r="E24" s="7" t="s">
        <v>3788</v>
      </c>
      <c r="F24" s="7">
        <v>0.43</v>
      </c>
      <c r="G24" s="7">
        <v>0.36</v>
      </c>
      <c r="J24" s="43">
        <v>7.2833442691175998</v>
      </c>
      <c r="K24" s="43">
        <v>0.93</v>
      </c>
      <c r="L24" s="7">
        <v>1.65</v>
      </c>
      <c r="M24" s="7">
        <v>3.06</v>
      </c>
      <c r="P24" s="45">
        <v>0.24459</v>
      </c>
      <c r="Q24" s="45">
        <v>0.20111999999999999</v>
      </c>
    </row>
    <row r="25" spans="1:17" x14ac:dyDescent="0.3">
      <c r="A25" s="7" t="s">
        <v>1875</v>
      </c>
      <c r="J25" s="43">
        <v>2.6056488970587997</v>
      </c>
      <c r="K25" s="43">
        <v>0.19</v>
      </c>
    </row>
    <row r="26" spans="1:17" x14ac:dyDescent="0.3">
      <c r="A26" s="7" t="s">
        <v>1786</v>
      </c>
      <c r="B26" s="7">
        <v>191.38</v>
      </c>
      <c r="C26" s="7">
        <v>484.23</v>
      </c>
      <c r="D26" s="7">
        <v>0.62</v>
      </c>
      <c r="E26" s="7">
        <v>1.56</v>
      </c>
      <c r="J26" s="43">
        <v>2.8740843691175999</v>
      </c>
      <c r="K26" s="43">
        <v>1.5</v>
      </c>
      <c r="L26" s="7">
        <v>0.64</v>
      </c>
      <c r="M26" s="7">
        <v>0.68</v>
      </c>
      <c r="N26" s="7" t="s">
        <v>3746</v>
      </c>
      <c r="O26" s="7" t="s">
        <v>3747</v>
      </c>
    </row>
    <row r="27" spans="1:17" x14ac:dyDescent="0.3">
      <c r="A27" s="7" t="s">
        <v>3702</v>
      </c>
      <c r="J27" s="43">
        <v>0.3271225570588</v>
      </c>
      <c r="K27" s="43">
        <v>0.6</v>
      </c>
    </row>
    <row r="28" spans="1:17" x14ac:dyDescent="0.3">
      <c r="A28" s="7" t="s">
        <v>1876</v>
      </c>
      <c r="J28" s="43">
        <v>2.4409661720588001</v>
      </c>
      <c r="K28" s="43">
        <v>2.2000000000000002</v>
      </c>
    </row>
    <row r="29" spans="1:17" x14ac:dyDescent="0.3">
      <c r="A29" s="7" t="s">
        <v>1731</v>
      </c>
      <c r="B29" s="7" t="s">
        <v>3540</v>
      </c>
      <c r="C29" s="7" t="s">
        <v>3602</v>
      </c>
      <c r="D29" s="7" t="s">
        <v>3789</v>
      </c>
      <c r="E29" s="7" t="s">
        <v>3790</v>
      </c>
      <c r="F29" s="7">
        <v>0.15</v>
      </c>
      <c r="G29" s="7">
        <v>0.22</v>
      </c>
      <c r="J29" s="43">
        <v>2.9062685676471003</v>
      </c>
      <c r="K29" s="43">
        <v>0.28000000000000003</v>
      </c>
      <c r="P29" s="45">
        <v>0.28456999999999999</v>
      </c>
      <c r="Q29" s="45">
        <v>0.32447000000000004</v>
      </c>
    </row>
    <row r="30" spans="1:17" x14ac:dyDescent="0.3">
      <c r="A30" s="7" t="s">
        <v>1877</v>
      </c>
      <c r="J30" s="43">
        <v>4.3424570117599995E-2</v>
      </c>
      <c r="K30" s="43">
        <v>5.3E-3</v>
      </c>
    </row>
    <row r="31" spans="1:17" x14ac:dyDescent="0.3">
      <c r="A31" s="7" t="s">
        <v>3703</v>
      </c>
      <c r="J31" s="43">
        <v>0.62491358970589994</v>
      </c>
      <c r="K31" s="43">
        <v>0.26</v>
      </c>
    </row>
    <row r="32" spans="1:17" x14ac:dyDescent="0.3">
      <c r="A32" s="7" t="s">
        <v>1880</v>
      </c>
      <c r="J32" s="43">
        <v>0.12794117647059999</v>
      </c>
      <c r="K32" s="43">
        <v>1.7999999999999999E-2</v>
      </c>
    </row>
    <row r="33" spans="1:17" x14ac:dyDescent="0.3">
      <c r="A33" s="7" t="s">
        <v>2369</v>
      </c>
      <c r="J33" s="43">
        <v>1.7114883338234999</v>
      </c>
      <c r="K33" s="43">
        <v>0.73</v>
      </c>
    </row>
    <row r="34" spans="1:17" x14ac:dyDescent="0.3">
      <c r="A34" s="7" t="s">
        <v>2347</v>
      </c>
      <c r="J34" s="43">
        <v>0.45965366470589997</v>
      </c>
      <c r="K34" s="43">
        <v>0.03</v>
      </c>
    </row>
    <row r="35" spans="1:17" x14ac:dyDescent="0.3">
      <c r="A35" s="7" t="s">
        <v>3704</v>
      </c>
      <c r="J35" s="43">
        <v>4.5038396249999995</v>
      </c>
      <c r="K35" s="43">
        <v>0.44</v>
      </c>
    </row>
    <row r="36" spans="1:17" x14ac:dyDescent="0.3">
      <c r="A36" s="7" t="s">
        <v>3662</v>
      </c>
      <c r="F36" s="7">
        <v>3.25</v>
      </c>
      <c r="G36" s="7">
        <v>1.74</v>
      </c>
      <c r="P36" s="45">
        <v>2.3179999999999999E-2</v>
      </c>
      <c r="Q36" s="45">
        <v>1.7079999999999998E-2</v>
      </c>
    </row>
    <row r="37" spans="1:17" x14ac:dyDescent="0.3">
      <c r="A37" s="7" t="s">
        <v>3674</v>
      </c>
      <c r="F37" s="7">
        <v>2.2799999999999998</v>
      </c>
      <c r="G37" s="7">
        <v>0.28999999999999998</v>
      </c>
      <c r="J37" s="43">
        <v>1.9079365985294001</v>
      </c>
      <c r="K37" s="43">
        <v>5.6</v>
      </c>
    </row>
    <row r="38" spans="1:17" x14ac:dyDescent="0.3">
      <c r="A38" s="7" t="s">
        <v>1883</v>
      </c>
      <c r="J38" s="43">
        <v>4.0326297338234998</v>
      </c>
      <c r="K38" s="43">
        <v>1</v>
      </c>
    </row>
    <row r="39" spans="1:17" x14ac:dyDescent="0.3">
      <c r="A39" s="7" t="s">
        <v>1886</v>
      </c>
      <c r="J39" s="43">
        <v>0.26232915161760001</v>
      </c>
      <c r="K39" s="43">
        <v>0.10299999999999999</v>
      </c>
    </row>
    <row r="40" spans="1:17" x14ac:dyDescent="0.3">
      <c r="A40" s="7" t="s">
        <v>1887</v>
      </c>
      <c r="J40" s="43">
        <v>0.47117478647060002</v>
      </c>
      <c r="K40" s="43">
        <v>0.06</v>
      </c>
    </row>
    <row r="41" spans="1:17" x14ac:dyDescent="0.3">
      <c r="A41" s="7" t="s">
        <v>1889</v>
      </c>
      <c r="J41" s="43">
        <v>0.60226053955879999</v>
      </c>
      <c r="K41" s="43">
        <v>0.36</v>
      </c>
    </row>
    <row r="42" spans="1:17" x14ac:dyDescent="0.3">
      <c r="A42" s="7" t="s">
        <v>1890</v>
      </c>
      <c r="J42" s="43">
        <v>14.3032717411765</v>
      </c>
      <c r="K42" s="43">
        <v>1.5</v>
      </c>
    </row>
    <row r="43" spans="1:17" x14ac:dyDescent="0.3">
      <c r="A43" s="7" t="s">
        <v>1720</v>
      </c>
      <c r="B43" s="7" t="s">
        <v>3541</v>
      </c>
      <c r="C43" s="7" t="s">
        <v>3603</v>
      </c>
      <c r="D43" s="7">
        <v>0</v>
      </c>
      <c r="E43" s="7" t="s">
        <v>3791</v>
      </c>
    </row>
    <row r="44" spans="1:17" x14ac:dyDescent="0.3">
      <c r="A44" s="7" t="s">
        <v>1732</v>
      </c>
      <c r="B44" s="7" t="s">
        <v>3542</v>
      </c>
      <c r="C44" s="7" t="s">
        <v>3604</v>
      </c>
      <c r="D44" s="7">
        <v>0.01</v>
      </c>
      <c r="E44" s="7" t="s">
        <v>3792</v>
      </c>
      <c r="J44" s="43">
        <v>1.2744186522058998</v>
      </c>
      <c r="K44" s="43">
        <v>0.15</v>
      </c>
    </row>
    <row r="45" spans="1:17" x14ac:dyDescent="0.3">
      <c r="A45" s="7" t="s">
        <v>1891</v>
      </c>
      <c r="J45" s="43">
        <v>36.858591573529395</v>
      </c>
      <c r="K45" s="43">
        <v>6</v>
      </c>
    </row>
    <row r="46" spans="1:17" x14ac:dyDescent="0.3">
      <c r="A46" s="7" t="s">
        <v>3705</v>
      </c>
      <c r="J46" s="43">
        <v>0.60369620000000002</v>
      </c>
      <c r="K46" s="43">
        <v>7.2999999999999995E-2</v>
      </c>
    </row>
    <row r="47" spans="1:17" x14ac:dyDescent="0.3">
      <c r="A47" s="7" t="s">
        <v>3706</v>
      </c>
      <c r="J47" s="43">
        <v>0.18052508411759999</v>
      </c>
      <c r="K47" s="43">
        <v>2.5000000000000001E-2</v>
      </c>
    </row>
    <row r="48" spans="1:17" x14ac:dyDescent="0.3">
      <c r="A48" s="7" t="s">
        <v>2349</v>
      </c>
      <c r="J48" s="43">
        <v>1.0538910992646999</v>
      </c>
      <c r="K48" s="43">
        <v>0.56499999999999995</v>
      </c>
    </row>
    <row r="49" spans="1:17" x14ac:dyDescent="0.3">
      <c r="A49" s="7" t="s">
        <v>3707</v>
      </c>
      <c r="J49" s="43">
        <v>1.2200131448500001E-2</v>
      </c>
      <c r="K49" s="43">
        <v>6.9999999999999999E-4</v>
      </c>
    </row>
    <row r="50" spans="1:17" x14ac:dyDescent="0.3">
      <c r="A50" s="7" t="s">
        <v>3708</v>
      </c>
      <c r="J50" s="43">
        <v>3.5690735779411997</v>
      </c>
      <c r="K50" s="43">
        <v>0.64800000000000002</v>
      </c>
    </row>
    <row r="51" spans="1:17" x14ac:dyDescent="0.3">
      <c r="A51" s="7" t="s">
        <v>3709</v>
      </c>
      <c r="J51" s="43">
        <v>4.2298337588235002</v>
      </c>
      <c r="K51" s="43">
        <v>0.6</v>
      </c>
    </row>
    <row r="52" spans="1:17" x14ac:dyDescent="0.3">
      <c r="A52" s="7" t="s">
        <v>1733</v>
      </c>
      <c r="B52" s="7" t="s">
        <v>3543</v>
      </c>
      <c r="C52" s="7" t="s">
        <v>3605</v>
      </c>
      <c r="D52" s="7" t="s">
        <v>3793</v>
      </c>
      <c r="E52" s="7" t="s">
        <v>3794</v>
      </c>
      <c r="F52" s="7">
        <v>0.08</v>
      </c>
      <c r="G52" s="7">
        <v>0.06</v>
      </c>
      <c r="H52" s="39" t="s">
        <v>3688</v>
      </c>
      <c r="I52" s="7" t="s">
        <v>3689</v>
      </c>
      <c r="J52" s="43">
        <v>4.2641095147059005</v>
      </c>
      <c r="K52" s="43">
        <v>4.7699999999999996</v>
      </c>
      <c r="L52" s="7">
        <v>0.14000000000000001</v>
      </c>
      <c r="M52" s="7">
        <v>0.23</v>
      </c>
      <c r="P52" s="45">
        <v>0.17047000000000001</v>
      </c>
      <c r="Q52" s="45">
        <v>0.13980999999999999</v>
      </c>
    </row>
    <row r="53" spans="1:17" x14ac:dyDescent="0.3">
      <c r="A53" s="7" t="s">
        <v>3710</v>
      </c>
      <c r="H53" s="39"/>
      <c r="J53" s="43">
        <v>1.3098970588234999</v>
      </c>
      <c r="K53" s="43">
        <v>0.38700000000000001</v>
      </c>
    </row>
    <row r="54" spans="1:17" x14ac:dyDescent="0.3">
      <c r="A54" s="7" t="s">
        <v>3711</v>
      </c>
      <c r="H54" s="39"/>
      <c r="J54" s="43">
        <v>6.1172027867647003</v>
      </c>
      <c r="K54" s="43">
        <v>0.45</v>
      </c>
    </row>
    <row r="55" spans="1:17" x14ac:dyDescent="0.3">
      <c r="A55" s="7" t="s">
        <v>3712</v>
      </c>
      <c r="H55" s="39"/>
      <c r="J55" s="43">
        <v>0.29805467823530002</v>
      </c>
      <c r="K55" s="43">
        <v>1.4E-2</v>
      </c>
    </row>
    <row r="56" spans="1:17" x14ac:dyDescent="0.3">
      <c r="A56" s="7" t="s">
        <v>1893</v>
      </c>
      <c r="H56" s="39"/>
      <c r="J56" s="43">
        <v>2.2922483558824003</v>
      </c>
      <c r="K56" s="43">
        <v>8.6999999999999994E-2</v>
      </c>
    </row>
    <row r="57" spans="1:17" x14ac:dyDescent="0.3">
      <c r="A57" s="7" t="s">
        <v>3713</v>
      </c>
      <c r="H57" s="39"/>
      <c r="J57" s="43">
        <v>0.71457647058819995</v>
      </c>
      <c r="K57" s="43">
        <v>0.34</v>
      </c>
    </row>
    <row r="58" spans="1:17" x14ac:dyDescent="0.3">
      <c r="A58" s="7" t="s">
        <v>3714</v>
      </c>
      <c r="H58" s="39"/>
      <c r="J58" s="43">
        <v>1.6157205240713999</v>
      </c>
      <c r="K58" s="43">
        <v>1.7</v>
      </c>
    </row>
    <row r="59" spans="1:17" x14ac:dyDescent="0.3">
      <c r="A59" s="7" t="s">
        <v>3715</v>
      </c>
      <c r="H59" s="39"/>
      <c r="J59" s="43">
        <v>9.5218535764699991E-2</v>
      </c>
      <c r="K59" s="43">
        <v>1.4999999999999999E-2</v>
      </c>
    </row>
    <row r="60" spans="1:17" x14ac:dyDescent="0.3">
      <c r="A60" s="7" t="s">
        <v>1894</v>
      </c>
      <c r="H60" s="39"/>
      <c r="J60" s="43">
        <v>2.1939758249999999</v>
      </c>
      <c r="K60" s="43">
        <v>1.4E-2</v>
      </c>
    </row>
    <row r="61" spans="1:17" x14ac:dyDescent="0.3">
      <c r="A61" s="7" t="s">
        <v>3716</v>
      </c>
      <c r="H61" s="39"/>
      <c r="J61" s="43">
        <v>0.437496</v>
      </c>
      <c r="K61" s="43">
        <v>7.0000000000000007E-2</v>
      </c>
    </row>
    <row r="62" spans="1:17" x14ac:dyDescent="0.3">
      <c r="A62" s="7" t="s">
        <v>3717</v>
      </c>
      <c r="H62" s="39"/>
      <c r="J62" s="43">
        <v>7.2258049235294006</v>
      </c>
      <c r="K62" s="43">
        <v>8.5999999999999993E-2</v>
      </c>
    </row>
    <row r="63" spans="1:17" x14ac:dyDescent="0.3">
      <c r="A63" s="7" t="s">
        <v>3718</v>
      </c>
      <c r="H63" s="39"/>
      <c r="J63" s="43">
        <v>1.6350848647059</v>
      </c>
      <c r="K63" s="43">
        <v>0.01</v>
      </c>
    </row>
    <row r="64" spans="1:17" x14ac:dyDescent="0.3">
      <c r="A64" s="7" t="s">
        <v>1895</v>
      </c>
      <c r="H64" s="39"/>
      <c r="J64" s="43">
        <v>0.81404055823529997</v>
      </c>
      <c r="K64" s="43">
        <v>5.0000000000000001E-3</v>
      </c>
    </row>
    <row r="65" spans="1:17" x14ac:dyDescent="0.3">
      <c r="A65" s="7" t="s">
        <v>1896</v>
      </c>
      <c r="H65" s="39"/>
      <c r="J65" s="43">
        <v>1.4397988235293999</v>
      </c>
      <c r="K65" s="43">
        <v>9.9000000000000008E-3</v>
      </c>
    </row>
    <row r="66" spans="1:17" x14ac:dyDescent="0.3">
      <c r="A66" s="7" t="s">
        <v>1794</v>
      </c>
      <c r="B66" s="7">
        <v>206.37</v>
      </c>
      <c r="C66" s="7">
        <v>97.78</v>
      </c>
      <c r="D66" s="7">
        <v>0.66</v>
      </c>
      <c r="E66" s="7">
        <v>0.32</v>
      </c>
    </row>
    <row r="67" spans="1:17" x14ac:dyDescent="0.3">
      <c r="A67" s="7" t="s">
        <v>1897</v>
      </c>
      <c r="J67" s="43">
        <v>3.5541488529412</v>
      </c>
      <c r="K67" s="43">
        <v>1.1000000000000001</v>
      </c>
    </row>
    <row r="68" spans="1:17" x14ac:dyDescent="0.3">
      <c r="A68" s="7" t="s">
        <v>3719</v>
      </c>
      <c r="J68" s="43">
        <v>3.3295706470600005E-2</v>
      </c>
      <c r="K68" s="43">
        <v>8.9999999999999998E-4</v>
      </c>
    </row>
    <row r="69" spans="1:17" x14ac:dyDescent="0.3">
      <c r="A69" s="7" t="s">
        <v>3720</v>
      </c>
      <c r="J69" s="43">
        <v>7.9510970411765003</v>
      </c>
      <c r="K69" s="43">
        <v>0.2</v>
      </c>
    </row>
    <row r="70" spans="1:17" x14ac:dyDescent="0.3">
      <c r="A70" s="7" t="s">
        <v>3721</v>
      </c>
      <c r="J70" s="43">
        <v>11.383638988235299</v>
      </c>
      <c r="K70" s="43">
        <v>0.19</v>
      </c>
    </row>
    <row r="71" spans="1:17" x14ac:dyDescent="0.3">
      <c r="A71" s="7" t="s">
        <v>3766</v>
      </c>
      <c r="J71" s="43"/>
      <c r="K71" s="43"/>
      <c r="P71" s="45">
        <v>0.23596999999999999</v>
      </c>
      <c r="Q71" s="45">
        <v>0.50609999999999999</v>
      </c>
    </row>
    <row r="72" spans="1:17" x14ac:dyDescent="0.3">
      <c r="A72" s="7" t="s">
        <v>1898</v>
      </c>
      <c r="J72" s="43">
        <v>9.8597647058823998</v>
      </c>
      <c r="K72" s="43">
        <v>0.57999999999999996</v>
      </c>
    </row>
    <row r="73" spans="1:17" x14ac:dyDescent="0.3">
      <c r="A73" s="7" t="s">
        <v>2310</v>
      </c>
      <c r="B73" s="7">
        <v>128.29</v>
      </c>
      <c r="C73" s="7">
        <v>51.58</v>
      </c>
      <c r="D73" s="7">
        <v>3.51</v>
      </c>
      <c r="E73" s="7">
        <v>1.41</v>
      </c>
    </row>
    <row r="74" spans="1:17" x14ac:dyDescent="0.3">
      <c r="A74" s="40" t="s">
        <v>3722</v>
      </c>
      <c r="J74" s="43">
        <v>1.1078785880882001</v>
      </c>
      <c r="K74" s="43">
        <v>0.72399999999999998</v>
      </c>
    </row>
    <row r="75" spans="1:17" x14ac:dyDescent="0.3">
      <c r="A75" s="40" t="s">
        <v>3723</v>
      </c>
      <c r="J75" s="43">
        <v>2.28451537206E-2</v>
      </c>
      <c r="K75" s="43">
        <v>2.5000000000000001E-3</v>
      </c>
    </row>
    <row r="76" spans="1:17" x14ac:dyDescent="0.3">
      <c r="A76" s="7" t="s">
        <v>1734</v>
      </c>
      <c r="B76" s="7" t="s">
        <v>3544</v>
      </c>
      <c r="C76" s="7" t="s">
        <v>3606</v>
      </c>
      <c r="D76" s="7" t="s">
        <v>3795</v>
      </c>
      <c r="E76" s="7" t="s">
        <v>3796</v>
      </c>
      <c r="F76" s="7">
        <v>0.18</v>
      </c>
      <c r="G76" s="7">
        <v>0.06</v>
      </c>
      <c r="P76" s="45">
        <v>4.0887900000000004</v>
      </c>
      <c r="Q76" s="45">
        <v>1.0758599999999998</v>
      </c>
    </row>
    <row r="77" spans="1:17" x14ac:dyDescent="0.3">
      <c r="A77" s="7" t="s">
        <v>1735</v>
      </c>
      <c r="B77" s="7" t="s">
        <v>3545</v>
      </c>
      <c r="C77" s="7" t="s">
        <v>3607</v>
      </c>
      <c r="D77" s="7" t="s">
        <v>3797</v>
      </c>
      <c r="E77" s="7" t="s">
        <v>3798</v>
      </c>
      <c r="H77" s="7" t="s">
        <v>3690</v>
      </c>
      <c r="I77" s="7" t="s">
        <v>3691</v>
      </c>
    </row>
    <row r="78" spans="1:17" x14ac:dyDescent="0.3">
      <c r="A78" s="7" t="s">
        <v>1736</v>
      </c>
      <c r="B78" s="7" t="s">
        <v>3546</v>
      </c>
      <c r="C78" s="7" t="s">
        <v>3608</v>
      </c>
      <c r="D78" s="7">
        <v>0.01</v>
      </c>
      <c r="E78" s="7" t="s">
        <v>3799</v>
      </c>
      <c r="F78" s="7">
        <v>1.57</v>
      </c>
      <c r="G78" s="7">
        <v>0.75</v>
      </c>
      <c r="J78" s="43">
        <v>3.9113529411764998</v>
      </c>
      <c r="K78" s="43">
        <v>1.2</v>
      </c>
      <c r="P78" s="45">
        <v>0.21446000000000001</v>
      </c>
      <c r="Q78" s="45">
        <v>0.19861000000000001</v>
      </c>
    </row>
    <row r="79" spans="1:17" x14ac:dyDescent="0.3">
      <c r="A79" s="40" t="s">
        <v>1900</v>
      </c>
      <c r="J79" s="43">
        <v>0.29020317382349997</v>
      </c>
      <c r="K79" s="43">
        <v>0.17399999999999999</v>
      </c>
    </row>
    <row r="80" spans="1:17" x14ac:dyDescent="0.3">
      <c r="A80" s="40" t="s">
        <v>1901</v>
      </c>
      <c r="J80" s="43">
        <v>0.64378035367649999</v>
      </c>
      <c r="K80" s="43">
        <v>0.03</v>
      </c>
    </row>
    <row r="81" spans="1:11" x14ac:dyDescent="0.3">
      <c r="A81" s="40" t="s">
        <v>2351</v>
      </c>
      <c r="J81" s="43">
        <v>0.88059767647060005</v>
      </c>
      <c r="K81" s="43">
        <v>4.8000000000000001E-2</v>
      </c>
    </row>
    <row r="82" spans="1:11" x14ac:dyDescent="0.3">
      <c r="A82" s="40" t="s">
        <v>3724</v>
      </c>
      <c r="J82" s="43">
        <v>1.6682352352940999</v>
      </c>
      <c r="K82" s="43">
        <v>1.6E-2</v>
      </c>
    </row>
    <row r="83" spans="1:11" x14ac:dyDescent="0.3">
      <c r="A83" s="7" t="s">
        <v>1765</v>
      </c>
      <c r="B83" s="7">
        <v>0.03</v>
      </c>
      <c r="C83" s="7">
        <v>1.89</v>
      </c>
      <c r="D83" s="7">
        <v>0</v>
      </c>
      <c r="E83" s="7">
        <v>0.05</v>
      </c>
      <c r="J83" s="43">
        <v>0.2589288235294</v>
      </c>
      <c r="K83" s="43">
        <v>1.6999999999999999E-3</v>
      </c>
    </row>
    <row r="84" spans="1:11" x14ac:dyDescent="0.3">
      <c r="A84" s="40" t="s">
        <v>1902</v>
      </c>
      <c r="J84" s="43">
        <v>8.9052871764705994</v>
      </c>
      <c r="K84" s="43">
        <v>6.5000000000000002E-2</v>
      </c>
    </row>
    <row r="85" spans="1:11" x14ac:dyDescent="0.3">
      <c r="A85" s="40" t="s">
        <v>3725</v>
      </c>
      <c r="J85" s="43">
        <v>7.9185520367600001E-2</v>
      </c>
      <c r="K85" s="43">
        <v>2.53E-2</v>
      </c>
    </row>
    <row r="86" spans="1:11" x14ac:dyDescent="0.3">
      <c r="A86" s="40" t="s">
        <v>2352</v>
      </c>
      <c r="J86" s="43">
        <v>9.4815732750000006</v>
      </c>
      <c r="K86" s="43">
        <v>0.502</v>
      </c>
    </row>
    <row r="87" spans="1:11" x14ac:dyDescent="0.3">
      <c r="A87" s="40" t="s">
        <v>3726</v>
      </c>
      <c r="J87" s="43">
        <v>0.36680000000000001</v>
      </c>
      <c r="K87" s="43">
        <v>0.1</v>
      </c>
    </row>
    <row r="88" spans="1:11" x14ac:dyDescent="0.3">
      <c r="A88" s="40" t="s">
        <v>3727</v>
      </c>
      <c r="J88" s="43">
        <v>28.465370397058798</v>
      </c>
      <c r="K88" s="43">
        <v>0.36699999999999999</v>
      </c>
    </row>
    <row r="89" spans="1:11" x14ac:dyDescent="0.3">
      <c r="A89" s="7" t="s">
        <v>1713</v>
      </c>
      <c r="B89" s="7" t="s">
        <v>3547</v>
      </c>
      <c r="C89" s="7" t="s">
        <v>3609</v>
      </c>
      <c r="D89" s="7" t="s">
        <v>3800</v>
      </c>
      <c r="E89" s="7" t="s">
        <v>3801</v>
      </c>
      <c r="J89" s="43">
        <v>6.5046089867646995</v>
      </c>
      <c r="K89" s="43">
        <v>0.68</v>
      </c>
    </row>
    <row r="90" spans="1:11" x14ac:dyDescent="0.3">
      <c r="A90" s="7" t="s">
        <v>1904</v>
      </c>
      <c r="J90" s="43">
        <v>4.8400075294117997</v>
      </c>
      <c r="K90" s="43">
        <v>0.1</v>
      </c>
    </row>
    <row r="91" spans="1:11" x14ac:dyDescent="0.3">
      <c r="A91" s="7" t="s">
        <v>1724</v>
      </c>
      <c r="B91" s="7" t="s">
        <v>3548</v>
      </c>
      <c r="C91" s="7" t="s">
        <v>3610</v>
      </c>
      <c r="D91" s="7">
        <v>0.01</v>
      </c>
      <c r="E91" s="7" t="s">
        <v>3802</v>
      </c>
      <c r="J91" s="43">
        <v>0.13884705882349999</v>
      </c>
      <c r="K91" s="43">
        <v>0.11</v>
      </c>
    </row>
    <row r="92" spans="1:11" x14ac:dyDescent="0.3">
      <c r="A92" s="7" t="s">
        <v>1906</v>
      </c>
      <c r="J92" s="43">
        <v>16.405998014705901</v>
      </c>
      <c r="K92" s="43">
        <v>0.1</v>
      </c>
    </row>
    <row r="93" spans="1:11" x14ac:dyDescent="0.3">
      <c r="A93" s="40" t="s">
        <v>3728</v>
      </c>
      <c r="J93" s="43">
        <v>4.9215441176471</v>
      </c>
      <c r="K93" s="43">
        <v>0.22</v>
      </c>
    </row>
    <row r="94" spans="1:11" x14ac:dyDescent="0.3">
      <c r="A94" s="7" t="s">
        <v>1764</v>
      </c>
      <c r="B94" s="7" t="s">
        <v>3549</v>
      </c>
      <c r="C94" s="7" t="s">
        <v>3611</v>
      </c>
      <c r="D94" s="7">
        <v>0.03</v>
      </c>
      <c r="E94" s="7" t="s">
        <v>3803</v>
      </c>
    </row>
    <row r="95" spans="1:11" x14ac:dyDescent="0.3">
      <c r="A95" s="7" t="s">
        <v>1763</v>
      </c>
      <c r="B95" s="7">
        <v>0.34</v>
      </c>
      <c r="C95" s="7" t="s">
        <v>3612</v>
      </c>
      <c r="D95" s="7">
        <v>0</v>
      </c>
      <c r="E95" s="7" t="s">
        <v>3783</v>
      </c>
    </row>
    <row r="96" spans="1:11" x14ac:dyDescent="0.3">
      <c r="A96" s="7" t="s">
        <v>1770</v>
      </c>
      <c r="B96" s="7" t="s">
        <v>3550</v>
      </c>
      <c r="C96" s="7" t="s">
        <v>3613</v>
      </c>
      <c r="D96" s="7">
        <v>0</v>
      </c>
      <c r="E96" s="7" t="s">
        <v>3804</v>
      </c>
    </row>
    <row r="97" spans="1:17" x14ac:dyDescent="0.3">
      <c r="A97" s="7" t="s">
        <v>1722</v>
      </c>
      <c r="B97" s="7" t="s">
        <v>3551</v>
      </c>
      <c r="C97" s="7" t="s">
        <v>3614</v>
      </c>
      <c r="D97" s="7" t="s">
        <v>3805</v>
      </c>
      <c r="E97" s="7">
        <v>0.01</v>
      </c>
      <c r="L97" s="7">
        <v>0.01</v>
      </c>
      <c r="M97" s="7">
        <v>3.0000000000000001E-3</v>
      </c>
    </row>
    <row r="98" spans="1:17" x14ac:dyDescent="0.3">
      <c r="A98" s="7" t="s">
        <v>1737</v>
      </c>
      <c r="B98" s="7" t="s">
        <v>3552</v>
      </c>
      <c r="C98" s="7" t="s">
        <v>3615</v>
      </c>
      <c r="D98" s="7" t="s">
        <v>3806</v>
      </c>
      <c r="E98" s="7" t="s">
        <v>3807</v>
      </c>
      <c r="F98" s="7">
        <v>0.19</v>
      </c>
      <c r="G98" s="7">
        <v>0.14000000000000001</v>
      </c>
      <c r="L98" s="7" t="s">
        <v>3732</v>
      </c>
      <c r="M98" s="7" t="s">
        <v>3731</v>
      </c>
      <c r="P98" s="45">
        <v>2.9899999999999999E-2</v>
      </c>
      <c r="Q98" s="45">
        <v>0.18006999999999998</v>
      </c>
    </row>
    <row r="99" spans="1:17" x14ac:dyDescent="0.3">
      <c r="A99" s="7" t="s">
        <v>1749</v>
      </c>
      <c r="B99" s="7" t="s">
        <v>3553</v>
      </c>
      <c r="C99" s="7" t="s">
        <v>3616</v>
      </c>
      <c r="D99" s="7" t="s">
        <v>3808</v>
      </c>
      <c r="E99" s="7" t="s">
        <v>3809</v>
      </c>
      <c r="F99" s="7">
        <v>0.03</v>
      </c>
      <c r="G99" s="7">
        <v>7.0000000000000007E-2</v>
      </c>
      <c r="J99" s="43">
        <v>0.48292186882350002</v>
      </c>
      <c r="K99" s="43">
        <v>2.9999999999999997E-4</v>
      </c>
    </row>
    <row r="100" spans="1:17" x14ac:dyDescent="0.3">
      <c r="A100" s="7" t="s">
        <v>1748</v>
      </c>
      <c r="B100" s="7" t="s">
        <v>3554</v>
      </c>
      <c r="C100" s="7" t="s">
        <v>3617</v>
      </c>
      <c r="D100" s="7" t="s">
        <v>3810</v>
      </c>
      <c r="E100" s="7" t="s">
        <v>3811</v>
      </c>
      <c r="F100" s="7">
        <v>0.15</v>
      </c>
      <c r="G100" s="7">
        <v>1.53</v>
      </c>
      <c r="J100" s="43">
        <v>25.775911058823503</v>
      </c>
      <c r="K100" s="43">
        <v>1.7999999999999999E-2</v>
      </c>
    </row>
    <row r="101" spans="1:17" x14ac:dyDescent="0.3">
      <c r="A101" s="7" t="s">
        <v>3675</v>
      </c>
      <c r="F101" s="7">
        <v>0.27</v>
      </c>
      <c r="G101" s="7">
        <v>0.34</v>
      </c>
    </row>
    <row r="102" spans="1:17" x14ac:dyDescent="0.3">
      <c r="A102" s="7" t="s">
        <v>3665</v>
      </c>
      <c r="F102" s="7">
        <v>0.34</v>
      </c>
      <c r="G102" s="7">
        <v>0.28999999999999998</v>
      </c>
    </row>
    <row r="103" spans="1:17" x14ac:dyDescent="0.3">
      <c r="A103" s="7" t="s">
        <v>3738</v>
      </c>
      <c r="L103" s="7">
        <v>0.14000000000000001</v>
      </c>
      <c r="M103" s="7">
        <v>0.14000000000000001</v>
      </c>
    </row>
    <row r="104" spans="1:17" x14ac:dyDescent="0.3">
      <c r="A104" s="7" t="s">
        <v>1921</v>
      </c>
      <c r="J104" s="18">
        <v>5.4189999999999996</v>
      </c>
      <c r="K104" s="18">
        <v>2.8E-3</v>
      </c>
    </row>
    <row r="105" spans="1:17" x14ac:dyDescent="0.3">
      <c r="A105" s="7" t="s">
        <v>1761</v>
      </c>
      <c r="B105" s="7">
        <v>62.63</v>
      </c>
      <c r="C105" s="7">
        <v>6.84</v>
      </c>
      <c r="D105" s="7">
        <v>0.2</v>
      </c>
      <c r="E105" s="7">
        <v>0.02</v>
      </c>
      <c r="P105" s="45">
        <v>0.40652999999999995</v>
      </c>
      <c r="Q105" s="45">
        <v>0.31154999999999999</v>
      </c>
    </row>
    <row r="106" spans="1:17" x14ac:dyDescent="0.3">
      <c r="A106" s="7" t="s">
        <v>1925</v>
      </c>
      <c r="L106" s="7">
        <v>7.0000000000000007E-2</v>
      </c>
      <c r="M106" s="7">
        <v>0.04</v>
      </c>
    </row>
    <row r="107" spans="1:17" x14ac:dyDescent="0.3">
      <c r="A107" s="7" t="s">
        <v>3762</v>
      </c>
      <c r="P107" s="45">
        <v>1.302E-2</v>
      </c>
      <c r="Q107" s="45">
        <v>3.4860000000000002E-2</v>
      </c>
    </row>
    <row r="108" spans="1:17" x14ac:dyDescent="0.3">
      <c r="A108" s="7" t="s">
        <v>3761</v>
      </c>
      <c r="P108" s="45">
        <v>3.7520000000000005E-2</v>
      </c>
      <c r="Q108" s="45">
        <v>8.7999999999999995E-2</v>
      </c>
    </row>
    <row r="109" spans="1:17" x14ac:dyDescent="0.3">
      <c r="A109" s="7" t="s">
        <v>1738</v>
      </c>
      <c r="B109" s="7" t="s">
        <v>3555</v>
      </c>
      <c r="C109" s="7" t="s">
        <v>3618</v>
      </c>
      <c r="D109" s="7" t="s">
        <v>3812</v>
      </c>
      <c r="E109" s="7" t="s">
        <v>3813</v>
      </c>
      <c r="P109" s="45">
        <v>0.23526</v>
      </c>
      <c r="Q109" s="45">
        <v>0.33995999999999998</v>
      </c>
    </row>
    <row r="110" spans="1:17" x14ac:dyDescent="0.3">
      <c r="A110" s="7" t="s">
        <v>1771</v>
      </c>
      <c r="B110" s="7" t="s">
        <v>3556</v>
      </c>
      <c r="C110" s="7" t="s">
        <v>3619</v>
      </c>
      <c r="D110" s="7">
        <v>0.05</v>
      </c>
      <c r="E110" s="7" t="s">
        <v>3814</v>
      </c>
    </row>
    <row r="111" spans="1:17" x14ac:dyDescent="0.3">
      <c r="A111" s="7" t="s">
        <v>1754</v>
      </c>
      <c r="B111" s="7" t="s">
        <v>3557</v>
      </c>
      <c r="C111" s="7" t="s">
        <v>3620</v>
      </c>
      <c r="D111" s="7" t="s">
        <v>3815</v>
      </c>
      <c r="E111" s="7" t="s">
        <v>3816</v>
      </c>
    </row>
    <row r="112" spans="1:17" x14ac:dyDescent="0.3">
      <c r="A112" s="7" t="s">
        <v>1772</v>
      </c>
      <c r="B112" s="7" t="s">
        <v>3558</v>
      </c>
      <c r="C112" s="7" t="s">
        <v>3621</v>
      </c>
      <c r="D112" s="7" t="s">
        <v>3817</v>
      </c>
      <c r="E112" s="7" t="s">
        <v>3818</v>
      </c>
    </row>
    <row r="113" spans="1:17" x14ac:dyDescent="0.3">
      <c r="A113" s="7" t="s">
        <v>1795</v>
      </c>
      <c r="B113" s="7">
        <v>20.03</v>
      </c>
      <c r="C113" s="7">
        <v>55.87</v>
      </c>
      <c r="D113" s="7">
        <v>0.06</v>
      </c>
      <c r="E113" s="7">
        <v>0.18</v>
      </c>
    </row>
    <row r="114" spans="1:17" x14ac:dyDescent="0.3">
      <c r="A114" s="7" t="s">
        <v>1773</v>
      </c>
      <c r="B114" s="7" t="s">
        <v>3559</v>
      </c>
      <c r="C114" s="7" t="s">
        <v>3622</v>
      </c>
      <c r="D114" s="7">
        <v>0.03</v>
      </c>
      <c r="E114" s="7" t="s">
        <v>3819</v>
      </c>
      <c r="P114" s="45">
        <v>1.6329999999999997E-2</v>
      </c>
      <c r="Q114" s="45">
        <v>3.3520000000000001E-2</v>
      </c>
    </row>
    <row r="115" spans="1:17" x14ac:dyDescent="0.3">
      <c r="A115" s="7" t="s">
        <v>1728</v>
      </c>
      <c r="B115" s="7" t="s">
        <v>3560</v>
      </c>
      <c r="C115" s="7" t="s">
        <v>3623</v>
      </c>
      <c r="D115" s="7" t="s">
        <v>3820</v>
      </c>
      <c r="E115" s="7" t="s">
        <v>3821</v>
      </c>
      <c r="H115" s="7" t="s">
        <v>3692</v>
      </c>
      <c r="I115" s="7" t="s">
        <v>3693</v>
      </c>
      <c r="L115" s="7">
        <v>0.06</v>
      </c>
      <c r="M115" s="7">
        <v>0.03</v>
      </c>
    </row>
    <row r="116" spans="1:17" x14ac:dyDescent="0.3">
      <c r="A116" s="7" t="s">
        <v>1940</v>
      </c>
      <c r="F116" s="7">
        <v>1.62</v>
      </c>
      <c r="G116" s="7">
        <v>0.34</v>
      </c>
    </row>
    <row r="117" spans="1:17" x14ac:dyDescent="0.3">
      <c r="A117" s="7" t="s">
        <v>1796</v>
      </c>
      <c r="B117" s="7">
        <v>6412.72</v>
      </c>
      <c r="C117" s="7">
        <v>16342.77</v>
      </c>
      <c r="D117" s="7">
        <v>20.66</v>
      </c>
      <c r="E117" s="7">
        <v>52.65</v>
      </c>
      <c r="L117" s="7">
        <v>3.88</v>
      </c>
      <c r="M117" s="7">
        <v>0.1</v>
      </c>
      <c r="N117" s="7" t="s">
        <v>3748</v>
      </c>
      <c r="O117" s="7" t="s">
        <v>3749</v>
      </c>
    </row>
    <row r="118" spans="1:17" x14ac:dyDescent="0.3">
      <c r="A118" s="7" t="s">
        <v>1789</v>
      </c>
      <c r="B118" s="7">
        <v>35.049999999999997</v>
      </c>
      <c r="C118" s="7">
        <v>34.950000000000003</v>
      </c>
      <c r="D118" s="7">
        <v>1.23</v>
      </c>
      <c r="E118" s="7">
        <v>1.23</v>
      </c>
      <c r="L118" s="7" t="s">
        <v>3736</v>
      </c>
      <c r="M118" s="7" t="s">
        <v>3737</v>
      </c>
    </row>
    <row r="119" spans="1:17" x14ac:dyDescent="0.3">
      <c r="A119" s="7" t="s">
        <v>1774</v>
      </c>
      <c r="B119" s="7">
        <v>0</v>
      </c>
      <c r="C119" s="7" t="s">
        <v>3624</v>
      </c>
      <c r="D119" s="7">
        <v>0</v>
      </c>
      <c r="E119" s="7" t="s">
        <v>3775</v>
      </c>
    </row>
    <row r="120" spans="1:17" x14ac:dyDescent="0.3">
      <c r="A120" s="7" t="s">
        <v>1739</v>
      </c>
      <c r="B120" s="7">
        <v>0.71</v>
      </c>
      <c r="C120" s="7">
        <v>2.17</v>
      </c>
      <c r="D120" s="7">
        <v>0</v>
      </c>
      <c r="E120" s="7">
        <v>0.01</v>
      </c>
    </row>
    <row r="121" spans="1:17" x14ac:dyDescent="0.3">
      <c r="A121" s="7" t="s">
        <v>1715</v>
      </c>
      <c r="B121" s="7" t="s">
        <v>3561</v>
      </c>
      <c r="C121" s="7" t="s">
        <v>3625</v>
      </c>
      <c r="D121" s="7" t="s">
        <v>3822</v>
      </c>
      <c r="E121" s="7" t="s">
        <v>3823</v>
      </c>
    </row>
    <row r="122" spans="1:17" x14ac:dyDescent="0.3">
      <c r="A122" s="7" t="s">
        <v>1717</v>
      </c>
      <c r="B122" s="7">
        <v>0.06</v>
      </c>
      <c r="C122" s="7" t="s">
        <v>3626</v>
      </c>
      <c r="D122" s="7">
        <v>0</v>
      </c>
      <c r="E122" s="7" t="s">
        <v>3824</v>
      </c>
    </row>
    <row r="123" spans="1:17" x14ac:dyDescent="0.3">
      <c r="A123" s="7" t="s">
        <v>1762</v>
      </c>
      <c r="B123" s="7">
        <v>61.38</v>
      </c>
      <c r="C123" s="7">
        <v>0.9</v>
      </c>
      <c r="D123" s="7">
        <v>2.5099999999999998</v>
      </c>
      <c r="E123" s="7">
        <v>0.04</v>
      </c>
    </row>
    <row r="124" spans="1:17" x14ac:dyDescent="0.3">
      <c r="A124" s="7" t="s">
        <v>1775</v>
      </c>
      <c r="B124" s="7" t="s">
        <v>3562</v>
      </c>
      <c r="C124" s="7" t="s">
        <v>3627</v>
      </c>
      <c r="D124" s="7" t="s">
        <v>3825</v>
      </c>
      <c r="E124" s="7" t="s">
        <v>3732</v>
      </c>
    </row>
    <row r="125" spans="1:17" x14ac:dyDescent="0.3">
      <c r="A125" s="7" t="s">
        <v>1790</v>
      </c>
      <c r="B125" s="7">
        <v>887.61</v>
      </c>
      <c r="C125" s="7">
        <v>881.26</v>
      </c>
      <c r="D125" s="7">
        <v>31.11</v>
      </c>
      <c r="E125" s="7">
        <v>30.89</v>
      </c>
      <c r="F125" s="7">
        <v>0.08</v>
      </c>
      <c r="G125" s="7">
        <v>0.52</v>
      </c>
      <c r="P125" s="45">
        <v>0.38617000000000001</v>
      </c>
      <c r="Q125" s="45">
        <v>0.19475000000000001</v>
      </c>
    </row>
    <row r="126" spans="1:17" x14ac:dyDescent="0.3">
      <c r="A126" s="7" t="s">
        <v>1950</v>
      </c>
      <c r="F126" s="7">
        <v>0.17</v>
      </c>
      <c r="G126" s="7">
        <v>0.28999999999999998</v>
      </c>
      <c r="P126" s="45">
        <v>3.5590000000000004E-2</v>
      </c>
      <c r="Q126" s="45">
        <v>0.11176999999999999</v>
      </c>
    </row>
    <row r="127" spans="1:17" x14ac:dyDescent="0.3">
      <c r="A127" s="7" t="s">
        <v>3663</v>
      </c>
    </row>
    <row r="128" spans="1:17" x14ac:dyDescent="0.3">
      <c r="A128" s="7" t="s">
        <v>2298</v>
      </c>
      <c r="B128" s="7" t="s">
        <v>3563</v>
      </c>
      <c r="C128" s="7" t="s">
        <v>3628</v>
      </c>
      <c r="D128" s="7" t="s">
        <v>3826</v>
      </c>
      <c r="E128" s="7" t="s">
        <v>3827</v>
      </c>
    </row>
    <row r="129" spans="1:17" x14ac:dyDescent="0.3">
      <c r="A129" s="7" t="s">
        <v>1755</v>
      </c>
      <c r="B129" s="7">
        <v>0.06</v>
      </c>
      <c r="C129" s="7" t="s">
        <v>3629</v>
      </c>
      <c r="D129" s="7">
        <v>0</v>
      </c>
      <c r="E129" s="7" t="s">
        <v>3828</v>
      </c>
      <c r="F129" s="7">
        <v>0.19</v>
      </c>
      <c r="G129" s="7">
        <v>0.56000000000000005</v>
      </c>
    </row>
    <row r="130" spans="1:17" x14ac:dyDescent="0.3">
      <c r="A130" s="7" t="s">
        <v>1740</v>
      </c>
      <c r="B130" s="7" t="s">
        <v>3564</v>
      </c>
      <c r="C130" s="7" t="s">
        <v>3630</v>
      </c>
      <c r="D130" s="7">
        <v>0.09</v>
      </c>
      <c r="E130" s="7" t="s">
        <v>3829</v>
      </c>
    </row>
    <row r="131" spans="1:17" x14ac:dyDescent="0.3">
      <c r="A131" s="7" t="s">
        <v>1967</v>
      </c>
      <c r="F131" s="7">
        <v>11.47</v>
      </c>
      <c r="G131" s="7">
        <v>0.63</v>
      </c>
    </row>
    <row r="132" spans="1:17" x14ac:dyDescent="0.3">
      <c r="A132" s="7" t="s">
        <v>2299</v>
      </c>
      <c r="B132" s="7" t="s">
        <v>3565</v>
      </c>
      <c r="C132" s="7" t="s">
        <v>3631</v>
      </c>
      <c r="D132" s="7" t="s">
        <v>3830</v>
      </c>
      <c r="E132" s="7" t="s">
        <v>3831</v>
      </c>
    </row>
    <row r="133" spans="1:17" x14ac:dyDescent="0.3">
      <c r="A133" s="7" t="s">
        <v>3769</v>
      </c>
      <c r="P133" s="45">
        <v>0.73046</v>
      </c>
      <c r="Q133" s="45">
        <v>2.2628600000000003</v>
      </c>
    </row>
    <row r="134" spans="1:17" x14ac:dyDescent="0.3">
      <c r="A134" s="7" t="s">
        <v>1750</v>
      </c>
      <c r="B134" s="7" t="s">
        <v>3566</v>
      </c>
      <c r="C134" s="7" t="s">
        <v>3632</v>
      </c>
      <c r="D134" s="7">
        <v>0.92</v>
      </c>
      <c r="E134" s="7" t="s">
        <v>3832</v>
      </c>
    </row>
    <row r="135" spans="1:17" x14ac:dyDescent="0.3">
      <c r="A135" s="7" t="s">
        <v>3770</v>
      </c>
      <c r="P135" s="45">
        <v>0.48226999999999998</v>
      </c>
      <c r="Q135" s="45">
        <v>0.72757000000000005</v>
      </c>
    </row>
    <row r="136" spans="1:17" x14ac:dyDescent="0.3">
      <c r="A136" s="7" t="s">
        <v>1766</v>
      </c>
      <c r="B136" s="7">
        <v>0</v>
      </c>
      <c r="C136" s="7" t="s">
        <v>3633</v>
      </c>
      <c r="D136" s="7">
        <v>0</v>
      </c>
      <c r="E136" s="7" t="s">
        <v>3833</v>
      </c>
    </row>
    <row r="137" spans="1:17" x14ac:dyDescent="0.3">
      <c r="A137" s="7" t="s">
        <v>1797</v>
      </c>
      <c r="B137" s="7">
        <v>399.27</v>
      </c>
      <c r="C137" s="7">
        <v>94.67</v>
      </c>
      <c r="D137" s="7">
        <v>1.29</v>
      </c>
      <c r="E137" s="7">
        <v>0.3</v>
      </c>
    </row>
    <row r="138" spans="1:17" x14ac:dyDescent="0.3">
      <c r="A138" s="7" t="s">
        <v>3666</v>
      </c>
      <c r="F138" s="7">
        <v>5.31</v>
      </c>
      <c r="G138" s="7">
        <v>5.66</v>
      </c>
    </row>
    <row r="139" spans="1:17" x14ac:dyDescent="0.3">
      <c r="A139" s="7" t="s">
        <v>3685</v>
      </c>
      <c r="F139" s="7">
        <v>0.01</v>
      </c>
      <c r="G139" s="7">
        <v>0.18</v>
      </c>
    </row>
    <row r="140" spans="1:17" x14ac:dyDescent="0.3">
      <c r="A140" s="7" t="s">
        <v>1776</v>
      </c>
      <c r="B140" s="7">
        <v>0</v>
      </c>
      <c r="C140" s="7" t="s">
        <v>3634</v>
      </c>
      <c r="D140" s="7">
        <v>0</v>
      </c>
      <c r="E140" s="7" t="s">
        <v>3834</v>
      </c>
    </row>
    <row r="141" spans="1:17" x14ac:dyDescent="0.3">
      <c r="A141" s="7" t="s">
        <v>1777</v>
      </c>
      <c r="B141" s="7" t="s">
        <v>3567</v>
      </c>
      <c r="C141" s="7" t="s">
        <v>3635</v>
      </c>
      <c r="D141" s="7" t="s">
        <v>3835</v>
      </c>
      <c r="E141" s="7" t="s">
        <v>3836</v>
      </c>
      <c r="N141" s="7" t="s">
        <v>3750</v>
      </c>
      <c r="O141" s="7" t="s">
        <v>3751</v>
      </c>
    </row>
    <row r="142" spans="1:17" x14ac:dyDescent="0.3">
      <c r="A142" s="7" t="s">
        <v>1778</v>
      </c>
      <c r="B142" s="7" t="s">
        <v>3568</v>
      </c>
      <c r="C142" s="7" t="s">
        <v>3636</v>
      </c>
      <c r="D142" s="7" t="s">
        <v>3837</v>
      </c>
      <c r="E142" s="7" t="s">
        <v>3838</v>
      </c>
    </row>
    <row r="143" spans="1:17" x14ac:dyDescent="0.3">
      <c r="A143" s="7" t="s">
        <v>1791</v>
      </c>
      <c r="B143" s="7" t="s">
        <v>3569</v>
      </c>
      <c r="C143" s="7" t="s">
        <v>3637</v>
      </c>
      <c r="D143" s="7" t="s">
        <v>3839</v>
      </c>
      <c r="E143" s="7">
        <v>0.01</v>
      </c>
    </row>
    <row r="144" spans="1:17" x14ac:dyDescent="0.3">
      <c r="A144" s="7" t="s">
        <v>1756</v>
      </c>
      <c r="B144" s="7" t="s">
        <v>3570</v>
      </c>
      <c r="C144" s="7" t="s">
        <v>3638</v>
      </c>
      <c r="D144" s="7" t="s">
        <v>3840</v>
      </c>
      <c r="E144" s="7" t="s">
        <v>3841</v>
      </c>
      <c r="F144" s="7">
        <v>0.01</v>
      </c>
      <c r="G144" s="7">
        <v>0.02</v>
      </c>
      <c r="P144" s="45">
        <v>0.17632</v>
      </c>
      <c r="Q144" s="45">
        <v>0.36496000000000001</v>
      </c>
    </row>
    <row r="145" spans="1:17" x14ac:dyDescent="0.3">
      <c r="A145" s="7" t="s">
        <v>1798</v>
      </c>
      <c r="B145" s="7">
        <v>13.75</v>
      </c>
      <c r="C145" s="7">
        <v>88.47</v>
      </c>
      <c r="D145" s="7">
        <v>0.04</v>
      </c>
      <c r="E145" s="7">
        <v>0.28000000000000003</v>
      </c>
    </row>
    <row r="146" spans="1:17" x14ac:dyDescent="0.3">
      <c r="A146" s="7" t="s">
        <v>1714</v>
      </c>
      <c r="B146" s="7" t="s">
        <v>3571</v>
      </c>
      <c r="C146" s="7" t="s">
        <v>3639</v>
      </c>
      <c r="D146" s="7" t="s">
        <v>3842</v>
      </c>
      <c r="E146" s="7" t="s">
        <v>3843</v>
      </c>
    </row>
    <row r="147" spans="1:17" x14ac:dyDescent="0.3">
      <c r="A147" s="7" t="s">
        <v>1779</v>
      </c>
      <c r="B147" s="7" t="s">
        <v>3572</v>
      </c>
      <c r="C147" s="7" t="s">
        <v>3640</v>
      </c>
      <c r="D147" s="7">
        <v>0.01</v>
      </c>
      <c r="E147" s="7" t="s">
        <v>3844</v>
      </c>
    </row>
    <row r="148" spans="1:17" x14ac:dyDescent="0.3">
      <c r="A148" s="7" t="s">
        <v>1741</v>
      </c>
      <c r="B148" s="7" t="s">
        <v>3573</v>
      </c>
      <c r="C148" s="7" t="s">
        <v>3641</v>
      </c>
      <c r="D148" s="7" t="s">
        <v>3845</v>
      </c>
      <c r="E148" s="7" t="s">
        <v>3846</v>
      </c>
      <c r="F148" s="7">
        <v>0.02</v>
      </c>
      <c r="G148" s="7">
        <v>0.13</v>
      </c>
    </row>
    <row r="149" spans="1:17" x14ac:dyDescent="0.3">
      <c r="A149" s="7" t="s">
        <v>3760</v>
      </c>
      <c r="P149" s="18">
        <v>0.12079999999999999</v>
      </c>
      <c r="Q149" s="7">
        <v>0.72</v>
      </c>
    </row>
    <row r="150" spans="1:17" x14ac:dyDescent="0.3">
      <c r="A150" s="7" t="s">
        <v>1725</v>
      </c>
      <c r="B150" s="7" t="s">
        <v>3574</v>
      </c>
      <c r="C150" s="7" t="s">
        <v>3642</v>
      </c>
      <c r="D150" s="7">
        <v>0.03</v>
      </c>
      <c r="E150" s="7" t="s">
        <v>3847</v>
      </c>
    </row>
    <row r="151" spans="1:17" x14ac:dyDescent="0.3">
      <c r="A151" s="7" t="s">
        <v>1752</v>
      </c>
      <c r="B151" s="7" t="s">
        <v>3575</v>
      </c>
      <c r="C151" s="7" t="s">
        <v>3643</v>
      </c>
      <c r="D151" s="7" t="s">
        <v>3783</v>
      </c>
      <c r="E151" s="7" t="s">
        <v>3848</v>
      </c>
      <c r="F151" s="7">
        <v>0.01</v>
      </c>
      <c r="G151" s="7">
        <v>0.21</v>
      </c>
      <c r="P151" s="45">
        <v>0.11175</v>
      </c>
      <c r="Q151" s="45">
        <v>0.77839999999999998</v>
      </c>
    </row>
    <row r="152" spans="1:17" x14ac:dyDescent="0.3">
      <c r="A152" s="7" t="s">
        <v>1799</v>
      </c>
      <c r="B152" s="7">
        <v>22.63</v>
      </c>
      <c r="C152" s="7">
        <v>69.84</v>
      </c>
      <c r="D152" s="7">
        <v>7.0000000000000007E-2</v>
      </c>
      <c r="E152" s="7">
        <v>0.22</v>
      </c>
    </row>
    <row r="153" spans="1:17" x14ac:dyDescent="0.3">
      <c r="A153" s="7" t="s">
        <v>1718</v>
      </c>
      <c r="B153" s="7" t="s">
        <v>3576</v>
      </c>
      <c r="C153" s="7" t="s">
        <v>3644</v>
      </c>
      <c r="D153" s="7" t="s">
        <v>3849</v>
      </c>
      <c r="E153" s="7" t="s">
        <v>3850</v>
      </c>
    </row>
    <row r="154" spans="1:17" x14ac:dyDescent="0.3">
      <c r="A154" s="7" t="s">
        <v>3765</v>
      </c>
      <c r="P154" s="45">
        <v>9.0036900000000006</v>
      </c>
      <c r="Q154" s="45">
        <v>2.3778600000000001</v>
      </c>
    </row>
    <row r="155" spans="1:17" x14ac:dyDescent="0.3">
      <c r="A155" s="7" t="s">
        <v>1742</v>
      </c>
      <c r="B155" s="7" t="s">
        <v>3577</v>
      </c>
      <c r="C155" s="7" t="s">
        <v>3645</v>
      </c>
      <c r="D155" s="7">
        <v>0</v>
      </c>
      <c r="E155" s="7" t="s">
        <v>3851</v>
      </c>
    </row>
    <row r="156" spans="1:17" x14ac:dyDescent="0.3">
      <c r="A156" s="7" t="s">
        <v>3533</v>
      </c>
      <c r="B156" s="7" t="s">
        <v>3578</v>
      </c>
      <c r="C156" s="7" t="s">
        <v>3646</v>
      </c>
      <c r="D156" s="7" t="s">
        <v>3852</v>
      </c>
      <c r="E156" s="7" t="s">
        <v>3853</v>
      </c>
    </row>
    <row r="157" spans="1:17" x14ac:dyDescent="0.3">
      <c r="A157" s="7" t="s">
        <v>3667</v>
      </c>
      <c r="F157" s="7">
        <v>0.02</v>
      </c>
      <c r="G157" s="7">
        <v>0.12</v>
      </c>
    </row>
    <row r="158" spans="1:17" x14ac:dyDescent="0.3">
      <c r="A158" s="7" t="s">
        <v>3735</v>
      </c>
      <c r="L158" s="7">
        <v>0.08</v>
      </c>
      <c r="M158" s="7">
        <v>7.0000000000000007E-2</v>
      </c>
    </row>
    <row r="159" spans="1:17" x14ac:dyDescent="0.3">
      <c r="A159" s="7" t="s">
        <v>1780</v>
      </c>
      <c r="B159" s="7" t="s">
        <v>3579</v>
      </c>
      <c r="C159" s="7" t="s">
        <v>3647</v>
      </c>
      <c r="D159" s="7" t="s">
        <v>3854</v>
      </c>
      <c r="E159" s="7" t="s">
        <v>3855</v>
      </c>
      <c r="F159" s="7">
        <v>0.02</v>
      </c>
      <c r="G159" s="7">
        <v>0.2</v>
      </c>
      <c r="L159" s="7" t="s">
        <v>3733</v>
      </c>
      <c r="M159" s="7" t="s">
        <v>3734</v>
      </c>
    </row>
    <row r="160" spans="1:17" x14ac:dyDescent="0.3">
      <c r="A160" s="7" t="s">
        <v>3670</v>
      </c>
      <c r="F160" s="7">
        <v>0.03</v>
      </c>
      <c r="G160" s="7">
        <v>0.04</v>
      </c>
    </row>
    <row r="161" spans="1:17" x14ac:dyDescent="0.3">
      <c r="A161" s="7" t="s">
        <v>1743</v>
      </c>
      <c r="B161" s="7">
        <v>30.56</v>
      </c>
      <c r="C161" s="7">
        <v>6.22</v>
      </c>
      <c r="D161" s="7">
        <v>1.07</v>
      </c>
      <c r="E161" s="7">
        <v>0.22</v>
      </c>
    </row>
    <row r="162" spans="1:17" x14ac:dyDescent="0.3">
      <c r="A162" s="7" t="s">
        <v>1757</v>
      </c>
      <c r="B162" s="7" t="s">
        <v>3580</v>
      </c>
      <c r="C162" s="7" t="s">
        <v>3648</v>
      </c>
      <c r="D162" s="7">
        <v>0</v>
      </c>
      <c r="E162" s="7" t="s">
        <v>3856</v>
      </c>
      <c r="F162" s="7">
        <v>0</v>
      </c>
      <c r="G162" s="7">
        <v>0.01</v>
      </c>
      <c r="P162" s="45">
        <v>1.8879999999999997E-2</v>
      </c>
      <c r="Q162" s="45">
        <v>3.4159999999999996E-2</v>
      </c>
    </row>
    <row r="163" spans="1:17" x14ac:dyDescent="0.3">
      <c r="A163" s="7" t="s">
        <v>2025</v>
      </c>
      <c r="B163" s="7" t="s">
        <v>3581</v>
      </c>
      <c r="C163" s="7" t="s">
        <v>3649</v>
      </c>
      <c r="D163" s="7">
        <v>0.01</v>
      </c>
      <c r="E163" s="7" t="s">
        <v>3857</v>
      </c>
    </row>
    <row r="164" spans="1:17" x14ac:dyDescent="0.3">
      <c r="A164" s="7" t="s">
        <v>1767</v>
      </c>
      <c r="B164" s="7" t="s">
        <v>3582</v>
      </c>
      <c r="C164" s="7" t="s">
        <v>3650</v>
      </c>
      <c r="D164" s="7" t="s">
        <v>3858</v>
      </c>
      <c r="E164" s="7" t="s">
        <v>3859</v>
      </c>
    </row>
    <row r="165" spans="1:17" x14ac:dyDescent="0.3">
      <c r="A165" s="7" t="s">
        <v>1758</v>
      </c>
      <c r="B165" s="7" t="s">
        <v>3583</v>
      </c>
      <c r="C165" s="7" t="s">
        <v>3651</v>
      </c>
      <c r="D165" s="7" t="s">
        <v>3815</v>
      </c>
      <c r="E165" s="7" t="s">
        <v>3860</v>
      </c>
    </row>
    <row r="166" spans="1:17" x14ac:dyDescent="0.3">
      <c r="A166" s="7" t="s">
        <v>2030</v>
      </c>
      <c r="L166" s="7">
        <v>3.0000000000000001E-3</v>
      </c>
      <c r="M166" s="7">
        <v>3.0000000000000001E-3</v>
      </c>
    </row>
    <row r="167" spans="1:17" x14ac:dyDescent="0.3">
      <c r="A167" s="7" t="s">
        <v>2034</v>
      </c>
      <c r="N167" s="7" t="s">
        <v>3752</v>
      </c>
      <c r="O167" s="7" t="s">
        <v>3753</v>
      </c>
    </row>
    <row r="168" spans="1:17" x14ac:dyDescent="0.3">
      <c r="A168" s="7" t="s">
        <v>3664</v>
      </c>
      <c r="F168" s="7">
        <v>0.06</v>
      </c>
      <c r="G168" s="7">
        <v>0.06</v>
      </c>
      <c r="P168" s="45">
        <v>0.11921</v>
      </c>
      <c r="Q168" s="45">
        <v>0.51663000000000003</v>
      </c>
    </row>
    <row r="169" spans="1:17" x14ac:dyDescent="0.3">
      <c r="A169" s="7" t="s">
        <v>3668</v>
      </c>
      <c r="F169" s="7">
        <v>0.87</v>
      </c>
      <c r="G169" s="7">
        <v>3.37</v>
      </c>
    </row>
    <row r="170" spans="1:17" x14ac:dyDescent="0.3">
      <c r="A170" s="7" t="s">
        <v>3669</v>
      </c>
      <c r="F170" s="7">
        <v>20.62</v>
      </c>
      <c r="G170" s="7">
        <v>5.52</v>
      </c>
    </row>
    <row r="171" spans="1:17" x14ac:dyDescent="0.3">
      <c r="A171" s="7" t="s">
        <v>1744</v>
      </c>
      <c r="B171" s="7" t="s">
        <v>3584</v>
      </c>
      <c r="C171" s="7" t="s">
        <v>3652</v>
      </c>
      <c r="D171" s="7" t="s">
        <v>3861</v>
      </c>
      <c r="E171" s="7" t="s">
        <v>3862</v>
      </c>
      <c r="N171" s="7" t="s">
        <v>3754</v>
      </c>
      <c r="O171" s="7" t="s">
        <v>3755</v>
      </c>
    </row>
    <row r="172" spans="1:17" x14ac:dyDescent="0.3">
      <c r="A172" s="7" t="s">
        <v>1751</v>
      </c>
      <c r="B172" s="7" t="s">
        <v>3585</v>
      </c>
      <c r="C172" s="7" t="s">
        <v>3653</v>
      </c>
      <c r="D172" s="7" t="s">
        <v>3541</v>
      </c>
      <c r="E172" s="7" t="s">
        <v>3863</v>
      </c>
      <c r="L172" s="7">
        <v>0.03</v>
      </c>
      <c r="M172" s="7">
        <v>0.01</v>
      </c>
      <c r="N172" s="7" t="s">
        <v>3756</v>
      </c>
      <c r="O172" s="7" t="s">
        <v>3757</v>
      </c>
    </row>
    <row r="173" spans="1:17" x14ac:dyDescent="0.3">
      <c r="A173" s="7" t="s">
        <v>1785</v>
      </c>
      <c r="B173" s="7" t="s">
        <v>3586</v>
      </c>
      <c r="C173" s="7" t="s">
        <v>3654</v>
      </c>
      <c r="D173" s="7" t="s">
        <v>3864</v>
      </c>
      <c r="E173" s="7" t="s">
        <v>3865</v>
      </c>
    </row>
    <row r="174" spans="1:17" x14ac:dyDescent="0.3">
      <c r="A174" s="7" t="s">
        <v>1788</v>
      </c>
      <c r="B174" s="7">
        <v>29.29</v>
      </c>
      <c r="C174" s="7">
        <v>187.17</v>
      </c>
      <c r="D174" s="7">
        <v>0.09</v>
      </c>
      <c r="E174" s="7">
        <v>0.6</v>
      </c>
    </row>
    <row r="175" spans="1:17" x14ac:dyDescent="0.3">
      <c r="A175" s="7" t="s">
        <v>3763</v>
      </c>
      <c r="P175" s="45">
        <v>0.11159999999999999</v>
      </c>
      <c r="Q175" s="45">
        <v>0.17175000000000001</v>
      </c>
    </row>
    <row r="176" spans="1:17" x14ac:dyDescent="0.3">
      <c r="A176" s="7" t="s">
        <v>3767</v>
      </c>
      <c r="P176" s="45">
        <v>8.9749999999999996E-2</v>
      </c>
      <c r="Q176" s="45">
        <v>7.1309999999999998E-2</v>
      </c>
    </row>
    <row r="177" spans="1:17" x14ac:dyDescent="0.3">
      <c r="A177" s="7" t="s">
        <v>3768</v>
      </c>
      <c r="P177" s="45">
        <v>7.7900000000000011E-2</v>
      </c>
      <c r="Q177" s="45">
        <v>0.10421</v>
      </c>
    </row>
    <row r="178" spans="1:17" x14ac:dyDescent="0.3">
      <c r="A178" s="7" t="s">
        <v>1745</v>
      </c>
      <c r="B178" s="7" t="s">
        <v>3587</v>
      </c>
      <c r="C178" s="7" t="s">
        <v>3655</v>
      </c>
      <c r="D178" s="7" t="s">
        <v>3775</v>
      </c>
      <c r="E178" s="7" t="s">
        <v>3866</v>
      </c>
      <c r="F178" s="7">
        <v>0.23</v>
      </c>
      <c r="G178" s="7">
        <v>0.15</v>
      </c>
      <c r="L178" s="7">
        <v>3.36</v>
      </c>
      <c r="M178" s="7">
        <v>2.06</v>
      </c>
      <c r="P178" s="45">
        <v>0.22150999999999998</v>
      </c>
      <c r="Q178" s="45">
        <v>0.24398</v>
      </c>
    </row>
    <row r="179" spans="1:17" x14ac:dyDescent="0.3">
      <c r="A179" s="7" t="s">
        <v>3672</v>
      </c>
      <c r="F179" s="7">
        <v>0.09</v>
      </c>
      <c r="G179" s="7">
        <v>0.37</v>
      </c>
    </row>
    <row r="180" spans="1:17" ht="16.2" thickBot="1" x14ac:dyDescent="0.35">
      <c r="A180" s="7" t="s">
        <v>3671</v>
      </c>
      <c r="F180" s="7">
        <v>1.1599999999999999</v>
      </c>
      <c r="G180" s="7">
        <v>1.23</v>
      </c>
      <c r="P180" s="46">
        <v>9.7450000000000009E-2</v>
      </c>
      <c r="Q180" s="46">
        <v>0.22615000000000002</v>
      </c>
    </row>
    <row r="181" spans="1:17" x14ac:dyDescent="0.3">
      <c r="A181" s="7" t="s">
        <v>1723</v>
      </c>
      <c r="B181" s="7">
        <v>0</v>
      </c>
      <c r="C181" s="7" t="s">
        <v>3656</v>
      </c>
      <c r="D181" s="7">
        <v>0</v>
      </c>
      <c r="E181" s="7" t="s">
        <v>3867</v>
      </c>
    </row>
    <row r="182" spans="1:17" x14ac:dyDescent="0.3">
      <c r="A182" s="7" t="s">
        <v>1787</v>
      </c>
      <c r="B182" s="7">
        <v>9.9600000000000009</v>
      </c>
      <c r="C182" s="7">
        <v>18.66</v>
      </c>
      <c r="D182" s="7">
        <v>0.27</v>
      </c>
      <c r="E182" s="7">
        <v>0.51</v>
      </c>
    </row>
    <row r="183" spans="1:17" x14ac:dyDescent="0.3">
      <c r="A183" s="7" t="s">
        <v>3764</v>
      </c>
      <c r="P183" s="45">
        <v>9.0760000000000007E-2</v>
      </c>
      <c r="Q183" s="45">
        <v>1.2055100000000001</v>
      </c>
    </row>
    <row r="184" spans="1:17" x14ac:dyDescent="0.3">
      <c r="A184" s="7" t="s">
        <v>3673</v>
      </c>
      <c r="F184" s="7">
        <v>0.76</v>
      </c>
      <c r="G184" s="7">
        <v>0.5</v>
      </c>
    </row>
    <row r="185" spans="1:17" x14ac:dyDescent="0.3">
      <c r="A185" s="7" t="s">
        <v>1719</v>
      </c>
      <c r="B185" s="7" t="s">
        <v>3588</v>
      </c>
      <c r="C185" s="7" t="s">
        <v>3657</v>
      </c>
      <c r="D185" s="7" t="s">
        <v>3868</v>
      </c>
      <c r="E185" s="7" t="s">
        <v>3869</v>
      </c>
    </row>
    <row r="186" spans="1:17" x14ac:dyDescent="0.3">
      <c r="A186" s="7" t="s">
        <v>1782</v>
      </c>
      <c r="B186" s="7" t="s">
        <v>3589</v>
      </c>
      <c r="C186" s="7" t="s">
        <v>3658</v>
      </c>
      <c r="D186" s="7">
        <v>0</v>
      </c>
      <c r="E186" s="7" t="s">
        <v>3870</v>
      </c>
    </row>
    <row r="187" spans="1:17" x14ac:dyDescent="0.3">
      <c r="A187" s="7" t="s">
        <v>1746</v>
      </c>
      <c r="B187" s="7" t="s">
        <v>3590</v>
      </c>
      <c r="C187" s="7" t="s">
        <v>3659</v>
      </c>
      <c r="D187" s="7">
        <v>0</v>
      </c>
      <c r="E187" s="7" t="s">
        <v>3871</v>
      </c>
      <c r="F187" s="7">
        <v>0.09</v>
      </c>
      <c r="G187" s="7">
        <v>7.0000000000000007E-2</v>
      </c>
      <c r="L187" s="7">
        <v>1.1399999999999999</v>
      </c>
      <c r="M187" s="7">
        <v>1.1399999999999999</v>
      </c>
      <c r="P187" s="45">
        <v>0.30919000000000002</v>
      </c>
      <c r="Q187" s="45">
        <v>0.16400000000000001</v>
      </c>
    </row>
    <row r="188" spans="1:17" x14ac:dyDescent="0.3">
      <c r="A188" s="7" t="s">
        <v>1783</v>
      </c>
      <c r="B188" s="7">
        <v>326.33999999999997</v>
      </c>
      <c r="C188" s="7">
        <v>69.53</v>
      </c>
      <c r="D188" s="7">
        <v>1.05</v>
      </c>
      <c r="E188" s="7">
        <v>0.22</v>
      </c>
      <c r="N188" s="7" t="s">
        <v>3758</v>
      </c>
      <c r="O188" s="7" t="s">
        <v>3759</v>
      </c>
    </row>
    <row r="189" spans="1:17" x14ac:dyDescent="0.3">
      <c r="A189" s="7" t="s">
        <v>1800</v>
      </c>
      <c r="B189" s="7">
        <v>98.43</v>
      </c>
      <c r="C189" s="7">
        <v>979.32</v>
      </c>
      <c r="D189" s="7">
        <v>0.32</v>
      </c>
      <c r="E189" s="7">
        <v>3.15</v>
      </c>
    </row>
    <row r="190" spans="1:17" x14ac:dyDescent="0.3">
      <c r="A190" s="7" t="s">
        <v>1747</v>
      </c>
      <c r="B190" s="7" t="s">
        <v>3591</v>
      </c>
      <c r="C190" s="7" t="s">
        <v>3660</v>
      </c>
      <c r="D190" s="7" t="s">
        <v>3872</v>
      </c>
      <c r="E190" s="7" t="s">
        <v>3873</v>
      </c>
      <c r="H190" s="7" t="s">
        <v>3694</v>
      </c>
      <c r="I190" s="7" t="s">
        <v>3695</v>
      </c>
    </row>
    <row r="191" spans="1:17" x14ac:dyDescent="0.3">
      <c r="A191" s="7" t="s">
        <v>1784</v>
      </c>
      <c r="B191" s="7" t="s">
        <v>3592</v>
      </c>
      <c r="C191" s="7" t="s">
        <v>3661</v>
      </c>
      <c r="D191" s="7" t="s">
        <v>3815</v>
      </c>
      <c r="E191" s="7" t="s">
        <v>3874</v>
      </c>
    </row>
    <row r="192" spans="1:17" x14ac:dyDescent="0.3">
      <c r="A192" s="7" t="s">
        <v>1727</v>
      </c>
      <c r="B192" s="7">
        <v>0</v>
      </c>
      <c r="C192" s="7">
        <v>0.43</v>
      </c>
      <c r="D192" s="7">
        <v>0</v>
      </c>
      <c r="E192" s="7">
        <v>0.01</v>
      </c>
    </row>
    <row r="193" spans="1:1" ht="18.600000000000001" x14ac:dyDescent="0.3">
      <c r="A193" s="59" t="s">
        <v>4072</v>
      </c>
    </row>
    <row r="194" spans="1:1" ht="18.600000000000001" x14ac:dyDescent="0.3">
      <c r="A194" s="60" t="s">
        <v>4073</v>
      </c>
    </row>
    <row r="195" spans="1:1" ht="18.600000000000001" x14ac:dyDescent="0.3">
      <c r="A195" s="60" t="s">
        <v>4074</v>
      </c>
    </row>
    <row r="196" spans="1:1" ht="18.600000000000001" x14ac:dyDescent="0.3">
      <c r="A196" s="60" t="s">
        <v>4077</v>
      </c>
    </row>
    <row r="197" spans="1:1" ht="18.600000000000001" x14ac:dyDescent="0.3">
      <c r="A197" s="60" t="s">
        <v>4083</v>
      </c>
    </row>
    <row r="198" spans="1:1" s="71" customFormat="1" ht="34.799999999999997" customHeight="1" x14ac:dyDescent="0.3">
      <c r="A198" s="71" t="s">
        <v>4084</v>
      </c>
    </row>
    <row r="199" spans="1:1" ht="18.600000000000001" x14ac:dyDescent="0.3">
      <c r="A199" s="60" t="s">
        <v>4086</v>
      </c>
    </row>
    <row r="200" spans="1:1" ht="18.600000000000001" x14ac:dyDescent="0.3">
      <c r="A200" s="60" t="s">
        <v>4087</v>
      </c>
    </row>
    <row r="201" spans="1:1" x14ac:dyDescent="0.3">
      <c r="A201" s="42"/>
    </row>
    <row r="202" spans="1:1" x14ac:dyDescent="0.3">
      <c r="A202" s="42"/>
    </row>
    <row r="203" spans="1:1" x14ac:dyDescent="0.3">
      <c r="A203" s="42"/>
    </row>
    <row r="204" spans="1:1" x14ac:dyDescent="0.3">
      <c r="A204" s="42"/>
    </row>
    <row r="205" spans="1:1" x14ac:dyDescent="0.3">
      <c r="A205" s="42"/>
    </row>
    <row r="206" spans="1:1" x14ac:dyDescent="0.3">
      <c r="A206" s="42"/>
    </row>
    <row r="207" spans="1:1" x14ac:dyDescent="0.3">
      <c r="A207" s="42"/>
    </row>
    <row r="208" spans="1:1" x14ac:dyDescent="0.3">
      <c r="A208" s="42"/>
    </row>
    <row r="209" spans="1:1" x14ac:dyDescent="0.3">
      <c r="A209" s="42"/>
    </row>
    <row r="210" spans="1:1" x14ac:dyDescent="0.3">
      <c r="A210" s="42"/>
    </row>
    <row r="211" spans="1:1" x14ac:dyDescent="0.3">
      <c r="A211" s="42"/>
    </row>
    <row r="212" spans="1:1" x14ac:dyDescent="0.3">
      <c r="A212" s="42"/>
    </row>
    <row r="213" spans="1:1" x14ac:dyDescent="0.3">
      <c r="A213" s="42"/>
    </row>
    <row r="214" spans="1:1" x14ac:dyDescent="0.3">
      <c r="A214" s="42"/>
    </row>
    <row r="215" spans="1:1" x14ac:dyDescent="0.3">
      <c r="A215" s="42"/>
    </row>
    <row r="216" spans="1:1" x14ac:dyDescent="0.3">
      <c r="A216" s="42"/>
    </row>
    <row r="217" spans="1:1" x14ac:dyDescent="0.3">
      <c r="A217" s="42"/>
    </row>
    <row r="218" spans="1:1" x14ac:dyDescent="0.3">
      <c r="A218" s="42"/>
    </row>
    <row r="219" spans="1:1" x14ac:dyDescent="0.3">
      <c r="A219" s="42"/>
    </row>
    <row r="220" spans="1:1" x14ac:dyDescent="0.3">
      <c r="A220" s="42"/>
    </row>
    <row r="221" spans="1:1" x14ac:dyDescent="0.3">
      <c r="A221" s="42"/>
    </row>
    <row r="222" spans="1:1" x14ac:dyDescent="0.3">
      <c r="A222" s="42"/>
    </row>
    <row r="223" spans="1:1" x14ac:dyDescent="0.3">
      <c r="A223" s="42"/>
    </row>
    <row r="224" spans="1:1" x14ac:dyDescent="0.3">
      <c r="A224" s="42"/>
    </row>
    <row r="225" spans="1:1" x14ac:dyDescent="0.3">
      <c r="A225" s="42"/>
    </row>
    <row r="226" spans="1:1" x14ac:dyDescent="0.3">
      <c r="A226" s="42"/>
    </row>
    <row r="227" spans="1:1" x14ac:dyDescent="0.3">
      <c r="A227" s="42"/>
    </row>
    <row r="228" spans="1:1" x14ac:dyDescent="0.3">
      <c r="A228" s="42"/>
    </row>
    <row r="229" spans="1:1" x14ac:dyDescent="0.3">
      <c r="A229" s="42"/>
    </row>
    <row r="230" spans="1:1" x14ac:dyDescent="0.3">
      <c r="A230" s="42"/>
    </row>
    <row r="231" spans="1:1" x14ac:dyDescent="0.3">
      <c r="A231" s="42"/>
    </row>
    <row r="232" spans="1:1" x14ac:dyDescent="0.3">
      <c r="A232" s="42"/>
    </row>
    <row r="233" spans="1:1" x14ac:dyDescent="0.3">
      <c r="A233" s="42"/>
    </row>
  </sheetData>
  <mergeCells count="2">
    <mergeCell ref="A1:XFD1"/>
    <mergeCell ref="A198:XFD198"/>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2D030-5DDB-4D1E-810B-BF1B09A58C60}">
  <dimension ref="A1:F316"/>
  <sheetViews>
    <sheetView workbookViewId="0">
      <selection activeCell="H15" sqref="H15"/>
    </sheetView>
  </sheetViews>
  <sheetFormatPr defaultColWidth="9.109375" defaultRowHeight="15.6" x14ac:dyDescent="0.3"/>
  <cols>
    <col min="1" max="1" width="20.88671875" style="6" bestFit="1" customWidth="1"/>
    <col min="2" max="2" width="15.88671875" style="6" customWidth="1"/>
    <col min="3" max="3" width="16.44140625" style="6" customWidth="1"/>
    <col min="4" max="4" width="20.5546875" style="6" bestFit="1" customWidth="1"/>
    <col min="5" max="6" width="20.5546875" style="6" customWidth="1"/>
    <col min="7" max="16384" width="9.109375" style="13"/>
  </cols>
  <sheetData>
    <row r="1" spans="1:6" s="72" customFormat="1" ht="37.799999999999997" customHeight="1" x14ac:dyDescent="0.3">
      <c r="A1" s="72" t="s">
        <v>4133</v>
      </c>
    </row>
    <row r="2" spans="1:6" x14ac:dyDescent="0.3">
      <c r="A2" s="5" t="s">
        <v>30</v>
      </c>
      <c r="B2" s="5" t="s">
        <v>1862</v>
      </c>
      <c r="C2" s="5" t="s">
        <v>1863</v>
      </c>
      <c r="D2" s="5" t="s">
        <v>1864</v>
      </c>
      <c r="E2" s="5" t="s">
        <v>3901</v>
      </c>
      <c r="F2" s="5" t="s">
        <v>1865</v>
      </c>
    </row>
    <row r="3" spans="1:6" x14ac:dyDescent="0.3">
      <c r="A3" s="7" t="s">
        <v>1729</v>
      </c>
      <c r="B3" s="9">
        <v>4.5099782337596598E-10</v>
      </c>
      <c r="C3" s="9">
        <v>5.1582876048626197E-10</v>
      </c>
      <c r="D3" s="9">
        <v>5.1334827245769395E-10</v>
      </c>
      <c r="E3" s="9">
        <v>5.1271133445953604E-10</v>
      </c>
      <c r="F3" s="9">
        <v>5.13356728666882E-10</v>
      </c>
    </row>
    <row r="4" spans="1:6" x14ac:dyDescent="0.3">
      <c r="A4" s="7" t="s">
        <v>1769</v>
      </c>
      <c r="B4" s="9">
        <v>3.7090161007616399E-9</v>
      </c>
      <c r="C4" s="9">
        <v>3.3381144906854801E-9</v>
      </c>
      <c r="D4" s="9">
        <v>3.7083417341978702E-9</v>
      </c>
      <c r="E4" s="9">
        <v>3.7102943526691801E-9</v>
      </c>
      <c r="F4" s="9">
        <v>3.7231103619445398E-9</v>
      </c>
    </row>
    <row r="5" spans="1:6" x14ac:dyDescent="0.3">
      <c r="A5" s="7" t="s">
        <v>2345</v>
      </c>
      <c r="B5" s="7">
        <v>0</v>
      </c>
      <c r="C5" s="9">
        <v>5.1852183439713802E-11</v>
      </c>
      <c r="D5" s="9">
        <v>4.0741001274060798E-11</v>
      </c>
      <c r="E5" s="9">
        <v>3.7889794256276097E-11</v>
      </c>
      <c r="F5" s="9">
        <v>3.87335810294662E-11</v>
      </c>
    </row>
    <row r="6" spans="1:6" x14ac:dyDescent="0.3">
      <c r="A6" s="7" t="s">
        <v>1759</v>
      </c>
      <c r="B6" s="9">
        <v>2.0581849971004399E-9</v>
      </c>
      <c r="C6" s="9">
        <v>1.8437186612681301E-9</v>
      </c>
      <c r="D6" s="9">
        <v>1.8490803196639401E-9</v>
      </c>
      <c r="E6" s="9">
        <v>1.85706284760958E-9</v>
      </c>
      <c r="F6" s="9">
        <v>1.85216586759236E-9</v>
      </c>
    </row>
    <row r="7" spans="1:6" x14ac:dyDescent="0.3">
      <c r="A7" s="7" t="s">
        <v>1866</v>
      </c>
      <c r="B7" s="9">
        <v>2.10673317774896E-10</v>
      </c>
      <c r="C7" s="9">
        <v>2.10673317774896E-10</v>
      </c>
      <c r="D7" s="9">
        <v>2.1253988337038099E-10</v>
      </c>
      <c r="E7" s="9">
        <v>2.1381444467647499E-10</v>
      </c>
      <c r="F7" s="9">
        <v>2.1269241085245E-10</v>
      </c>
    </row>
    <row r="8" spans="1:6" x14ac:dyDescent="0.3">
      <c r="A8" s="7" t="s">
        <v>1867</v>
      </c>
      <c r="B8" s="9">
        <v>7.3294353957445993E-12</v>
      </c>
      <c r="C8" s="9">
        <v>8.7953224748935198E-12</v>
      </c>
      <c r="D8" s="9">
        <v>8.8649521111531005E-12</v>
      </c>
      <c r="E8" s="9">
        <v>8.8591763469541806E-12</v>
      </c>
      <c r="F8" s="9">
        <v>8.97782541624756E-12</v>
      </c>
    </row>
    <row r="9" spans="1:6" x14ac:dyDescent="0.3">
      <c r="A9" s="7" t="s">
        <v>1868</v>
      </c>
      <c r="B9" s="9">
        <v>1.45074561611268E-8</v>
      </c>
      <c r="C9" s="9">
        <v>1.3480985206330099E-8</v>
      </c>
      <c r="D9" s="9">
        <v>1.3730896668124599E-8</v>
      </c>
      <c r="E9" s="9">
        <v>1.3762243945285499E-8</v>
      </c>
      <c r="F9" s="9">
        <v>1.3702566069772199E-8</v>
      </c>
    </row>
    <row r="10" spans="1:6" x14ac:dyDescent="0.3">
      <c r="A10" s="7" t="s">
        <v>1869</v>
      </c>
      <c r="B10" s="9">
        <v>1.5834420574038999E-11</v>
      </c>
      <c r="C10" s="9">
        <v>2.0188886231899801E-11</v>
      </c>
      <c r="D10" s="9">
        <v>2.1325005908087101E-11</v>
      </c>
      <c r="E10" s="9">
        <v>2.1831889388622401E-11</v>
      </c>
      <c r="F10" s="9">
        <v>2.1722054003981101E-11</v>
      </c>
    </row>
    <row r="11" spans="1:6" x14ac:dyDescent="0.3">
      <c r="A11" s="7" t="s">
        <v>1721</v>
      </c>
      <c r="B11" s="9">
        <v>5.4301416329088898E-12</v>
      </c>
      <c r="C11" s="9">
        <v>5.1852528926012402E-12</v>
      </c>
      <c r="D11" s="9">
        <v>5.3393198522643603E-12</v>
      </c>
      <c r="E11" s="9">
        <v>5.3690533337773301E-12</v>
      </c>
      <c r="F11" s="9">
        <v>5.3419816863981397E-12</v>
      </c>
    </row>
    <row r="12" spans="1:6" x14ac:dyDescent="0.3">
      <c r="A12" s="7" t="s">
        <v>1870</v>
      </c>
      <c r="B12" s="9">
        <v>4.9089787976287802E-12</v>
      </c>
      <c r="C12" s="9">
        <v>5.2843712939180398E-12</v>
      </c>
      <c r="D12" s="9">
        <v>4.9863674045560999E-12</v>
      </c>
      <c r="E12" s="9">
        <v>5.0387340562306497E-12</v>
      </c>
      <c r="F12" s="9">
        <v>5.0065519703181196E-12</v>
      </c>
    </row>
    <row r="13" spans="1:6" x14ac:dyDescent="0.3">
      <c r="A13" s="7" t="s">
        <v>1730</v>
      </c>
      <c r="B13" s="9">
        <v>4.5391725499932099E-12</v>
      </c>
      <c r="C13" s="9">
        <v>5.26544015799212E-12</v>
      </c>
      <c r="D13" s="9">
        <v>5.6241860951932602E-12</v>
      </c>
      <c r="E13" s="9">
        <v>5.6507405523864497E-12</v>
      </c>
      <c r="F13" s="9">
        <v>5.6349288035615701E-12</v>
      </c>
    </row>
    <row r="14" spans="1:6" x14ac:dyDescent="0.3">
      <c r="A14" s="7" t="s">
        <v>1871</v>
      </c>
      <c r="B14" s="9">
        <v>6.4150409698177896E-11</v>
      </c>
      <c r="C14" s="9">
        <v>6.5473691691952001E-11</v>
      </c>
      <c r="D14" s="9">
        <v>6.6563097976826398E-11</v>
      </c>
      <c r="E14" s="9">
        <v>6.6690432836360697E-11</v>
      </c>
      <c r="F14" s="9">
        <v>6.6589247179703396E-11</v>
      </c>
    </row>
    <row r="15" spans="1:6" x14ac:dyDescent="0.3">
      <c r="A15" s="7" t="s">
        <v>1792</v>
      </c>
      <c r="B15" s="9">
        <v>3.0943168548985801E-9</v>
      </c>
      <c r="C15" s="9">
        <v>4.0226119113681601E-9</v>
      </c>
      <c r="D15" s="9">
        <v>3.9194680162048699E-9</v>
      </c>
      <c r="E15" s="9">
        <v>3.9771948716321601E-9</v>
      </c>
      <c r="F15" s="9">
        <v>3.9307450820760603E-9</v>
      </c>
    </row>
    <row r="16" spans="1:6" x14ac:dyDescent="0.3">
      <c r="A16" s="7" t="s">
        <v>1726</v>
      </c>
      <c r="B16" s="7">
        <v>0</v>
      </c>
      <c r="C16" s="7">
        <v>0</v>
      </c>
      <c r="D16" s="9">
        <v>1.7311585977031099E-14</v>
      </c>
      <c r="E16" s="9">
        <v>1.5700409911874601E-14</v>
      </c>
      <c r="F16" s="9">
        <v>1.7814180408622401E-14</v>
      </c>
    </row>
    <row r="17" spans="1:6" x14ac:dyDescent="0.3">
      <c r="A17" s="7" t="s">
        <v>1760</v>
      </c>
      <c r="B17" s="9">
        <v>2.6013957155182799E-10</v>
      </c>
      <c r="C17" s="9">
        <v>1.04055828620731E-10</v>
      </c>
      <c r="D17" s="9">
        <v>2.9655911156908397E-11</v>
      </c>
      <c r="E17" s="9">
        <v>2.5716215286453401E-11</v>
      </c>
      <c r="F17" s="9">
        <v>2.7574794584493802E-11</v>
      </c>
    </row>
    <row r="18" spans="1:6" x14ac:dyDescent="0.3">
      <c r="A18" s="7" t="s">
        <v>1872</v>
      </c>
      <c r="B18" s="9">
        <v>3.2442947836646099E-12</v>
      </c>
      <c r="C18" s="9">
        <v>3.9626743429046404E-12</v>
      </c>
      <c r="D18" s="9">
        <v>4.1615032660749404E-12</v>
      </c>
      <c r="E18" s="9">
        <v>4.13526381083141E-12</v>
      </c>
      <c r="F18" s="9">
        <v>4.16372792535517E-12</v>
      </c>
    </row>
    <row r="19" spans="1:6" x14ac:dyDescent="0.3">
      <c r="A19" s="7" t="s">
        <v>1873</v>
      </c>
      <c r="B19" s="9">
        <v>9.3680698514201495E-11</v>
      </c>
      <c r="C19" s="9">
        <v>8.8276042830689804E-11</v>
      </c>
      <c r="D19" s="9">
        <v>8.8736039081086502E-11</v>
      </c>
      <c r="E19" s="9">
        <v>8.8669732346709603E-11</v>
      </c>
      <c r="F19" s="9">
        <v>8.8633230519640094E-11</v>
      </c>
    </row>
    <row r="20" spans="1:6" x14ac:dyDescent="0.3">
      <c r="A20" s="7" t="s">
        <v>1768</v>
      </c>
      <c r="B20" s="9">
        <v>4.2086798949358801E-11</v>
      </c>
      <c r="C20" s="9">
        <v>3.3262147556751297E-11</v>
      </c>
      <c r="D20" s="9">
        <v>3.1203967324260101E-11</v>
      </c>
      <c r="E20" s="9">
        <v>3.1645237349558403E-11</v>
      </c>
      <c r="F20" s="9">
        <v>3.1194328089661999E-11</v>
      </c>
    </row>
    <row r="21" spans="1:6" x14ac:dyDescent="0.3">
      <c r="A21" s="7" t="s">
        <v>1874</v>
      </c>
      <c r="B21" s="7">
        <v>0</v>
      </c>
      <c r="C21" s="7">
        <v>0</v>
      </c>
      <c r="D21" s="7">
        <v>0</v>
      </c>
      <c r="E21" s="7">
        <v>0</v>
      </c>
      <c r="F21" s="7">
        <v>0</v>
      </c>
    </row>
    <row r="22" spans="1:6" x14ac:dyDescent="0.3">
      <c r="A22" s="7" t="s">
        <v>1753</v>
      </c>
      <c r="B22" s="9">
        <v>1.31732178054132E-9</v>
      </c>
      <c r="C22" s="9">
        <v>1.4975071735119199E-9</v>
      </c>
      <c r="D22" s="9">
        <v>1.46940430886037E-9</v>
      </c>
      <c r="E22" s="9">
        <v>1.46533051699476E-9</v>
      </c>
      <c r="F22" s="9">
        <v>1.4759136954518E-9</v>
      </c>
    </row>
    <row r="23" spans="1:6" x14ac:dyDescent="0.3">
      <c r="A23" s="7" t="s">
        <v>1875</v>
      </c>
      <c r="B23" s="9">
        <v>1.7437869181752301E-12</v>
      </c>
      <c r="C23" s="9">
        <v>1.26424551567704E-12</v>
      </c>
      <c r="D23" s="9">
        <v>1.22719004366582E-12</v>
      </c>
      <c r="E23" s="9">
        <v>1.24700802178554E-12</v>
      </c>
      <c r="F23" s="9">
        <v>1.24205582714326E-12</v>
      </c>
    </row>
    <row r="24" spans="1:6" x14ac:dyDescent="0.3">
      <c r="A24" s="7" t="s">
        <v>1786</v>
      </c>
      <c r="B24" s="9">
        <v>1.13986133120633E-9</v>
      </c>
      <c r="C24" s="9">
        <v>1.0891052417412899E-9</v>
      </c>
      <c r="D24" s="9">
        <v>1.1051622317389999E-9</v>
      </c>
      <c r="E24" s="9">
        <v>1.1023152621566999E-9</v>
      </c>
      <c r="F24" s="9">
        <v>1.1043111352783699E-9</v>
      </c>
    </row>
    <row r="25" spans="1:6" x14ac:dyDescent="0.3">
      <c r="A25" s="7" t="s">
        <v>1876</v>
      </c>
      <c r="B25" s="9">
        <v>5.7265049491227699E-11</v>
      </c>
      <c r="C25" s="9">
        <v>4.89355877470491E-11</v>
      </c>
      <c r="D25" s="9">
        <v>4.7988111473648797E-11</v>
      </c>
      <c r="E25" s="9">
        <v>4.7355674038943103E-11</v>
      </c>
      <c r="F25" s="9">
        <v>4.8134397645530998E-11</v>
      </c>
    </row>
    <row r="26" spans="1:6" x14ac:dyDescent="0.3">
      <c r="A26" s="7" t="s">
        <v>1731</v>
      </c>
      <c r="B26" s="9">
        <v>1.5737239517593699E-10</v>
      </c>
      <c r="C26" s="9">
        <v>1.96715493969922E-10</v>
      </c>
      <c r="D26" s="9">
        <v>1.9758104214338899E-10</v>
      </c>
      <c r="E26" s="9">
        <v>1.9957833698011901E-10</v>
      </c>
      <c r="F26" s="9">
        <v>1.98344298259993E-10</v>
      </c>
    </row>
    <row r="27" spans="1:6" x14ac:dyDescent="0.3">
      <c r="A27" s="7" t="s">
        <v>1877</v>
      </c>
      <c r="B27" s="9">
        <v>2.16471333382635E-10</v>
      </c>
      <c r="C27" s="9">
        <v>2.5543617339150901E-10</v>
      </c>
      <c r="D27" s="9">
        <v>2.63835261126755E-10</v>
      </c>
      <c r="E27" s="9">
        <v>2.6295705132566098E-10</v>
      </c>
      <c r="F27" s="9">
        <v>2.64586416653593E-10</v>
      </c>
    </row>
    <row r="28" spans="1:6" x14ac:dyDescent="0.3">
      <c r="A28" s="7" t="s">
        <v>1878</v>
      </c>
      <c r="B28" s="9">
        <v>2.1287105351850499E-15</v>
      </c>
      <c r="C28" s="9">
        <v>3.5123723830553398E-15</v>
      </c>
      <c r="D28" s="9">
        <v>3.7459983642918901E-15</v>
      </c>
      <c r="E28" s="9">
        <v>3.7221834465516502E-15</v>
      </c>
      <c r="F28" s="9">
        <v>3.68479793640532E-15</v>
      </c>
    </row>
    <row r="29" spans="1:6" x14ac:dyDescent="0.3">
      <c r="A29" s="7" t="s">
        <v>1879</v>
      </c>
      <c r="B29" s="9">
        <v>1.6260035176412401E-12</v>
      </c>
      <c r="C29" s="9">
        <v>1.6151634941903E-12</v>
      </c>
      <c r="D29" s="9">
        <v>1.65613878283486E-12</v>
      </c>
      <c r="E29" s="9">
        <v>1.66795303793397E-12</v>
      </c>
      <c r="F29" s="9">
        <v>1.65300059604581E-12</v>
      </c>
    </row>
    <row r="30" spans="1:6" x14ac:dyDescent="0.3">
      <c r="A30" s="7" t="s">
        <v>1880</v>
      </c>
      <c r="B30" s="9">
        <v>1.7406132199788001E-10</v>
      </c>
      <c r="C30" s="9">
        <v>2.1467563046405199E-10</v>
      </c>
      <c r="D30" s="9">
        <v>2.0777119802480299E-10</v>
      </c>
      <c r="E30" s="9">
        <v>2.06851274471612E-10</v>
      </c>
      <c r="F30" s="9">
        <v>2.0655276877081799E-10</v>
      </c>
    </row>
    <row r="31" spans="1:6" x14ac:dyDescent="0.3">
      <c r="A31" s="7" t="s">
        <v>2346</v>
      </c>
      <c r="B31" s="7">
        <v>0</v>
      </c>
      <c r="C31" s="9">
        <v>1.4266752553506899E-8</v>
      </c>
      <c r="D31" s="9">
        <v>1.3315635716606501E-8</v>
      </c>
      <c r="E31" s="9">
        <v>1.3618252038386799E-8</v>
      </c>
      <c r="F31" s="9">
        <v>1.28507773625714E-8</v>
      </c>
    </row>
    <row r="32" spans="1:6" x14ac:dyDescent="0.3">
      <c r="A32" s="7" t="s">
        <v>1881</v>
      </c>
      <c r="B32" s="9">
        <v>1.7884300607574799E-12</v>
      </c>
      <c r="C32" s="9">
        <v>2.4143805820225998E-12</v>
      </c>
      <c r="D32" s="9">
        <v>2.5038020850604702E-12</v>
      </c>
      <c r="E32" s="9">
        <v>2.5213713967164599E-12</v>
      </c>
      <c r="F32" s="9">
        <v>2.5628500842331501E-12</v>
      </c>
    </row>
    <row r="33" spans="1:6" x14ac:dyDescent="0.3">
      <c r="A33" s="7" t="s">
        <v>1882</v>
      </c>
      <c r="B33" s="7">
        <v>0</v>
      </c>
      <c r="C33" s="7">
        <v>0</v>
      </c>
      <c r="D33" s="9">
        <v>5.0885152483722801E-12</v>
      </c>
      <c r="E33" s="9">
        <v>6.3899044981464496E-12</v>
      </c>
      <c r="F33" s="9">
        <v>5.8378130981325997E-12</v>
      </c>
    </row>
    <row r="34" spans="1:6" x14ac:dyDescent="0.3">
      <c r="A34" s="7" t="s">
        <v>2347</v>
      </c>
      <c r="B34" s="9">
        <v>9.2218987148975599E-11</v>
      </c>
      <c r="C34" s="9">
        <v>8.9145020910676396E-11</v>
      </c>
      <c r="D34" s="9">
        <v>8.7976913740122694E-11</v>
      </c>
      <c r="E34" s="9">
        <v>8.8431380782908194E-11</v>
      </c>
      <c r="F34" s="9">
        <v>8.9301793188829694E-11</v>
      </c>
    </row>
    <row r="35" spans="1:6" x14ac:dyDescent="0.3">
      <c r="A35" s="7" t="s">
        <v>1883</v>
      </c>
      <c r="B35" s="9">
        <v>1.3345884019859699E-12</v>
      </c>
      <c r="C35" s="9">
        <v>1.13149886255332E-12</v>
      </c>
      <c r="D35" s="9">
        <v>1.1117701644370099E-12</v>
      </c>
      <c r="E35" s="9">
        <v>1.11802207864556E-12</v>
      </c>
      <c r="F35" s="9">
        <v>1.12031153020972E-12</v>
      </c>
    </row>
    <row r="36" spans="1:6" x14ac:dyDescent="0.3">
      <c r="A36" s="7" t="s">
        <v>1884</v>
      </c>
      <c r="B36" s="7">
        <v>0</v>
      </c>
      <c r="C36" s="9">
        <v>7.5793407290724599E-13</v>
      </c>
      <c r="D36" s="9">
        <v>1.36049166086851E-12</v>
      </c>
      <c r="E36" s="9">
        <v>1.4177495650098801E-12</v>
      </c>
      <c r="F36" s="9">
        <v>1.4510647825809201E-12</v>
      </c>
    </row>
    <row r="37" spans="1:6" x14ac:dyDescent="0.3">
      <c r="A37" s="7" t="s">
        <v>1885</v>
      </c>
      <c r="B37" s="7">
        <v>0</v>
      </c>
      <c r="C37" s="7">
        <v>0</v>
      </c>
      <c r="D37" s="9">
        <v>5.1283367348001902E-14</v>
      </c>
      <c r="E37" s="9">
        <v>7.1879807344492802E-14</v>
      </c>
      <c r="F37" s="9">
        <v>6.6668377552402402E-14</v>
      </c>
    </row>
    <row r="38" spans="1:6" x14ac:dyDescent="0.3">
      <c r="A38" s="7" t="s">
        <v>1886</v>
      </c>
      <c r="B38" s="9">
        <v>8.9781302346596698E-12</v>
      </c>
      <c r="C38" s="9">
        <v>8.1800742138010306E-12</v>
      </c>
      <c r="D38" s="9">
        <v>7.0827471851204101E-12</v>
      </c>
      <c r="E38" s="9">
        <v>7.1039159862214801E-12</v>
      </c>
      <c r="F38" s="9">
        <v>7.0934211843993904E-12</v>
      </c>
    </row>
    <row r="39" spans="1:6" x14ac:dyDescent="0.3">
      <c r="A39" s="7" t="s">
        <v>1887</v>
      </c>
      <c r="B39" s="9">
        <v>6.9273959327180803E-10</v>
      </c>
      <c r="C39" s="9">
        <v>6.9768773322375003E-10</v>
      </c>
      <c r="D39" s="9">
        <v>7.2945479171521404E-10</v>
      </c>
      <c r="E39" s="9">
        <v>7.2461605815239403E-10</v>
      </c>
      <c r="F39" s="9">
        <v>7.2455118502283996E-10</v>
      </c>
    </row>
    <row r="40" spans="1:6" x14ac:dyDescent="0.3">
      <c r="A40" s="7" t="s">
        <v>1888</v>
      </c>
      <c r="B40" s="7">
        <v>0</v>
      </c>
      <c r="C40" s="7">
        <v>0</v>
      </c>
      <c r="D40" s="7">
        <v>0</v>
      </c>
      <c r="E40" s="7">
        <v>0</v>
      </c>
      <c r="F40" s="7">
        <v>0</v>
      </c>
    </row>
    <row r="41" spans="1:6" x14ac:dyDescent="0.3">
      <c r="A41" s="7" t="s">
        <v>1889</v>
      </c>
      <c r="B41" s="9">
        <v>1.18135444105711E-12</v>
      </c>
      <c r="C41" s="9">
        <v>1.3880914682421E-12</v>
      </c>
      <c r="D41" s="9">
        <v>1.4478975368206201E-12</v>
      </c>
      <c r="E41" s="9">
        <v>1.4676932351518201E-12</v>
      </c>
      <c r="F41" s="9">
        <v>1.4634323477205199E-12</v>
      </c>
    </row>
    <row r="42" spans="1:6" x14ac:dyDescent="0.3">
      <c r="A42" s="7" t="s">
        <v>1890</v>
      </c>
      <c r="B42" s="9">
        <v>2.7896764818832299E-12</v>
      </c>
      <c r="C42" s="9">
        <v>2.3078232713761201E-12</v>
      </c>
      <c r="D42" s="9">
        <v>2.0146536338254898E-12</v>
      </c>
      <c r="E42" s="9">
        <v>2.0773956563267801E-12</v>
      </c>
      <c r="F42" s="9">
        <v>2.0338516801599002E-12</v>
      </c>
    </row>
    <row r="43" spans="1:6" x14ac:dyDescent="0.3">
      <c r="A43" s="7" t="s">
        <v>1720</v>
      </c>
      <c r="B43" s="9">
        <v>1.9445341604583902E-12</v>
      </c>
      <c r="C43" s="9">
        <v>1.26394720429795E-12</v>
      </c>
      <c r="D43" s="9">
        <v>1.1297743472263201E-12</v>
      </c>
      <c r="E43" s="9">
        <v>1.1577757308419301E-12</v>
      </c>
      <c r="F43" s="9">
        <v>1.14604361636882E-12</v>
      </c>
    </row>
    <row r="44" spans="1:6" x14ac:dyDescent="0.3">
      <c r="A44" s="7" t="s">
        <v>1732</v>
      </c>
      <c r="B44" s="9">
        <v>4.8751624109182102E-11</v>
      </c>
      <c r="C44" s="9">
        <v>5.4236181821465102E-11</v>
      </c>
      <c r="D44" s="9">
        <v>5.1493032400607403E-11</v>
      </c>
      <c r="E44" s="9">
        <v>5.1767500559619903E-11</v>
      </c>
      <c r="F44" s="9">
        <v>5.1668581775636303E-11</v>
      </c>
    </row>
    <row r="45" spans="1:6" x14ac:dyDescent="0.3">
      <c r="A45" s="7" t="s">
        <v>1891</v>
      </c>
      <c r="B45" s="9">
        <v>4.9024025453329898E-11</v>
      </c>
      <c r="C45" s="9">
        <v>7.2359461569114997E-11</v>
      </c>
      <c r="D45" s="9">
        <v>7.9434608922539494E-11</v>
      </c>
      <c r="E45" s="9">
        <v>7.9630361853507001E-11</v>
      </c>
      <c r="F45" s="9">
        <v>8.0020740170859506E-11</v>
      </c>
    </row>
    <row r="46" spans="1:6" x14ac:dyDescent="0.3">
      <c r="A46" s="7" t="s">
        <v>2348</v>
      </c>
      <c r="B46" s="7" t="s">
        <v>37</v>
      </c>
      <c r="C46" s="7" t="s">
        <v>37</v>
      </c>
      <c r="D46" s="7" t="s">
        <v>37</v>
      </c>
      <c r="E46" s="7" t="s">
        <v>37</v>
      </c>
      <c r="F46" s="7" t="s">
        <v>37</v>
      </c>
    </row>
    <row r="47" spans="1:6" x14ac:dyDescent="0.3">
      <c r="A47" s="7" t="s">
        <v>2349</v>
      </c>
      <c r="B47" s="9">
        <v>1.15013589483954E-11</v>
      </c>
      <c r="C47" s="9">
        <v>5.3673008425845003E-12</v>
      </c>
      <c r="D47" s="9">
        <v>6.21073383213349E-12</v>
      </c>
      <c r="E47" s="9">
        <v>6.0464660569853399E-12</v>
      </c>
      <c r="F47" s="9">
        <v>6.3272809361438998E-12</v>
      </c>
    </row>
    <row r="48" spans="1:6" x14ac:dyDescent="0.3">
      <c r="A48" s="7" t="s">
        <v>1892</v>
      </c>
      <c r="B48" s="9">
        <v>4.9553007110418198E-11</v>
      </c>
      <c r="C48" s="9">
        <v>7.7633044472988499E-11</v>
      </c>
      <c r="D48" s="9">
        <v>8.9740495876967399E-11</v>
      </c>
      <c r="E48" s="9">
        <v>9.0077038252811401E-11</v>
      </c>
      <c r="F48" s="9">
        <v>8.8518188368243705E-11</v>
      </c>
    </row>
    <row r="49" spans="1:6" x14ac:dyDescent="0.3">
      <c r="A49" s="7" t="s">
        <v>1733</v>
      </c>
      <c r="B49" s="9">
        <v>6.7567465273139798E-10</v>
      </c>
      <c r="C49" s="9">
        <v>8.4083956784351803E-10</v>
      </c>
      <c r="D49" s="9">
        <v>8.8565931980803401E-10</v>
      </c>
      <c r="E49" s="9">
        <v>8.75064305110044E-10</v>
      </c>
      <c r="F49" s="9">
        <v>8.7278396392542998E-10</v>
      </c>
    </row>
    <row r="50" spans="1:6" x14ac:dyDescent="0.3">
      <c r="A50" s="7" t="s">
        <v>1893</v>
      </c>
      <c r="B50" s="9">
        <v>1.63004415652219E-11</v>
      </c>
      <c r="C50" s="9">
        <v>1.7151345118626499E-11</v>
      </c>
      <c r="D50" s="9">
        <v>1.64467354653072E-11</v>
      </c>
      <c r="E50" s="9">
        <v>1.64081481923873E-11</v>
      </c>
      <c r="F50" s="9">
        <v>1.6436534874516401E-11</v>
      </c>
    </row>
    <row r="51" spans="1:6" x14ac:dyDescent="0.3">
      <c r="A51" s="7" t="s">
        <v>1894</v>
      </c>
      <c r="B51" s="9">
        <v>3.4982405629632903E-11</v>
      </c>
      <c r="C51" s="9">
        <v>3.1484165066669598E-11</v>
      </c>
      <c r="D51" s="9">
        <v>5.1144277030523298E-11</v>
      </c>
      <c r="E51" s="9">
        <v>4.79071960428304E-11</v>
      </c>
      <c r="F51" s="9">
        <v>4.8569571976182302E-11</v>
      </c>
    </row>
    <row r="52" spans="1:6" x14ac:dyDescent="0.3">
      <c r="A52" s="7" t="s">
        <v>1895</v>
      </c>
      <c r="B52" s="7">
        <v>0</v>
      </c>
      <c r="C52" s="9">
        <v>3.3866238961202898E-11</v>
      </c>
      <c r="D52" s="9">
        <v>5.0714692844401401E-11</v>
      </c>
      <c r="E52" s="9">
        <v>5.2982226159578999E-11</v>
      </c>
      <c r="F52" s="9">
        <v>5.1002555875571602E-11</v>
      </c>
    </row>
    <row r="53" spans="1:6" x14ac:dyDescent="0.3">
      <c r="A53" s="7" t="s">
        <v>1896</v>
      </c>
      <c r="B53" s="9">
        <v>6.3672832094610105E-11</v>
      </c>
      <c r="C53" s="9">
        <v>5.5395363922310799E-11</v>
      </c>
      <c r="D53" s="9">
        <v>4.9449913225476597E-11</v>
      </c>
      <c r="E53" s="9">
        <v>4.89635543823075E-11</v>
      </c>
      <c r="F53" s="9">
        <v>4.9479521092400503E-11</v>
      </c>
    </row>
    <row r="54" spans="1:6" x14ac:dyDescent="0.3">
      <c r="A54" s="7" t="s">
        <v>1794</v>
      </c>
      <c r="B54" s="9">
        <v>2.1272519754291801E-9</v>
      </c>
      <c r="C54" s="9">
        <v>1.84361837870529E-9</v>
      </c>
      <c r="D54" s="9">
        <v>1.82234585895099E-9</v>
      </c>
      <c r="E54" s="9">
        <v>1.83409292833554E-9</v>
      </c>
      <c r="F54" s="9">
        <v>1.82599764150881E-9</v>
      </c>
    </row>
    <row r="55" spans="1:6" x14ac:dyDescent="0.3">
      <c r="A55" s="7" t="s">
        <v>1897</v>
      </c>
      <c r="B55" s="9">
        <v>5.4382844594255597E-11</v>
      </c>
      <c r="C55" s="9">
        <v>6.5732307813926306E-11</v>
      </c>
      <c r="D55" s="9">
        <v>6.7216013682747802E-11</v>
      </c>
      <c r="E55" s="9">
        <v>6.7550048624948902E-11</v>
      </c>
      <c r="F55" s="9">
        <v>6.7490174153647999E-11</v>
      </c>
    </row>
    <row r="56" spans="1:6" x14ac:dyDescent="0.3">
      <c r="A56" s="7" t="s">
        <v>2350</v>
      </c>
      <c r="B56" s="7">
        <v>0</v>
      </c>
      <c r="C56" s="9">
        <v>1.74437073675935E-9</v>
      </c>
      <c r="D56" s="9">
        <v>2.4217680395342299E-9</v>
      </c>
      <c r="E56" s="9">
        <v>2.3809453472844801E-9</v>
      </c>
      <c r="F56" s="9">
        <v>2.4156627419555701E-9</v>
      </c>
    </row>
    <row r="57" spans="1:6" x14ac:dyDescent="0.3">
      <c r="A57" s="7" t="s">
        <v>1898</v>
      </c>
      <c r="B57" s="9">
        <v>1.38118915419999E-10</v>
      </c>
      <c r="C57" s="9">
        <v>1.50675180458181E-10</v>
      </c>
      <c r="D57" s="9">
        <v>1.5579813659375901E-10</v>
      </c>
      <c r="E57" s="9">
        <v>1.55669353967772E-10</v>
      </c>
      <c r="F57" s="9">
        <v>1.5624472108694999E-10</v>
      </c>
    </row>
    <row r="58" spans="1:6" x14ac:dyDescent="0.3">
      <c r="A58" s="7" t="s">
        <v>1899</v>
      </c>
      <c r="B58" s="9">
        <v>6.1660040582730995E-13</v>
      </c>
      <c r="C58" s="9">
        <v>5.5494036524457898E-13</v>
      </c>
      <c r="D58" s="9">
        <v>5.2361706462855197E-13</v>
      </c>
      <c r="E58" s="9">
        <v>5.1581888078858597E-13</v>
      </c>
      <c r="F58" s="9">
        <v>5.26108130268094E-13</v>
      </c>
    </row>
    <row r="59" spans="1:6" x14ac:dyDescent="0.3">
      <c r="A59" s="7" t="s">
        <v>2310</v>
      </c>
      <c r="B59" s="9">
        <v>3.2720121397794399E-9</v>
      </c>
      <c r="C59" s="9">
        <v>1.85414021254168E-9</v>
      </c>
      <c r="D59" s="9">
        <v>2.0504609409284499E-9</v>
      </c>
      <c r="E59" s="9">
        <v>1.9555749035158601E-9</v>
      </c>
      <c r="F59" s="9">
        <v>1.9841481615622498E-9</v>
      </c>
    </row>
    <row r="60" spans="1:6" x14ac:dyDescent="0.3">
      <c r="A60" s="7" t="s">
        <v>1734</v>
      </c>
      <c r="B60" s="9">
        <v>1.02549556156699E-9</v>
      </c>
      <c r="C60" s="9">
        <v>9.4858339444946805E-10</v>
      </c>
      <c r="D60" s="9">
        <v>1.0037037808836899E-9</v>
      </c>
      <c r="E60" s="9">
        <v>9.9724983755981901E-10</v>
      </c>
      <c r="F60" s="9">
        <v>9.9790973096083993E-10</v>
      </c>
    </row>
    <row r="61" spans="1:6" x14ac:dyDescent="0.3">
      <c r="A61" s="7" t="s">
        <v>1735</v>
      </c>
      <c r="B61" s="9">
        <v>2.0008794606243701E-10</v>
      </c>
      <c r="C61" s="9">
        <v>1.9335029073584499E-10</v>
      </c>
      <c r="D61" s="9">
        <v>1.8867476628193699E-10</v>
      </c>
      <c r="E61" s="9">
        <v>1.88798618249576E-10</v>
      </c>
      <c r="F61" s="9">
        <v>1.8908984668433E-10</v>
      </c>
    </row>
    <row r="62" spans="1:6" x14ac:dyDescent="0.3">
      <c r="A62" s="7" t="s">
        <v>1736</v>
      </c>
      <c r="B62" s="9">
        <v>4.3314305672842799E-11</v>
      </c>
      <c r="C62" s="9">
        <v>2.59885834037057E-11</v>
      </c>
      <c r="D62" s="9">
        <v>1.1564919614649E-11</v>
      </c>
      <c r="E62" s="9">
        <v>1.37097936549511E-11</v>
      </c>
      <c r="F62" s="9">
        <v>1.34967376476578E-11</v>
      </c>
    </row>
    <row r="63" spans="1:6" x14ac:dyDescent="0.3">
      <c r="A63" s="7" t="s">
        <v>1900</v>
      </c>
      <c r="B63" s="7">
        <v>0</v>
      </c>
      <c r="C63" s="9">
        <v>4.88482439862675E-12</v>
      </c>
      <c r="D63" s="9">
        <v>1.06977654329926E-11</v>
      </c>
      <c r="E63" s="9">
        <v>9.7021325869225906E-12</v>
      </c>
      <c r="F63" s="9">
        <v>1.0277670534710701E-11</v>
      </c>
    </row>
    <row r="64" spans="1:6" x14ac:dyDescent="0.3">
      <c r="A64" s="7" t="s">
        <v>1901</v>
      </c>
      <c r="B64" s="9">
        <v>1.6816333932396801E-9</v>
      </c>
      <c r="C64" s="9">
        <v>2.15249074334679E-9</v>
      </c>
      <c r="D64" s="9">
        <v>2.1329837959852001E-9</v>
      </c>
      <c r="E64" s="9">
        <v>2.0732550060492401E-9</v>
      </c>
      <c r="F64" s="9">
        <v>2.1084655811117701E-9</v>
      </c>
    </row>
    <row r="65" spans="1:6" x14ac:dyDescent="0.3">
      <c r="A65" s="7" t="s">
        <v>2351</v>
      </c>
      <c r="B65" s="9">
        <v>1.48964755538705E-10</v>
      </c>
      <c r="C65" s="9">
        <v>1.21654550356609E-10</v>
      </c>
      <c r="D65" s="9">
        <v>1.3900894437686799E-10</v>
      </c>
      <c r="E65" s="9">
        <v>1.3816300266418401E-10</v>
      </c>
      <c r="F65" s="9">
        <v>1.3707985079264201E-10</v>
      </c>
    </row>
    <row r="66" spans="1:6" x14ac:dyDescent="0.3">
      <c r="A66" s="7" t="s">
        <v>1765</v>
      </c>
      <c r="B66" s="9">
        <v>2.8406184563522798E-13</v>
      </c>
      <c r="C66" s="9">
        <v>3.4886345417076502E-13</v>
      </c>
      <c r="D66" s="9">
        <v>3.55450138216431E-13</v>
      </c>
      <c r="E66" s="9">
        <v>3.53170886284661E-13</v>
      </c>
      <c r="F66" s="9">
        <v>3.5483496678197799E-13</v>
      </c>
    </row>
    <row r="67" spans="1:6" x14ac:dyDescent="0.3">
      <c r="A67" s="7" t="s">
        <v>1902</v>
      </c>
      <c r="B67" s="9">
        <v>1.6766772450270599E-12</v>
      </c>
      <c r="C67" s="9">
        <v>1.4251756582729999E-12</v>
      </c>
      <c r="D67" s="9">
        <v>1.4209529155818201E-12</v>
      </c>
      <c r="E67" s="9">
        <v>1.4206909819651801E-12</v>
      </c>
      <c r="F67" s="9">
        <v>1.4199810637712801E-12</v>
      </c>
    </row>
    <row r="68" spans="1:6" x14ac:dyDescent="0.3">
      <c r="A68" s="7" t="s">
        <v>1903</v>
      </c>
      <c r="B68" s="9">
        <v>7.0440591759447303E-10</v>
      </c>
      <c r="C68" s="9">
        <v>7.3584221474331702E-10</v>
      </c>
      <c r="D68" s="9">
        <v>7.2627743025895595E-10</v>
      </c>
      <c r="E68" s="9">
        <v>7.2667043576747297E-10</v>
      </c>
      <c r="F68" s="9">
        <v>7.2794937554435398E-10</v>
      </c>
    </row>
    <row r="69" spans="1:6" x14ac:dyDescent="0.3">
      <c r="A69" s="7" t="s">
        <v>2352</v>
      </c>
      <c r="B69" s="9">
        <v>6.325582910968E-10</v>
      </c>
      <c r="C69" s="9">
        <v>8.8558160753552E-10</v>
      </c>
      <c r="D69" s="9">
        <v>8.5395369298068002E-10</v>
      </c>
      <c r="E69" s="9">
        <v>8.4561401124293401E-10</v>
      </c>
      <c r="F69" s="9">
        <v>8.5439648378444798E-10</v>
      </c>
    </row>
    <row r="70" spans="1:6" x14ac:dyDescent="0.3">
      <c r="A70" s="7" t="s">
        <v>1713</v>
      </c>
      <c r="B70" s="9">
        <v>1.5652246102540701E-11</v>
      </c>
      <c r="C70" s="9">
        <v>1.09565722717785E-11</v>
      </c>
      <c r="D70" s="9">
        <v>1.7780951572486201E-11</v>
      </c>
      <c r="E70" s="9">
        <v>1.7261732292802199E-11</v>
      </c>
      <c r="F70" s="9">
        <v>1.7259731777271601E-11</v>
      </c>
    </row>
    <row r="71" spans="1:6" x14ac:dyDescent="0.3">
      <c r="A71" s="7" t="s">
        <v>1904</v>
      </c>
      <c r="B71" s="9">
        <v>8.9185929616051204E-13</v>
      </c>
      <c r="C71" s="9">
        <v>1.0345567835461899E-12</v>
      </c>
      <c r="D71" s="9">
        <v>1.2930176075735101E-12</v>
      </c>
      <c r="E71" s="9">
        <v>1.28332876175679E-12</v>
      </c>
      <c r="F71" s="9">
        <v>1.2809775070753401E-12</v>
      </c>
    </row>
    <row r="72" spans="1:6" x14ac:dyDescent="0.3">
      <c r="A72" s="7" t="s">
        <v>1905</v>
      </c>
      <c r="B72" s="9">
        <v>9.3795541470791598E-14</v>
      </c>
      <c r="C72" s="9">
        <v>6.5656879029554095E-14</v>
      </c>
      <c r="D72" s="9">
        <v>4.2864562452151802E-14</v>
      </c>
      <c r="E72" s="9">
        <v>4.4744748701852303E-14</v>
      </c>
      <c r="F72" s="9">
        <v>4.3961970287359998E-14</v>
      </c>
    </row>
    <row r="73" spans="1:6" x14ac:dyDescent="0.3">
      <c r="A73" s="7" t="s">
        <v>1724</v>
      </c>
      <c r="B73" s="9">
        <v>8.09175560061025E-11</v>
      </c>
      <c r="C73" s="9">
        <v>8.2356090335099906E-11</v>
      </c>
      <c r="D73" s="9">
        <v>7.5150831514734296E-11</v>
      </c>
      <c r="E73" s="9">
        <v>7.5531141108806203E-11</v>
      </c>
      <c r="F73" s="9">
        <v>7.5459397128304203E-11</v>
      </c>
    </row>
    <row r="74" spans="1:6" x14ac:dyDescent="0.3">
      <c r="A74" s="7" t="s">
        <v>1906</v>
      </c>
      <c r="B74" s="7">
        <v>0</v>
      </c>
      <c r="C74" s="7">
        <v>0</v>
      </c>
      <c r="D74" s="7">
        <v>0</v>
      </c>
      <c r="E74" s="7">
        <v>0</v>
      </c>
      <c r="F74" s="7">
        <v>0</v>
      </c>
    </row>
    <row r="75" spans="1:6" x14ac:dyDescent="0.3">
      <c r="A75" s="7" t="s">
        <v>1907</v>
      </c>
      <c r="B75" s="9">
        <v>1.44598673398808E-13</v>
      </c>
      <c r="C75" s="9">
        <v>3.9041641817678102E-13</v>
      </c>
      <c r="D75" s="9">
        <v>3.8636765532161402E-13</v>
      </c>
      <c r="E75" s="9">
        <v>3.9001329078744598E-13</v>
      </c>
      <c r="F75" s="9">
        <v>3.8512410673038401E-13</v>
      </c>
    </row>
    <row r="76" spans="1:6" x14ac:dyDescent="0.3">
      <c r="A76" s="7" t="s">
        <v>1908</v>
      </c>
      <c r="B76" s="9">
        <v>1.6866330333951201E-10</v>
      </c>
      <c r="C76" s="9">
        <v>2.4034520725880401E-10</v>
      </c>
      <c r="D76" s="9">
        <v>2.3773092605704201E-10</v>
      </c>
      <c r="E76" s="9">
        <v>2.34267335133103E-10</v>
      </c>
      <c r="F76" s="9">
        <v>2.3472028609243099E-10</v>
      </c>
    </row>
    <row r="77" spans="1:6" x14ac:dyDescent="0.3">
      <c r="A77" s="7" t="s">
        <v>1909</v>
      </c>
      <c r="B77" s="9">
        <v>2.7591543993204099E-12</v>
      </c>
      <c r="C77" s="9">
        <v>3.2075169892099802E-12</v>
      </c>
      <c r="D77" s="9">
        <v>3.3772049847681801E-12</v>
      </c>
      <c r="E77" s="9">
        <v>3.30092828626683E-12</v>
      </c>
      <c r="F77" s="9">
        <v>3.3219529179217901E-12</v>
      </c>
    </row>
    <row r="78" spans="1:6" x14ac:dyDescent="0.3">
      <c r="A78" s="7" t="s">
        <v>2353</v>
      </c>
      <c r="B78" s="7">
        <v>0</v>
      </c>
      <c r="C78" s="9">
        <v>1.0628794774212801E-9</v>
      </c>
      <c r="D78" s="9">
        <v>1.72186475342248E-9</v>
      </c>
      <c r="E78" s="9">
        <v>1.94719535686909E-9</v>
      </c>
      <c r="F78" s="9">
        <v>1.84675309201948E-9</v>
      </c>
    </row>
    <row r="79" spans="1:6" x14ac:dyDescent="0.3">
      <c r="A79" s="7" t="s">
        <v>1910</v>
      </c>
      <c r="B79" s="7">
        <v>0</v>
      </c>
      <c r="C79" s="7">
        <v>0</v>
      </c>
      <c r="D79" s="7">
        <v>0</v>
      </c>
      <c r="E79" s="7">
        <v>0</v>
      </c>
      <c r="F79" s="7">
        <v>0</v>
      </c>
    </row>
    <row r="80" spans="1:6" x14ac:dyDescent="0.3">
      <c r="A80" s="7" t="s">
        <v>2354</v>
      </c>
      <c r="B80" s="9">
        <v>2.26539078373887E-11</v>
      </c>
      <c r="C80" s="9">
        <v>4.5307815674777398E-12</v>
      </c>
      <c r="D80" s="9">
        <v>1.15761469049056E-11</v>
      </c>
      <c r="E80" s="9">
        <v>1.15671311172025E-11</v>
      </c>
      <c r="F80" s="9">
        <v>1.15081851813935E-11</v>
      </c>
    </row>
    <row r="81" spans="1:6" x14ac:dyDescent="0.3">
      <c r="A81" s="7" t="s">
        <v>1764</v>
      </c>
      <c r="B81" s="9">
        <v>1.06662293834022E-10</v>
      </c>
      <c r="C81" s="9">
        <v>1.0843999873125599E-10</v>
      </c>
      <c r="D81" s="9">
        <v>1.02982444696748E-10</v>
      </c>
      <c r="E81" s="9">
        <v>1.00628912191726E-10</v>
      </c>
      <c r="F81" s="9">
        <v>1.00818977836815E-10</v>
      </c>
    </row>
    <row r="82" spans="1:6" x14ac:dyDescent="0.3">
      <c r="A82" s="7" t="s">
        <v>1763</v>
      </c>
      <c r="B82" s="9">
        <v>5.58159215826525E-12</v>
      </c>
      <c r="C82" s="9">
        <v>4.4652737266121998E-12</v>
      </c>
      <c r="D82" s="9">
        <v>2.8968463301396601E-12</v>
      </c>
      <c r="E82" s="9">
        <v>2.99339890103044E-12</v>
      </c>
      <c r="F82" s="9">
        <v>2.9046605591612298E-12</v>
      </c>
    </row>
    <row r="83" spans="1:6" x14ac:dyDescent="0.3">
      <c r="A83" s="7" t="s">
        <v>1911</v>
      </c>
      <c r="B83" s="7" t="s">
        <v>37</v>
      </c>
      <c r="C83" s="7" t="s">
        <v>37</v>
      </c>
      <c r="D83" s="7" t="s">
        <v>37</v>
      </c>
      <c r="E83" s="7" t="s">
        <v>37</v>
      </c>
      <c r="F83" s="7" t="s">
        <v>37</v>
      </c>
    </row>
    <row r="84" spans="1:6" x14ac:dyDescent="0.3">
      <c r="A84" s="7" t="s">
        <v>1912</v>
      </c>
      <c r="B84" s="9">
        <v>8.6107644813520097E-12</v>
      </c>
      <c r="C84" s="9">
        <v>8.2519826279623507E-12</v>
      </c>
      <c r="D84" s="9">
        <v>8.5547945122232196E-12</v>
      </c>
      <c r="E84" s="9">
        <v>8.4887821654147702E-12</v>
      </c>
      <c r="F84" s="9">
        <v>8.4525416840071697E-12</v>
      </c>
    </row>
    <row r="85" spans="1:6" x14ac:dyDescent="0.3">
      <c r="A85" s="7" t="s">
        <v>1913</v>
      </c>
      <c r="B85" s="7">
        <v>0</v>
      </c>
      <c r="C85" s="7">
        <v>0</v>
      </c>
      <c r="D85" s="9">
        <v>8.7712035616957902E-15</v>
      </c>
      <c r="E85" s="9">
        <v>9.7511363065578102E-15</v>
      </c>
      <c r="F85" s="9">
        <v>7.3847875148470899E-15</v>
      </c>
    </row>
    <row r="86" spans="1:6" x14ac:dyDescent="0.3">
      <c r="A86" s="7" t="s">
        <v>1770</v>
      </c>
      <c r="B86" s="7">
        <v>0</v>
      </c>
      <c r="C86" s="7">
        <v>0</v>
      </c>
      <c r="D86" s="9">
        <v>1.00302822868462E-13</v>
      </c>
      <c r="E86" s="9">
        <v>8.1870944279639203E-14</v>
      </c>
      <c r="F86" s="9">
        <v>9.2278597038984994E-14</v>
      </c>
    </row>
    <row r="87" spans="1:6" x14ac:dyDescent="0.3">
      <c r="A87" s="7" t="s">
        <v>1722</v>
      </c>
      <c r="B87" s="9">
        <v>6.2196094403220697E-12</v>
      </c>
      <c r="C87" s="9">
        <v>1.1817257936611901E-11</v>
      </c>
      <c r="D87" s="9">
        <v>1.4611417477676601E-11</v>
      </c>
      <c r="E87" s="9">
        <v>1.4783009051825701E-11</v>
      </c>
      <c r="F87" s="9">
        <v>1.4556840404837799E-11</v>
      </c>
    </row>
    <row r="88" spans="1:6" x14ac:dyDescent="0.3">
      <c r="A88" s="7" t="s">
        <v>1737</v>
      </c>
      <c r="B88" s="9">
        <v>3.89242707406655E-8</v>
      </c>
      <c r="C88" s="9">
        <v>3.7829525626084303E-8</v>
      </c>
      <c r="D88" s="9">
        <v>3.8020497829405697E-8</v>
      </c>
      <c r="E88" s="9">
        <v>3.8507446878618401E-8</v>
      </c>
      <c r="F88" s="9">
        <v>3.8363639603653898E-8</v>
      </c>
    </row>
    <row r="89" spans="1:6" x14ac:dyDescent="0.3">
      <c r="A89" s="7" t="s">
        <v>1914</v>
      </c>
      <c r="B89" s="9">
        <v>1.13204091235306E-10</v>
      </c>
      <c r="C89" s="9">
        <v>1.3332926301047101E-10</v>
      </c>
      <c r="D89" s="9">
        <v>1.33304106545752E-10</v>
      </c>
      <c r="E89" s="9">
        <v>1.3471218183334301E-10</v>
      </c>
      <c r="F89" s="9">
        <v>1.35979496568613E-10</v>
      </c>
    </row>
    <row r="90" spans="1:6" x14ac:dyDescent="0.3">
      <c r="A90" s="7" t="s">
        <v>1915</v>
      </c>
      <c r="B90" s="9">
        <v>2.24684337491103E-13</v>
      </c>
      <c r="C90" s="9">
        <v>2.08207486075089E-13</v>
      </c>
      <c r="D90" s="9">
        <v>2.0976529748169299E-13</v>
      </c>
      <c r="E90" s="9">
        <v>2.1085085839179401E-13</v>
      </c>
      <c r="F90" s="9">
        <v>2.0939082358587499E-13</v>
      </c>
    </row>
    <row r="91" spans="1:6" x14ac:dyDescent="0.3">
      <c r="A91" s="7" t="s">
        <v>1749</v>
      </c>
      <c r="B91" s="9">
        <v>1.2498317193596499E-10</v>
      </c>
      <c r="C91" s="9">
        <v>1.0808403882913E-10</v>
      </c>
      <c r="D91" s="9">
        <v>1.1407442945023E-10</v>
      </c>
      <c r="E91" s="9">
        <v>1.13638452668842E-10</v>
      </c>
      <c r="F91" s="9">
        <v>1.1409168064861E-10</v>
      </c>
    </row>
    <row r="92" spans="1:6" x14ac:dyDescent="0.3">
      <c r="A92" s="7" t="s">
        <v>1748</v>
      </c>
      <c r="B92" s="9">
        <v>3.83404942854223E-9</v>
      </c>
      <c r="C92" s="9">
        <v>2.9394378952157099E-9</v>
      </c>
      <c r="D92" s="9">
        <v>3.56950001797282E-9</v>
      </c>
      <c r="E92" s="9">
        <v>3.58732926464185E-9</v>
      </c>
      <c r="F92" s="9">
        <v>3.6066902974296799E-9</v>
      </c>
    </row>
    <row r="93" spans="1:6" x14ac:dyDescent="0.3">
      <c r="A93" s="7" t="s">
        <v>1916</v>
      </c>
      <c r="B93" s="9">
        <v>1.5315934731787399E-10</v>
      </c>
      <c r="C93" s="9">
        <v>1.5638375462982901E-10</v>
      </c>
      <c r="D93" s="9">
        <v>1.5874563298583601E-10</v>
      </c>
      <c r="E93" s="9">
        <v>1.6076417258415301E-10</v>
      </c>
      <c r="F93" s="9">
        <v>1.5991125622910801E-10</v>
      </c>
    </row>
    <row r="94" spans="1:6" x14ac:dyDescent="0.3">
      <c r="A94" s="7" t="s">
        <v>1917</v>
      </c>
      <c r="B94" s="9">
        <v>4.8103609919051704E-10</v>
      </c>
      <c r="C94" s="9">
        <v>4.8473637687659798E-10</v>
      </c>
      <c r="D94" s="9">
        <v>5.1478263168757499E-10</v>
      </c>
      <c r="E94" s="9">
        <v>5.1841876344141898E-10</v>
      </c>
      <c r="F94" s="9">
        <v>5.1826459299017696E-10</v>
      </c>
    </row>
    <row r="95" spans="1:6" x14ac:dyDescent="0.3">
      <c r="A95" s="7" t="s">
        <v>1918</v>
      </c>
      <c r="B95" s="9">
        <v>1.9365603539771301E-11</v>
      </c>
      <c r="C95" s="9">
        <v>2.15299945236281E-11</v>
      </c>
      <c r="D95" s="9">
        <v>2.13192511909895E-11</v>
      </c>
      <c r="E95" s="9">
        <v>2.1295454727805398E-11</v>
      </c>
      <c r="F95" s="9">
        <v>2.1326940474747898E-11</v>
      </c>
    </row>
    <row r="96" spans="1:6" x14ac:dyDescent="0.3">
      <c r="A96" s="7" t="s">
        <v>1919</v>
      </c>
      <c r="B96" s="9">
        <v>6.5407313398062005E-10</v>
      </c>
      <c r="C96" s="9">
        <v>1.21003529786415E-9</v>
      </c>
      <c r="D96" s="9">
        <v>1.3420490587392399E-9</v>
      </c>
      <c r="E96" s="9">
        <v>1.34448564162366E-9</v>
      </c>
      <c r="F96" s="9">
        <v>1.3328048251123099E-9</v>
      </c>
    </row>
    <row r="97" spans="1:6" x14ac:dyDescent="0.3">
      <c r="A97" s="7" t="s">
        <v>1920</v>
      </c>
      <c r="B97" s="9">
        <v>7.4591773361702096E-13</v>
      </c>
      <c r="C97" s="9">
        <v>6.2574209875650098E-13</v>
      </c>
      <c r="D97" s="9">
        <v>6.2561777913423097E-13</v>
      </c>
      <c r="E97" s="9">
        <v>6.2448073486485804E-13</v>
      </c>
      <c r="F97" s="9">
        <v>6.2869676177910602E-13</v>
      </c>
    </row>
    <row r="98" spans="1:6" x14ac:dyDescent="0.3">
      <c r="A98" s="7" t="s">
        <v>1921</v>
      </c>
      <c r="B98" s="9">
        <v>4.1119931271709302E-12</v>
      </c>
      <c r="C98" s="9">
        <v>3.5637273768814699E-12</v>
      </c>
      <c r="D98" s="9">
        <v>3.8306642640536502E-12</v>
      </c>
      <c r="E98" s="9">
        <v>3.7957987985635497E-12</v>
      </c>
      <c r="F98" s="9">
        <v>3.8192877497351401E-12</v>
      </c>
    </row>
    <row r="99" spans="1:6" x14ac:dyDescent="0.3">
      <c r="A99" s="7" t="s">
        <v>1761</v>
      </c>
      <c r="B99" s="9">
        <v>2.6917387447418699E-10</v>
      </c>
      <c r="C99" s="9">
        <v>4.3336993790344101E-10</v>
      </c>
      <c r="D99" s="9">
        <v>4.6553621590310702E-10</v>
      </c>
      <c r="E99" s="9">
        <v>4.61146586205347E-10</v>
      </c>
      <c r="F99" s="9">
        <v>4.5576251252094898E-10</v>
      </c>
    </row>
    <row r="100" spans="1:6" x14ac:dyDescent="0.3">
      <c r="A100" s="7" t="s">
        <v>1922</v>
      </c>
      <c r="B100" s="7" t="s">
        <v>37</v>
      </c>
      <c r="C100" s="7" t="s">
        <v>37</v>
      </c>
      <c r="D100" s="7" t="s">
        <v>37</v>
      </c>
      <c r="E100" s="7" t="s">
        <v>37</v>
      </c>
      <c r="F100" s="7" t="s">
        <v>37</v>
      </c>
    </row>
    <row r="101" spans="1:6" x14ac:dyDescent="0.3">
      <c r="A101" s="7" t="s">
        <v>1923</v>
      </c>
      <c r="B101" s="9">
        <v>3.5341270869219302E-10</v>
      </c>
      <c r="C101" s="9">
        <v>3.40717300710046E-10</v>
      </c>
      <c r="D101" s="9">
        <v>3.46533170042408E-10</v>
      </c>
      <c r="E101" s="9">
        <v>3.4826613950211301E-10</v>
      </c>
      <c r="F101" s="9">
        <v>3.4633038663382801E-10</v>
      </c>
    </row>
    <row r="102" spans="1:6" x14ac:dyDescent="0.3">
      <c r="A102" s="7" t="s">
        <v>1924</v>
      </c>
      <c r="B102" s="9">
        <v>1.0670094721726901E-10</v>
      </c>
      <c r="C102" s="9">
        <v>9.36597203351582E-11</v>
      </c>
      <c r="D102" s="9">
        <v>9.3126215599071805E-11</v>
      </c>
      <c r="E102" s="9">
        <v>9.2097437950295601E-11</v>
      </c>
      <c r="F102" s="9">
        <v>9.3047731124563106E-11</v>
      </c>
    </row>
    <row r="103" spans="1:6" x14ac:dyDescent="0.3">
      <c r="A103" s="7" t="s">
        <v>1925</v>
      </c>
      <c r="B103" s="9">
        <v>7.2278240842538098E-12</v>
      </c>
      <c r="C103" s="9">
        <v>7.5892152884665003E-12</v>
      </c>
      <c r="D103" s="9">
        <v>8.6932654173362701E-12</v>
      </c>
      <c r="E103" s="9">
        <v>9.0477264989673004E-12</v>
      </c>
      <c r="F103" s="9">
        <v>8.8913077972448293E-12</v>
      </c>
    </row>
    <row r="104" spans="1:6" x14ac:dyDescent="0.3">
      <c r="A104" s="7" t="s">
        <v>1926</v>
      </c>
      <c r="B104" s="7">
        <v>0</v>
      </c>
      <c r="C104" s="9">
        <v>3.9105247792916398E-13</v>
      </c>
      <c r="D104" s="9">
        <v>4.1712264312444199E-13</v>
      </c>
      <c r="E104" s="9">
        <v>4.1258491833777199E-13</v>
      </c>
      <c r="F104" s="9">
        <v>3.9365949444869198E-13</v>
      </c>
    </row>
    <row r="105" spans="1:6" x14ac:dyDescent="0.3">
      <c r="A105" s="7" t="s">
        <v>1927</v>
      </c>
      <c r="B105" s="9">
        <v>7.7670362294469396E-13</v>
      </c>
      <c r="C105" s="9">
        <v>1.3203961590059799E-12</v>
      </c>
      <c r="D105" s="9">
        <v>2.1033134109342301E-12</v>
      </c>
      <c r="E105" s="9">
        <v>2.0970476551362699E-12</v>
      </c>
      <c r="F105" s="9">
        <v>2.0714685623934999E-12</v>
      </c>
    </row>
    <row r="106" spans="1:6" x14ac:dyDescent="0.3">
      <c r="A106" s="7" t="s">
        <v>1738</v>
      </c>
      <c r="B106" s="9">
        <v>2.6356546146604399E-10</v>
      </c>
      <c r="C106" s="9">
        <v>8.1705293054473505E-10</v>
      </c>
      <c r="D106" s="9">
        <v>5.7694479514916996E-10</v>
      </c>
      <c r="E106" s="9">
        <v>5.9830617080182398E-10</v>
      </c>
      <c r="F106" s="9">
        <v>5.9310135793703803E-10</v>
      </c>
    </row>
    <row r="107" spans="1:6" x14ac:dyDescent="0.3">
      <c r="A107" s="7" t="s">
        <v>1928</v>
      </c>
      <c r="B107" s="9">
        <v>3.83299829917116E-11</v>
      </c>
      <c r="C107" s="9">
        <v>4.1719493884367102E-11</v>
      </c>
      <c r="D107" s="9">
        <v>4.1824980531773998E-11</v>
      </c>
      <c r="E107" s="9">
        <v>4.1775788102655701E-11</v>
      </c>
      <c r="F107" s="9">
        <v>4.1748193855103001E-11</v>
      </c>
    </row>
    <row r="108" spans="1:6" x14ac:dyDescent="0.3">
      <c r="A108" s="7" t="s">
        <v>1929</v>
      </c>
      <c r="B108" s="9">
        <v>2.6703156683463702E-12</v>
      </c>
      <c r="C108" s="9">
        <v>2.87058934347234E-12</v>
      </c>
      <c r="D108" s="9">
        <v>2.9991459692198799E-12</v>
      </c>
      <c r="E108" s="9">
        <v>2.9867607756116198E-12</v>
      </c>
      <c r="F108" s="9">
        <v>2.9902957801476401E-12</v>
      </c>
    </row>
    <row r="109" spans="1:6" x14ac:dyDescent="0.3">
      <c r="A109" s="7" t="s">
        <v>1930</v>
      </c>
      <c r="B109" s="9">
        <v>3.9902015544261199E-13</v>
      </c>
      <c r="C109" s="9">
        <v>3.4201727609366801E-13</v>
      </c>
      <c r="D109" s="9">
        <v>3.4264430776650601E-13</v>
      </c>
      <c r="E109" s="9">
        <v>3.3293296240518399E-13</v>
      </c>
      <c r="F109" s="9">
        <v>3.3864270563620998E-13</v>
      </c>
    </row>
    <row r="110" spans="1:6" x14ac:dyDescent="0.3">
      <c r="A110" s="7" t="s">
        <v>1931</v>
      </c>
      <c r="B110" s="7">
        <v>0</v>
      </c>
      <c r="C110" s="7">
        <v>0</v>
      </c>
      <c r="D110" s="7">
        <v>0</v>
      </c>
      <c r="E110" s="7">
        <v>0</v>
      </c>
      <c r="F110" s="7">
        <v>0</v>
      </c>
    </row>
    <row r="111" spans="1:6" x14ac:dyDescent="0.3">
      <c r="A111" s="7" t="s">
        <v>1932</v>
      </c>
      <c r="B111" s="9">
        <v>1.1877715102877399E-10</v>
      </c>
      <c r="C111" s="9">
        <v>5.54293371467613E-11</v>
      </c>
      <c r="D111" s="9">
        <v>4.53728716929917E-11</v>
      </c>
      <c r="E111" s="9">
        <v>4.7362059520945003E-11</v>
      </c>
      <c r="F111" s="9">
        <v>4.6350803569795298E-11</v>
      </c>
    </row>
    <row r="112" spans="1:6" x14ac:dyDescent="0.3">
      <c r="A112" s="7" t="s">
        <v>1933</v>
      </c>
      <c r="B112" s="9">
        <v>6.0877697823306805E-11</v>
      </c>
      <c r="C112" s="9">
        <v>6.2617060618258399E-11</v>
      </c>
      <c r="D112" s="9">
        <v>6.0070343592650097E-11</v>
      </c>
      <c r="E112" s="9">
        <v>6.0062613065047803E-11</v>
      </c>
      <c r="F112" s="9">
        <v>6.0160645511087997E-11</v>
      </c>
    </row>
    <row r="113" spans="1:6" x14ac:dyDescent="0.3">
      <c r="A113" s="7" t="s">
        <v>1771</v>
      </c>
      <c r="B113" s="9">
        <v>1.4712988074649299E-10</v>
      </c>
      <c r="C113" s="9">
        <v>1.4923173618572801E-10</v>
      </c>
      <c r="D113" s="9">
        <v>1.52915988505645E-10</v>
      </c>
      <c r="E113" s="9">
        <v>1.5210140224849601E-10</v>
      </c>
      <c r="F113" s="9">
        <v>1.5150414218060501E-10</v>
      </c>
    </row>
    <row r="114" spans="1:6" x14ac:dyDescent="0.3">
      <c r="A114" s="7" t="s">
        <v>1934</v>
      </c>
      <c r="B114" s="9">
        <v>4.5359538030891297E-14</v>
      </c>
      <c r="C114" s="9">
        <v>3.5380439664095201E-14</v>
      </c>
      <c r="D114" s="9">
        <v>2.9628850241778201E-14</v>
      </c>
      <c r="E114" s="9">
        <v>2.9199724378595203E-14</v>
      </c>
      <c r="F114" s="9">
        <v>2.9610706426565899E-14</v>
      </c>
    </row>
    <row r="115" spans="1:6" x14ac:dyDescent="0.3">
      <c r="A115" s="7" t="s">
        <v>1754</v>
      </c>
      <c r="B115" s="9">
        <v>3.2838261800565498E-10</v>
      </c>
      <c r="C115" s="9">
        <v>3.6964094693457098E-10</v>
      </c>
      <c r="D115" s="9">
        <v>3.7616649895904198E-10</v>
      </c>
      <c r="E115" s="9">
        <v>3.7310774321530499E-10</v>
      </c>
      <c r="F115" s="9">
        <v>3.7694788118855302E-10</v>
      </c>
    </row>
    <row r="116" spans="1:6" x14ac:dyDescent="0.3">
      <c r="A116" s="7" t="s">
        <v>1772</v>
      </c>
      <c r="B116" s="9">
        <v>1.58940668738217E-10</v>
      </c>
      <c r="C116" s="9">
        <v>2.12980496109211E-10</v>
      </c>
      <c r="D116" s="9">
        <v>1.8856720939102101E-10</v>
      </c>
      <c r="E116" s="9">
        <v>1.9168825278707201E-10</v>
      </c>
      <c r="F116" s="9">
        <v>1.87181246759624E-10</v>
      </c>
    </row>
    <row r="117" spans="1:6" x14ac:dyDescent="0.3">
      <c r="A117" s="7" t="s">
        <v>1935</v>
      </c>
      <c r="B117" s="9">
        <v>1.9681253013706799E-11</v>
      </c>
      <c r="C117" s="9">
        <v>1.91818779372396E-11</v>
      </c>
      <c r="D117" s="9">
        <v>1.8595846597503099E-11</v>
      </c>
      <c r="E117" s="9">
        <v>1.8445761562799101E-11</v>
      </c>
      <c r="F117" s="9">
        <v>1.8591822221886801E-11</v>
      </c>
    </row>
    <row r="118" spans="1:6" x14ac:dyDescent="0.3">
      <c r="A118" s="7" t="s">
        <v>1795</v>
      </c>
      <c r="B118" s="9">
        <v>1.5389751798610399E-10</v>
      </c>
      <c r="C118" s="9">
        <v>1.4510337410118401E-10</v>
      </c>
      <c r="D118" s="9">
        <v>1.5347979615157E-10</v>
      </c>
      <c r="E118" s="9">
        <v>1.5429949223997199E-10</v>
      </c>
      <c r="F118" s="9">
        <v>1.5237942889797001E-10</v>
      </c>
    </row>
    <row r="119" spans="1:6" x14ac:dyDescent="0.3">
      <c r="A119" s="7" t="s">
        <v>1773</v>
      </c>
      <c r="B119" s="9">
        <v>1.2815351203258601E-10</v>
      </c>
      <c r="C119" s="9">
        <v>9.3979242157229402E-11</v>
      </c>
      <c r="D119" s="9">
        <v>8.9942406528202896E-11</v>
      </c>
      <c r="E119" s="9">
        <v>8.8080211860865701E-11</v>
      </c>
      <c r="F119" s="9">
        <v>8.92183391852188E-11</v>
      </c>
    </row>
    <row r="120" spans="1:6" x14ac:dyDescent="0.3">
      <c r="A120" s="7" t="s">
        <v>1936</v>
      </c>
      <c r="B120" s="9">
        <v>2.6066424051120998E-12</v>
      </c>
      <c r="C120" s="9">
        <v>1.3033212025560499E-12</v>
      </c>
      <c r="D120" s="9">
        <v>1.17038243989533E-12</v>
      </c>
      <c r="E120" s="9">
        <v>1.23166702314796E-12</v>
      </c>
      <c r="F120" s="9">
        <v>1.1935815573008299E-12</v>
      </c>
    </row>
    <row r="121" spans="1:6" x14ac:dyDescent="0.3">
      <c r="A121" s="7" t="s">
        <v>2355</v>
      </c>
      <c r="B121" s="9">
        <v>7.2399870850133006E-11</v>
      </c>
      <c r="C121" s="9">
        <v>5.4299903137599703E-11</v>
      </c>
      <c r="D121" s="9">
        <v>4.5684318506433901E-11</v>
      </c>
      <c r="E121" s="9">
        <v>4.6127323350037599E-11</v>
      </c>
      <c r="F121" s="9">
        <v>4.5613728632355E-11</v>
      </c>
    </row>
    <row r="122" spans="1:6" x14ac:dyDescent="0.3">
      <c r="A122" s="7" t="s">
        <v>2356</v>
      </c>
      <c r="B122" s="9">
        <v>1.60242199583513E-8</v>
      </c>
      <c r="C122" s="9">
        <v>1.1216953970845899E-8</v>
      </c>
      <c r="D122" s="9">
        <v>1.13825375770822E-8</v>
      </c>
      <c r="E122" s="9">
        <v>1.1359850719901601E-8</v>
      </c>
      <c r="F122" s="9">
        <v>1.1382003436416899E-8</v>
      </c>
    </row>
    <row r="123" spans="1:6" x14ac:dyDescent="0.3">
      <c r="A123" s="7" t="s">
        <v>1728</v>
      </c>
      <c r="B123" s="9">
        <v>2.24840949289875E-10</v>
      </c>
      <c r="C123" s="9">
        <v>2.51724106270186E-10</v>
      </c>
      <c r="D123" s="9">
        <v>2.4333656129232902E-10</v>
      </c>
      <c r="E123" s="9">
        <v>2.4179241771459698E-10</v>
      </c>
      <c r="F123" s="9">
        <v>2.4269405384049899E-10</v>
      </c>
    </row>
    <row r="124" spans="1:6" x14ac:dyDescent="0.3">
      <c r="A124" s="7" t="s">
        <v>1937</v>
      </c>
      <c r="B124" s="7">
        <v>0</v>
      </c>
      <c r="C124" s="9">
        <v>6.1470101258661695E-13</v>
      </c>
      <c r="D124" s="9">
        <v>8.9541447500117198E-13</v>
      </c>
      <c r="E124" s="9">
        <v>9.5702666219884699E-13</v>
      </c>
      <c r="F124" s="9">
        <v>8.8557925879978598E-13</v>
      </c>
    </row>
    <row r="125" spans="1:6" x14ac:dyDescent="0.3">
      <c r="A125" s="7" t="s">
        <v>1938</v>
      </c>
      <c r="B125" s="9">
        <v>1.8975860879925299E-12</v>
      </c>
      <c r="C125" s="9">
        <v>1.8645088993027601E-12</v>
      </c>
      <c r="D125" s="9">
        <v>1.9533994916448698E-12</v>
      </c>
      <c r="E125" s="9">
        <v>1.9682318105811799E-12</v>
      </c>
      <c r="F125" s="9">
        <v>1.9628787175614902E-12</v>
      </c>
    </row>
    <row r="126" spans="1:6" x14ac:dyDescent="0.3">
      <c r="A126" s="7" t="s">
        <v>1939</v>
      </c>
      <c r="B126" s="7">
        <v>0</v>
      </c>
      <c r="C126" s="7">
        <v>0</v>
      </c>
      <c r="D126" s="9">
        <v>3.6543148434832099E-14</v>
      </c>
      <c r="E126" s="9">
        <v>3.2557244875665001E-14</v>
      </c>
      <c r="F126" s="9">
        <v>3.3232769106029697E-14</v>
      </c>
    </row>
    <row r="127" spans="1:6" x14ac:dyDescent="0.3">
      <c r="A127" s="7" t="s">
        <v>1940</v>
      </c>
      <c r="B127" s="9">
        <v>1.9119479817740798E-9</v>
      </c>
      <c r="C127" s="9">
        <v>1.81382155096346E-9</v>
      </c>
      <c r="D127" s="9">
        <v>1.78060019026427E-9</v>
      </c>
      <c r="E127" s="9">
        <v>1.77093231802167E-9</v>
      </c>
      <c r="F127" s="9">
        <v>1.7751536675479399E-9</v>
      </c>
    </row>
    <row r="128" spans="1:6" x14ac:dyDescent="0.3">
      <c r="A128" s="7" t="s">
        <v>1796</v>
      </c>
      <c r="B128" s="9">
        <v>1.14166093420334E-7</v>
      </c>
      <c r="C128" s="9">
        <v>1.2373966268921299E-7</v>
      </c>
      <c r="D128" s="9">
        <v>1.2051997407253001E-7</v>
      </c>
      <c r="E128" s="9">
        <v>1.20358451990836E-7</v>
      </c>
      <c r="F128" s="9">
        <v>1.20431610540134E-7</v>
      </c>
    </row>
    <row r="129" spans="1:6" x14ac:dyDescent="0.3">
      <c r="A129" s="7" t="s">
        <v>1789</v>
      </c>
      <c r="B129" s="9">
        <v>4.3766443895255701E-10</v>
      </c>
      <c r="C129" s="9">
        <v>4.4933549065795899E-10</v>
      </c>
      <c r="D129" s="9">
        <v>4.5499595073507801E-10</v>
      </c>
      <c r="E129" s="9">
        <v>4.5019953080842898E-10</v>
      </c>
      <c r="F129" s="9">
        <v>4.5255670092864902E-10</v>
      </c>
    </row>
    <row r="130" spans="1:6" x14ac:dyDescent="0.3">
      <c r="A130" s="7" t="s">
        <v>2357</v>
      </c>
      <c r="B130" s="7" t="s">
        <v>37</v>
      </c>
      <c r="C130" s="7" t="s">
        <v>37</v>
      </c>
      <c r="D130" s="7" t="s">
        <v>37</v>
      </c>
      <c r="E130" s="7" t="s">
        <v>37</v>
      </c>
      <c r="F130" s="7" t="s">
        <v>37</v>
      </c>
    </row>
    <row r="131" spans="1:6" x14ac:dyDescent="0.3">
      <c r="A131" s="7" t="s">
        <v>1941</v>
      </c>
      <c r="B131" s="7">
        <v>0</v>
      </c>
      <c r="C131" s="7">
        <v>0</v>
      </c>
      <c r="D131" s="7">
        <v>0</v>
      </c>
      <c r="E131" s="7">
        <v>0</v>
      </c>
      <c r="F131" s="7">
        <v>0</v>
      </c>
    </row>
    <row r="132" spans="1:6" x14ac:dyDescent="0.3">
      <c r="A132" s="7" t="s">
        <v>1942</v>
      </c>
      <c r="B132" s="9">
        <v>2.5229695736575499E-11</v>
      </c>
      <c r="C132" s="9">
        <v>2.2477365292585399E-11</v>
      </c>
      <c r="D132" s="9">
        <v>2.33544412607369E-11</v>
      </c>
      <c r="E132" s="9">
        <v>2.3295743981977E-11</v>
      </c>
      <c r="F132" s="9">
        <v>2.3323454607155E-11</v>
      </c>
    </row>
    <row r="133" spans="1:6" x14ac:dyDescent="0.3">
      <c r="A133" s="7" t="s">
        <v>1774</v>
      </c>
      <c r="B133" s="7">
        <v>0</v>
      </c>
      <c r="C133" s="7">
        <v>0</v>
      </c>
      <c r="D133" s="7">
        <v>0</v>
      </c>
      <c r="E133" s="7">
        <v>0</v>
      </c>
      <c r="F133" s="7">
        <v>0</v>
      </c>
    </row>
    <row r="134" spans="1:6" x14ac:dyDescent="0.3">
      <c r="A134" s="7" t="s">
        <v>1943</v>
      </c>
      <c r="B134" s="9">
        <v>9.4626835102122599E-10</v>
      </c>
      <c r="C134" s="9">
        <v>1.56134277918502E-9</v>
      </c>
      <c r="D134" s="9">
        <v>1.6351517105646801E-9</v>
      </c>
      <c r="E134" s="9">
        <v>1.6945156618702799E-9</v>
      </c>
      <c r="F134" s="9">
        <v>1.68487811241084E-9</v>
      </c>
    </row>
    <row r="135" spans="1:6" x14ac:dyDescent="0.3">
      <c r="A135" s="7" t="s">
        <v>1944</v>
      </c>
      <c r="B135" s="9">
        <v>5.7022149883531104E-13</v>
      </c>
      <c r="C135" s="9">
        <v>1.3685315972047501E-12</v>
      </c>
      <c r="D135" s="9">
        <v>1.3411609652606499E-12</v>
      </c>
      <c r="E135" s="9">
        <v>1.35390241783284E-12</v>
      </c>
      <c r="F135" s="9">
        <v>1.36727710990731E-12</v>
      </c>
    </row>
    <row r="136" spans="1:6" x14ac:dyDescent="0.3">
      <c r="A136" s="7" t="s">
        <v>1739</v>
      </c>
      <c r="B136" s="9">
        <v>6.0673526251125498E-12</v>
      </c>
      <c r="C136" s="9">
        <v>5.0055659157178502E-12</v>
      </c>
      <c r="D136" s="9">
        <v>5.6699410281676701E-12</v>
      </c>
      <c r="E136" s="9">
        <v>5.72552684191254E-12</v>
      </c>
      <c r="F136" s="9">
        <v>5.7239404665311801E-12</v>
      </c>
    </row>
    <row r="137" spans="1:6" x14ac:dyDescent="0.3">
      <c r="A137" s="7" t="s">
        <v>1945</v>
      </c>
      <c r="B137" s="9">
        <v>8.9668821847276399E-10</v>
      </c>
      <c r="C137" s="9">
        <v>9.1706749616532701E-10</v>
      </c>
      <c r="D137" s="9">
        <v>9.30191750999338E-10</v>
      </c>
      <c r="E137" s="9">
        <v>9.2900910008795205E-10</v>
      </c>
      <c r="F137" s="9">
        <v>9.3053004700903403E-10</v>
      </c>
    </row>
    <row r="138" spans="1:6" x14ac:dyDescent="0.3">
      <c r="A138" s="7" t="s">
        <v>1946</v>
      </c>
      <c r="B138" s="9">
        <v>1.5391875908929499E-9</v>
      </c>
      <c r="C138" s="9">
        <v>1.63037719533453E-9</v>
      </c>
      <c r="D138" s="9">
        <v>1.6431437399563599E-9</v>
      </c>
      <c r="E138" s="9">
        <v>1.6437706326337101E-9</v>
      </c>
      <c r="F138" s="9">
        <v>1.6431669729766001E-9</v>
      </c>
    </row>
    <row r="139" spans="1:6" x14ac:dyDescent="0.3">
      <c r="A139" s="7" t="s">
        <v>1715</v>
      </c>
      <c r="B139" s="9">
        <v>3.6079575824959801E-11</v>
      </c>
      <c r="C139" s="9">
        <v>4.6903448572447701E-11</v>
      </c>
      <c r="D139" s="9">
        <v>5.3433851796765398E-11</v>
      </c>
      <c r="E139" s="9">
        <v>5.4274355415585799E-11</v>
      </c>
      <c r="F139" s="9">
        <v>5.4594411485801599E-11</v>
      </c>
    </row>
    <row r="140" spans="1:6" x14ac:dyDescent="0.3">
      <c r="A140" s="7" t="s">
        <v>1947</v>
      </c>
      <c r="B140" s="9">
        <v>2.43204674892176E-9</v>
      </c>
      <c r="C140" s="9">
        <v>3.0805925486342301E-9</v>
      </c>
      <c r="D140" s="9">
        <v>2.6683606246919901E-9</v>
      </c>
      <c r="E140" s="9">
        <v>2.64352907491496E-9</v>
      </c>
      <c r="F140" s="9">
        <v>2.68554708838437E-9</v>
      </c>
    </row>
    <row r="141" spans="1:6" x14ac:dyDescent="0.3">
      <c r="A141" s="7" t="s">
        <v>1717</v>
      </c>
      <c r="B141" s="9">
        <v>8.7355274860725799E-13</v>
      </c>
      <c r="C141" s="9">
        <v>6.1148692402508101E-13</v>
      </c>
      <c r="D141" s="9">
        <v>6.4817613946658501E-13</v>
      </c>
      <c r="E141" s="9">
        <v>6.4631906941085903E-13</v>
      </c>
      <c r="F141" s="9">
        <v>6.5219448211017901E-13</v>
      </c>
    </row>
    <row r="142" spans="1:6" x14ac:dyDescent="0.3">
      <c r="A142" s="7" t="s">
        <v>1762</v>
      </c>
      <c r="B142" s="9">
        <v>4.6093833441601802E-10</v>
      </c>
      <c r="C142" s="9">
        <v>4.9422832523495201E-10</v>
      </c>
      <c r="D142" s="9">
        <v>5.9389343620979301E-10</v>
      </c>
      <c r="E142" s="9">
        <v>5.9171120121222904E-10</v>
      </c>
      <c r="F142" s="9">
        <v>5.8998826420988005E-10</v>
      </c>
    </row>
    <row r="143" spans="1:6" x14ac:dyDescent="0.3">
      <c r="A143" s="7" t="s">
        <v>1775</v>
      </c>
      <c r="B143" s="9">
        <v>8.3071714024124297E-10</v>
      </c>
      <c r="C143" s="9">
        <v>6.7749597881896896E-10</v>
      </c>
      <c r="D143" s="9">
        <v>5.9270744937168005E-10</v>
      </c>
      <c r="E143" s="9">
        <v>5.8842443172562201E-10</v>
      </c>
      <c r="F143" s="9">
        <v>5.9036298099811E-10</v>
      </c>
    </row>
    <row r="144" spans="1:6" x14ac:dyDescent="0.3">
      <c r="A144" s="7" t="s">
        <v>1948</v>
      </c>
      <c r="B144" s="9">
        <v>2.5258431241529601E-13</v>
      </c>
      <c r="C144" s="9">
        <v>1.2629215620764801E-13</v>
      </c>
      <c r="D144" s="9">
        <v>1.47761822762948E-13</v>
      </c>
      <c r="E144" s="9">
        <v>1.4958694383122801E-13</v>
      </c>
      <c r="F144" s="9">
        <v>1.4704195747256501E-13</v>
      </c>
    </row>
    <row r="145" spans="1:6" x14ac:dyDescent="0.3">
      <c r="A145" s="7" t="s">
        <v>1949</v>
      </c>
      <c r="B145" s="9">
        <v>9.6160072602142705E-12</v>
      </c>
      <c r="C145" s="9">
        <v>1.40393705999128E-11</v>
      </c>
      <c r="D145" s="9">
        <v>1.55548533441226E-11</v>
      </c>
      <c r="E145" s="9">
        <v>1.5345564541794101E-11</v>
      </c>
      <c r="F145" s="9">
        <v>1.5413882677687899E-11</v>
      </c>
    </row>
    <row r="146" spans="1:6" x14ac:dyDescent="0.3">
      <c r="A146" s="7" t="s">
        <v>1790</v>
      </c>
      <c r="B146" s="9">
        <v>1.45615753912723E-8</v>
      </c>
      <c r="C146" s="9">
        <v>1.28627249289572E-8</v>
      </c>
      <c r="D146" s="9">
        <v>1.39222528907603E-8</v>
      </c>
      <c r="E146" s="9">
        <v>1.3771068991436001E-8</v>
      </c>
      <c r="F146" s="9">
        <v>1.3878152119575299E-8</v>
      </c>
    </row>
    <row r="147" spans="1:6" x14ac:dyDescent="0.3">
      <c r="A147" s="7" t="s">
        <v>2358</v>
      </c>
      <c r="B147" s="7">
        <v>0</v>
      </c>
      <c r="C147" s="9">
        <v>1.50160273219257E-9</v>
      </c>
      <c r="D147" s="9">
        <v>1.2448286649876399E-9</v>
      </c>
      <c r="E147" s="9">
        <v>1.3073757259117999E-9</v>
      </c>
      <c r="F147" s="9">
        <v>1.2975349208875999E-9</v>
      </c>
    </row>
    <row r="148" spans="1:6" x14ac:dyDescent="0.3">
      <c r="A148" s="7" t="s">
        <v>1950</v>
      </c>
      <c r="B148" s="7">
        <v>0</v>
      </c>
      <c r="C148" s="9">
        <v>8.2903488057619001E-12</v>
      </c>
      <c r="D148" s="9">
        <v>1.0349118759192799E-11</v>
      </c>
      <c r="E148" s="9">
        <v>1.01190144997865E-11</v>
      </c>
      <c r="F148" s="9">
        <v>1.03815892920153E-11</v>
      </c>
    </row>
    <row r="149" spans="1:6" x14ac:dyDescent="0.3">
      <c r="A149" s="7" t="s">
        <v>1951</v>
      </c>
      <c r="B149" s="9">
        <v>2.1414811562316901E-11</v>
      </c>
      <c r="C149" s="9">
        <v>1.87379601170273E-11</v>
      </c>
      <c r="D149" s="9">
        <v>1.8984230449993899E-11</v>
      </c>
      <c r="E149" s="9">
        <v>1.9353775300510401E-11</v>
      </c>
      <c r="F149" s="9">
        <v>1.9431800011646299E-11</v>
      </c>
    </row>
    <row r="150" spans="1:6" x14ac:dyDescent="0.3">
      <c r="A150" s="7" t="s">
        <v>1952</v>
      </c>
      <c r="B150" s="9">
        <v>8.2550983101006502E-10</v>
      </c>
      <c r="C150" s="9">
        <v>8.8840581813464095E-10</v>
      </c>
      <c r="D150" s="9">
        <v>8.99569855849253E-10</v>
      </c>
      <c r="E150" s="9">
        <v>8.9545724536104E-10</v>
      </c>
      <c r="F150" s="9">
        <v>9.0109115253782899E-10</v>
      </c>
    </row>
    <row r="151" spans="1:6" x14ac:dyDescent="0.3">
      <c r="A151" s="7" t="s">
        <v>1953</v>
      </c>
      <c r="B151" s="9">
        <v>7.6713794917001207E-12</v>
      </c>
      <c r="C151" s="9">
        <v>6.7508139526961102E-12</v>
      </c>
      <c r="D151" s="9">
        <v>6.4301502899430398E-12</v>
      </c>
      <c r="E151" s="9">
        <v>6.7626025883192002E-12</v>
      </c>
      <c r="F151" s="9">
        <v>6.5863395763940604E-12</v>
      </c>
    </row>
    <row r="152" spans="1:6" x14ac:dyDescent="0.3">
      <c r="A152" s="7" t="s">
        <v>1954</v>
      </c>
      <c r="B152" s="9">
        <v>2.1927420480684401E-11</v>
      </c>
      <c r="C152" s="9">
        <v>2.4949848709103098E-11</v>
      </c>
      <c r="D152" s="9">
        <v>2.5727383186688398E-11</v>
      </c>
      <c r="E152" s="9">
        <v>2.5741927617657099E-11</v>
      </c>
      <c r="F152" s="9">
        <v>2.5938004949900199E-11</v>
      </c>
    </row>
    <row r="153" spans="1:6" x14ac:dyDescent="0.3">
      <c r="A153" s="7" t="s">
        <v>1955</v>
      </c>
      <c r="B153" s="7">
        <v>0</v>
      </c>
      <c r="C153" s="9">
        <v>9.6351396346625195E-12</v>
      </c>
      <c r="D153" s="9">
        <v>1.25457547326335E-11</v>
      </c>
      <c r="E153" s="9">
        <v>1.3162221866745E-11</v>
      </c>
      <c r="F153" s="9">
        <v>1.27400633819325E-11</v>
      </c>
    </row>
    <row r="154" spans="1:6" x14ac:dyDescent="0.3">
      <c r="A154" s="7" t="s">
        <v>2359</v>
      </c>
      <c r="B154" s="7" t="s">
        <v>37</v>
      </c>
      <c r="C154" s="7" t="s">
        <v>37</v>
      </c>
      <c r="D154" s="7" t="s">
        <v>37</v>
      </c>
      <c r="E154" s="7" t="s">
        <v>37</v>
      </c>
      <c r="F154" s="7" t="s">
        <v>37</v>
      </c>
    </row>
    <row r="155" spans="1:6" x14ac:dyDescent="0.3">
      <c r="A155" s="7" t="s">
        <v>2298</v>
      </c>
      <c r="B155" s="9">
        <v>6.2556354736938197E-9</v>
      </c>
      <c r="C155" s="9">
        <v>9.17493202808427E-9</v>
      </c>
      <c r="D155" s="9">
        <v>9.7348114029798704E-9</v>
      </c>
      <c r="E155" s="9">
        <v>9.8055751848937006E-9</v>
      </c>
      <c r="F155" s="9">
        <v>9.7678620103992196E-9</v>
      </c>
    </row>
    <row r="156" spans="1:6" x14ac:dyDescent="0.3">
      <c r="A156" s="7" t="s">
        <v>1755</v>
      </c>
      <c r="B156" s="7">
        <v>0</v>
      </c>
      <c r="C156" s="9">
        <v>7.9183002560352396E-13</v>
      </c>
      <c r="D156" s="9">
        <v>3.7216011203365599E-13</v>
      </c>
      <c r="E156" s="9">
        <v>3.7343020561374899E-13</v>
      </c>
      <c r="F156" s="9">
        <v>3.68992791931242E-13</v>
      </c>
    </row>
    <row r="157" spans="1:6" x14ac:dyDescent="0.3">
      <c r="A157" s="7" t="s">
        <v>1956</v>
      </c>
      <c r="B157" s="9">
        <v>3.3824729188865098E-11</v>
      </c>
      <c r="C157" s="9">
        <v>2.87510198105353E-11</v>
      </c>
      <c r="D157" s="9">
        <v>3.7038078461807302E-11</v>
      </c>
      <c r="E157" s="9">
        <v>3.79317241135039E-11</v>
      </c>
      <c r="F157" s="9">
        <v>3.6929839328402897E-11</v>
      </c>
    </row>
    <row r="158" spans="1:6" x14ac:dyDescent="0.3">
      <c r="A158" s="7" t="s">
        <v>1957</v>
      </c>
      <c r="B158" s="9">
        <v>3.6055267753167201E-12</v>
      </c>
      <c r="C158" s="9">
        <v>2.4337305733387902E-12</v>
      </c>
      <c r="D158" s="9">
        <v>2.3814504350966998E-12</v>
      </c>
      <c r="E158" s="9">
        <v>2.4573773119030299E-12</v>
      </c>
      <c r="F158" s="9">
        <v>2.3886614886473299E-12</v>
      </c>
    </row>
    <row r="159" spans="1:6" x14ac:dyDescent="0.3">
      <c r="A159" s="7" t="s">
        <v>1958</v>
      </c>
      <c r="B159" s="9">
        <v>1.0432510100229299E-9</v>
      </c>
      <c r="C159" s="9">
        <v>1.05629164764822E-9</v>
      </c>
      <c r="D159" s="9">
        <v>9.6774571817252399E-10</v>
      </c>
      <c r="E159" s="9">
        <v>9.6366033058384391E-10</v>
      </c>
      <c r="F159" s="9">
        <v>9.6970833413513002E-10</v>
      </c>
    </row>
    <row r="160" spans="1:6" x14ac:dyDescent="0.3">
      <c r="A160" s="7" t="s">
        <v>1959</v>
      </c>
      <c r="B160" s="9">
        <v>1.27217092579514E-8</v>
      </c>
      <c r="C160" s="9">
        <v>6.9969400918732603E-9</v>
      </c>
      <c r="D160" s="9">
        <v>5.9537599327212503E-9</v>
      </c>
      <c r="E160" s="9">
        <v>5.7082817791908798E-9</v>
      </c>
      <c r="F160" s="9">
        <v>5.7619801656576299E-9</v>
      </c>
    </row>
    <row r="161" spans="1:6" x14ac:dyDescent="0.3">
      <c r="A161" s="7" t="s">
        <v>1740</v>
      </c>
      <c r="B161" s="9">
        <v>2.94284723388778E-10</v>
      </c>
      <c r="C161" s="9">
        <v>3.4362069172160198E-10</v>
      </c>
      <c r="D161" s="9">
        <v>3.5128940539579199E-10</v>
      </c>
      <c r="E161" s="9">
        <v>3.5423361756655502E-10</v>
      </c>
      <c r="F161" s="9">
        <v>3.5145126199365602E-10</v>
      </c>
    </row>
    <row r="162" spans="1:6" x14ac:dyDescent="0.3">
      <c r="A162" s="7" t="s">
        <v>1960</v>
      </c>
      <c r="B162" s="9">
        <v>1.29717053809064E-11</v>
      </c>
      <c r="C162" s="9">
        <v>2.7672971479266902E-11</v>
      </c>
      <c r="D162" s="9">
        <v>2.6853592089373E-11</v>
      </c>
      <c r="E162" s="9">
        <v>2.70287978747278E-11</v>
      </c>
      <c r="F162" s="9">
        <v>2.7212692133334398E-11</v>
      </c>
    </row>
    <row r="163" spans="1:6" x14ac:dyDescent="0.3">
      <c r="A163" s="7" t="s">
        <v>1961</v>
      </c>
      <c r="B163" s="9">
        <v>5.4305260269743897E-12</v>
      </c>
      <c r="C163" s="9">
        <v>6.1067802114655396E-12</v>
      </c>
      <c r="D163" s="9">
        <v>6.3357844693954996E-12</v>
      </c>
      <c r="E163" s="9">
        <v>6.3581326071660999E-12</v>
      </c>
      <c r="F163" s="9">
        <v>6.3620969049375202E-12</v>
      </c>
    </row>
    <row r="164" spans="1:6" x14ac:dyDescent="0.3">
      <c r="A164" s="7" t="s">
        <v>1962</v>
      </c>
      <c r="B164" s="9">
        <v>7.9067982865705095E-12</v>
      </c>
      <c r="C164" s="9">
        <v>8.4998081580633005E-12</v>
      </c>
      <c r="D164" s="9">
        <v>8.50573825677823E-12</v>
      </c>
      <c r="E164" s="9">
        <v>8.3845965940873292E-12</v>
      </c>
      <c r="F164" s="9">
        <v>8.52273787309435E-12</v>
      </c>
    </row>
    <row r="165" spans="1:6" x14ac:dyDescent="0.3">
      <c r="A165" s="7" t="s">
        <v>1963</v>
      </c>
      <c r="B165" s="9">
        <v>3.1032190944327802E-13</v>
      </c>
      <c r="C165" s="9">
        <v>3.67214259507879E-13</v>
      </c>
      <c r="D165" s="9">
        <v>3.5092235926210699E-13</v>
      </c>
      <c r="E165" s="9">
        <v>3.4570273116107702E-13</v>
      </c>
      <c r="F165" s="9">
        <v>3.4465385669135302E-13</v>
      </c>
    </row>
    <row r="166" spans="1:6" x14ac:dyDescent="0.3">
      <c r="A166" s="7" t="s">
        <v>1964</v>
      </c>
      <c r="B166" s="9">
        <v>1.4425336048858901E-12</v>
      </c>
      <c r="C166" s="9">
        <v>1.0578579769163199E-12</v>
      </c>
      <c r="D166" s="9">
        <v>1.1352739470451999E-12</v>
      </c>
      <c r="E166" s="9">
        <v>1.13166056141399E-12</v>
      </c>
      <c r="F166" s="9">
        <v>1.14522742891891E-12</v>
      </c>
    </row>
    <row r="167" spans="1:6" x14ac:dyDescent="0.3">
      <c r="A167" s="7" t="s">
        <v>1965</v>
      </c>
      <c r="B167" s="9">
        <v>2.0132789652290101E-8</v>
      </c>
      <c r="C167" s="9">
        <v>1.8838538888928599E-8</v>
      </c>
      <c r="D167" s="9">
        <v>1.7392333498905799E-8</v>
      </c>
      <c r="E167" s="9">
        <v>1.7388698444490701E-8</v>
      </c>
      <c r="F167" s="9">
        <v>1.7395449287780501E-8</v>
      </c>
    </row>
    <row r="168" spans="1:6" x14ac:dyDescent="0.3">
      <c r="A168" s="7" t="s">
        <v>1966</v>
      </c>
      <c r="B168" s="9">
        <v>9.6575903267026701E-12</v>
      </c>
      <c r="C168" s="9">
        <v>1.34328301816864E-11</v>
      </c>
      <c r="D168" s="9">
        <v>1.23327428471993E-11</v>
      </c>
      <c r="E168" s="9">
        <v>1.22551058320827E-11</v>
      </c>
      <c r="F168" s="9">
        <v>1.23737437079499E-11</v>
      </c>
    </row>
    <row r="169" spans="1:6" x14ac:dyDescent="0.3">
      <c r="A169" s="7" t="s">
        <v>1967</v>
      </c>
      <c r="B169" s="9">
        <v>2.11949521264926E-10</v>
      </c>
      <c r="C169" s="9">
        <v>2.6493690158115699E-10</v>
      </c>
      <c r="D169" s="9">
        <v>2.0866430368532001E-10</v>
      </c>
      <c r="E169" s="9">
        <v>2.1365646631293199E-10</v>
      </c>
      <c r="F169" s="9">
        <v>2.0777411569600701E-10</v>
      </c>
    </row>
    <row r="170" spans="1:6" x14ac:dyDescent="0.3">
      <c r="A170" s="7" t="s">
        <v>1968</v>
      </c>
      <c r="B170" s="9">
        <v>9.5186472917919496E-14</v>
      </c>
      <c r="C170" s="9">
        <v>5.7111883750751695E-14</v>
      </c>
      <c r="D170" s="9">
        <v>1.11558546259802E-13</v>
      </c>
      <c r="E170" s="9">
        <v>1.11880492736957E-13</v>
      </c>
      <c r="F170" s="9">
        <v>1.08445948595386E-13</v>
      </c>
    </row>
    <row r="171" spans="1:6" x14ac:dyDescent="0.3">
      <c r="A171" s="7" t="s">
        <v>2299</v>
      </c>
      <c r="B171" s="9">
        <v>1.0910879607225E-8</v>
      </c>
      <c r="C171" s="9">
        <v>5.72821179379314E-9</v>
      </c>
      <c r="D171" s="9">
        <v>4.9153512630548696E-9</v>
      </c>
      <c r="E171" s="9">
        <v>5.0788204081263201E-9</v>
      </c>
      <c r="F171" s="9">
        <v>5.0094575996671903E-9</v>
      </c>
    </row>
    <row r="172" spans="1:6" x14ac:dyDescent="0.3">
      <c r="A172" s="7" t="s">
        <v>1969</v>
      </c>
      <c r="B172" s="7">
        <v>0</v>
      </c>
      <c r="C172" s="7">
        <v>0</v>
      </c>
      <c r="D172" s="7">
        <v>0</v>
      </c>
      <c r="E172" s="7">
        <v>0</v>
      </c>
      <c r="F172" s="7">
        <v>0</v>
      </c>
    </row>
    <row r="173" spans="1:6" x14ac:dyDescent="0.3">
      <c r="A173" s="7" t="s">
        <v>1970</v>
      </c>
      <c r="B173" s="9">
        <v>4.9313029244597399E-12</v>
      </c>
      <c r="C173" s="9">
        <v>4.7904085551894601E-12</v>
      </c>
      <c r="D173" s="9">
        <v>5.4321824072155802E-12</v>
      </c>
      <c r="E173" s="9">
        <v>5.3042074952470099E-12</v>
      </c>
      <c r="F173" s="9">
        <v>5.3804741736933898E-12</v>
      </c>
    </row>
    <row r="174" spans="1:6" x14ac:dyDescent="0.3">
      <c r="A174" s="7" t="s">
        <v>1971</v>
      </c>
      <c r="B174" s="7">
        <v>0</v>
      </c>
      <c r="C174" s="7">
        <v>0</v>
      </c>
      <c r="D174" s="7">
        <v>0</v>
      </c>
      <c r="E174" s="7">
        <v>0</v>
      </c>
      <c r="F174" s="7">
        <v>0</v>
      </c>
    </row>
    <row r="175" spans="1:6" x14ac:dyDescent="0.3">
      <c r="A175" s="7" t="s">
        <v>1972</v>
      </c>
      <c r="B175" s="9">
        <v>8.6078702692776202E-12</v>
      </c>
      <c r="C175" s="9">
        <v>7.0940723943356902E-12</v>
      </c>
      <c r="D175" s="9">
        <v>6.8278220622135498E-12</v>
      </c>
      <c r="E175" s="9">
        <v>6.7687148306546504E-12</v>
      </c>
      <c r="F175" s="9">
        <v>6.7770059453135397E-12</v>
      </c>
    </row>
    <row r="176" spans="1:6" x14ac:dyDescent="0.3">
      <c r="A176" s="7" t="s">
        <v>1750</v>
      </c>
      <c r="B176" s="9">
        <v>2.2571015651861498E-9</v>
      </c>
      <c r="C176" s="9">
        <v>2.2574867361017101E-9</v>
      </c>
      <c r="D176" s="9">
        <v>2.2742609294743798E-9</v>
      </c>
      <c r="E176" s="9">
        <v>2.27541896398635E-9</v>
      </c>
      <c r="F176" s="9">
        <v>2.2743595332287599E-9</v>
      </c>
    </row>
    <row r="177" spans="1:6" x14ac:dyDescent="0.3">
      <c r="A177" s="7" t="s">
        <v>1973</v>
      </c>
      <c r="B177" s="9">
        <v>1.8023217171620799E-12</v>
      </c>
      <c r="C177" s="9">
        <v>2.5232504040269099E-12</v>
      </c>
      <c r="D177" s="9">
        <v>2.42232038786584E-12</v>
      </c>
      <c r="E177" s="9">
        <v>2.4061032519477101E-12</v>
      </c>
      <c r="F177" s="9">
        <v>2.4215994591789698E-12</v>
      </c>
    </row>
    <row r="178" spans="1:6" x14ac:dyDescent="0.3">
      <c r="A178" s="7" t="s">
        <v>1974</v>
      </c>
      <c r="B178" s="7">
        <v>0</v>
      </c>
      <c r="C178" s="7">
        <v>0</v>
      </c>
      <c r="D178" s="7">
        <v>0</v>
      </c>
      <c r="E178" s="7">
        <v>0</v>
      </c>
      <c r="F178" s="7">
        <v>0</v>
      </c>
    </row>
    <row r="179" spans="1:6" x14ac:dyDescent="0.3">
      <c r="A179" s="7" t="s">
        <v>1766</v>
      </c>
      <c r="B179" s="9">
        <v>3.2288814424515499E-14</v>
      </c>
      <c r="C179" s="9">
        <v>3.5001074836174799E-14</v>
      </c>
      <c r="D179" s="9">
        <v>3.2800269244999799E-14</v>
      </c>
      <c r="E179" s="9">
        <v>3.28891306673758E-14</v>
      </c>
      <c r="F179" s="9">
        <v>3.2776375522325697E-14</v>
      </c>
    </row>
    <row r="180" spans="1:6" x14ac:dyDescent="0.3">
      <c r="A180" s="7" t="s">
        <v>1797</v>
      </c>
      <c r="B180" s="9">
        <v>3.02618362586389E-9</v>
      </c>
      <c r="C180" s="9">
        <v>3.1136257589625098E-9</v>
      </c>
      <c r="D180" s="9">
        <v>3.0696818007013799E-9</v>
      </c>
      <c r="E180" s="9">
        <v>3.07453680565553E-9</v>
      </c>
      <c r="F180" s="9">
        <v>3.06870536354845E-9</v>
      </c>
    </row>
    <row r="181" spans="1:6" x14ac:dyDescent="0.3">
      <c r="A181" s="7" t="s">
        <v>1975</v>
      </c>
      <c r="B181" s="7">
        <v>0</v>
      </c>
      <c r="C181" s="7">
        <v>0</v>
      </c>
      <c r="D181" s="7">
        <v>0</v>
      </c>
      <c r="E181" s="7">
        <v>0</v>
      </c>
      <c r="F181" s="7">
        <v>0</v>
      </c>
    </row>
    <row r="182" spans="1:6" x14ac:dyDescent="0.3">
      <c r="A182" s="7" t="s">
        <v>1976</v>
      </c>
      <c r="B182" s="9">
        <v>2.4646331104274399E-10</v>
      </c>
      <c r="C182" s="9">
        <v>2.7573082922907001E-10</v>
      </c>
      <c r="D182" s="9">
        <v>2.7845219495516698E-10</v>
      </c>
      <c r="E182" s="9">
        <v>2.7786971353685901E-10</v>
      </c>
      <c r="F182" s="9">
        <v>2.7777647471072502E-10</v>
      </c>
    </row>
    <row r="183" spans="1:6" x14ac:dyDescent="0.3">
      <c r="A183" s="7" t="s">
        <v>1977</v>
      </c>
      <c r="B183" s="9">
        <v>4.8739669559767403E-11</v>
      </c>
      <c r="C183" s="9">
        <v>6.1411983645306898E-11</v>
      </c>
      <c r="D183" s="9">
        <v>6.3049636542515104E-11</v>
      </c>
      <c r="E183" s="9">
        <v>6.0912430985615601E-11</v>
      </c>
      <c r="F183" s="9">
        <v>6.0966503065530594E-11</v>
      </c>
    </row>
    <row r="184" spans="1:6" x14ac:dyDescent="0.3">
      <c r="A184" s="7" t="s">
        <v>1978</v>
      </c>
      <c r="B184" s="9">
        <v>1.0259707678119E-10</v>
      </c>
      <c r="C184" s="9">
        <v>1.0003214986166E-10</v>
      </c>
      <c r="D184" s="9">
        <v>1.05623690546235E-10</v>
      </c>
      <c r="E184" s="9">
        <v>1.06435790392959E-10</v>
      </c>
      <c r="F184" s="9">
        <v>1.06194386785831E-10</v>
      </c>
    </row>
    <row r="185" spans="1:6" x14ac:dyDescent="0.3">
      <c r="A185" s="7" t="s">
        <v>1979</v>
      </c>
      <c r="B185" s="9">
        <v>3.4499582211172499E-12</v>
      </c>
      <c r="C185" s="9">
        <v>3.4499582211172499E-12</v>
      </c>
      <c r="D185" s="9">
        <v>3.3401345510783499E-12</v>
      </c>
      <c r="E185" s="9">
        <v>3.3830941997995899E-12</v>
      </c>
      <c r="F185" s="9">
        <v>3.3829140330201999E-12</v>
      </c>
    </row>
    <row r="186" spans="1:6" x14ac:dyDescent="0.3">
      <c r="A186" s="7" t="s">
        <v>1980</v>
      </c>
      <c r="B186" s="9">
        <v>5.9700928156157297E-12</v>
      </c>
      <c r="C186" s="9">
        <v>6.3789143888589798E-12</v>
      </c>
      <c r="D186" s="9">
        <v>6.3071434904451601E-12</v>
      </c>
      <c r="E186" s="9">
        <v>6.3197940086109497E-12</v>
      </c>
      <c r="F186" s="9">
        <v>6.3051642748921602E-12</v>
      </c>
    </row>
    <row r="187" spans="1:6" x14ac:dyDescent="0.3">
      <c r="A187" s="7" t="s">
        <v>1981</v>
      </c>
      <c r="B187" s="9">
        <v>4.7188318457846601E-11</v>
      </c>
      <c r="C187" s="9">
        <v>6.3704229918092895E-11</v>
      </c>
      <c r="D187" s="9">
        <v>6.2729004669963996E-11</v>
      </c>
      <c r="E187" s="9">
        <v>6.2518608901680394E-11</v>
      </c>
      <c r="F187" s="9">
        <v>6.28406836903143E-11</v>
      </c>
    </row>
    <row r="188" spans="1:6" x14ac:dyDescent="0.3">
      <c r="A188" s="7" t="s">
        <v>1982</v>
      </c>
      <c r="B188" s="9">
        <v>7.0991294714060697E-9</v>
      </c>
      <c r="C188" s="9">
        <v>8.9922306637810195E-9</v>
      </c>
      <c r="D188" s="9">
        <v>9.9577122718922504E-9</v>
      </c>
      <c r="E188" s="9">
        <v>9.71235494333139E-9</v>
      </c>
      <c r="F188" s="9">
        <v>9.7732532244602193E-9</v>
      </c>
    </row>
    <row r="189" spans="1:6" x14ac:dyDescent="0.3">
      <c r="A189" s="7" t="s">
        <v>1776</v>
      </c>
      <c r="B189" s="7">
        <v>0</v>
      </c>
      <c r="C189" s="7">
        <v>0</v>
      </c>
      <c r="D189" s="7">
        <v>0</v>
      </c>
      <c r="E189" s="7">
        <v>0</v>
      </c>
      <c r="F189" s="7">
        <v>0</v>
      </c>
    </row>
    <row r="190" spans="1:6" x14ac:dyDescent="0.3">
      <c r="A190" s="7" t="s">
        <v>1777</v>
      </c>
      <c r="B190" s="9">
        <v>4.8919846933339203E-7</v>
      </c>
      <c r="C190" s="9">
        <v>4.9668620100686199E-7</v>
      </c>
      <c r="D190" s="9">
        <v>5.0798269219157095E-7</v>
      </c>
      <c r="E190" s="9">
        <v>5.08283365290196E-7</v>
      </c>
      <c r="F190" s="9">
        <v>5.0733109314194199E-7</v>
      </c>
    </row>
    <row r="191" spans="1:6" x14ac:dyDescent="0.3">
      <c r="A191" s="7" t="s">
        <v>1983</v>
      </c>
      <c r="B191" s="9">
        <v>9.9632910002663104E-11</v>
      </c>
      <c r="C191" s="9">
        <v>7.8939921002109996E-11</v>
      </c>
      <c r="D191" s="9">
        <v>6.9352169431853695E-11</v>
      </c>
      <c r="E191" s="9">
        <v>6.9542562580081606E-11</v>
      </c>
      <c r="F191" s="9">
        <v>6.9552968065859102E-11</v>
      </c>
    </row>
    <row r="192" spans="1:6" x14ac:dyDescent="0.3">
      <c r="A192" s="7" t="s">
        <v>1778</v>
      </c>
      <c r="B192" s="9">
        <v>1.8196232547849999E-9</v>
      </c>
      <c r="C192" s="9">
        <v>2.2239839780705598E-9</v>
      </c>
      <c r="D192" s="9">
        <v>2.3414507681850102E-9</v>
      </c>
      <c r="E192" s="9">
        <v>2.31056459801259E-9</v>
      </c>
      <c r="F192" s="9">
        <v>2.3180585003429401E-9</v>
      </c>
    </row>
    <row r="193" spans="1:6" x14ac:dyDescent="0.3">
      <c r="A193" s="7" t="s">
        <v>1984</v>
      </c>
      <c r="B193" s="9">
        <v>6.6394405450977403E-11</v>
      </c>
      <c r="C193" s="9">
        <v>5.4947094166326102E-11</v>
      </c>
      <c r="D193" s="9">
        <v>5.32918129545655E-11</v>
      </c>
      <c r="E193" s="9">
        <v>5.31595769185471E-11</v>
      </c>
      <c r="F193" s="9">
        <v>5.26523661462049E-11</v>
      </c>
    </row>
    <row r="194" spans="1:6" x14ac:dyDescent="0.3">
      <c r="A194" s="7" t="s">
        <v>1791</v>
      </c>
      <c r="B194" s="9">
        <v>1.71363008633053E-10</v>
      </c>
      <c r="C194" s="9">
        <v>1.7246857643068599E-10</v>
      </c>
      <c r="D194" s="9">
        <v>1.93944230899699E-10</v>
      </c>
      <c r="E194" s="9">
        <v>1.93922058280399E-10</v>
      </c>
      <c r="F194" s="9">
        <v>1.94714811654649E-10</v>
      </c>
    </row>
    <row r="195" spans="1:6" x14ac:dyDescent="0.3">
      <c r="A195" s="7" t="s">
        <v>1985</v>
      </c>
      <c r="B195" s="9">
        <v>1.51921631705835E-12</v>
      </c>
      <c r="C195" s="9">
        <v>5.0134138462925704E-12</v>
      </c>
      <c r="D195" s="9">
        <v>5.2656037549242597E-12</v>
      </c>
      <c r="E195" s="9">
        <v>5.3266676477368498E-12</v>
      </c>
      <c r="F195" s="9">
        <v>5.2412962938513199E-12</v>
      </c>
    </row>
    <row r="196" spans="1:6" x14ac:dyDescent="0.3">
      <c r="A196" s="7" t="s">
        <v>1986</v>
      </c>
      <c r="B196" s="9">
        <v>6.1110453171362803E-12</v>
      </c>
      <c r="C196" s="9">
        <v>2.0166449546549701E-11</v>
      </c>
      <c r="D196" s="9">
        <v>2.06125558547007E-11</v>
      </c>
      <c r="E196" s="9">
        <v>2.08113177394268E-11</v>
      </c>
      <c r="F196" s="9">
        <v>2.13978251779527E-11</v>
      </c>
    </row>
    <row r="197" spans="1:6" x14ac:dyDescent="0.3">
      <c r="A197" s="7" t="s">
        <v>1756</v>
      </c>
      <c r="B197" s="9">
        <v>4.8231211983085004E-10</v>
      </c>
      <c r="C197" s="9">
        <v>4.8503397152289796E-10</v>
      </c>
      <c r="D197" s="9">
        <v>4.9060396882550398E-10</v>
      </c>
      <c r="E197" s="9">
        <v>4.9138381340594102E-10</v>
      </c>
      <c r="F197" s="9">
        <v>4.9013428609752402E-10</v>
      </c>
    </row>
    <row r="198" spans="1:6" x14ac:dyDescent="0.3">
      <c r="A198" s="7" t="s">
        <v>1798</v>
      </c>
      <c r="B198" s="7">
        <v>0</v>
      </c>
      <c r="C198" s="9">
        <v>1.9800331106677301E-10</v>
      </c>
      <c r="D198" s="9">
        <v>2.8941483967593301E-10</v>
      </c>
      <c r="E198" s="9">
        <v>2.96598527850593E-10</v>
      </c>
      <c r="F198" s="9">
        <v>2.91840380236501E-10</v>
      </c>
    </row>
    <row r="199" spans="1:6" x14ac:dyDescent="0.3">
      <c r="A199" s="7" t="s">
        <v>1987</v>
      </c>
      <c r="B199" s="9">
        <v>1.07727080453109E-10</v>
      </c>
      <c r="C199" s="9">
        <v>4.9823774709562699E-11</v>
      </c>
      <c r="D199" s="9">
        <v>4.8086675537256398E-11</v>
      </c>
      <c r="E199" s="9">
        <v>4.7873491703418403E-11</v>
      </c>
      <c r="F199" s="9">
        <v>4.8739770962503297E-11</v>
      </c>
    </row>
    <row r="200" spans="1:6" x14ac:dyDescent="0.3">
      <c r="A200" s="7" t="s">
        <v>1988</v>
      </c>
      <c r="B200" s="9">
        <v>3.3275916406274302E-11</v>
      </c>
      <c r="C200" s="9">
        <v>3.1905731613074799E-11</v>
      </c>
      <c r="D200" s="9">
        <v>3.2706311013672797E-11</v>
      </c>
      <c r="E200" s="9">
        <v>3.2669603501855298E-11</v>
      </c>
      <c r="F200" s="9">
        <v>3.2441082385846298E-11</v>
      </c>
    </row>
    <row r="201" spans="1:6" x14ac:dyDescent="0.3">
      <c r="A201" s="7" t="s">
        <v>1989</v>
      </c>
      <c r="B201" s="9">
        <v>5.4748410113557698E-11</v>
      </c>
      <c r="C201" s="9">
        <v>7.0032341270259206E-11</v>
      </c>
      <c r="D201" s="9">
        <v>6.5609125969834694E-11</v>
      </c>
      <c r="E201" s="9">
        <v>6.5895760798784105E-11</v>
      </c>
      <c r="F201" s="9">
        <v>6.6111670751002099E-11</v>
      </c>
    </row>
    <row r="202" spans="1:6" x14ac:dyDescent="0.3">
      <c r="A202" s="7" t="s">
        <v>1990</v>
      </c>
      <c r="B202" s="9">
        <v>2.1735988802471799E-11</v>
      </c>
      <c r="C202" s="9">
        <v>2.0286922882307E-11</v>
      </c>
      <c r="D202" s="9">
        <v>2.0569490736739201E-11</v>
      </c>
      <c r="E202" s="9">
        <v>2.1053523463241999E-11</v>
      </c>
      <c r="F202" s="9">
        <v>2.06136872473042E-11</v>
      </c>
    </row>
    <row r="203" spans="1:6" x14ac:dyDescent="0.3">
      <c r="A203" s="7" t="s">
        <v>1991</v>
      </c>
      <c r="B203" s="9">
        <v>8.0676807226553097E-11</v>
      </c>
      <c r="C203" s="9">
        <v>6.3645036812058599E-11</v>
      </c>
      <c r="D203" s="9">
        <v>6.4003600399732106E-11</v>
      </c>
      <c r="E203" s="9">
        <v>6.4566940861391194E-11</v>
      </c>
      <c r="F203" s="9">
        <v>6.5083773207598795E-11</v>
      </c>
    </row>
    <row r="204" spans="1:6" x14ac:dyDescent="0.3">
      <c r="A204" s="7" t="s">
        <v>1992</v>
      </c>
      <c r="B204" s="9">
        <v>5.8572891605855495E-11</v>
      </c>
      <c r="C204" s="9">
        <v>6.5473259658052197E-11</v>
      </c>
      <c r="D204" s="9">
        <v>6.6527571706957603E-11</v>
      </c>
      <c r="E204" s="9">
        <v>6.6453612905778001E-11</v>
      </c>
      <c r="F204" s="9">
        <v>6.6573266586093906E-11</v>
      </c>
    </row>
    <row r="205" spans="1:6" x14ac:dyDescent="0.3">
      <c r="A205" s="7" t="s">
        <v>1714</v>
      </c>
      <c r="B205" s="9">
        <v>2.0739228476896101E-11</v>
      </c>
      <c r="C205" s="9">
        <v>3.0763188907395998E-11</v>
      </c>
      <c r="D205" s="9">
        <v>3.4136770072971102E-11</v>
      </c>
      <c r="E205" s="9">
        <v>3.3818661734286797E-11</v>
      </c>
      <c r="F205" s="9">
        <v>3.4062454504262198E-11</v>
      </c>
    </row>
    <row r="206" spans="1:6" x14ac:dyDescent="0.3">
      <c r="A206" s="7" t="s">
        <v>1993</v>
      </c>
      <c r="B206" s="7">
        <v>0</v>
      </c>
      <c r="C206" s="9">
        <v>1.0919922743614801E-11</v>
      </c>
      <c r="D206" s="9">
        <v>1.6139645815062701E-11</v>
      </c>
      <c r="E206" s="9">
        <v>1.6162697862889601E-11</v>
      </c>
      <c r="F206" s="9">
        <v>1.6111254015929301E-11</v>
      </c>
    </row>
    <row r="207" spans="1:6" x14ac:dyDescent="0.3">
      <c r="A207" s="7" t="s">
        <v>2360</v>
      </c>
      <c r="B207" s="9">
        <v>1.44933244827029E-9</v>
      </c>
      <c r="C207" s="9">
        <v>1.5942656930973201E-9</v>
      </c>
      <c r="D207" s="9">
        <v>1.60296168778694E-9</v>
      </c>
      <c r="E207" s="9">
        <v>1.7061485533137799E-9</v>
      </c>
      <c r="F207" s="9">
        <v>1.62883227198856E-9</v>
      </c>
    </row>
    <row r="208" spans="1:6" x14ac:dyDescent="0.3">
      <c r="A208" s="7" t="s">
        <v>1994</v>
      </c>
      <c r="B208" s="9">
        <v>9.0912827385500994E-11</v>
      </c>
      <c r="C208" s="9">
        <v>1.24247530760185E-10</v>
      </c>
      <c r="D208" s="9">
        <v>1.35490417080192E-10</v>
      </c>
      <c r="E208" s="9">
        <v>1.3964559441624799E-10</v>
      </c>
      <c r="F208" s="9">
        <v>1.3829659301882399E-10</v>
      </c>
    </row>
    <row r="209" spans="1:6" x14ac:dyDescent="0.3">
      <c r="A209" s="7" t="s">
        <v>1995</v>
      </c>
      <c r="B209" s="7">
        <v>0</v>
      </c>
      <c r="C209" s="7">
        <v>0</v>
      </c>
      <c r="D209" s="7">
        <v>0</v>
      </c>
      <c r="E209" s="7">
        <v>0</v>
      </c>
      <c r="F209" s="7">
        <v>0</v>
      </c>
    </row>
    <row r="210" spans="1:6" x14ac:dyDescent="0.3">
      <c r="A210" s="7" t="s">
        <v>1779</v>
      </c>
      <c r="B210" s="9">
        <v>5.0141902299498099E-11</v>
      </c>
      <c r="C210" s="9">
        <v>3.7248270279627098E-11</v>
      </c>
      <c r="D210" s="9">
        <v>2.9841594997101301E-11</v>
      </c>
      <c r="E210" s="9">
        <v>2.97278099853729E-11</v>
      </c>
      <c r="F210" s="9">
        <v>3.0130985404658401E-11</v>
      </c>
    </row>
    <row r="211" spans="1:6" x14ac:dyDescent="0.3">
      <c r="A211" s="7" t="s">
        <v>1996</v>
      </c>
      <c r="B211" s="9">
        <v>5.9738614512570197E-13</v>
      </c>
      <c r="C211" s="9">
        <v>7.5668911715922301E-13</v>
      </c>
      <c r="D211" s="9">
        <v>6.4657093774105204E-13</v>
      </c>
      <c r="E211" s="9">
        <v>6.1492923647101605E-13</v>
      </c>
      <c r="F211" s="9">
        <v>6.4248879908269299E-13</v>
      </c>
    </row>
    <row r="212" spans="1:6" x14ac:dyDescent="0.3">
      <c r="A212" s="7" t="s">
        <v>1741</v>
      </c>
      <c r="B212" s="9">
        <v>4.7933329207825501E-10</v>
      </c>
      <c r="C212" s="9">
        <v>4.6934718182662499E-10</v>
      </c>
      <c r="D212" s="9">
        <v>5.2658756578896998E-10</v>
      </c>
      <c r="E212" s="9">
        <v>5.3374818302731799E-10</v>
      </c>
      <c r="F212" s="9">
        <v>5.3187421255618298E-10</v>
      </c>
    </row>
    <row r="213" spans="1:6" x14ac:dyDescent="0.3">
      <c r="A213" s="7" t="s">
        <v>1997</v>
      </c>
      <c r="B213" s="7">
        <v>0</v>
      </c>
      <c r="C213" s="7">
        <v>0</v>
      </c>
      <c r="D213" s="7">
        <v>0</v>
      </c>
      <c r="E213" s="7">
        <v>0</v>
      </c>
      <c r="F213" s="7">
        <v>0</v>
      </c>
    </row>
    <row r="214" spans="1:6" x14ac:dyDescent="0.3">
      <c r="A214" s="7" t="s">
        <v>1998</v>
      </c>
      <c r="B214" s="9">
        <v>6.2041703973279201E-13</v>
      </c>
      <c r="C214" s="9">
        <v>4.4670026860760998E-13</v>
      </c>
      <c r="D214" s="9">
        <v>4.3903811816691001E-13</v>
      </c>
      <c r="E214" s="9">
        <v>4.42487856238657E-13</v>
      </c>
      <c r="F214" s="9">
        <v>4.41468601920064E-13</v>
      </c>
    </row>
    <row r="215" spans="1:6" x14ac:dyDescent="0.3">
      <c r="A215" s="7" t="s">
        <v>1999</v>
      </c>
      <c r="B215" s="9">
        <v>4.7389014858098398E-11</v>
      </c>
      <c r="C215" s="9">
        <v>5.3312641715360703E-11</v>
      </c>
      <c r="D215" s="9">
        <v>6.4626769012731696E-11</v>
      </c>
      <c r="E215" s="9">
        <v>6.6584527098101799E-11</v>
      </c>
      <c r="F215" s="9">
        <v>6.5856513948299296E-11</v>
      </c>
    </row>
    <row r="216" spans="1:6" x14ac:dyDescent="0.3">
      <c r="A216" s="7" t="s">
        <v>2000</v>
      </c>
      <c r="B216" s="9">
        <v>5.3588502003402002E-10</v>
      </c>
      <c r="C216" s="9">
        <v>1.3289948496843701E-9</v>
      </c>
      <c r="D216" s="9">
        <v>1.34474986927337E-9</v>
      </c>
      <c r="E216" s="9">
        <v>1.3176719688707199E-9</v>
      </c>
      <c r="F216" s="9">
        <v>1.3224999232415599E-9</v>
      </c>
    </row>
    <row r="217" spans="1:6" x14ac:dyDescent="0.3">
      <c r="A217" s="7" t="s">
        <v>2001</v>
      </c>
      <c r="B217" s="9">
        <v>2.46243527979232E-12</v>
      </c>
      <c r="C217" s="9">
        <v>1.7729534014504701E-12</v>
      </c>
      <c r="D217" s="9">
        <v>1.6784943841176401E-12</v>
      </c>
      <c r="E217" s="9">
        <v>1.6718171722375199E-12</v>
      </c>
      <c r="F217" s="9">
        <v>1.68606883503828E-12</v>
      </c>
    </row>
    <row r="218" spans="1:6" x14ac:dyDescent="0.3">
      <c r="A218" s="7" t="s">
        <v>1725</v>
      </c>
      <c r="B218" s="9">
        <v>2.13130721076939E-10</v>
      </c>
      <c r="C218" s="9">
        <v>2.0513831903655401E-10</v>
      </c>
      <c r="D218" s="9">
        <v>2.033267079074E-10</v>
      </c>
      <c r="E218" s="9">
        <v>2.0132862334412601E-10</v>
      </c>
      <c r="F218" s="9">
        <v>2.0047475244598899E-10</v>
      </c>
    </row>
    <row r="219" spans="1:6" x14ac:dyDescent="0.3">
      <c r="A219" s="7" t="s">
        <v>1752</v>
      </c>
      <c r="B219" s="9">
        <v>7.3340784017014797E-11</v>
      </c>
      <c r="C219" s="9">
        <v>4.5471286090549198E-11</v>
      </c>
      <c r="D219" s="9">
        <v>4.0366767522964999E-11</v>
      </c>
      <c r="E219" s="9">
        <v>4.01883710644468E-11</v>
      </c>
      <c r="F219" s="9">
        <v>4.0406371546334201E-11</v>
      </c>
    </row>
    <row r="220" spans="1:6" x14ac:dyDescent="0.3">
      <c r="A220" s="7" t="s">
        <v>2002</v>
      </c>
      <c r="B220" s="9">
        <v>1.7911371972571899E-11</v>
      </c>
      <c r="C220" s="9">
        <v>1.6679965149457601E-11</v>
      </c>
      <c r="D220" s="9">
        <v>1.5477664305798701E-11</v>
      </c>
      <c r="E220" s="9">
        <v>1.5466674864763E-11</v>
      </c>
      <c r="F220" s="9">
        <v>1.55835652925865E-11</v>
      </c>
    </row>
    <row r="221" spans="1:6" x14ac:dyDescent="0.3">
      <c r="A221" s="7" t="s">
        <v>2003</v>
      </c>
      <c r="B221" s="9">
        <v>1.14259127371083E-10</v>
      </c>
      <c r="C221" s="9">
        <v>1.20924243134396E-10</v>
      </c>
      <c r="D221" s="9">
        <v>1.2132891087716901E-10</v>
      </c>
      <c r="E221" s="9">
        <v>1.2057214225501899E-10</v>
      </c>
      <c r="F221" s="9">
        <v>1.20905199946501E-10</v>
      </c>
    </row>
    <row r="222" spans="1:6" x14ac:dyDescent="0.3">
      <c r="A222" s="7" t="s">
        <v>2004</v>
      </c>
      <c r="B222" s="9">
        <v>5.3732815881447804E-10</v>
      </c>
      <c r="C222" s="9">
        <v>6.5554035375366404E-10</v>
      </c>
      <c r="D222" s="9">
        <v>5.0799004134320803E-10</v>
      </c>
      <c r="E222" s="9">
        <v>5.2172419040719401E-10</v>
      </c>
      <c r="F222" s="9">
        <v>5.1090235996398304E-10</v>
      </c>
    </row>
    <row r="223" spans="1:6" x14ac:dyDescent="0.3">
      <c r="A223" s="7" t="s">
        <v>2005</v>
      </c>
      <c r="B223" s="9">
        <v>5.9479005966126502E-10</v>
      </c>
      <c r="C223" s="9">
        <v>6.0792652723660602E-10</v>
      </c>
      <c r="D223" s="9">
        <v>5.9815263045867597E-10</v>
      </c>
      <c r="E223" s="9">
        <v>5.9834416462839001E-10</v>
      </c>
      <c r="F223" s="9">
        <v>5.9873008767917496E-10</v>
      </c>
    </row>
    <row r="224" spans="1:6" x14ac:dyDescent="0.3">
      <c r="A224" s="7" t="s">
        <v>2006</v>
      </c>
      <c r="B224" s="9">
        <v>8.1043196556528198E-13</v>
      </c>
      <c r="C224" s="9">
        <v>1.4385167388783799E-12</v>
      </c>
      <c r="D224" s="9">
        <v>1.6761759127803901E-12</v>
      </c>
      <c r="E224" s="9">
        <v>1.7000681434696401E-12</v>
      </c>
      <c r="F224" s="9">
        <v>1.68363188686359E-12</v>
      </c>
    </row>
    <row r="225" spans="1:6" x14ac:dyDescent="0.3">
      <c r="A225" s="7" t="s">
        <v>2007</v>
      </c>
      <c r="B225" s="7">
        <v>0</v>
      </c>
      <c r="C225" s="9">
        <v>1.10769646689529E-11</v>
      </c>
      <c r="D225" s="9">
        <v>1.2766201780968201E-11</v>
      </c>
      <c r="E225" s="9">
        <v>1.2046876348019001E-11</v>
      </c>
      <c r="F225" s="9">
        <v>1.28483559355963E-11</v>
      </c>
    </row>
    <row r="226" spans="1:6" x14ac:dyDescent="0.3">
      <c r="A226" s="7" t="s">
        <v>1799</v>
      </c>
      <c r="B226" s="9">
        <v>4.5341642942839601E-10</v>
      </c>
      <c r="C226" s="9">
        <v>3.1955062645429802E-10</v>
      </c>
      <c r="D226" s="9">
        <v>2.7511581637031598E-10</v>
      </c>
      <c r="E226" s="9">
        <v>2.7075722541835202E-10</v>
      </c>
      <c r="F226" s="9">
        <v>2.7085154280783402E-10</v>
      </c>
    </row>
    <row r="227" spans="1:6" x14ac:dyDescent="0.3">
      <c r="A227" s="7" t="s">
        <v>2008</v>
      </c>
      <c r="B227" s="9">
        <v>1.09395355607765E-13</v>
      </c>
      <c r="C227" s="9">
        <v>9.7990307895465999E-14</v>
      </c>
      <c r="D227" s="9">
        <v>9.79949630169812E-14</v>
      </c>
      <c r="E227" s="9">
        <v>9.8791826246796296E-14</v>
      </c>
      <c r="F227" s="9">
        <v>9.8476768093806898E-14</v>
      </c>
    </row>
    <row r="228" spans="1:6" x14ac:dyDescent="0.3">
      <c r="A228" s="7" t="s">
        <v>1718</v>
      </c>
      <c r="B228" s="9">
        <v>1.56794841937139E-10</v>
      </c>
      <c r="C228" s="9">
        <v>1.9412694716026801E-10</v>
      </c>
      <c r="D228" s="9">
        <v>1.8136683359500199E-10</v>
      </c>
      <c r="E228" s="9">
        <v>1.8083362717593399E-10</v>
      </c>
      <c r="F228" s="9">
        <v>1.8125633056354201E-10</v>
      </c>
    </row>
    <row r="229" spans="1:6" x14ac:dyDescent="0.3">
      <c r="A229" s="7" t="s">
        <v>2009</v>
      </c>
      <c r="B229" s="7">
        <v>0</v>
      </c>
      <c r="C229" s="9">
        <v>5.2513544680247298E-11</v>
      </c>
      <c r="D229" s="9">
        <v>4.1660745446329603E-11</v>
      </c>
      <c r="E229" s="9">
        <v>4.3974811135986699E-11</v>
      </c>
      <c r="F229" s="9">
        <v>4.3673764659072397E-11</v>
      </c>
    </row>
    <row r="230" spans="1:6" x14ac:dyDescent="0.3">
      <c r="A230" s="7" t="s">
        <v>2010</v>
      </c>
      <c r="B230" s="9">
        <v>2.8142720315934399E-10</v>
      </c>
      <c r="C230" s="9">
        <v>2.8550049162612398E-10</v>
      </c>
      <c r="D230" s="9">
        <v>2.8887021208500599E-10</v>
      </c>
      <c r="E230" s="9">
        <v>2.8854819217492098E-10</v>
      </c>
      <c r="F230" s="9">
        <v>2.8955119185686101E-10</v>
      </c>
    </row>
    <row r="231" spans="1:6" x14ac:dyDescent="0.3">
      <c r="A231" s="7" t="s">
        <v>1742</v>
      </c>
      <c r="B231" s="9">
        <v>8.8327220659657001E-12</v>
      </c>
      <c r="C231" s="9">
        <v>7.9161188327051096E-12</v>
      </c>
      <c r="D231" s="9">
        <v>8.07394124395925E-12</v>
      </c>
      <c r="E231" s="9">
        <v>8.1710318717403393E-12</v>
      </c>
      <c r="F231" s="9">
        <v>8.14046997318064E-12</v>
      </c>
    </row>
    <row r="232" spans="1:6" x14ac:dyDescent="0.3">
      <c r="A232" s="7" t="s">
        <v>2011</v>
      </c>
      <c r="B232" s="9">
        <v>5.0793091966776899E-10</v>
      </c>
      <c r="C232" s="9">
        <v>7.3649983351826504E-10</v>
      </c>
      <c r="D232" s="9">
        <v>5.3154970743231996E-10</v>
      </c>
      <c r="E232" s="9">
        <v>5.3873973857852695E-10</v>
      </c>
      <c r="F232" s="9">
        <v>5.4056548125642299E-10</v>
      </c>
    </row>
    <row r="233" spans="1:6" x14ac:dyDescent="0.3">
      <c r="A233" s="7" t="s">
        <v>2361</v>
      </c>
      <c r="B233" s="9">
        <v>1.59312847661504E-8</v>
      </c>
      <c r="C233" s="9">
        <v>3.18625695323007E-9</v>
      </c>
      <c r="D233" s="9">
        <v>2.2622424367933499E-9</v>
      </c>
      <c r="E233" s="9">
        <v>2.1817344141124799E-9</v>
      </c>
      <c r="F233" s="9">
        <v>2.1045227176084602E-9</v>
      </c>
    </row>
    <row r="234" spans="1:6" x14ac:dyDescent="0.3">
      <c r="A234" s="7" t="s">
        <v>2012</v>
      </c>
      <c r="B234" s="7">
        <v>0</v>
      </c>
      <c r="C234" s="9">
        <v>2.4037650464364199E-11</v>
      </c>
      <c r="D234" s="9">
        <v>1.6585978820411298E-11</v>
      </c>
      <c r="E234" s="9">
        <v>1.7331385354128801E-11</v>
      </c>
      <c r="F234" s="9">
        <v>1.88695556145259E-11</v>
      </c>
    </row>
    <row r="235" spans="1:6" x14ac:dyDescent="0.3">
      <c r="A235" s="7" t="s">
        <v>2013</v>
      </c>
      <c r="B235" s="9">
        <v>9.7739947163122594E-11</v>
      </c>
      <c r="C235" s="9">
        <v>9.9368946282508003E-11</v>
      </c>
      <c r="D235" s="9">
        <v>1.06617992363773E-10</v>
      </c>
      <c r="E235" s="9">
        <v>1.0632771636843699E-10</v>
      </c>
      <c r="F235" s="9">
        <v>1.06533284409565E-10</v>
      </c>
    </row>
    <row r="236" spans="1:6" x14ac:dyDescent="0.3">
      <c r="A236" s="7" t="s">
        <v>1780</v>
      </c>
      <c r="B236" s="9">
        <v>3.3057035272035998E-10</v>
      </c>
      <c r="C236" s="9">
        <v>2.3415399984358898E-10</v>
      </c>
      <c r="D236" s="9">
        <v>2.6423590194114102E-10</v>
      </c>
      <c r="E236" s="9">
        <v>2.6013030422421101E-10</v>
      </c>
      <c r="F236" s="9">
        <v>2.6254172888345001E-10</v>
      </c>
    </row>
    <row r="237" spans="1:6" x14ac:dyDescent="0.3">
      <c r="A237" s="7" t="s">
        <v>2014</v>
      </c>
      <c r="B237" s="9">
        <v>4.0678928920484902E-11</v>
      </c>
      <c r="C237" s="9">
        <v>5.54518031073979E-11</v>
      </c>
      <c r="D237" s="9">
        <v>5.5132794664810899E-11</v>
      </c>
      <c r="E237" s="9">
        <v>5.4176358692571003E-11</v>
      </c>
      <c r="F237" s="9">
        <v>5.4547446287607701E-11</v>
      </c>
    </row>
    <row r="238" spans="1:6" x14ac:dyDescent="0.3">
      <c r="A238" s="7" t="s">
        <v>2015</v>
      </c>
      <c r="B238" s="7">
        <v>0</v>
      </c>
      <c r="C238" s="9">
        <v>1.45840107241714E-13</v>
      </c>
      <c r="D238" s="9">
        <v>1.9177974102285501E-13</v>
      </c>
      <c r="E238" s="9">
        <v>1.8539407682048499E-13</v>
      </c>
      <c r="F238" s="9">
        <v>1.8453634902984899E-13</v>
      </c>
    </row>
    <row r="239" spans="1:6" x14ac:dyDescent="0.3">
      <c r="A239" s="7" t="s">
        <v>2016</v>
      </c>
      <c r="B239" s="9">
        <v>9.3802443470339708E-13</v>
      </c>
      <c r="C239" s="9">
        <v>1.8760488694067901E-12</v>
      </c>
      <c r="D239" s="9">
        <v>1.8103871589775599E-12</v>
      </c>
      <c r="E239" s="9">
        <v>1.7992796062085599E-12</v>
      </c>
      <c r="F239" s="9">
        <v>1.79322131182248E-12</v>
      </c>
    </row>
    <row r="240" spans="1:6" x14ac:dyDescent="0.3">
      <c r="A240" s="7" t="s">
        <v>2362</v>
      </c>
      <c r="B240" s="7">
        <v>0</v>
      </c>
      <c r="C240" s="7">
        <v>0</v>
      </c>
      <c r="D240" s="9">
        <v>8.5027719313249199E-13</v>
      </c>
      <c r="E240" s="9">
        <v>1.0795995632089799E-12</v>
      </c>
      <c r="F240" s="9">
        <v>1.1733825265228399E-12</v>
      </c>
    </row>
    <row r="241" spans="1:6" x14ac:dyDescent="0.3">
      <c r="A241" s="7" t="s">
        <v>2363</v>
      </c>
      <c r="B241" s="7" t="s">
        <v>37</v>
      </c>
      <c r="C241" s="7" t="s">
        <v>37</v>
      </c>
      <c r="D241" s="7" t="s">
        <v>37</v>
      </c>
      <c r="E241" s="7" t="s">
        <v>37</v>
      </c>
      <c r="F241" s="7" t="s">
        <v>37</v>
      </c>
    </row>
    <row r="242" spans="1:6" x14ac:dyDescent="0.3">
      <c r="A242" s="7" t="s">
        <v>2017</v>
      </c>
      <c r="B242" s="9">
        <v>3.34609610233344E-12</v>
      </c>
      <c r="C242" s="9">
        <v>4.2495420499634599E-12</v>
      </c>
      <c r="D242" s="9">
        <v>4.6480620957513797E-12</v>
      </c>
      <c r="E242" s="9">
        <v>4.7064813309289902E-12</v>
      </c>
      <c r="F242" s="9">
        <v>4.6826272684884801E-12</v>
      </c>
    </row>
    <row r="243" spans="1:6" x14ac:dyDescent="0.3">
      <c r="A243" s="7" t="s">
        <v>2018</v>
      </c>
      <c r="B243" s="9">
        <v>7.5387875802827795E-10</v>
      </c>
      <c r="C243" s="9">
        <v>7.4415129018275203E-10</v>
      </c>
      <c r="D243" s="9">
        <v>7.6133850993231601E-10</v>
      </c>
      <c r="E243" s="9">
        <v>7.5927195267436302E-10</v>
      </c>
      <c r="F243" s="9">
        <v>7.5924284857834498E-10</v>
      </c>
    </row>
    <row r="244" spans="1:6" x14ac:dyDescent="0.3">
      <c r="A244" s="7" t="s">
        <v>2019</v>
      </c>
      <c r="B244" s="9">
        <v>1.9035459933777899E-12</v>
      </c>
      <c r="C244" s="9">
        <v>2.36885723620347E-12</v>
      </c>
      <c r="D244" s="9">
        <v>2.53023563541983E-12</v>
      </c>
      <c r="E244" s="9">
        <v>2.5613790234546E-12</v>
      </c>
      <c r="F244" s="9">
        <v>2.5369403474187301E-12</v>
      </c>
    </row>
    <row r="245" spans="1:6" x14ac:dyDescent="0.3">
      <c r="A245" s="7" t="s">
        <v>2020</v>
      </c>
      <c r="B245" s="9">
        <v>2.39728172890932E-10</v>
      </c>
      <c r="C245" s="9">
        <v>1.8645524558183601E-10</v>
      </c>
      <c r="D245" s="9">
        <v>1.8818661571938201E-10</v>
      </c>
      <c r="E245" s="9">
        <v>1.8395881693546599E-10</v>
      </c>
      <c r="F245" s="9">
        <v>1.8671361927928499E-10</v>
      </c>
    </row>
    <row r="246" spans="1:6" x14ac:dyDescent="0.3">
      <c r="A246" s="7" t="s">
        <v>2021</v>
      </c>
      <c r="B246" s="7">
        <v>0</v>
      </c>
      <c r="C246" s="7">
        <v>0</v>
      </c>
      <c r="D246" s="7">
        <v>0</v>
      </c>
      <c r="E246" s="7">
        <v>0</v>
      </c>
      <c r="F246" s="7">
        <v>0</v>
      </c>
    </row>
    <row r="247" spans="1:6" x14ac:dyDescent="0.3">
      <c r="A247" s="7" t="s">
        <v>2022</v>
      </c>
      <c r="B247" s="9">
        <v>5.5438439521577202E-9</v>
      </c>
      <c r="C247" s="9">
        <v>4.7254669877915802E-9</v>
      </c>
      <c r="D247" s="9">
        <v>4.3748848559598901E-9</v>
      </c>
      <c r="E247" s="9">
        <v>4.34947761465432E-9</v>
      </c>
      <c r="F247" s="9">
        <v>4.40855710815502E-9</v>
      </c>
    </row>
    <row r="248" spans="1:6" x14ac:dyDescent="0.3">
      <c r="A248" s="7" t="s">
        <v>1743</v>
      </c>
      <c r="B248" s="9">
        <v>2.6745055862651401E-10</v>
      </c>
      <c r="C248" s="9">
        <v>3.6678933754493398E-10</v>
      </c>
      <c r="D248" s="9">
        <v>4.5397821965717701E-10</v>
      </c>
      <c r="E248" s="9">
        <v>4.51402558999422E-10</v>
      </c>
      <c r="F248" s="9">
        <v>4.4996264055551298E-10</v>
      </c>
    </row>
    <row r="249" spans="1:6" x14ac:dyDescent="0.3">
      <c r="A249" s="7" t="s">
        <v>2023</v>
      </c>
      <c r="B249" s="9">
        <v>5.6958686122272304E-12</v>
      </c>
      <c r="C249" s="9">
        <v>6.26545547344995E-12</v>
      </c>
      <c r="D249" s="9">
        <v>5.1319776196167299E-12</v>
      </c>
      <c r="E249" s="9">
        <v>5.3310627485611497E-12</v>
      </c>
      <c r="F249" s="9">
        <v>5.1171683612249398E-12</v>
      </c>
    </row>
    <row r="250" spans="1:6" x14ac:dyDescent="0.3">
      <c r="A250" s="7" t="s">
        <v>2024</v>
      </c>
      <c r="B250" s="9">
        <v>4.6667353755862498E-11</v>
      </c>
      <c r="C250" s="9">
        <v>4.2000618380276297E-11</v>
      </c>
      <c r="D250" s="9">
        <v>5.4087463003044703E-11</v>
      </c>
      <c r="E250" s="9">
        <v>5.1741161929351802E-11</v>
      </c>
      <c r="F250" s="9">
        <v>5.2843778025450898E-11</v>
      </c>
    </row>
    <row r="251" spans="1:6" x14ac:dyDescent="0.3">
      <c r="A251" s="7" t="s">
        <v>1757</v>
      </c>
      <c r="B251" s="9">
        <v>8.3718107075385308E-12</v>
      </c>
      <c r="C251" s="9">
        <v>8.0608577384013897E-12</v>
      </c>
      <c r="D251" s="9">
        <v>8.9358315546349801E-12</v>
      </c>
      <c r="E251" s="9">
        <v>8.9450125989433999E-12</v>
      </c>
      <c r="F251" s="9">
        <v>8.98814341182752E-12</v>
      </c>
    </row>
    <row r="252" spans="1:6" x14ac:dyDescent="0.3">
      <c r="A252" s="7" t="s">
        <v>2025</v>
      </c>
      <c r="B252" s="9">
        <v>1.05070727450995E-10</v>
      </c>
      <c r="C252" s="9">
        <v>6.30424364705969E-11</v>
      </c>
      <c r="D252" s="9">
        <v>4.1292795888241003E-11</v>
      </c>
      <c r="E252" s="9">
        <v>3.67826638334912E-11</v>
      </c>
      <c r="F252" s="9">
        <v>3.9527607667064302E-11</v>
      </c>
    </row>
    <row r="253" spans="1:6" x14ac:dyDescent="0.3">
      <c r="A253" s="7" t="s">
        <v>1767</v>
      </c>
      <c r="B253" s="9">
        <v>1.00163320601458E-10</v>
      </c>
      <c r="C253" s="9">
        <v>1.13775259042169E-10</v>
      </c>
      <c r="D253" s="9">
        <v>1.07251801751715E-10</v>
      </c>
      <c r="E253" s="9">
        <v>1.07418550784575E-10</v>
      </c>
      <c r="F253" s="9">
        <v>1.07596466306195E-10</v>
      </c>
    </row>
    <row r="254" spans="1:6" x14ac:dyDescent="0.3">
      <c r="A254" s="7" t="s">
        <v>2026</v>
      </c>
      <c r="B254" s="9">
        <v>4.40757594941285E-11</v>
      </c>
      <c r="C254" s="9">
        <v>4.4443057489912902E-11</v>
      </c>
      <c r="D254" s="9">
        <v>3.9135601450828201E-11</v>
      </c>
      <c r="E254" s="9">
        <v>3.8787776957733402E-11</v>
      </c>
      <c r="F254" s="9">
        <v>3.8964440584792703E-11</v>
      </c>
    </row>
    <row r="255" spans="1:6" x14ac:dyDescent="0.3">
      <c r="A255" s="7" t="s">
        <v>2027</v>
      </c>
      <c r="B255" s="9">
        <v>4.6773059160362099E-11</v>
      </c>
      <c r="C255" s="9">
        <v>3.3591560669714601E-11</v>
      </c>
      <c r="D255" s="9">
        <v>3.3187611522420503E-11</v>
      </c>
      <c r="E255" s="9">
        <v>3.3592725289510003E-11</v>
      </c>
      <c r="F255" s="9">
        <v>3.3537559046865799E-11</v>
      </c>
    </row>
    <row r="256" spans="1:6" x14ac:dyDescent="0.3">
      <c r="A256" s="7" t="s">
        <v>2028</v>
      </c>
      <c r="B256" s="9">
        <v>8.9185906458562507E-12</v>
      </c>
      <c r="C256" s="9">
        <v>1.1339350964017201E-11</v>
      </c>
      <c r="D256" s="9">
        <v>1.10628746539957E-11</v>
      </c>
      <c r="E256" s="9">
        <v>1.0991176110845701E-11</v>
      </c>
      <c r="F256" s="9">
        <v>1.09587819603148E-11</v>
      </c>
    </row>
    <row r="257" spans="1:6" x14ac:dyDescent="0.3">
      <c r="A257" s="7" t="s">
        <v>1758</v>
      </c>
      <c r="B257" s="9">
        <v>5.28777584696494E-10</v>
      </c>
      <c r="C257" s="9">
        <v>4.3994295046748298E-10</v>
      </c>
      <c r="D257" s="9">
        <v>4.1993400666256802E-10</v>
      </c>
      <c r="E257" s="9">
        <v>4.20981040566986E-10</v>
      </c>
      <c r="F257" s="9">
        <v>4.1924448069212398E-10</v>
      </c>
    </row>
    <row r="258" spans="1:6" x14ac:dyDescent="0.3">
      <c r="A258" s="7" t="s">
        <v>2029</v>
      </c>
      <c r="B258" s="9">
        <v>1.53647127029336E-10</v>
      </c>
      <c r="C258" s="9">
        <v>1.2173580064631999E-10</v>
      </c>
      <c r="D258" s="9">
        <v>1.06276535865215E-10</v>
      </c>
      <c r="E258" s="9">
        <v>1.06632846499027E-10</v>
      </c>
      <c r="F258" s="9">
        <v>1.0615007246066E-10</v>
      </c>
    </row>
    <row r="259" spans="1:6" x14ac:dyDescent="0.3">
      <c r="A259" s="7" t="s">
        <v>2030</v>
      </c>
      <c r="B259" s="9">
        <v>3.0584994701617702E-12</v>
      </c>
      <c r="C259" s="9">
        <v>2.95654948782305E-12</v>
      </c>
      <c r="D259" s="9">
        <v>2.97931831721203E-12</v>
      </c>
      <c r="E259" s="9">
        <v>2.9444388706686998E-12</v>
      </c>
      <c r="F259" s="9">
        <v>2.9511971137502598E-12</v>
      </c>
    </row>
    <row r="260" spans="1:6" x14ac:dyDescent="0.3">
      <c r="A260" s="7" t="s">
        <v>2031</v>
      </c>
      <c r="B260" s="9">
        <v>7.0317399022906506E-11</v>
      </c>
      <c r="C260" s="9">
        <v>7.0623126844745204E-11</v>
      </c>
      <c r="D260" s="9">
        <v>7.4308675737011106E-11</v>
      </c>
      <c r="E260" s="9">
        <v>7.3724375168869003E-11</v>
      </c>
      <c r="F260" s="9">
        <v>7.3901140550500004E-11</v>
      </c>
    </row>
    <row r="261" spans="1:6" x14ac:dyDescent="0.3">
      <c r="A261" s="7" t="s">
        <v>2032</v>
      </c>
      <c r="B261" s="9">
        <v>3.00001221637191E-12</v>
      </c>
      <c r="C261" s="9">
        <v>3.30001343800911E-12</v>
      </c>
      <c r="D261" s="9">
        <v>3.4290139633131E-12</v>
      </c>
      <c r="E261" s="9">
        <v>3.3846793974049702E-12</v>
      </c>
      <c r="F261" s="9">
        <v>3.3585136762283601E-12</v>
      </c>
    </row>
    <row r="262" spans="1:6" x14ac:dyDescent="0.3">
      <c r="A262" s="7" t="s">
        <v>2033</v>
      </c>
      <c r="B262" s="9">
        <v>1.40065098622012E-12</v>
      </c>
      <c r="C262" s="9">
        <v>1.40065098622012E-12</v>
      </c>
      <c r="D262" s="9">
        <v>1.52631739270379E-12</v>
      </c>
      <c r="E262" s="9">
        <v>1.52480947000706E-12</v>
      </c>
      <c r="F262" s="9">
        <v>1.5249615625491301E-12</v>
      </c>
    </row>
    <row r="263" spans="1:6" x14ac:dyDescent="0.3">
      <c r="A263" s="7" t="s">
        <v>2034</v>
      </c>
      <c r="B263" s="9">
        <v>5.1031165752359901E-10</v>
      </c>
      <c r="C263" s="9">
        <v>4.7295894857084104E-10</v>
      </c>
      <c r="D263" s="9">
        <v>4.8348083841668799E-10</v>
      </c>
      <c r="E263" s="9">
        <v>4.8373477722669402E-10</v>
      </c>
      <c r="F263" s="9">
        <v>4.8399667406638095E-10</v>
      </c>
    </row>
    <row r="264" spans="1:6" x14ac:dyDescent="0.3">
      <c r="A264" s="7" t="s">
        <v>2035</v>
      </c>
      <c r="B264" s="7">
        <v>0</v>
      </c>
      <c r="C264" s="7">
        <v>0</v>
      </c>
      <c r="D264" s="7">
        <v>0</v>
      </c>
      <c r="E264" s="7">
        <v>0</v>
      </c>
      <c r="F264" s="7">
        <v>0</v>
      </c>
    </row>
    <row r="265" spans="1:6" x14ac:dyDescent="0.3">
      <c r="A265" s="7" t="s">
        <v>2036</v>
      </c>
      <c r="B265" s="9">
        <v>1.73122552141281E-12</v>
      </c>
      <c r="C265" s="9">
        <v>1.7225693938057499E-12</v>
      </c>
      <c r="D265" s="9">
        <v>1.6123768893678199E-12</v>
      </c>
      <c r="E265" s="9">
        <v>1.60158222517017E-12</v>
      </c>
      <c r="F265" s="9">
        <v>1.62919574530835E-12</v>
      </c>
    </row>
    <row r="266" spans="1:6" x14ac:dyDescent="0.3">
      <c r="A266" s="7" t="s">
        <v>2037</v>
      </c>
      <c r="B266" s="7" t="s">
        <v>37</v>
      </c>
      <c r="C266" s="7" t="s">
        <v>37</v>
      </c>
      <c r="D266" s="7" t="s">
        <v>37</v>
      </c>
      <c r="E266" s="7" t="s">
        <v>37</v>
      </c>
      <c r="F266" s="7" t="s">
        <v>37</v>
      </c>
    </row>
    <row r="267" spans="1:6" x14ac:dyDescent="0.3">
      <c r="A267" s="7" t="s">
        <v>1744</v>
      </c>
      <c r="B267" s="9">
        <v>6.7769777502038696E-10</v>
      </c>
      <c r="C267" s="9">
        <v>6.4251674298380996E-10</v>
      </c>
      <c r="D267" s="9">
        <v>6.4202420853529698E-10</v>
      </c>
      <c r="E267" s="9">
        <v>6.4480875671309199E-10</v>
      </c>
      <c r="F267" s="9">
        <v>6.4408211374611095E-10</v>
      </c>
    </row>
    <row r="268" spans="1:6" x14ac:dyDescent="0.3">
      <c r="A268" s="7" t="s">
        <v>2038</v>
      </c>
      <c r="B268" s="7">
        <v>0</v>
      </c>
      <c r="C268" s="7">
        <v>0</v>
      </c>
      <c r="D268" s="7">
        <v>0</v>
      </c>
      <c r="E268" s="7">
        <v>0</v>
      </c>
      <c r="F268" s="7">
        <v>0</v>
      </c>
    </row>
    <row r="269" spans="1:6" x14ac:dyDescent="0.3">
      <c r="A269" s="7" t="s">
        <v>2364</v>
      </c>
      <c r="B269" s="7">
        <v>0</v>
      </c>
      <c r="C269" s="9">
        <v>1.1512621701414499E-9</v>
      </c>
      <c r="D269" s="9">
        <v>9.4915170027217003E-10</v>
      </c>
      <c r="E269" s="9">
        <v>9.8494855934056809E-10</v>
      </c>
      <c r="F269" s="9">
        <v>9.9353925283206793E-10</v>
      </c>
    </row>
    <row r="270" spans="1:6" x14ac:dyDescent="0.3">
      <c r="A270" s="7" t="s">
        <v>1751</v>
      </c>
      <c r="B270" s="9">
        <v>3.9136533562585702E-10</v>
      </c>
      <c r="C270" s="9">
        <v>3.93857174841453E-10</v>
      </c>
      <c r="D270" s="9">
        <v>3.9048439717375601E-10</v>
      </c>
      <c r="E270" s="9">
        <v>3.8918312483489202E-10</v>
      </c>
      <c r="F270" s="9">
        <v>3.8906082408776398E-10</v>
      </c>
    </row>
    <row r="271" spans="1:6" x14ac:dyDescent="0.3">
      <c r="A271" s="7" t="s">
        <v>1785</v>
      </c>
      <c r="B271" s="9">
        <v>8.6452363089895597E-10</v>
      </c>
      <c r="C271" s="9">
        <v>9.8314431513857991E-10</v>
      </c>
      <c r="D271" s="9">
        <v>1.0325830037055701E-9</v>
      </c>
      <c r="E271" s="9">
        <v>1.0413998736103799E-9</v>
      </c>
      <c r="F271" s="9">
        <v>1.0346799761405199E-9</v>
      </c>
    </row>
    <row r="272" spans="1:6" x14ac:dyDescent="0.3">
      <c r="A272" s="7" t="s">
        <v>2039</v>
      </c>
      <c r="B272" s="9">
        <v>3.1572393283913799E-12</v>
      </c>
      <c r="C272" s="9">
        <v>3.5255839167037099E-12</v>
      </c>
      <c r="D272" s="9">
        <v>3.4492839662675802E-12</v>
      </c>
      <c r="E272" s="9">
        <v>3.3769000936704401E-12</v>
      </c>
      <c r="F272" s="9">
        <v>3.4548091350922701E-12</v>
      </c>
    </row>
    <row r="273" spans="1:6" x14ac:dyDescent="0.3">
      <c r="A273" s="7" t="s">
        <v>1788</v>
      </c>
      <c r="B273" s="9">
        <v>3.61048573764042E-10</v>
      </c>
      <c r="C273" s="9">
        <v>3.4299614507584E-10</v>
      </c>
      <c r="D273" s="9">
        <v>3.36316746461205E-10</v>
      </c>
      <c r="E273" s="9">
        <v>3.3279434480496903E-10</v>
      </c>
      <c r="F273" s="9">
        <v>3.3634683384235199E-10</v>
      </c>
    </row>
    <row r="274" spans="1:6" x14ac:dyDescent="0.3">
      <c r="A274" s="7" t="s">
        <v>2365</v>
      </c>
      <c r="B274" s="7" t="s">
        <v>37</v>
      </c>
      <c r="C274" s="7" t="s">
        <v>37</v>
      </c>
      <c r="D274" s="7" t="s">
        <v>37</v>
      </c>
      <c r="E274" s="7" t="s">
        <v>37</v>
      </c>
      <c r="F274" s="7" t="s">
        <v>37</v>
      </c>
    </row>
    <row r="275" spans="1:6" x14ac:dyDescent="0.3">
      <c r="A275" s="7" t="s">
        <v>2040</v>
      </c>
      <c r="B275" s="9">
        <v>1.64288989856514E-10</v>
      </c>
      <c r="C275" s="9">
        <v>2.0076671472295999E-10</v>
      </c>
      <c r="D275" s="9">
        <v>2.02958162774097E-10</v>
      </c>
      <c r="E275" s="9">
        <v>2.0237816891802901E-10</v>
      </c>
      <c r="F275" s="9">
        <v>2.0305562234435101E-10</v>
      </c>
    </row>
    <row r="276" spans="1:6" x14ac:dyDescent="0.3">
      <c r="A276" s="7" t="s">
        <v>2366</v>
      </c>
      <c r="B276" s="7">
        <v>0</v>
      </c>
      <c r="C276" s="7">
        <v>0</v>
      </c>
      <c r="D276" s="9">
        <v>3.2619981375963398E-9</v>
      </c>
      <c r="E276" s="9">
        <v>3.0194045375152198E-9</v>
      </c>
      <c r="F276" s="9">
        <v>3.0635879415982098E-9</v>
      </c>
    </row>
    <row r="277" spans="1:6" x14ac:dyDescent="0.3">
      <c r="A277" s="7" t="s">
        <v>1745</v>
      </c>
      <c r="B277" s="7">
        <v>0</v>
      </c>
      <c r="C277" s="7">
        <v>0</v>
      </c>
      <c r="D277" s="9">
        <v>1.6789807797850999E-12</v>
      </c>
      <c r="E277" s="9">
        <v>2.07643544027997E-12</v>
      </c>
      <c r="F277" s="9">
        <v>1.9079327043012502E-12</v>
      </c>
    </row>
    <row r="278" spans="1:6" x14ac:dyDescent="0.3">
      <c r="A278" s="7" t="s">
        <v>2041</v>
      </c>
      <c r="B278" s="9">
        <v>3.0567346826821801E-9</v>
      </c>
      <c r="C278" s="9">
        <v>2.9421071320816001E-9</v>
      </c>
      <c r="D278" s="9">
        <v>3.0949438662157101E-9</v>
      </c>
      <c r="E278" s="9">
        <v>3.0629860990445199E-9</v>
      </c>
      <c r="F278" s="9">
        <v>3.0388527847884899E-9</v>
      </c>
    </row>
    <row r="279" spans="1:6" x14ac:dyDescent="0.3">
      <c r="A279" s="7" t="s">
        <v>2042</v>
      </c>
      <c r="B279" s="7">
        <v>0</v>
      </c>
      <c r="C279" s="9">
        <v>4.94928728286766E-11</v>
      </c>
      <c r="D279" s="9">
        <v>6.3867324589353095E-11</v>
      </c>
      <c r="E279" s="9">
        <v>6.2119163689046403E-11</v>
      </c>
      <c r="F279" s="9">
        <v>6.4863637638034697E-11</v>
      </c>
    </row>
    <row r="280" spans="1:6" x14ac:dyDescent="0.3">
      <c r="A280" s="7" t="s">
        <v>2043</v>
      </c>
      <c r="B280" s="9">
        <v>2.15764902181686E-12</v>
      </c>
      <c r="C280" s="9">
        <v>2.2738301229916098E-12</v>
      </c>
      <c r="D280" s="9">
        <v>1.9417181466334901E-12</v>
      </c>
      <c r="E280" s="9">
        <v>1.9338077964848198E-12</v>
      </c>
      <c r="F280" s="9">
        <v>1.9370543052863301E-12</v>
      </c>
    </row>
    <row r="281" spans="1:6" x14ac:dyDescent="0.3">
      <c r="A281" s="7" t="s">
        <v>2367</v>
      </c>
      <c r="B281" s="7">
        <v>0</v>
      </c>
      <c r="C281" s="9">
        <v>2.4544638152617601E-11</v>
      </c>
      <c r="D281" s="9">
        <v>2.7387725405295802E-11</v>
      </c>
      <c r="E281" s="9">
        <v>2.6823646382166298E-11</v>
      </c>
      <c r="F281" s="9">
        <v>2.7804984253890298E-11</v>
      </c>
    </row>
    <row r="282" spans="1:6" x14ac:dyDescent="0.3">
      <c r="A282" s="7" t="s">
        <v>2044</v>
      </c>
      <c r="B282" s="9">
        <v>5.30620941488364E-12</v>
      </c>
      <c r="C282" s="9">
        <v>4.9878368499906204E-12</v>
      </c>
      <c r="D282" s="9">
        <v>5.9196072232441897E-12</v>
      </c>
      <c r="E282" s="9">
        <v>5.88359691519902E-12</v>
      </c>
      <c r="F282" s="9">
        <v>5.7426982013519697E-12</v>
      </c>
    </row>
    <row r="283" spans="1:6" x14ac:dyDescent="0.3">
      <c r="A283" s="7" t="s">
        <v>2045</v>
      </c>
      <c r="B283" s="9">
        <v>5.8070383341286401E-12</v>
      </c>
      <c r="C283" s="9">
        <v>9.0589798012406705E-12</v>
      </c>
      <c r="D283" s="9">
        <v>8.0415866851013305E-12</v>
      </c>
      <c r="E283" s="9">
        <v>7.9535917108351593E-12</v>
      </c>
      <c r="F283" s="9">
        <v>7.8473993232080694E-12</v>
      </c>
    </row>
    <row r="284" spans="1:6" x14ac:dyDescent="0.3">
      <c r="A284" s="7" t="s">
        <v>2046</v>
      </c>
      <c r="B284" s="9">
        <v>5.0215283642840902E-12</v>
      </c>
      <c r="C284" s="9">
        <v>4.9442740817566397E-12</v>
      </c>
      <c r="D284" s="9">
        <v>4.7553576477914499E-12</v>
      </c>
      <c r="E284" s="9">
        <v>4.7559098071792297E-12</v>
      </c>
      <c r="F284" s="9">
        <v>4.7601682125380597E-12</v>
      </c>
    </row>
    <row r="285" spans="1:6" x14ac:dyDescent="0.3">
      <c r="A285" s="7" t="s">
        <v>2047</v>
      </c>
      <c r="B285" s="9">
        <v>1.3125444169698501E-10</v>
      </c>
      <c r="C285" s="9">
        <v>1.21879124432914E-10</v>
      </c>
      <c r="D285" s="9">
        <v>1.2049157747783201E-10</v>
      </c>
      <c r="E285" s="9">
        <v>1.1993998415317699E-10</v>
      </c>
      <c r="F285" s="9">
        <v>1.20547829381416E-10</v>
      </c>
    </row>
    <row r="286" spans="1:6" x14ac:dyDescent="0.3">
      <c r="A286" s="7" t="s">
        <v>1723</v>
      </c>
      <c r="B286" s="7">
        <v>0</v>
      </c>
      <c r="C286" s="7">
        <v>0</v>
      </c>
      <c r="D286" s="7">
        <v>0</v>
      </c>
      <c r="E286" s="7">
        <v>0</v>
      </c>
      <c r="F286" s="7">
        <v>0</v>
      </c>
    </row>
    <row r="287" spans="1:6" x14ac:dyDescent="0.3">
      <c r="A287" s="7" t="s">
        <v>2048</v>
      </c>
      <c r="B287" s="9">
        <v>5.7707941107913597E-12</v>
      </c>
      <c r="C287" s="9">
        <v>5.0579313088700697E-12</v>
      </c>
      <c r="D287" s="9">
        <v>4.8647794353971097E-12</v>
      </c>
      <c r="E287" s="9">
        <v>4.9150700939465098E-12</v>
      </c>
      <c r="F287" s="9">
        <v>4.86661251117348E-12</v>
      </c>
    </row>
    <row r="288" spans="1:6" x14ac:dyDescent="0.3">
      <c r="A288" s="7" t="s">
        <v>1787</v>
      </c>
      <c r="B288" s="9">
        <v>6.00437444524395E-11</v>
      </c>
      <c r="C288" s="9">
        <v>9.2067074827073896E-11</v>
      </c>
      <c r="D288" s="9">
        <v>1.1028034397764701E-10</v>
      </c>
      <c r="E288" s="9">
        <v>1.10472096381814E-10</v>
      </c>
      <c r="F288" s="9">
        <v>1.10842753717352E-10</v>
      </c>
    </row>
    <row r="289" spans="1:6" x14ac:dyDescent="0.3">
      <c r="A289" s="7" t="s">
        <v>2049</v>
      </c>
      <c r="B289" s="9">
        <v>1.12502490412456E-10</v>
      </c>
      <c r="C289" s="9">
        <v>1.02859419805674E-10</v>
      </c>
      <c r="D289" s="9">
        <v>1.1091138376233701E-10</v>
      </c>
      <c r="E289" s="9">
        <v>1.13823950179815E-10</v>
      </c>
      <c r="F289" s="9">
        <v>1.1206855223515101E-10</v>
      </c>
    </row>
    <row r="290" spans="1:6" x14ac:dyDescent="0.3">
      <c r="A290" s="7" t="s">
        <v>2050</v>
      </c>
      <c r="B290" s="9">
        <v>3.71944817797714E-10</v>
      </c>
      <c r="C290" s="9">
        <v>4.1399075372267301E-10</v>
      </c>
      <c r="D290" s="9">
        <v>4.37196876050487E-10</v>
      </c>
      <c r="E290" s="9">
        <v>4.4393857515337002E-10</v>
      </c>
      <c r="F290" s="9">
        <v>4.3894016523999099E-10</v>
      </c>
    </row>
    <row r="291" spans="1:6" x14ac:dyDescent="0.3">
      <c r="A291" s="7" t="s">
        <v>2051</v>
      </c>
      <c r="B291" s="9">
        <v>4.8773920844550996E-15</v>
      </c>
      <c r="C291" s="9">
        <v>3.8740428556529098E-15</v>
      </c>
      <c r="D291" s="9">
        <v>3.84394237878884E-15</v>
      </c>
      <c r="E291" s="9">
        <v>3.8471436876533902E-15</v>
      </c>
      <c r="F291" s="9">
        <v>3.8281256930292497E-15</v>
      </c>
    </row>
    <row r="292" spans="1:6" x14ac:dyDescent="0.3">
      <c r="A292" s="7" t="s">
        <v>2052</v>
      </c>
      <c r="B292" s="9">
        <v>3.1182388759738501E-12</v>
      </c>
      <c r="C292" s="9">
        <v>3.9119724080399198E-12</v>
      </c>
      <c r="D292" s="9">
        <v>3.6518829381575602E-12</v>
      </c>
      <c r="E292" s="9">
        <v>3.6394133582892501E-12</v>
      </c>
      <c r="F292" s="9">
        <v>3.6427266549126501E-12</v>
      </c>
    </row>
    <row r="293" spans="1:6" x14ac:dyDescent="0.3">
      <c r="A293" s="7" t="s">
        <v>2053</v>
      </c>
      <c r="B293" s="7">
        <v>0</v>
      </c>
      <c r="C293" s="9">
        <v>7.9659960862803096E-12</v>
      </c>
      <c r="D293" s="9">
        <v>9.4928120028173697E-12</v>
      </c>
      <c r="E293" s="9">
        <v>8.94647157392736E-12</v>
      </c>
      <c r="F293" s="9">
        <v>9.1250485168340994E-12</v>
      </c>
    </row>
    <row r="294" spans="1:6" x14ac:dyDescent="0.3">
      <c r="A294" s="7" t="s">
        <v>2054</v>
      </c>
      <c r="B294" s="9">
        <v>1.5855763269250699E-13</v>
      </c>
      <c r="C294" s="9">
        <v>2.1933805855796799E-13</v>
      </c>
      <c r="D294" s="9">
        <v>2.26631709661823E-13</v>
      </c>
      <c r="E294" s="9">
        <v>2.2682178747012899E-13</v>
      </c>
      <c r="F294" s="9">
        <v>2.2648900779240001E-13</v>
      </c>
    </row>
    <row r="295" spans="1:6" x14ac:dyDescent="0.3">
      <c r="A295" s="7" t="s">
        <v>2055</v>
      </c>
      <c r="B295" s="9">
        <v>8.2772430374473704E-10</v>
      </c>
      <c r="C295" s="9">
        <v>9.9533847525304606E-10</v>
      </c>
      <c r="D295" s="9">
        <v>1.01185157511275E-9</v>
      </c>
      <c r="E295" s="9">
        <v>1.01070841219488E-9</v>
      </c>
      <c r="F295" s="9">
        <v>1.0024134487392999E-9</v>
      </c>
    </row>
    <row r="296" spans="1:6" x14ac:dyDescent="0.3">
      <c r="A296" s="7" t="s">
        <v>2056</v>
      </c>
      <c r="B296" s="9">
        <v>2.4492515523582999E-11</v>
      </c>
      <c r="C296" s="9">
        <v>2.52579066336949E-11</v>
      </c>
      <c r="D296" s="9">
        <v>2.4036342421956201E-11</v>
      </c>
      <c r="E296" s="9">
        <v>2.3977562283912499E-11</v>
      </c>
      <c r="F296" s="9">
        <v>2.39775603846996E-11</v>
      </c>
    </row>
    <row r="297" spans="1:6" x14ac:dyDescent="0.3">
      <c r="A297" s="7" t="s">
        <v>1719</v>
      </c>
      <c r="B297" s="9">
        <v>5.56883553905308E-10</v>
      </c>
      <c r="C297" s="9">
        <v>5.8964141001738498E-10</v>
      </c>
      <c r="D297" s="9">
        <v>5.9358873167888997E-10</v>
      </c>
      <c r="E297" s="9">
        <v>5.9730160629528503E-10</v>
      </c>
      <c r="F297" s="9">
        <v>5.9369519471125495E-10</v>
      </c>
    </row>
    <row r="298" spans="1:6" x14ac:dyDescent="0.3">
      <c r="A298" s="7" t="s">
        <v>2057</v>
      </c>
      <c r="B298" s="9">
        <v>5.1448600150692499E-15</v>
      </c>
      <c r="C298" s="9">
        <v>8.0602806902751602E-15</v>
      </c>
      <c r="D298" s="9">
        <v>1.06824443446221E-14</v>
      </c>
      <c r="E298" s="9">
        <v>1.1108266440425101E-14</v>
      </c>
      <c r="F298" s="9">
        <v>1.09355714573635E-14</v>
      </c>
    </row>
    <row r="299" spans="1:6" x14ac:dyDescent="0.3">
      <c r="A299" s="7" t="s">
        <v>2058</v>
      </c>
      <c r="B299" s="9">
        <v>3.0759211411309397E-11</v>
      </c>
      <c r="C299" s="9">
        <v>2.8480751306768E-11</v>
      </c>
      <c r="D299" s="9">
        <v>3.0155647329616401E-11</v>
      </c>
      <c r="E299" s="9">
        <v>2.9882497522069497E-11</v>
      </c>
      <c r="F299" s="9">
        <v>2.99026699042092E-11</v>
      </c>
    </row>
    <row r="300" spans="1:6" x14ac:dyDescent="0.3">
      <c r="A300" s="7" t="s">
        <v>2059</v>
      </c>
      <c r="B300" s="9">
        <v>6.6458745006835303E-10</v>
      </c>
      <c r="C300" s="9">
        <v>7.9196671133145404E-10</v>
      </c>
      <c r="D300" s="9">
        <v>7.3281842827536998E-10</v>
      </c>
      <c r="E300" s="9">
        <v>7.3418121970466705E-10</v>
      </c>
      <c r="F300" s="9">
        <v>7.3730439356333199E-10</v>
      </c>
    </row>
    <row r="301" spans="1:6" x14ac:dyDescent="0.3">
      <c r="A301" s="7" t="s">
        <v>1782</v>
      </c>
      <c r="B301" s="9">
        <v>1.13361163743381E-11</v>
      </c>
      <c r="C301" s="9">
        <v>7.4818368070631403E-12</v>
      </c>
      <c r="D301" s="9">
        <v>4.9085383900883999E-12</v>
      </c>
      <c r="E301" s="9">
        <v>4.9863202568010498E-12</v>
      </c>
      <c r="F301" s="9">
        <v>4.9019634425912799E-12</v>
      </c>
    </row>
    <row r="302" spans="1:6" x14ac:dyDescent="0.3">
      <c r="A302" s="7" t="s">
        <v>1746</v>
      </c>
      <c r="B302" s="7">
        <v>0</v>
      </c>
      <c r="C302" s="7">
        <v>0</v>
      </c>
      <c r="D302" s="9">
        <v>8.8950615277671002E-13</v>
      </c>
      <c r="E302" s="9">
        <v>5.3781366368389902E-13</v>
      </c>
      <c r="F302" s="9">
        <v>5.57423855740072E-13</v>
      </c>
    </row>
    <row r="303" spans="1:6" x14ac:dyDescent="0.3">
      <c r="A303" s="7" t="s">
        <v>2060</v>
      </c>
      <c r="B303" s="7">
        <v>0</v>
      </c>
      <c r="C303" s="7">
        <v>0</v>
      </c>
      <c r="D303" s="9">
        <v>5.9388029751265304E-14</v>
      </c>
      <c r="E303" s="9">
        <v>5.3357458993880802E-14</v>
      </c>
      <c r="F303" s="9">
        <v>5.6945905163362805E-14</v>
      </c>
    </row>
    <row r="304" spans="1:6" x14ac:dyDescent="0.3">
      <c r="A304" s="7" t="s">
        <v>2061</v>
      </c>
      <c r="B304" s="9">
        <v>8.4214431254263002E-14</v>
      </c>
      <c r="C304" s="9">
        <v>8.1407283545787598E-14</v>
      </c>
      <c r="D304" s="9">
        <v>8.8242688215925297E-14</v>
      </c>
      <c r="E304" s="9">
        <v>8.8151393413834301E-14</v>
      </c>
      <c r="F304" s="9">
        <v>8.8839207103976298E-14</v>
      </c>
    </row>
    <row r="305" spans="1:6" x14ac:dyDescent="0.3">
      <c r="A305" s="7" t="s">
        <v>1783</v>
      </c>
      <c r="B305" s="9">
        <v>4.01132577169727E-9</v>
      </c>
      <c r="C305" s="9">
        <v>3.4931961928530399E-9</v>
      </c>
      <c r="D305" s="9">
        <v>3.2851086684462501E-9</v>
      </c>
      <c r="E305" s="9">
        <v>3.2776816870049702E-9</v>
      </c>
      <c r="F305" s="9">
        <v>3.2648849010139401E-9</v>
      </c>
    </row>
    <row r="306" spans="1:6" x14ac:dyDescent="0.3">
      <c r="A306" s="7" t="s">
        <v>1800</v>
      </c>
      <c r="B306" s="9">
        <v>9.0259885076560902E-10</v>
      </c>
      <c r="C306" s="9">
        <v>7.1079659497791696E-10</v>
      </c>
      <c r="D306" s="9">
        <v>7.0478867137750902E-10</v>
      </c>
      <c r="E306" s="9">
        <v>6.9608685812493695E-10</v>
      </c>
      <c r="F306" s="9">
        <v>7.0142367003699798E-10</v>
      </c>
    </row>
    <row r="307" spans="1:6" x14ac:dyDescent="0.3">
      <c r="A307" s="7" t="s">
        <v>2062</v>
      </c>
      <c r="B307" s="9">
        <v>6.9038694964575304E-13</v>
      </c>
      <c r="C307" s="9">
        <v>1.79500606907896E-12</v>
      </c>
      <c r="D307" s="9">
        <v>1.9710547412386299E-12</v>
      </c>
      <c r="E307" s="9">
        <v>2.0180271886128201E-12</v>
      </c>
      <c r="F307" s="9">
        <v>2.0134444999468699E-12</v>
      </c>
    </row>
    <row r="308" spans="1:6" x14ac:dyDescent="0.3">
      <c r="A308" s="7" t="s">
        <v>1747</v>
      </c>
      <c r="B308" s="9">
        <v>1.44849520039946E-10</v>
      </c>
      <c r="C308" s="9">
        <v>1.54506154709276E-10</v>
      </c>
      <c r="D308" s="9">
        <v>1.4946495247394599E-10</v>
      </c>
      <c r="E308" s="9">
        <v>1.49981011955133E-10</v>
      </c>
      <c r="F308" s="9">
        <v>1.50571076081524E-10</v>
      </c>
    </row>
    <row r="309" spans="1:6" x14ac:dyDescent="0.3">
      <c r="A309" s="7" t="s">
        <v>1784</v>
      </c>
      <c r="B309" s="9">
        <v>2.7849098437254099E-10</v>
      </c>
      <c r="C309" s="9">
        <v>2.8851665980995201E-10</v>
      </c>
      <c r="D309" s="9">
        <v>2.9569058756738898E-10</v>
      </c>
      <c r="E309" s="9">
        <v>2.9836840403672202E-10</v>
      </c>
      <c r="F309" s="9">
        <v>2.9636787764138299E-10</v>
      </c>
    </row>
    <row r="310" spans="1:6" x14ac:dyDescent="0.3">
      <c r="A310" s="7" t="s">
        <v>2063</v>
      </c>
      <c r="B310" s="9">
        <v>1.75450180661884E-13</v>
      </c>
      <c r="C310" s="9">
        <v>2.2808523486045002E-13</v>
      </c>
      <c r="D310" s="9">
        <v>2.4510390238465201E-13</v>
      </c>
      <c r="E310" s="9">
        <v>2.4261999869783599E-13</v>
      </c>
      <c r="F310" s="9">
        <v>2.4414769890004498E-13</v>
      </c>
    </row>
    <row r="311" spans="1:6" x14ac:dyDescent="0.3">
      <c r="A311" s="7" t="s">
        <v>2064</v>
      </c>
      <c r="B311" s="9">
        <v>9.1226762672478704E-13</v>
      </c>
      <c r="C311" s="9">
        <v>9.4267654761561291E-13</v>
      </c>
      <c r="D311" s="9">
        <v>9.4718500066942708E-13</v>
      </c>
      <c r="E311" s="9">
        <v>9.4682768248523995E-13</v>
      </c>
      <c r="F311" s="9">
        <v>9.4648559548893804E-13</v>
      </c>
    </row>
    <row r="312" spans="1:6" x14ac:dyDescent="0.3">
      <c r="A312" s="7" t="s">
        <v>2368</v>
      </c>
      <c r="B312" s="7" t="s">
        <v>37</v>
      </c>
      <c r="C312" s="7" t="s">
        <v>37</v>
      </c>
      <c r="D312" s="7" t="s">
        <v>37</v>
      </c>
      <c r="E312" s="7" t="s">
        <v>37</v>
      </c>
      <c r="F312" s="7" t="s">
        <v>37</v>
      </c>
    </row>
    <row r="313" spans="1:6" x14ac:dyDescent="0.3">
      <c r="A313" s="7" t="s">
        <v>2065</v>
      </c>
      <c r="B313" s="9">
        <v>4.6817143155345798E-12</v>
      </c>
      <c r="C313" s="9">
        <v>4.2135428839811198E-12</v>
      </c>
      <c r="D313" s="9">
        <v>4.7753486018452697E-12</v>
      </c>
      <c r="E313" s="9">
        <v>4.7801363810096196E-12</v>
      </c>
      <c r="F313" s="9">
        <v>4.6811525098167096E-12</v>
      </c>
    </row>
    <row r="314" spans="1:6" x14ac:dyDescent="0.3">
      <c r="A314" s="7" t="s">
        <v>1727</v>
      </c>
      <c r="B314" s="7">
        <v>0</v>
      </c>
      <c r="C314" s="7">
        <v>0</v>
      </c>
      <c r="D314" s="7">
        <v>0</v>
      </c>
      <c r="E314" s="7">
        <v>0</v>
      </c>
      <c r="F314" s="7">
        <v>0</v>
      </c>
    </row>
    <row r="315" spans="1:6" x14ac:dyDescent="0.3">
      <c r="A315" s="7" t="s">
        <v>2066</v>
      </c>
      <c r="B315" s="9">
        <v>2.5646648260409902E-10</v>
      </c>
      <c r="C315" s="9">
        <v>1.6120750335114801E-10</v>
      </c>
      <c r="D315" s="9">
        <v>1.7633902582478999E-10</v>
      </c>
      <c r="E315" s="9">
        <v>1.7195589303868599E-10</v>
      </c>
      <c r="F315" s="9">
        <v>1.7384763713663599E-10</v>
      </c>
    </row>
    <row r="316" spans="1:6" ht="18.600000000000001" x14ac:dyDescent="0.3">
      <c r="A316" s="64" t="s">
        <v>4134</v>
      </c>
    </row>
  </sheetData>
  <mergeCells count="1">
    <mergeCell ref="A1:XFD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2744-793B-4DCA-9C53-09397EA3C4E4}">
  <dimension ref="A1:E26"/>
  <sheetViews>
    <sheetView tabSelected="1" workbookViewId="0">
      <selection activeCell="E26" sqref="E26"/>
    </sheetView>
  </sheetViews>
  <sheetFormatPr defaultRowHeight="14.4" x14ac:dyDescent="0.3"/>
  <cols>
    <col min="1" max="1" width="19.109375" bestFit="1" customWidth="1"/>
    <col min="2" max="2" width="15.6640625" customWidth="1"/>
    <col min="3" max="3" width="17.109375" customWidth="1"/>
    <col min="4" max="4" width="19" customWidth="1"/>
    <col min="5" max="5" width="20.21875" customWidth="1"/>
  </cols>
  <sheetData>
    <row r="1" spans="1:5" ht="18.600000000000001" x14ac:dyDescent="0.3">
      <c r="A1" s="2" t="s">
        <v>4136</v>
      </c>
    </row>
    <row r="2" spans="1:5" ht="15.6" x14ac:dyDescent="0.3">
      <c r="A2" s="62" t="s">
        <v>30</v>
      </c>
      <c r="B2" s="63" t="s">
        <v>1862</v>
      </c>
      <c r="C2" s="63" t="s">
        <v>2067</v>
      </c>
      <c r="D2" s="63" t="s">
        <v>1864</v>
      </c>
      <c r="E2" s="63" t="s">
        <v>2068</v>
      </c>
    </row>
    <row r="3" spans="1:5" ht="15" customHeight="1" x14ac:dyDescent="0.3">
      <c r="A3" s="63" t="s">
        <v>1769</v>
      </c>
      <c r="B3" s="62">
        <v>2</v>
      </c>
      <c r="C3" s="62">
        <v>2</v>
      </c>
      <c r="D3" s="62" t="s">
        <v>1716</v>
      </c>
      <c r="E3" s="62" t="s">
        <v>1716</v>
      </c>
    </row>
    <row r="4" spans="1:5" ht="15.6" x14ac:dyDescent="0.3">
      <c r="A4" s="63" t="s">
        <v>1868</v>
      </c>
      <c r="B4" s="62">
        <v>8</v>
      </c>
      <c r="C4" s="62">
        <v>10</v>
      </c>
      <c r="D4" s="62">
        <v>10</v>
      </c>
      <c r="E4" s="62">
        <v>10</v>
      </c>
    </row>
    <row r="5" spans="1:5" ht="15.6" x14ac:dyDescent="0.3">
      <c r="A5" s="63" t="s">
        <v>1792</v>
      </c>
      <c r="B5" s="62">
        <v>1</v>
      </c>
      <c r="C5" s="62">
        <v>1</v>
      </c>
      <c r="D5" s="62" t="s">
        <v>1716</v>
      </c>
      <c r="E5" s="62" t="s">
        <v>1716</v>
      </c>
    </row>
    <row r="6" spans="1:5" ht="15.6" x14ac:dyDescent="0.3">
      <c r="A6" s="63" t="s">
        <v>2369</v>
      </c>
      <c r="B6" s="62" t="s">
        <v>1716</v>
      </c>
      <c r="C6" s="62">
        <v>2</v>
      </c>
      <c r="D6" s="62">
        <v>9</v>
      </c>
      <c r="E6" s="62">
        <v>10</v>
      </c>
    </row>
    <row r="7" spans="1:5" ht="15.6" x14ac:dyDescent="0.3">
      <c r="A7" s="63" t="s">
        <v>2310</v>
      </c>
      <c r="B7" s="62" t="s">
        <v>1716</v>
      </c>
      <c r="C7" s="62">
        <v>1</v>
      </c>
      <c r="D7" s="62" t="s">
        <v>1716</v>
      </c>
      <c r="E7" s="62" t="s">
        <v>1716</v>
      </c>
    </row>
    <row r="8" spans="1:5" ht="15.6" x14ac:dyDescent="0.3">
      <c r="A8" s="63" t="s">
        <v>1734</v>
      </c>
      <c r="B8" s="62">
        <v>1</v>
      </c>
      <c r="C8" s="62" t="s">
        <v>1716</v>
      </c>
      <c r="D8" s="62" t="s">
        <v>1716</v>
      </c>
      <c r="E8" s="62" t="s">
        <v>1716</v>
      </c>
    </row>
    <row r="9" spans="1:5" ht="15.6" x14ac:dyDescent="0.3">
      <c r="A9" s="63" t="s">
        <v>1737</v>
      </c>
      <c r="B9" s="62">
        <v>2</v>
      </c>
      <c r="C9" s="62">
        <v>10</v>
      </c>
      <c r="D9" s="62">
        <v>10</v>
      </c>
      <c r="E9" s="62">
        <v>10</v>
      </c>
    </row>
    <row r="10" spans="1:5" ht="15.6" x14ac:dyDescent="0.3">
      <c r="A10" s="63" t="s">
        <v>1748</v>
      </c>
      <c r="B10" s="62" t="s">
        <v>1716</v>
      </c>
      <c r="C10" s="62">
        <v>1</v>
      </c>
      <c r="D10" s="62" t="s">
        <v>1716</v>
      </c>
      <c r="E10" s="62" t="s">
        <v>1716</v>
      </c>
    </row>
    <row r="11" spans="1:5" ht="15.6" x14ac:dyDescent="0.3">
      <c r="A11" s="63" t="s">
        <v>1917</v>
      </c>
      <c r="B11" s="62">
        <v>1</v>
      </c>
      <c r="C11" s="62" t="s">
        <v>1716</v>
      </c>
      <c r="D11" s="62" t="s">
        <v>1716</v>
      </c>
      <c r="E11" s="62" t="s">
        <v>1716</v>
      </c>
    </row>
    <row r="12" spans="1:5" ht="15.6" x14ac:dyDescent="0.3">
      <c r="A12" s="63" t="s">
        <v>1919</v>
      </c>
      <c r="B12" s="62">
        <v>1</v>
      </c>
      <c r="C12" s="62" t="s">
        <v>1716</v>
      </c>
      <c r="D12" s="62" t="s">
        <v>1716</v>
      </c>
      <c r="E12" s="62" t="s">
        <v>1716</v>
      </c>
    </row>
    <row r="13" spans="1:5" ht="15.6" x14ac:dyDescent="0.3">
      <c r="A13" s="63" t="s">
        <v>2356</v>
      </c>
      <c r="B13" s="62" t="s">
        <v>1716</v>
      </c>
      <c r="C13" s="62">
        <v>2</v>
      </c>
      <c r="D13" s="62">
        <v>5</v>
      </c>
      <c r="E13" s="62">
        <v>9</v>
      </c>
    </row>
    <row r="14" spans="1:5" ht="15.6" x14ac:dyDescent="0.3">
      <c r="A14" s="63" t="s">
        <v>1796</v>
      </c>
      <c r="B14" s="62">
        <v>10</v>
      </c>
      <c r="C14" s="62">
        <v>10</v>
      </c>
      <c r="D14" s="62">
        <v>10</v>
      </c>
      <c r="E14" s="62">
        <v>10</v>
      </c>
    </row>
    <row r="15" spans="1:5" ht="15.6" x14ac:dyDescent="0.3">
      <c r="A15" s="63" t="s">
        <v>1790</v>
      </c>
      <c r="B15" s="62">
        <v>6</v>
      </c>
      <c r="C15" s="62">
        <v>7</v>
      </c>
      <c r="D15" s="62">
        <v>10</v>
      </c>
      <c r="E15" s="62">
        <v>10</v>
      </c>
    </row>
    <row r="16" spans="1:5" ht="15.6" x14ac:dyDescent="0.3">
      <c r="A16" s="63" t="s">
        <v>2358</v>
      </c>
      <c r="B16" s="62" t="s">
        <v>1716</v>
      </c>
      <c r="C16" s="62">
        <v>1</v>
      </c>
      <c r="D16" s="62" t="s">
        <v>1716</v>
      </c>
      <c r="E16" s="62" t="s">
        <v>1716</v>
      </c>
    </row>
    <row r="17" spans="1:5" ht="15.6" x14ac:dyDescent="0.3">
      <c r="A17" s="63" t="s">
        <v>2298</v>
      </c>
      <c r="B17" s="62">
        <v>1</v>
      </c>
      <c r="C17" s="62">
        <v>8</v>
      </c>
      <c r="D17" s="62">
        <v>4</v>
      </c>
      <c r="E17" s="62">
        <v>3</v>
      </c>
    </row>
    <row r="18" spans="1:5" ht="15.6" x14ac:dyDescent="0.3">
      <c r="A18" s="63" t="s">
        <v>1959</v>
      </c>
      <c r="B18" s="62">
        <v>1</v>
      </c>
      <c r="C18" s="62">
        <v>4</v>
      </c>
      <c r="D18" s="62" t="s">
        <v>1716</v>
      </c>
      <c r="E18" s="62" t="s">
        <v>1716</v>
      </c>
    </row>
    <row r="19" spans="1:5" ht="15.6" x14ac:dyDescent="0.3">
      <c r="A19" s="63" t="s">
        <v>1965</v>
      </c>
      <c r="B19" s="62">
        <v>2</v>
      </c>
      <c r="C19" s="62">
        <v>8</v>
      </c>
      <c r="D19" s="62">
        <v>10</v>
      </c>
      <c r="E19" s="62">
        <v>10</v>
      </c>
    </row>
    <row r="20" spans="1:5" ht="15.6" x14ac:dyDescent="0.3">
      <c r="A20" s="63" t="s">
        <v>2299</v>
      </c>
      <c r="B20" s="62">
        <v>1</v>
      </c>
      <c r="C20" s="62">
        <v>2</v>
      </c>
      <c r="D20" s="62" t="s">
        <v>1716</v>
      </c>
      <c r="E20" s="62" t="s">
        <v>1716</v>
      </c>
    </row>
    <row r="21" spans="1:5" ht="15.6" x14ac:dyDescent="0.3">
      <c r="A21" s="63" t="s">
        <v>1982</v>
      </c>
      <c r="B21" s="62">
        <v>1</v>
      </c>
      <c r="C21" s="62">
        <v>6</v>
      </c>
      <c r="D21" s="62">
        <v>4</v>
      </c>
      <c r="E21" s="62">
        <v>2</v>
      </c>
    </row>
    <row r="22" spans="1:5" ht="15.6" x14ac:dyDescent="0.3">
      <c r="A22" s="63" t="s">
        <v>1777</v>
      </c>
      <c r="B22" s="62">
        <v>10</v>
      </c>
      <c r="C22" s="62">
        <v>10</v>
      </c>
      <c r="D22" s="62">
        <v>10</v>
      </c>
      <c r="E22" s="62">
        <v>10</v>
      </c>
    </row>
    <row r="23" spans="1:5" ht="15.6" x14ac:dyDescent="0.3">
      <c r="A23" s="63" t="s">
        <v>2000</v>
      </c>
      <c r="B23" s="62">
        <v>1</v>
      </c>
      <c r="C23" s="62" t="s">
        <v>1716</v>
      </c>
      <c r="D23" s="62" t="s">
        <v>1716</v>
      </c>
      <c r="E23" s="62" t="s">
        <v>1716</v>
      </c>
    </row>
    <row r="24" spans="1:5" ht="15.6" x14ac:dyDescent="0.3">
      <c r="A24" s="63" t="s">
        <v>2004</v>
      </c>
      <c r="B24" s="62">
        <v>1</v>
      </c>
      <c r="C24" s="62" t="s">
        <v>1716</v>
      </c>
      <c r="D24" s="62" t="s">
        <v>1716</v>
      </c>
      <c r="E24" s="62" t="s">
        <v>1716</v>
      </c>
    </row>
    <row r="25" spans="1:5" ht="15.6" x14ac:dyDescent="0.3">
      <c r="A25" s="63" t="s">
        <v>2022</v>
      </c>
      <c r="B25" s="62">
        <v>5</v>
      </c>
      <c r="C25" s="62">
        <v>1</v>
      </c>
      <c r="D25" s="62" t="s">
        <v>1716</v>
      </c>
      <c r="E25" s="62" t="s">
        <v>1716</v>
      </c>
    </row>
    <row r="26" spans="1:5" ht="15.6" x14ac:dyDescent="0.3">
      <c r="A26" s="63" t="s">
        <v>1783</v>
      </c>
      <c r="B26" s="62">
        <v>2</v>
      </c>
      <c r="C26" s="62">
        <v>1</v>
      </c>
      <c r="D26" s="62" t="s">
        <v>1716</v>
      </c>
      <c r="E26" s="62" t="s">
        <v>1716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D14DE-0DA4-4DEC-8558-20590ADE4274}">
  <dimension ref="A1:H596"/>
  <sheetViews>
    <sheetView workbookViewId="0">
      <selection activeCell="A2" sqref="A2"/>
    </sheetView>
  </sheetViews>
  <sheetFormatPr defaultRowHeight="15.6" x14ac:dyDescent="0.3"/>
  <cols>
    <col min="1" max="1" width="18.33203125" style="7" customWidth="1"/>
    <col min="2" max="2" width="13.21875" style="7" customWidth="1"/>
    <col min="3" max="4" width="22.77734375" style="7" customWidth="1"/>
    <col min="5" max="5" width="22.109375" style="7" bestFit="1" customWidth="1"/>
    <col min="6" max="6" width="28.6640625" style="7" bestFit="1" customWidth="1"/>
    <col min="7" max="7" width="37.77734375" style="7" bestFit="1" customWidth="1"/>
    <col min="8" max="8" width="49.5546875" style="7" customWidth="1"/>
    <col min="9" max="16384" width="8.88671875" style="7"/>
  </cols>
  <sheetData>
    <row r="1" spans="1:8" x14ac:dyDescent="0.3">
      <c r="A1" s="7" t="s">
        <v>4135</v>
      </c>
    </row>
    <row r="2" spans="1:8" ht="31.2" x14ac:dyDescent="0.3">
      <c r="A2" s="17" t="s">
        <v>30</v>
      </c>
      <c r="B2" s="17" t="s">
        <v>3877</v>
      </c>
      <c r="C2" s="47" t="s">
        <v>3878</v>
      </c>
      <c r="D2" s="47" t="s">
        <v>3879</v>
      </c>
      <c r="E2" s="48" t="s">
        <v>3898</v>
      </c>
      <c r="F2" s="48" t="s">
        <v>3899</v>
      </c>
      <c r="G2" s="49" t="s">
        <v>3900</v>
      </c>
      <c r="H2" s="17" t="s">
        <v>3885</v>
      </c>
    </row>
    <row r="3" spans="1:8" ht="18.600000000000001" x14ac:dyDescent="0.3">
      <c r="A3" s="7" t="s">
        <v>110</v>
      </c>
      <c r="B3" s="7" t="s">
        <v>3886</v>
      </c>
      <c r="C3" s="13">
        <v>24.387450645827201</v>
      </c>
      <c r="D3" s="13">
        <v>7965.5870000000004</v>
      </c>
      <c r="E3" s="13">
        <v>3.0616011909514302E-3</v>
      </c>
      <c r="F3" s="13">
        <v>-2.51405138184459</v>
      </c>
      <c r="G3" s="18">
        <v>2.51405138184459</v>
      </c>
      <c r="H3" s="7" t="b">
        <v>1</v>
      </c>
    </row>
    <row r="4" spans="1:8" ht="18.600000000000001" x14ac:dyDescent="0.3">
      <c r="A4" s="7" t="s">
        <v>110</v>
      </c>
      <c r="B4" s="7" t="s">
        <v>3887</v>
      </c>
      <c r="C4" s="13">
        <v>24.387450645827201</v>
      </c>
      <c r="D4" s="13">
        <v>11840.05</v>
      </c>
      <c r="E4" s="13">
        <v>2.0597422009051699E-3</v>
      </c>
      <c r="F4" s="13">
        <v>-2.6861871328981199</v>
      </c>
      <c r="G4" s="18">
        <v>2.6861871328981199</v>
      </c>
      <c r="H4" s="7" t="b">
        <v>1</v>
      </c>
    </row>
    <row r="5" spans="1:8" ht="18.600000000000001" x14ac:dyDescent="0.3">
      <c r="A5" s="7" t="s">
        <v>110</v>
      </c>
      <c r="B5" s="7" t="s">
        <v>3888</v>
      </c>
      <c r="C5" s="13">
        <v>24.387450645827201</v>
      </c>
      <c r="D5" s="13">
        <v>7303.8059999999996</v>
      </c>
      <c r="E5" s="13">
        <v>3.3390058068118499E-3</v>
      </c>
      <c r="F5" s="13">
        <v>-2.47638282567035</v>
      </c>
      <c r="G5" s="18">
        <v>2.47638282567035</v>
      </c>
      <c r="H5" s="7" t="b">
        <v>1</v>
      </c>
    </row>
    <row r="6" spans="1:8" ht="18.600000000000001" x14ac:dyDescent="0.3">
      <c r="A6" s="7" t="s">
        <v>110</v>
      </c>
      <c r="B6" s="7" t="s">
        <v>3889</v>
      </c>
      <c r="C6" s="13">
        <v>24.0387273471427</v>
      </c>
      <c r="D6" s="13">
        <v>169.791</v>
      </c>
      <c r="E6" s="13">
        <v>0.14157833658523</v>
      </c>
      <c r="F6" s="13">
        <v>-0.84900319453647899</v>
      </c>
      <c r="G6" s="18">
        <v>0.84900319453647899</v>
      </c>
      <c r="H6" s="7" t="b">
        <v>0</v>
      </c>
    </row>
    <row r="7" spans="1:8" ht="18.600000000000001" x14ac:dyDescent="0.3">
      <c r="A7" s="7" t="s">
        <v>110</v>
      </c>
      <c r="B7" s="7" t="s">
        <v>3890</v>
      </c>
      <c r="C7" s="13">
        <v>24.2569522862449</v>
      </c>
      <c r="D7" s="13">
        <v>7846.5479999999998</v>
      </c>
      <c r="E7" s="13">
        <v>3.0914170519628398E-3</v>
      </c>
      <c r="F7" s="13">
        <v>-2.50984240187677</v>
      </c>
      <c r="G7" s="18">
        <v>2.50984240187677</v>
      </c>
      <c r="H7" s="7" t="b">
        <v>1</v>
      </c>
    </row>
    <row r="8" spans="1:8" ht="18.600000000000001" x14ac:dyDescent="0.3">
      <c r="A8" s="7" t="s">
        <v>110</v>
      </c>
      <c r="B8" s="7" t="s">
        <v>3891</v>
      </c>
      <c r="C8" s="13">
        <v>24.368230999823702</v>
      </c>
      <c r="D8" s="13">
        <v>16948.058000000001</v>
      </c>
      <c r="E8" s="13">
        <v>1.4378184804314301E-3</v>
      </c>
      <c r="F8" s="13">
        <v>-2.8422959386561799</v>
      </c>
      <c r="G8" s="18">
        <v>2.8422959386561799</v>
      </c>
      <c r="H8" s="7" t="b">
        <v>1</v>
      </c>
    </row>
    <row r="9" spans="1:8" ht="18.600000000000001" x14ac:dyDescent="0.3">
      <c r="A9" s="7" t="s">
        <v>110</v>
      </c>
      <c r="B9" s="7" t="s">
        <v>3892</v>
      </c>
      <c r="C9" s="13">
        <v>24.222020282049101</v>
      </c>
      <c r="D9" s="13" t="s">
        <v>37</v>
      </c>
      <c r="E9" s="13" t="s">
        <v>37</v>
      </c>
      <c r="F9" s="13" t="s">
        <v>37</v>
      </c>
      <c r="G9" s="18" t="s">
        <v>37</v>
      </c>
      <c r="H9" s="7" t="b">
        <v>0</v>
      </c>
    </row>
    <row r="10" spans="1:8" ht="18.600000000000001" x14ac:dyDescent="0.3">
      <c r="A10" s="7" t="s">
        <v>110</v>
      </c>
      <c r="B10" s="7" t="s">
        <v>3893</v>
      </c>
      <c r="C10" s="13">
        <v>23.664085535288699</v>
      </c>
      <c r="D10" s="13">
        <v>18034.472000000002</v>
      </c>
      <c r="E10" s="13">
        <v>1.31215848932471E-3</v>
      </c>
      <c r="F10" s="13">
        <v>-2.88201370544656</v>
      </c>
      <c r="G10" s="18">
        <v>2.88201370544656</v>
      </c>
      <c r="H10" s="7" t="b">
        <v>1</v>
      </c>
    </row>
    <row r="11" spans="1:8" ht="18.600000000000001" x14ac:dyDescent="0.3">
      <c r="A11" s="7" t="s">
        <v>110</v>
      </c>
      <c r="B11" s="7" t="s">
        <v>3894</v>
      </c>
      <c r="C11" s="13">
        <v>25.768504692587101</v>
      </c>
      <c r="D11" s="13">
        <v>6890.9690000000001</v>
      </c>
      <c r="E11" s="13">
        <v>3.7394602548040902E-3</v>
      </c>
      <c r="F11" s="13">
        <v>-2.4271910783547002</v>
      </c>
      <c r="G11" s="18">
        <v>2.4271910783547002</v>
      </c>
      <c r="H11" s="7" t="b">
        <v>1</v>
      </c>
    </row>
    <row r="12" spans="1:8" ht="18.600000000000001" x14ac:dyDescent="0.3">
      <c r="A12" s="7" t="s">
        <v>110</v>
      </c>
      <c r="B12" s="7" t="s">
        <v>3895</v>
      </c>
      <c r="C12" s="13">
        <v>24.327548754726401</v>
      </c>
      <c r="D12" s="13">
        <v>18903.603999999999</v>
      </c>
      <c r="E12" s="13">
        <v>1.2869264905637299E-3</v>
      </c>
      <c r="F12" s="13">
        <v>-2.8904462593538098</v>
      </c>
      <c r="G12" s="18">
        <v>2.8904462593538098</v>
      </c>
      <c r="H12" s="7" t="b">
        <v>1</v>
      </c>
    </row>
    <row r="13" spans="1:8" x14ac:dyDescent="0.3">
      <c r="A13" s="7" t="s">
        <v>755</v>
      </c>
      <c r="B13" s="7" t="s">
        <v>2244</v>
      </c>
      <c r="C13" s="13">
        <v>0.48988182720372597</v>
      </c>
      <c r="D13" s="13">
        <v>7.45</v>
      </c>
      <c r="E13" s="13">
        <v>6.5755949960231694E-2</v>
      </c>
      <c r="F13" s="13">
        <v>-1.1820649437053701</v>
      </c>
      <c r="G13" s="18">
        <v>1.1820649437053701</v>
      </c>
      <c r="H13" s="7" t="b">
        <v>1</v>
      </c>
    </row>
    <row r="14" spans="1:8" x14ac:dyDescent="0.3">
      <c r="A14" s="7" t="s">
        <v>755</v>
      </c>
      <c r="B14" s="7" t="s">
        <v>2247</v>
      </c>
      <c r="C14" s="13">
        <v>0.48988182720372597</v>
      </c>
      <c r="D14" s="13">
        <v>4.0350000000000001</v>
      </c>
      <c r="E14" s="13">
        <v>0.121408135614306</v>
      </c>
      <c r="F14" s="13">
        <v>-0.91575221001516804</v>
      </c>
      <c r="G14" s="18">
        <v>0.91575221001516804</v>
      </c>
      <c r="H14" s="7" t="b">
        <v>0</v>
      </c>
    </row>
    <row r="15" spans="1:8" x14ac:dyDescent="0.3">
      <c r="A15" s="7" t="s">
        <v>755</v>
      </c>
      <c r="B15" s="7" t="s">
        <v>2300</v>
      </c>
      <c r="C15" s="13">
        <v>0.48988182720372597</v>
      </c>
      <c r="D15" s="13">
        <v>49.353999999999999</v>
      </c>
      <c r="E15" s="13">
        <v>9.9258788994554797E-3</v>
      </c>
      <c r="F15" s="13">
        <v>-2.0032310277100298</v>
      </c>
      <c r="G15" s="18">
        <v>2.0032310277100298</v>
      </c>
      <c r="H15" s="7" t="b">
        <v>1</v>
      </c>
    </row>
    <row r="16" spans="1:8" x14ac:dyDescent="0.3">
      <c r="A16" s="7" t="s">
        <v>755</v>
      </c>
      <c r="B16" s="7" t="s">
        <v>2301</v>
      </c>
      <c r="C16" s="13">
        <v>0.48464184790136</v>
      </c>
      <c r="D16" s="13">
        <v>2.173</v>
      </c>
      <c r="E16" s="13">
        <v>0.22302892218194201</v>
      </c>
      <c r="F16" s="13">
        <v>-0.65163881439778504</v>
      </c>
      <c r="G16" s="18">
        <v>0.65163881439778504</v>
      </c>
      <c r="H16" s="7" t="b">
        <v>0</v>
      </c>
    </row>
    <row r="17" spans="1:8" x14ac:dyDescent="0.3">
      <c r="A17" s="7" t="s">
        <v>755</v>
      </c>
      <c r="B17" s="7" t="s">
        <v>2302</v>
      </c>
      <c r="C17" s="13">
        <v>0.44853453181967201</v>
      </c>
      <c r="D17" s="13" t="s">
        <v>37</v>
      </c>
      <c r="E17" s="13" t="s">
        <v>37</v>
      </c>
      <c r="F17" s="13" t="s">
        <v>37</v>
      </c>
      <c r="G17" s="18" t="s">
        <v>37</v>
      </c>
      <c r="H17" s="7" t="b">
        <v>0</v>
      </c>
    </row>
    <row r="18" spans="1:8" x14ac:dyDescent="0.3">
      <c r="A18" s="7" t="s">
        <v>755</v>
      </c>
      <c r="B18" s="7" t="s">
        <v>3880</v>
      </c>
      <c r="C18" s="13">
        <v>0.47710995645925602</v>
      </c>
      <c r="D18" s="13" t="s">
        <v>37</v>
      </c>
      <c r="E18" s="13" t="s">
        <v>37</v>
      </c>
      <c r="F18" s="13" t="s">
        <v>37</v>
      </c>
      <c r="G18" s="18" t="s">
        <v>37</v>
      </c>
      <c r="H18" s="7" t="b">
        <v>0</v>
      </c>
    </row>
    <row r="19" spans="1:8" x14ac:dyDescent="0.3">
      <c r="A19" s="7" t="s">
        <v>755</v>
      </c>
      <c r="B19" s="7" t="s">
        <v>3881</v>
      </c>
      <c r="C19" s="13">
        <v>0.469110999959226</v>
      </c>
      <c r="D19" s="13">
        <v>24.117999999999999</v>
      </c>
      <c r="E19" s="13">
        <v>1.9450659256954401E-2</v>
      </c>
      <c r="F19" s="13">
        <v>-1.71106567419404</v>
      </c>
      <c r="G19" s="18">
        <v>1.71106567419404</v>
      </c>
      <c r="H19" s="7" t="b">
        <v>1</v>
      </c>
    </row>
    <row r="20" spans="1:8" x14ac:dyDescent="0.3">
      <c r="A20" s="7" t="s">
        <v>755</v>
      </c>
      <c r="B20" s="7" t="s">
        <v>3882</v>
      </c>
      <c r="C20" s="13">
        <v>0.464910319007385</v>
      </c>
      <c r="D20" s="13">
        <v>16.576000000000001</v>
      </c>
      <c r="E20" s="13">
        <v>2.80471958860633E-2</v>
      </c>
      <c r="F20" s="13">
        <v>-1.5521105523074501</v>
      </c>
      <c r="G20" s="18">
        <v>1.5521105523074501</v>
      </c>
      <c r="H20" s="7" t="b">
        <v>1</v>
      </c>
    </row>
    <row r="21" spans="1:8" x14ac:dyDescent="0.3">
      <c r="A21" s="7" t="s">
        <v>755</v>
      </c>
      <c r="B21" s="7" t="s">
        <v>3883</v>
      </c>
      <c r="C21" s="13">
        <v>0.46927276893954301</v>
      </c>
      <c r="D21" s="13" t="s">
        <v>37</v>
      </c>
      <c r="E21" s="13" t="s">
        <v>37</v>
      </c>
      <c r="F21" s="13" t="s">
        <v>37</v>
      </c>
      <c r="G21" s="18" t="s">
        <v>37</v>
      </c>
      <c r="H21" s="7" t="b">
        <v>0</v>
      </c>
    </row>
    <row r="22" spans="1:8" x14ac:dyDescent="0.3">
      <c r="A22" s="7" t="s">
        <v>755</v>
      </c>
      <c r="B22" s="7" t="s">
        <v>3884</v>
      </c>
      <c r="C22" s="13">
        <v>0.49252239780322998</v>
      </c>
      <c r="D22" s="13" t="s">
        <v>37</v>
      </c>
      <c r="E22" s="13" t="s">
        <v>37</v>
      </c>
      <c r="F22" s="13" t="s">
        <v>37</v>
      </c>
      <c r="G22" s="18" t="s">
        <v>37</v>
      </c>
      <c r="H22" s="7" t="b">
        <v>0</v>
      </c>
    </row>
    <row r="23" spans="1:8" x14ac:dyDescent="0.3">
      <c r="A23" s="7" t="s">
        <v>313</v>
      </c>
      <c r="B23" s="7" t="s">
        <v>2244</v>
      </c>
      <c r="C23" s="13">
        <v>46.569773037979097</v>
      </c>
      <c r="D23" s="13" t="s">
        <v>37</v>
      </c>
      <c r="E23" s="13" t="s">
        <v>37</v>
      </c>
      <c r="F23" s="13" t="s">
        <v>37</v>
      </c>
      <c r="G23" s="18" t="s">
        <v>37</v>
      </c>
      <c r="H23" s="7" t="b">
        <v>0</v>
      </c>
    </row>
    <row r="24" spans="1:8" x14ac:dyDescent="0.3">
      <c r="A24" s="7" t="s">
        <v>313</v>
      </c>
      <c r="B24" s="7" t="s">
        <v>2247</v>
      </c>
      <c r="C24" s="13">
        <v>46.569773037979097</v>
      </c>
      <c r="D24" s="13" t="s">
        <v>37</v>
      </c>
      <c r="E24" s="13" t="s">
        <v>37</v>
      </c>
      <c r="F24" s="13" t="s">
        <v>37</v>
      </c>
      <c r="G24" s="18" t="s">
        <v>37</v>
      </c>
      <c r="H24" s="7" t="b">
        <v>0</v>
      </c>
    </row>
    <row r="25" spans="1:8" x14ac:dyDescent="0.3">
      <c r="A25" s="7" t="s">
        <v>313</v>
      </c>
      <c r="B25" s="7" t="s">
        <v>2300</v>
      </c>
      <c r="C25" s="13">
        <v>46.569773037979097</v>
      </c>
      <c r="D25" s="13">
        <v>136.88800000000001</v>
      </c>
      <c r="E25" s="13">
        <v>0.34020347318960797</v>
      </c>
      <c r="F25" s="13">
        <v>-0.46826125692162202</v>
      </c>
      <c r="G25" s="18">
        <v>0.46826125692162202</v>
      </c>
      <c r="H25" s="7" t="b">
        <v>0</v>
      </c>
    </row>
    <row r="26" spans="1:8" x14ac:dyDescent="0.3">
      <c r="A26" s="7" t="s">
        <v>313</v>
      </c>
      <c r="B26" s="7" t="s">
        <v>2301</v>
      </c>
      <c r="C26" s="13">
        <v>46.032046308231799</v>
      </c>
      <c r="D26" s="13">
        <v>4.3460000000000001</v>
      </c>
      <c r="E26" s="13">
        <v>10.5918192149636</v>
      </c>
      <c r="F26" s="13">
        <v>1.0249705594621501</v>
      </c>
      <c r="G26" s="18">
        <v>1.0249705594621501</v>
      </c>
      <c r="H26" s="7" t="b">
        <v>0</v>
      </c>
    </row>
    <row r="27" spans="1:8" x14ac:dyDescent="0.3">
      <c r="A27" s="7" t="s">
        <v>313</v>
      </c>
      <c r="B27" s="7" t="s">
        <v>2302</v>
      </c>
      <c r="C27" s="13">
        <v>44.3601129171414</v>
      </c>
      <c r="D27" s="13" t="s">
        <v>37</v>
      </c>
      <c r="E27" s="13" t="s">
        <v>37</v>
      </c>
      <c r="F27" s="13" t="s">
        <v>37</v>
      </c>
      <c r="G27" s="18" t="s">
        <v>37</v>
      </c>
      <c r="H27" s="7" t="b">
        <v>0</v>
      </c>
    </row>
    <row r="28" spans="1:8" x14ac:dyDescent="0.3">
      <c r="A28" s="7" t="s">
        <v>313</v>
      </c>
      <c r="B28" s="7" t="s">
        <v>3880</v>
      </c>
      <c r="C28" s="13">
        <v>46.609703125199999</v>
      </c>
      <c r="D28" s="13" t="s">
        <v>37</v>
      </c>
      <c r="E28" s="13" t="s">
        <v>37</v>
      </c>
      <c r="F28" s="13" t="s">
        <v>37</v>
      </c>
      <c r="G28" s="18" t="s">
        <v>37</v>
      </c>
      <c r="H28" s="7" t="b">
        <v>0</v>
      </c>
    </row>
    <row r="29" spans="1:8" x14ac:dyDescent="0.3">
      <c r="A29" s="7" t="s">
        <v>313</v>
      </c>
      <c r="B29" s="7" t="s">
        <v>3881</v>
      </c>
      <c r="C29" s="13">
        <v>43.827724203952997</v>
      </c>
      <c r="D29" s="13" t="s">
        <v>37</v>
      </c>
      <c r="E29" s="13" t="s">
        <v>37</v>
      </c>
      <c r="F29" s="13" t="s">
        <v>37</v>
      </c>
      <c r="G29" s="18" t="s">
        <v>37</v>
      </c>
      <c r="H29" s="7" t="b">
        <v>0</v>
      </c>
    </row>
    <row r="30" spans="1:8" x14ac:dyDescent="0.3">
      <c r="A30" s="7" t="s">
        <v>313</v>
      </c>
      <c r="B30" s="7" t="s">
        <v>3882</v>
      </c>
      <c r="C30" s="13">
        <v>47.489937014756599</v>
      </c>
      <c r="D30" s="13" t="s">
        <v>37</v>
      </c>
      <c r="E30" s="13" t="s">
        <v>37</v>
      </c>
      <c r="F30" s="13" t="s">
        <v>37</v>
      </c>
      <c r="G30" s="18" t="s">
        <v>37</v>
      </c>
      <c r="H30" s="7" t="b">
        <v>0</v>
      </c>
    </row>
    <row r="31" spans="1:8" x14ac:dyDescent="0.3">
      <c r="A31" s="7" t="s">
        <v>313</v>
      </c>
      <c r="B31" s="7" t="s">
        <v>3883</v>
      </c>
      <c r="C31" s="13">
        <v>47.418395477658599</v>
      </c>
      <c r="D31" s="13" t="s">
        <v>37</v>
      </c>
      <c r="E31" s="13" t="s">
        <v>37</v>
      </c>
      <c r="F31" s="13" t="s">
        <v>37</v>
      </c>
      <c r="G31" s="18" t="s">
        <v>37</v>
      </c>
      <c r="H31" s="7" t="b">
        <v>0</v>
      </c>
    </row>
    <row r="32" spans="1:8" x14ac:dyDescent="0.3">
      <c r="A32" s="7" t="s">
        <v>313</v>
      </c>
      <c r="B32" s="7" t="s">
        <v>3884</v>
      </c>
      <c r="C32" s="13">
        <v>44.9570435888768</v>
      </c>
      <c r="D32" s="13" t="s">
        <v>37</v>
      </c>
      <c r="E32" s="13" t="s">
        <v>37</v>
      </c>
      <c r="F32" s="13" t="s">
        <v>37</v>
      </c>
      <c r="G32" s="18" t="s">
        <v>37</v>
      </c>
      <c r="H32" s="7" t="b">
        <v>0</v>
      </c>
    </row>
    <row r="33" spans="1:8" x14ac:dyDescent="0.3">
      <c r="A33" s="7" t="s">
        <v>372</v>
      </c>
      <c r="B33" s="7" t="s">
        <v>2244</v>
      </c>
      <c r="C33" s="13">
        <v>3.8728733616417599</v>
      </c>
      <c r="D33" s="13">
        <v>28.867999999999999</v>
      </c>
      <c r="E33" s="13">
        <v>0.13415800753920501</v>
      </c>
      <c r="F33" s="13">
        <v>-0.87238340032113004</v>
      </c>
      <c r="G33" s="18">
        <v>0.87238340032113004</v>
      </c>
      <c r="H33" s="7" t="b">
        <v>0</v>
      </c>
    </row>
    <row r="34" spans="1:8" x14ac:dyDescent="0.3">
      <c r="A34" s="7" t="s">
        <v>372</v>
      </c>
      <c r="B34" s="7" t="s">
        <v>2247</v>
      </c>
      <c r="C34" s="13">
        <v>3.8728733616417599</v>
      </c>
      <c r="D34" s="13">
        <v>40.042000000000002</v>
      </c>
      <c r="E34" s="13">
        <v>9.6720277749407099E-2</v>
      </c>
      <c r="F34" s="13">
        <v>-1.0144824649919699</v>
      </c>
      <c r="G34" s="18">
        <v>1.0144824649919699</v>
      </c>
      <c r="H34" s="7" t="b">
        <v>1</v>
      </c>
    </row>
    <row r="35" spans="1:8" x14ac:dyDescent="0.3">
      <c r="A35" s="7" t="s">
        <v>372</v>
      </c>
      <c r="B35" s="7" t="s">
        <v>2300</v>
      </c>
      <c r="C35" s="13">
        <v>3.8728733616417599</v>
      </c>
      <c r="D35" s="13">
        <v>112.67700000000001</v>
      </c>
      <c r="E35" s="13">
        <v>3.4371463223566101E-2</v>
      </c>
      <c r="F35" s="13">
        <v>-1.46380197916932</v>
      </c>
      <c r="G35" s="18">
        <v>1.46380197916932</v>
      </c>
      <c r="H35" s="7" t="b">
        <v>1</v>
      </c>
    </row>
    <row r="36" spans="1:8" x14ac:dyDescent="0.3">
      <c r="A36" s="7" t="s">
        <v>372</v>
      </c>
      <c r="B36" s="7" t="s">
        <v>2301</v>
      </c>
      <c r="C36" s="13">
        <v>3.8433296316210201</v>
      </c>
      <c r="D36" s="13">
        <v>13.968</v>
      </c>
      <c r="E36" s="13">
        <v>0.27515246503586899</v>
      </c>
      <c r="F36" s="13">
        <v>-0.56042659207804602</v>
      </c>
      <c r="G36" s="18">
        <v>0.56042659207804602</v>
      </c>
      <c r="H36" s="7" t="b">
        <v>0</v>
      </c>
    </row>
    <row r="37" spans="1:8" x14ac:dyDescent="0.3">
      <c r="A37" s="7" t="s">
        <v>372</v>
      </c>
      <c r="B37" s="7" t="s">
        <v>2302</v>
      </c>
      <c r="C37" s="13">
        <v>3.8366032659579901</v>
      </c>
      <c r="D37" s="13" t="s">
        <v>37</v>
      </c>
      <c r="E37" s="13" t="s">
        <v>37</v>
      </c>
      <c r="F37" s="13" t="s">
        <v>37</v>
      </c>
      <c r="G37" s="18" t="s">
        <v>37</v>
      </c>
      <c r="H37" s="7" t="b">
        <v>0</v>
      </c>
    </row>
    <row r="38" spans="1:8" x14ac:dyDescent="0.3">
      <c r="A38" s="7" t="s">
        <v>372</v>
      </c>
      <c r="B38" s="7" t="s">
        <v>3880</v>
      </c>
      <c r="C38" s="13">
        <v>3.8205948948548798</v>
      </c>
      <c r="D38" s="13">
        <v>54.631</v>
      </c>
      <c r="E38" s="13">
        <v>6.9934559038913394E-2</v>
      </c>
      <c r="F38" s="13">
        <v>-1.1553081591485099</v>
      </c>
      <c r="G38" s="18">
        <v>1.1553081591485099</v>
      </c>
      <c r="H38" s="7" t="b">
        <v>1</v>
      </c>
    </row>
    <row r="39" spans="1:8" x14ac:dyDescent="0.3">
      <c r="A39" s="7" t="s">
        <v>372</v>
      </c>
      <c r="B39" s="7" t="s">
        <v>3881</v>
      </c>
      <c r="C39" s="13">
        <v>3.8928702300146898</v>
      </c>
      <c r="D39" s="13">
        <v>51.527000000000001</v>
      </c>
      <c r="E39" s="13">
        <v>7.5550104411564595E-2</v>
      </c>
      <c r="F39" s="13">
        <v>-1.1217649311219799</v>
      </c>
      <c r="G39" s="18">
        <v>1.1217649311219799</v>
      </c>
      <c r="H39" s="7" t="b">
        <v>1</v>
      </c>
    </row>
    <row r="40" spans="1:8" x14ac:dyDescent="0.3">
      <c r="A40" s="7" t="s">
        <v>372</v>
      </c>
      <c r="B40" s="7" t="s">
        <v>3882</v>
      </c>
      <c r="C40" s="13">
        <v>3.80571635720879</v>
      </c>
      <c r="D40" s="13">
        <v>53.7</v>
      </c>
      <c r="E40" s="13">
        <v>7.0869950786010993E-2</v>
      </c>
      <c r="F40" s="13">
        <v>-1.14953786882408</v>
      </c>
      <c r="G40" s="18">
        <v>1.14953786882408</v>
      </c>
      <c r="H40" s="7" t="b">
        <v>1</v>
      </c>
    </row>
    <row r="41" spans="1:8" x14ac:dyDescent="0.3">
      <c r="A41" s="7" t="s">
        <v>372</v>
      </c>
      <c r="B41" s="7" t="s">
        <v>3883</v>
      </c>
      <c r="C41" s="13">
        <v>3.8225564227034798</v>
      </c>
      <c r="D41" s="13">
        <v>13.099</v>
      </c>
      <c r="E41" s="13">
        <v>0.29182047657862997</v>
      </c>
      <c r="F41" s="13">
        <v>-0.53488423762042503</v>
      </c>
      <c r="G41" s="18">
        <v>0.53488423762042503</v>
      </c>
      <c r="H41" s="7" t="b">
        <v>0</v>
      </c>
    </row>
    <row r="42" spans="1:8" x14ac:dyDescent="0.3">
      <c r="A42" s="7" t="s">
        <v>372</v>
      </c>
      <c r="B42" s="7" t="s">
        <v>3884</v>
      </c>
      <c r="C42" s="13">
        <v>3.83872191336093</v>
      </c>
      <c r="D42" s="13">
        <v>23.994</v>
      </c>
      <c r="E42" s="13">
        <v>0.15998674307580801</v>
      </c>
      <c r="F42" s="13">
        <v>-0.79591600264128903</v>
      </c>
      <c r="G42" s="18">
        <v>0.79591600264128903</v>
      </c>
      <c r="H42" s="7" t="b">
        <v>0</v>
      </c>
    </row>
    <row r="43" spans="1:8" x14ac:dyDescent="0.3">
      <c r="A43" s="7" t="s">
        <v>248</v>
      </c>
      <c r="B43" s="7" t="s">
        <v>2244</v>
      </c>
      <c r="C43" s="13">
        <v>63.478211658318003</v>
      </c>
      <c r="D43" s="13">
        <v>30.109000000000002</v>
      </c>
      <c r="E43" s="13">
        <v>2.1082803035078501</v>
      </c>
      <c r="F43" s="13">
        <v>0.323928351404766</v>
      </c>
      <c r="G43" s="18">
        <v>0.323928351404766</v>
      </c>
      <c r="H43" s="7" t="b">
        <v>0</v>
      </c>
    </row>
    <row r="44" spans="1:8" x14ac:dyDescent="0.3">
      <c r="A44" s="7" t="s">
        <v>248</v>
      </c>
      <c r="B44" s="7" t="s">
        <v>2247</v>
      </c>
      <c r="C44" s="13">
        <v>63.478211658318003</v>
      </c>
      <c r="D44" s="13">
        <v>29.798999999999999</v>
      </c>
      <c r="E44" s="13">
        <v>2.1302128144675301</v>
      </c>
      <c r="F44" s="13">
        <v>0.328422992890402</v>
      </c>
      <c r="G44" s="18">
        <v>0.328422992890402</v>
      </c>
      <c r="H44" s="7" t="b">
        <v>0</v>
      </c>
    </row>
    <row r="45" spans="1:8" x14ac:dyDescent="0.3">
      <c r="A45" s="7" t="s">
        <v>248</v>
      </c>
      <c r="B45" s="7" t="s">
        <v>2300</v>
      </c>
      <c r="C45" s="13">
        <v>63.478211658318003</v>
      </c>
      <c r="D45" s="13">
        <v>98.397999999999996</v>
      </c>
      <c r="E45" s="13">
        <v>0.64511688914732002</v>
      </c>
      <c r="F45" s="13">
        <v>-0.190361588136223</v>
      </c>
      <c r="G45" s="18">
        <v>0.190361588136223</v>
      </c>
      <c r="H45" s="7" t="b">
        <v>0</v>
      </c>
    </row>
    <row r="46" spans="1:8" x14ac:dyDescent="0.3">
      <c r="A46" s="7" t="s">
        <v>248</v>
      </c>
      <c r="B46" s="7" t="s">
        <v>2301</v>
      </c>
      <c r="C46" s="13">
        <v>64.406672076370199</v>
      </c>
      <c r="D46" s="13">
        <v>23.28</v>
      </c>
      <c r="E46" s="13">
        <v>2.7666096252736301</v>
      </c>
      <c r="F46" s="13">
        <v>0.44194788355365999</v>
      </c>
      <c r="G46" s="18">
        <v>0.44194788355365999</v>
      </c>
      <c r="H46" s="7" t="b">
        <v>0</v>
      </c>
    </row>
    <row r="47" spans="1:8" x14ac:dyDescent="0.3">
      <c r="A47" s="7" t="s">
        <v>248</v>
      </c>
      <c r="B47" s="7" t="s">
        <v>2302</v>
      </c>
      <c r="C47" s="13">
        <v>62.055635572156802</v>
      </c>
      <c r="D47" s="13">
        <v>45.009</v>
      </c>
      <c r="E47" s="13">
        <v>1.3787383761504799</v>
      </c>
      <c r="F47" s="13">
        <v>0.139481864019426</v>
      </c>
      <c r="G47" s="18">
        <v>0.139481864019426</v>
      </c>
      <c r="H47" s="7" t="b">
        <v>0</v>
      </c>
    </row>
    <row r="48" spans="1:8" x14ac:dyDescent="0.3">
      <c r="A48" s="7" t="s">
        <v>248</v>
      </c>
      <c r="B48" s="7" t="s">
        <v>3880</v>
      </c>
      <c r="C48" s="13">
        <v>65.149750223685103</v>
      </c>
      <c r="D48" s="13">
        <v>50.595999999999997</v>
      </c>
      <c r="E48" s="13">
        <v>1.28764626104208</v>
      </c>
      <c r="F48" s="13">
        <v>0.10979657111577899</v>
      </c>
      <c r="G48" s="18">
        <v>0.10979657111577899</v>
      </c>
      <c r="H48" s="7" t="b">
        <v>0</v>
      </c>
    </row>
    <row r="49" spans="1:8" x14ac:dyDescent="0.3">
      <c r="A49" s="7" t="s">
        <v>248</v>
      </c>
      <c r="B49" s="7" t="s">
        <v>3881</v>
      </c>
      <c r="C49" s="13">
        <v>63.165206086942</v>
      </c>
      <c r="D49" s="13">
        <v>64.873999999999995</v>
      </c>
      <c r="E49" s="13">
        <v>0.97365980341804104</v>
      </c>
      <c r="F49" s="13">
        <v>-1.1592759041742199E-2</v>
      </c>
      <c r="G49" s="18">
        <v>1.1592759041742199E-2</v>
      </c>
      <c r="H49" s="7" t="b">
        <v>0</v>
      </c>
    </row>
    <row r="50" spans="1:8" x14ac:dyDescent="0.3">
      <c r="A50" s="7" t="s">
        <v>248</v>
      </c>
      <c r="B50" s="7" t="s">
        <v>3882</v>
      </c>
      <c r="C50" s="13">
        <v>61.547737209055903</v>
      </c>
      <c r="D50" s="13">
        <v>66.116</v>
      </c>
      <c r="E50" s="13">
        <v>0.93090533621295801</v>
      </c>
      <c r="F50" s="13">
        <v>-3.1094480190103E-2</v>
      </c>
      <c r="G50" s="18">
        <v>3.1094480190103E-2</v>
      </c>
      <c r="H50" s="7" t="b">
        <v>0</v>
      </c>
    </row>
    <row r="51" spans="1:8" x14ac:dyDescent="0.3">
      <c r="A51" s="7" t="s">
        <v>248</v>
      </c>
      <c r="B51" s="7" t="s">
        <v>3883</v>
      </c>
      <c r="C51" s="13">
        <v>66.340512671324504</v>
      </c>
      <c r="D51" s="13">
        <v>30.358000000000001</v>
      </c>
      <c r="E51" s="13">
        <v>2.1852728332342202</v>
      </c>
      <c r="F51" s="13">
        <v>0.33950566673939497</v>
      </c>
      <c r="G51" s="18">
        <v>0.33950566673939497</v>
      </c>
      <c r="H51" s="7" t="b">
        <v>0</v>
      </c>
    </row>
    <row r="52" spans="1:8" x14ac:dyDescent="0.3">
      <c r="A52" s="7" t="s">
        <v>248</v>
      </c>
      <c r="B52" s="7" t="s">
        <v>3884</v>
      </c>
      <c r="C52" s="13">
        <v>64.829485990015101</v>
      </c>
      <c r="D52" s="13">
        <v>73.566000000000003</v>
      </c>
      <c r="E52" s="13">
        <v>0.88124250319461594</v>
      </c>
      <c r="F52" s="13">
        <v>-5.4904564565150901E-2</v>
      </c>
      <c r="G52" s="18">
        <v>5.4904564565150901E-2</v>
      </c>
      <c r="H52" s="7" t="b">
        <v>0</v>
      </c>
    </row>
    <row r="53" spans="1:8" x14ac:dyDescent="0.3">
      <c r="A53" s="7" t="s">
        <v>44</v>
      </c>
      <c r="B53" s="7" t="s">
        <v>2244</v>
      </c>
      <c r="C53" s="13">
        <v>99.589943782604095</v>
      </c>
      <c r="D53" s="13">
        <v>380.55500000000001</v>
      </c>
      <c r="E53" s="13">
        <v>0.26169658467922902</v>
      </c>
      <c r="F53" s="13">
        <v>-0.58220194516540502</v>
      </c>
      <c r="G53" s="18">
        <v>0.58220194516540502</v>
      </c>
      <c r="H53" s="7" t="b">
        <v>0</v>
      </c>
    </row>
    <row r="54" spans="1:8" x14ac:dyDescent="0.3">
      <c r="A54" s="7" t="s">
        <v>44</v>
      </c>
      <c r="B54" s="7" t="s">
        <v>2247</v>
      </c>
      <c r="C54" s="13">
        <v>99.589943782604095</v>
      </c>
      <c r="D54" s="13">
        <v>184.07</v>
      </c>
      <c r="E54" s="13">
        <v>0.54104386256643699</v>
      </c>
      <c r="F54" s="13">
        <v>-0.26676752509975199</v>
      </c>
      <c r="G54" s="18">
        <v>0.26676752509975199</v>
      </c>
      <c r="H54" s="7" t="b">
        <v>0</v>
      </c>
    </row>
    <row r="55" spans="1:8" x14ac:dyDescent="0.3">
      <c r="A55" s="7" t="s">
        <v>44</v>
      </c>
      <c r="B55" s="7" t="s">
        <v>2300</v>
      </c>
      <c r="C55" s="13">
        <v>99.589943782604095</v>
      </c>
      <c r="D55" s="13">
        <v>828.779</v>
      </c>
      <c r="E55" s="13">
        <v>0.12016465641938801</v>
      </c>
      <c r="F55" s="13">
        <v>-0.92022325096188096</v>
      </c>
      <c r="G55" s="18">
        <v>0.92022325096188096</v>
      </c>
      <c r="H55" s="7" t="b">
        <v>0</v>
      </c>
    </row>
    <row r="56" spans="1:8" x14ac:dyDescent="0.3">
      <c r="A56" s="7" t="s">
        <v>44</v>
      </c>
      <c r="B56" s="7" t="s">
        <v>2301</v>
      </c>
      <c r="C56" s="13">
        <v>102.813300514632</v>
      </c>
      <c r="D56" s="13">
        <v>130.37</v>
      </c>
      <c r="E56" s="13">
        <v>0.78862698868322501</v>
      </c>
      <c r="F56" s="13">
        <v>-0.103128364422781</v>
      </c>
      <c r="G56" s="18">
        <v>0.103128364422781</v>
      </c>
      <c r="H56" s="7" t="b">
        <v>0</v>
      </c>
    </row>
    <row r="57" spans="1:8" x14ac:dyDescent="0.3">
      <c r="A57" s="7" t="s">
        <v>44</v>
      </c>
      <c r="B57" s="7" t="s">
        <v>2302</v>
      </c>
      <c r="C57" s="13">
        <v>97.260574114856595</v>
      </c>
      <c r="D57" s="13">
        <v>142.16499999999999</v>
      </c>
      <c r="E57" s="13">
        <v>0.68413867066335998</v>
      </c>
      <c r="F57" s="13">
        <v>-0.16485586056061299</v>
      </c>
      <c r="G57" s="18">
        <v>0.16485586056061299</v>
      </c>
      <c r="H57" s="7" t="b">
        <v>0</v>
      </c>
    </row>
    <row r="58" spans="1:8" x14ac:dyDescent="0.3">
      <c r="A58" s="7" t="s">
        <v>44</v>
      </c>
      <c r="B58" s="7" t="s">
        <v>3880</v>
      </c>
      <c r="C58" s="13">
        <v>104.87880798807301</v>
      </c>
      <c r="D58" s="13" t="s">
        <v>37</v>
      </c>
      <c r="E58" s="13" t="s">
        <v>37</v>
      </c>
      <c r="F58" s="13" t="s">
        <v>37</v>
      </c>
      <c r="G58" s="18" t="s">
        <v>37</v>
      </c>
      <c r="H58" s="7" t="b">
        <v>0</v>
      </c>
    </row>
    <row r="59" spans="1:8" x14ac:dyDescent="0.3">
      <c r="A59" s="7" t="s">
        <v>44</v>
      </c>
      <c r="B59" s="7" t="s">
        <v>3881</v>
      </c>
      <c r="C59" s="13">
        <v>100.22551674893499</v>
      </c>
      <c r="D59" s="13" t="s">
        <v>37</v>
      </c>
      <c r="E59" s="13" t="s">
        <v>37</v>
      </c>
      <c r="F59" s="13" t="s">
        <v>37</v>
      </c>
      <c r="G59" s="18" t="s">
        <v>37</v>
      </c>
      <c r="H59" s="7" t="b">
        <v>0</v>
      </c>
    </row>
    <row r="60" spans="1:8" x14ac:dyDescent="0.3">
      <c r="A60" s="7" t="s">
        <v>44</v>
      </c>
      <c r="B60" s="7" t="s">
        <v>3882</v>
      </c>
      <c r="C60" s="13">
        <v>91.169771685299906</v>
      </c>
      <c r="D60" s="13" t="s">
        <v>37</v>
      </c>
      <c r="E60" s="13" t="s">
        <v>37</v>
      </c>
      <c r="F60" s="13" t="s">
        <v>37</v>
      </c>
      <c r="G60" s="18" t="s">
        <v>37</v>
      </c>
      <c r="H60" s="7" t="b">
        <v>0</v>
      </c>
    </row>
    <row r="61" spans="1:8" x14ac:dyDescent="0.3">
      <c r="A61" s="7" t="s">
        <v>44</v>
      </c>
      <c r="B61" s="7" t="s">
        <v>3883</v>
      </c>
      <c r="C61" s="13">
        <v>107.59172532100899</v>
      </c>
      <c r="D61" s="13" t="s">
        <v>37</v>
      </c>
      <c r="E61" s="13" t="s">
        <v>37</v>
      </c>
      <c r="F61" s="13" t="s">
        <v>37</v>
      </c>
      <c r="G61" s="18" t="s">
        <v>37</v>
      </c>
      <c r="H61" s="7" t="b">
        <v>0</v>
      </c>
    </row>
    <row r="62" spans="1:8" x14ac:dyDescent="0.3">
      <c r="A62" s="7" t="s">
        <v>44</v>
      </c>
      <c r="B62" s="7" t="s">
        <v>3884</v>
      </c>
      <c r="C62" s="13">
        <v>98.670062715659398</v>
      </c>
      <c r="D62" s="13" t="s">
        <v>37</v>
      </c>
      <c r="E62" s="13" t="s">
        <v>37</v>
      </c>
      <c r="F62" s="13" t="s">
        <v>37</v>
      </c>
      <c r="G62" s="18" t="s">
        <v>37</v>
      </c>
      <c r="H62" s="7" t="b">
        <v>0</v>
      </c>
    </row>
    <row r="63" spans="1:8" x14ac:dyDescent="0.3">
      <c r="A63" s="7" t="s">
        <v>957</v>
      </c>
      <c r="B63" s="7" t="s">
        <v>2244</v>
      </c>
      <c r="C63" s="13">
        <v>18.973808307531201</v>
      </c>
      <c r="D63" s="13">
        <v>45.319000000000003</v>
      </c>
      <c r="E63" s="13">
        <v>0.41867226345531</v>
      </c>
      <c r="F63" s="13">
        <v>-0.37812580965404802</v>
      </c>
      <c r="G63" s="18">
        <v>0.37812580965404802</v>
      </c>
      <c r="H63" s="7" t="b">
        <v>0</v>
      </c>
    </row>
    <row r="64" spans="1:8" x14ac:dyDescent="0.3">
      <c r="A64" s="7" t="s">
        <v>957</v>
      </c>
      <c r="B64" s="7" t="s">
        <v>2247</v>
      </c>
      <c r="C64" s="13">
        <v>18.973808307531201</v>
      </c>
      <c r="D64" s="13">
        <v>30.73</v>
      </c>
      <c r="E64" s="13">
        <v>0.617436000895906</v>
      </c>
      <c r="F64" s="13">
        <v>-0.20940805166861201</v>
      </c>
      <c r="G64" s="18">
        <v>0.20940805166861201</v>
      </c>
      <c r="H64" s="7" t="b">
        <v>0</v>
      </c>
    </row>
    <row r="65" spans="1:8" x14ac:dyDescent="0.3">
      <c r="A65" s="7" t="s">
        <v>957</v>
      </c>
      <c r="B65" s="7" t="s">
        <v>2300</v>
      </c>
      <c r="C65" s="13">
        <v>18.973808307531201</v>
      </c>
      <c r="D65" s="13">
        <v>74.807000000000002</v>
      </c>
      <c r="E65" s="13">
        <v>0.25363680280630402</v>
      </c>
      <c r="F65" s="13">
        <v>-0.59578772990682005</v>
      </c>
      <c r="G65" s="18">
        <v>0.59578772990682005</v>
      </c>
      <c r="H65" s="7" t="b">
        <v>0</v>
      </c>
    </row>
    <row r="66" spans="1:8" x14ac:dyDescent="0.3">
      <c r="A66" s="7" t="s">
        <v>957</v>
      </c>
      <c r="B66" s="7" t="s">
        <v>2301</v>
      </c>
      <c r="C66" s="13">
        <v>19.035120540394701</v>
      </c>
      <c r="D66" s="13">
        <v>16.451000000000001</v>
      </c>
      <c r="E66" s="13">
        <v>1.15707984562608</v>
      </c>
      <c r="F66" s="13">
        <v>6.3363328976242403E-2</v>
      </c>
      <c r="G66" s="18">
        <v>6.3363328976242403E-2</v>
      </c>
      <c r="H66" s="7" t="b">
        <v>0</v>
      </c>
    </row>
    <row r="67" spans="1:8" x14ac:dyDescent="0.3">
      <c r="A67" s="7" t="s">
        <v>957</v>
      </c>
      <c r="B67" s="7" t="s">
        <v>2302</v>
      </c>
      <c r="C67" s="13">
        <v>19.927048835420099</v>
      </c>
      <c r="D67" s="13" t="s">
        <v>37</v>
      </c>
      <c r="E67" s="13" t="s">
        <v>37</v>
      </c>
      <c r="F67" s="13" t="s">
        <v>37</v>
      </c>
      <c r="G67" s="18" t="s">
        <v>37</v>
      </c>
      <c r="H67" s="7" t="b">
        <v>0</v>
      </c>
    </row>
    <row r="68" spans="1:8" x14ac:dyDescent="0.3">
      <c r="A68" s="7" t="s">
        <v>957</v>
      </c>
      <c r="B68" s="7" t="s">
        <v>3880</v>
      </c>
      <c r="C68" s="13">
        <v>18.887306622481901</v>
      </c>
      <c r="D68" s="13">
        <v>46.561</v>
      </c>
      <c r="E68" s="13">
        <v>0.40564649862507002</v>
      </c>
      <c r="F68" s="13">
        <v>-0.39185226832257303</v>
      </c>
      <c r="G68" s="18">
        <v>0.39185226832257303</v>
      </c>
      <c r="H68" s="7" t="b">
        <v>0</v>
      </c>
    </row>
    <row r="69" spans="1:8" x14ac:dyDescent="0.3">
      <c r="A69" s="7" t="s">
        <v>957</v>
      </c>
      <c r="B69" s="7" t="s">
        <v>3881</v>
      </c>
      <c r="C69" s="13">
        <v>19.834376533255</v>
      </c>
      <c r="D69" s="13">
        <v>120.747</v>
      </c>
      <c r="E69" s="13">
        <v>0.16426392815767701</v>
      </c>
      <c r="F69" s="13">
        <v>-0.78445779579821695</v>
      </c>
      <c r="G69" s="18">
        <v>0.78445779579821695</v>
      </c>
      <c r="H69" s="7" t="b">
        <v>0</v>
      </c>
    </row>
    <row r="70" spans="1:8" x14ac:dyDescent="0.3">
      <c r="A70" s="7" t="s">
        <v>957</v>
      </c>
      <c r="B70" s="7" t="s">
        <v>3882</v>
      </c>
      <c r="C70" s="13">
        <v>19.061401860318899</v>
      </c>
      <c r="D70" s="13">
        <v>114.849</v>
      </c>
      <c r="E70" s="13">
        <v>0.16596924535972399</v>
      </c>
      <c r="F70" s="13">
        <v>-0.77997238068281505</v>
      </c>
      <c r="G70" s="18">
        <v>0.77997238068281505</v>
      </c>
      <c r="H70" s="7" t="b">
        <v>0</v>
      </c>
    </row>
    <row r="71" spans="1:8" x14ac:dyDescent="0.3">
      <c r="A71" s="7" t="s">
        <v>957</v>
      </c>
      <c r="B71" s="7" t="s">
        <v>3883</v>
      </c>
      <c r="C71" s="13">
        <v>18.565013659434999</v>
      </c>
      <c r="D71" s="13">
        <v>34.143999999999998</v>
      </c>
      <c r="E71" s="13">
        <v>0.54372696987567404</v>
      </c>
      <c r="F71" s="13">
        <v>-0.264619124644624</v>
      </c>
      <c r="G71" s="18">
        <v>0.264619124644624</v>
      </c>
      <c r="H71" s="7" t="b">
        <v>0</v>
      </c>
    </row>
    <row r="72" spans="1:8" x14ac:dyDescent="0.3">
      <c r="A72" s="7" t="s">
        <v>957</v>
      </c>
      <c r="B72" s="7" t="s">
        <v>3884</v>
      </c>
      <c r="C72" s="13">
        <v>19.055665986911499</v>
      </c>
      <c r="D72" s="13">
        <v>43.767000000000003</v>
      </c>
      <c r="E72" s="13">
        <v>0.43538890001397201</v>
      </c>
      <c r="F72" s="13">
        <v>-0.36112264723826598</v>
      </c>
      <c r="G72" s="18">
        <v>0.36112264723826598</v>
      </c>
      <c r="H72" s="7" t="b">
        <v>0</v>
      </c>
    </row>
    <row r="73" spans="1:8" x14ac:dyDescent="0.3">
      <c r="A73" s="7" t="s">
        <v>200</v>
      </c>
      <c r="B73" s="7" t="s">
        <v>2244</v>
      </c>
      <c r="C73" s="13">
        <v>2.9784488589122202</v>
      </c>
      <c r="D73" s="13">
        <v>4.0350000000000001</v>
      </c>
      <c r="E73" s="13">
        <v>0.73815337271678305</v>
      </c>
      <c r="F73" s="13">
        <v>-0.131853391558898</v>
      </c>
      <c r="G73" s="18">
        <v>0.131853391558898</v>
      </c>
      <c r="H73" s="7" t="b">
        <v>0</v>
      </c>
    </row>
    <row r="74" spans="1:8" x14ac:dyDescent="0.3">
      <c r="A74" s="7" t="s">
        <v>200</v>
      </c>
      <c r="B74" s="7" t="s">
        <v>2247</v>
      </c>
      <c r="C74" s="13">
        <v>2.9784488589122202</v>
      </c>
      <c r="D74" s="13">
        <v>35.695999999999998</v>
      </c>
      <c r="E74" s="13">
        <v>8.3439288965492506E-2</v>
      </c>
      <c r="F74" s="13">
        <v>-1.0786294054405701</v>
      </c>
      <c r="G74" s="18">
        <v>1.0786294054405701</v>
      </c>
      <c r="H74" s="7" t="b">
        <v>1</v>
      </c>
    </row>
    <row r="75" spans="1:8" x14ac:dyDescent="0.3">
      <c r="A75" s="7" t="s">
        <v>200</v>
      </c>
      <c r="B75" s="7" t="s">
        <v>2300</v>
      </c>
      <c r="C75" s="13">
        <v>2.9784488589122202</v>
      </c>
      <c r="D75" s="13">
        <v>17.693000000000001</v>
      </c>
      <c r="E75" s="13">
        <v>0.16834052217895301</v>
      </c>
      <c r="F75" s="13">
        <v>-0.77381133001098001</v>
      </c>
      <c r="G75" s="18">
        <v>0.77381133001098001</v>
      </c>
      <c r="H75" s="7" t="b">
        <v>0</v>
      </c>
    </row>
    <row r="76" spans="1:8" x14ac:dyDescent="0.3">
      <c r="A76" s="7" t="s">
        <v>200</v>
      </c>
      <c r="B76" s="7" t="s">
        <v>2301</v>
      </c>
      <c r="C76" s="13">
        <v>3.08902745933367</v>
      </c>
      <c r="D76" s="13">
        <v>5.2770000000000001</v>
      </c>
      <c r="E76" s="13">
        <v>0.58537567923700395</v>
      </c>
      <c r="F76" s="13">
        <v>-0.23256532527868901</v>
      </c>
      <c r="G76" s="18">
        <v>0.23256532527868901</v>
      </c>
      <c r="H76" s="7" t="b">
        <v>0</v>
      </c>
    </row>
    <row r="77" spans="1:8" x14ac:dyDescent="0.3">
      <c r="A77" s="7" t="s">
        <v>200</v>
      </c>
      <c r="B77" s="7" t="s">
        <v>2302</v>
      </c>
      <c r="C77" s="13">
        <v>6.1821678811475396</v>
      </c>
      <c r="D77" s="13" t="s">
        <v>37</v>
      </c>
      <c r="E77" s="13" t="s">
        <v>37</v>
      </c>
      <c r="F77" s="13" t="s">
        <v>37</v>
      </c>
      <c r="G77" s="18" t="s">
        <v>37</v>
      </c>
      <c r="H77" s="7" t="b">
        <v>0</v>
      </c>
    </row>
    <row r="78" spans="1:8" x14ac:dyDescent="0.3">
      <c r="A78" s="7" t="s">
        <v>200</v>
      </c>
      <c r="B78" s="7" t="s">
        <v>3880</v>
      </c>
      <c r="C78" s="13">
        <v>1.71337445614241</v>
      </c>
      <c r="D78" s="13" t="s">
        <v>37</v>
      </c>
      <c r="E78" s="13" t="s">
        <v>37</v>
      </c>
      <c r="F78" s="13" t="s">
        <v>37</v>
      </c>
      <c r="G78" s="18" t="s">
        <v>37</v>
      </c>
      <c r="H78" s="7" t="b">
        <v>0</v>
      </c>
    </row>
    <row r="79" spans="1:8" x14ac:dyDescent="0.3">
      <c r="A79" s="7" t="s">
        <v>200</v>
      </c>
      <c r="B79" s="7" t="s">
        <v>3881</v>
      </c>
      <c r="C79" s="13">
        <v>6.2547987408431203</v>
      </c>
      <c r="D79" s="13" t="s">
        <v>37</v>
      </c>
      <c r="E79" s="13" t="s">
        <v>37</v>
      </c>
      <c r="F79" s="13" t="s">
        <v>37</v>
      </c>
      <c r="G79" s="18" t="s">
        <v>37</v>
      </c>
      <c r="H79" s="7" t="b">
        <v>0</v>
      </c>
    </row>
    <row r="80" spans="1:8" x14ac:dyDescent="0.3">
      <c r="A80" s="7" t="s">
        <v>200</v>
      </c>
      <c r="B80" s="7" t="s">
        <v>3882</v>
      </c>
      <c r="C80" s="13">
        <v>4.0508867754280002</v>
      </c>
      <c r="D80" s="13" t="s">
        <v>37</v>
      </c>
      <c r="E80" s="13" t="s">
        <v>37</v>
      </c>
      <c r="F80" s="13" t="s">
        <v>37</v>
      </c>
      <c r="G80" s="18" t="s">
        <v>37</v>
      </c>
      <c r="H80" s="7" t="b">
        <v>0</v>
      </c>
    </row>
    <row r="81" spans="1:8" x14ac:dyDescent="0.3">
      <c r="A81" s="7" t="s">
        <v>200</v>
      </c>
      <c r="B81" s="7" t="s">
        <v>3883</v>
      </c>
      <c r="C81" s="13">
        <v>4.9411558995940998</v>
      </c>
      <c r="D81" s="13" t="s">
        <v>37</v>
      </c>
      <c r="E81" s="13" t="s">
        <v>37</v>
      </c>
      <c r="F81" s="13" t="s">
        <v>37</v>
      </c>
      <c r="G81" s="18" t="s">
        <v>37</v>
      </c>
      <c r="H81" s="7" t="b">
        <v>0</v>
      </c>
    </row>
    <row r="82" spans="1:8" x14ac:dyDescent="0.3">
      <c r="A82" s="7" t="s">
        <v>200</v>
      </c>
      <c r="B82" s="7" t="s">
        <v>3884</v>
      </c>
      <c r="C82" s="13">
        <v>2.8177468502304799</v>
      </c>
      <c r="D82" s="13" t="s">
        <v>37</v>
      </c>
      <c r="E82" s="13" t="s">
        <v>37</v>
      </c>
      <c r="F82" s="13" t="s">
        <v>37</v>
      </c>
      <c r="G82" s="18" t="s">
        <v>37</v>
      </c>
      <c r="H82" s="7" t="b">
        <v>0</v>
      </c>
    </row>
    <row r="83" spans="1:8" x14ac:dyDescent="0.3">
      <c r="A83" s="7" t="s">
        <v>569</v>
      </c>
      <c r="B83" s="7" t="s">
        <v>2244</v>
      </c>
      <c r="C83" s="13">
        <v>3519.2359815189898</v>
      </c>
      <c r="D83" s="13">
        <v>22.97</v>
      </c>
      <c r="E83" s="13">
        <v>153.210099326034</v>
      </c>
      <c r="F83" s="13">
        <v>2.1852873941282001</v>
      </c>
      <c r="G83" s="18">
        <v>2.1852873941282001</v>
      </c>
      <c r="H83" s="7" t="b">
        <v>0</v>
      </c>
    </row>
    <row r="84" spans="1:8" x14ac:dyDescent="0.3">
      <c r="A84" s="7" t="s">
        <v>569</v>
      </c>
      <c r="B84" s="7" t="s">
        <v>2247</v>
      </c>
      <c r="C84" s="13">
        <v>3519.2359815189898</v>
      </c>
      <c r="D84" s="13">
        <v>15.52</v>
      </c>
      <c r="E84" s="13">
        <v>226.75489571643001</v>
      </c>
      <c r="F84" s="13">
        <v>2.3555566724010499</v>
      </c>
      <c r="G84" s="18">
        <v>2.3555566724010499</v>
      </c>
      <c r="H84" s="7" t="b">
        <v>0</v>
      </c>
    </row>
    <row r="85" spans="1:8" x14ac:dyDescent="0.3">
      <c r="A85" s="7" t="s">
        <v>569</v>
      </c>
      <c r="B85" s="7" t="s">
        <v>2300</v>
      </c>
      <c r="C85" s="13">
        <v>3519.2359815189898</v>
      </c>
      <c r="D85" s="13">
        <v>9.6229999999999993</v>
      </c>
      <c r="E85" s="13">
        <v>365.710899045931</v>
      </c>
      <c r="F85" s="13">
        <v>2.56313790352911</v>
      </c>
      <c r="G85" s="18">
        <v>2.56313790352911</v>
      </c>
      <c r="H85" s="7" t="b">
        <v>0</v>
      </c>
    </row>
    <row r="86" spans="1:8" x14ac:dyDescent="0.3">
      <c r="A86" s="7" t="s">
        <v>569</v>
      </c>
      <c r="B86" s="7" t="s">
        <v>2301</v>
      </c>
      <c r="C86" s="13">
        <v>3526.45205227509</v>
      </c>
      <c r="D86" s="13">
        <v>5.5869999999999997</v>
      </c>
      <c r="E86" s="13">
        <v>631.18884057187904</v>
      </c>
      <c r="F86" s="13">
        <v>2.8001593119363202</v>
      </c>
      <c r="G86" s="18">
        <v>2.8001593119363202</v>
      </c>
      <c r="H86" s="7" t="b">
        <v>0</v>
      </c>
    </row>
    <row r="87" spans="1:8" x14ac:dyDescent="0.3">
      <c r="A87" s="7" t="s">
        <v>569</v>
      </c>
      <c r="B87" s="7" t="s">
        <v>2302</v>
      </c>
      <c r="C87" s="13">
        <v>3505.7517643403498</v>
      </c>
      <c r="D87" s="13" t="s">
        <v>37</v>
      </c>
      <c r="E87" s="13" t="s">
        <v>37</v>
      </c>
      <c r="F87" s="13" t="s">
        <v>37</v>
      </c>
      <c r="G87" s="18" t="s">
        <v>37</v>
      </c>
      <c r="H87" s="7" t="b">
        <v>0</v>
      </c>
    </row>
    <row r="88" spans="1:8" x14ac:dyDescent="0.3">
      <c r="A88" s="7" t="s">
        <v>569</v>
      </c>
      <c r="B88" s="7" t="s">
        <v>3880</v>
      </c>
      <c r="C88" s="13">
        <v>3498.1956294722499</v>
      </c>
      <c r="D88" s="13" t="s">
        <v>37</v>
      </c>
      <c r="E88" s="13" t="s">
        <v>37</v>
      </c>
      <c r="F88" s="13" t="s">
        <v>37</v>
      </c>
      <c r="G88" s="18" t="s">
        <v>37</v>
      </c>
      <c r="H88" s="7" t="b">
        <v>0</v>
      </c>
    </row>
    <row r="89" spans="1:8" x14ac:dyDescent="0.3">
      <c r="A89" s="7" t="s">
        <v>569</v>
      </c>
      <c r="B89" s="7" t="s">
        <v>3881</v>
      </c>
      <c r="C89" s="13">
        <v>3407.84325333983</v>
      </c>
      <c r="D89" s="13" t="s">
        <v>37</v>
      </c>
      <c r="E89" s="13" t="s">
        <v>37</v>
      </c>
      <c r="F89" s="13" t="s">
        <v>37</v>
      </c>
      <c r="G89" s="18" t="s">
        <v>37</v>
      </c>
      <c r="H89" s="7" t="b">
        <v>0</v>
      </c>
    </row>
    <row r="90" spans="1:8" x14ac:dyDescent="0.3">
      <c r="A90" s="7" t="s">
        <v>569</v>
      </c>
      <c r="B90" s="7" t="s">
        <v>3882</v>
      </c>
      <c r="C90" s="13">
        <v>3652.17760873202</v>
      </c>
      <c r="D90" s="13" t="s">
        <v>37</v>
      </c>
      <c r="E90" s="13" t="s">
        <v>37</v>
      </c>
      <c r="F90" s="13" t="s">
        <v>37</v>
      </c>
      <c r="G90" s="18" t="s">
        <v>37</v>
      </c>
      <c r="H90" s="7" t="b">
        <v>0</v>
      </c>
    </row>
    <row r="91" spans="1:8" x14ac:dyDescent="0.3">
      <c r="A91" s="7" t="s">
        <v>569</v>
      </c>
      <c r="B91" s="7" t="s">
        <v>3883</v>
      </c>
      <c r="C91" s="13">
        <v>3392.0266501031001</v>
      </c>
      <c r="D91" s="13" t="s">
        <v>37</v>
      </c>
      <c r="E91" s="13" t="s">
        <v>37</v>
      </c>
      <c r="F91" s="13" t="s">
        <v>37</v>
      </c>
      <c r="G91" s="18" t="s">
        <v>37</v>
      </c>
      <c r="H91" s="7" t="b">
        <v>0</v>
      </c>
    </row>
    <row r="92" spans="1:8" x14ac:dyDescent="0.3">
      <c r="A92" s="7" t="s">
        <v>569</v>
      </c>
      <c r="B92" s="7" t="s">
        <v>3884</v>
      </c>
      <c r="C92" s="13">
        <v>3523.2045052605999</v>
      </c>
      <c r="D92" s="13" t="s">
        <v>37</v>
      </c>
      <c r="E92" s="13" t="s">
        <v>37</v>
      </c>
      <c r="F92" s="13" t="s">
        <v>37</v>
      </c>
      <c r="G92" s="18" t="s">
        <v>37</v>
      </c>
      <c r="H92" s="7" t="b">
        <v>0</v>
      </c>
    </row>
    <row r="93" spans="1:8" x14ac:dyDescent="0.3">
      <c r="A93" s="7" t="s">
        <v>122</v>
      </c>
      <c r="B93" s="7" t="s">
        <v>2244</v>
      </c>
      <c r="C93" s="13">
        <v>130.21881143041301</v>
      </c>
      <c r="D93" s="13" t="s">
        <v>37</v>
      </c>
      <c r="E93" s="13" t="s">
        <v>37</v>
      </c>
      <c r="F93" s="13" t="s">
        <v>37</v>
      </c>
      <c r="G93" s="18" t="s">
        <v>37</v>
      </c>
      <c r="H93" s="7" t="b">
        <v>0</v>
      </c>
    </row>
    <row r="94" spans="1:8" x14ac:dyDescent="0.3">
      <c r="A94" s="7" t="s">
        <v>122</v>
      </c>
      <c r="B94" s="7" t="s">
        <v>2247</v>
      </c>
      <c r="C94" s="13">
        <v>130.21881143041301</v>
      </c>
      <c r="D94" s="13" t="s">
        <v>37</v>
      </c>
      <c r="E94" s="13" t="s">
        <v>37</v>
      </c>
      <c r="F94" s="13" t="s">
        <v>37</v>
      </c>
      <c r="G94" s="18" t="s">
        <v>37</v>
      </c>
      <c r="H94" s="7" t="b">
        <v>0</v>
      </c>
    </row>
    <row r="95" spans="1:8" x14ac:dyDescent="0.3">
      <c r="A95" s="7" t="s">
        <v>122</v>
      </c>
      <c r="B95" s="7" t="s">
        <v>2300</v>
      </c>
      <c r="C95" s="13">
        <v>130.21881143041301</v>
      </c>
      <c r="D95" s="13" t="s">
        <v>37</v>
      </c>
      <c r="E95" s="13" t="s">
        <v>37</v>
      </c>
      <c r="F95" s="13" t="s">
        <v>37</v>
      </c>
      <c r="G95" s="18" t="s">
        <v>37</v>
      </c>
      <c r="H95" s="7" t="b">
        <v>0</v>
      </c>
    </row>
    <row r="96" spans="1:8" x14ac:dyDescent="0.3">
      <c r="A96" s="7" t="s">
        <v>122</v>
      </c>
      <c r="B96" s="7" t="s">
        <v>2301</v>
      </c>
      <c r="C96" s="13">
        <v>133.44139232851199</v>
      </c>
      <c r="D96" s="13" t="s">
        <v>37</v>
      </c>
      <c r="E96" s="13" t="s">
        <v>37</v>
      </c>
      <c r="F96" s="13" t="s">
        <v>37</v>
      </c>
      <c r="G96" s="18" t="s">
        <v>37</v>
      </c>
      <c r="H96" s="7" t="b">
        <v>0</v>
      </c>
    </row>
    <row r="97" spans="1:8" x14ac:dyDescent="0.3">
      <c r="A97" s="7" t="s">
        <v>122</v>
      </c>
      <c r="B97" s="7" t="s">
        <v>2302</v>
      </c>
      <c r="C97" s="13">
        <v>190.715708594901</v>
      </c>
      <c r="D97" s="13" t="s">
        <v>37</v>
      </c>
      <c r="E97" s="13" t="s">
        <v>37</v>
      </c>
      <c r="F97" s="13" t="s">
        <v>37</v>
      </c>
      <c r="G97" s="18" t="s">
        <v>37</v>
      </c>
      <c r="H97" s="7" t="b">
        <v>0</v>
      </c>
    </row>
    <row r="98" spans="1:8" x14ac:dyDescent="0.3">
      <c r="A98" s="7" t="s">
        <v>122</v>
      </c>
      <c r="B98" s="7" t="s">
        <v>3880</v>
      </c>
      <c r="C98" s="13">
        <v>139.34346751452401</v>
      </c>
      <c r="D98" s="13">
        <v>3.88</v>
      </c>
      <c r="E98" s="13">
        <v>35.913264823330898</v>
      </c>
      <c r="F98" s="13">
        <v>1.55525488800844</v>
      </c>
      <c r="G98" s="18">
        <v>1.55525488800844</v>
      </c>
      <c r="H98" s="7" t="b">
        <v>0</v>
      </c>
    </row>
    <row r="99" spans="1:8" x14ac:dyDescent="0.3">
      <c r="A99" s="7" t="s">
        <v>122</v>
      </c>
      <c r="B99" s="7" t="s">
        <v>3881</v>
      </c>
      <c r="C99" s="13">
        <v>165.98393257562799</v>
      </c>
      <c r="D99" s="13" t="s">
        <v>37</v>
      </c>
      <c r="E99" s="13" t="s">
        <v>37</v>
      </c>
      <c r="F99" s="13" t="s">
        <v>37</v>
      </c>
      <c r="G99" s="18" t="s">
        <v>37</v>
      </c>
      <c r="H99" s="7" t="b">
        <v>0</v>
      </c>
    </row>
    <row r="100" spans="1:8" x14ac:dyDescent="0.3">
      <c r="A100" s="7" t="s">
        <v>122</v>
      </c>
      <c r="B100" s="7" t="s">
        <v>3882</v>
      </c>
      <c r="C100" s="13">
        <v>149.154309603332</v>
      </c>
      <c r="D100" s="13">
        <v>6.2389999999999999</v>
      </c>
      <c r="E100" s="13">
        <v>23.9067654437141</v>
      </c>
      <c r="F100" s="13">
        <v>1.3785208205753099</v>
      </c>
      <c r="G100" s="18">
        <v>1.3785208205753099</v>
      </c>
      <c r="H100" s="7" t="b">
        <v>0</v>
      </c>
    </row>
    <row r="101" spans="1:8" x14ac:dyDescent="0.3">
      <c r="A101" s="7" t="s">
        <v>122</v>
      </c>
      <c r="B101" s="7" t="s">
        <v>3883</v>
      </c>
      <c r="C101" s="13">
        <v>146.23145454929701</v>
      </c>
      <c r="D101" s="13" t="s">
        <v>37</v>
      </c>
      <c r="E101" s="13" t="s">
        <v>37</v>
      </c>
      <c r="F101" s="13" t="s">
        <v>37</v>
      </c>
      <c r="G101" s="18" t="s">
        <v>37</v>
      </c>
      <c r="H101" s="7" t="b">
        <v>0</v>
      </c>
    </row>
    <row r="102" spans="1:8" x14ac:dyDescent="0.3">
      <c r="A102" s="7" t="s">
        <v>122</v>
      </c>
      <c r="B102" s="7" t="s">
        <v>3884</v>
      </c>
      <c r="C102" s="13">
        <v>135.318087227581</v>
      </c>
      <c r="D102" s="13">
        <v>17.382999999999999</v>
      </c>
      <c r="E102" s="13">
        <v>7.7845071177346297</v>
      </c>
      <c r="F102" s="13">
        <v>0.89123112007376004</v>
      </c>
      <c r="G102" s="18">
        <v>0.89123112007376004</v>
      </c>
      <c r="H102" s="7" t="b">
        <v>0</v>
      </c>
    </row>
    <row r="103" spans="1:8" x14ac:dyDescent="0.3">
      <c r="A103" s="7" t="s">
        <v>945</v>
      </c>
      <c r="B103" s="7" t="s">
        <v>2244</v>
      </c>
      <c r="C103" s="13">
        <v>23.2087107826388</v>
      </c>
      <c r="D103" s="13" t="s">
        <v>37</v>
      </c>
      <c r="E103" s="13" t="s">
        <v>37</v>
      </c>
      <c r="F103" s="13" t="s">
        <v>37</v>
      </c>
      <c r="G103" s="18" t="s">
        <v>37</v>
      </c>
      <c r="H103" s="7" t="b">
        <v>0</v>
      </c>
    </row>
    <row r="104" spans="1:8" x14ac:dyDescent="0.3">
      <c r="A104" s="7" t="s">
        <v>945</v>
      </c>
      <c r="B104" s="7" t="s">
        <v>2247</v>
      </c>
      <c r="C104" s="13">
        <v>23.2087107826388</v>
      </c>
      <c r="D104" s="13" t="s">
        <v>37</v>
      </c>
      <c r="E104" s="13" t="s">
        <v>37</v>
      </c>
      <c r="F104" s="13" t="s">
        <v>37</v>
      </c>
      <c r="G104" s="18" t="s">
        <v>37</v>
      </c>
      <c r="H104" s="7" t="b">
        <v>0</v>
      </c>
    </row>
    <row r="105" spans="1:8" x14ac:dyDescent="0.3">
      <c r="A105" s="7" t="s">
        <v>945</v>
      </c>
      <c r="B105" s="7" t="s">
        <v>2300</v>
      </c>
      <c r="C105" s="13">
        <v>23.2087107826388</v>
      </c>
      <c r="D105" s="13" t="s">
        <v>37</v>
      </c>
      <c r="E105" s="13" t="s">
        <v>37</v>
      </c>
      <c r="F105" s="13" t="s">
        <v>37</v>
      </c>
      <c r="G105" s="18" t="s">
        <v>37</v>
      </c>
      <c r="H105" s="7" t="b">
        <v>0</v>
      </c>
    </row>
    <row r="106" spans="1:8" x14ac:dyDescent="0.3">
      <c r="A106" s="7" t="s">
        <v>945</v>
      </c>
      <c r="B106" s="7" t="s">
        <v>2301</v>
      </c>
      <c r="C106" s="13">
        <v>23.310944479981199</v>
      </c>
      <c r="D106" s="13" t="s">
        <v>37</v>
      </c>
      <c r="E106" s="13" t="s">
        <v>37</v>
      </c>
      <c r="F106" s="13" t="s">
        <v>37</v>
      </c>
      <c r="G106" s="18" t="s">
        <v>37</v>
      </c>
      <c r="H106" s="7" t="b">
        <v>0</v>
      </c>
    </row>
    <row r="107" spans="1:8" x14ac:dyDescent="0.3">
      <c r="A107" s="7" t="s">
        <v>945</v>
      </c>
      <c r="B107" s="7" t="s">
        <v>2302</v>
      </c>
      <c r="C107" s="13">
        <v>23.057304294582501</v>
      </c>
      <c r="D107" s="13">
        <v>74.497</v>
      </c>
      <c r="E107" s="13">
        <v>0.30950648072516301</v>
      </c>
      <c r="F107" s="13">
        <v>-0.50933025290004996</v>
      </c>
      <c r="G107" s="18">
        <v>0.50933025290004996</v>
      </c>
      <c r="H107" s="7" t="b">
        <v>0</v>
      </c>
    </row>
    <row r="108" spans="1:8" x14ac:dyDescent="0.3">
      <c r="A108" s="7" t="s">
        <v>945</v>
      </c>
      <c r="B108" s="7" t="s">
        <v>3880</v>
      </c>
      <c r="C108" s="13">
        <v>23.583221911472599</v>
      </c>
      <c r="D108" s="13" t="s">
        <v>37</v>
      </c>
      <c r="E108" s="13" t="s">
        <v>37</v>
      </c>
      <c r="F108" s="13" t="s">
        <v>37</v>
      </c>
      <c r="G108" s="18" t="s">
        <v>37</v>
      </c>
      <c r="H108" s="7" t="b">
        <v>0</v>
      </c>
    </row>
    <row r="109" spans="1:8" x14ac:dyDescent="0.3">
      <c r="A109" s="7" t="s">
        <v>945</v>
      </c>
      <c r="B109" s="7" t="s">
        <v>3881</v>
      </c>
      <c r="C109" s="13">
        <v>23.822811057455102</v>
      </c>
      <c r="D109" s="13">
        <v>16.855</v>
      </c>
      <c r="E109" s="13">
        <v>1.4133972742483001</v>
      </c>
      <c r="F109" s="13">
        <v>0.150264249437977</v>
      </c>
      <c r="G109" s="18">
        <v>0.150264249437977</v>
      </c>
      <c r="H109" s="7" t="b">
        <v>0</v>
      </c>
    </row>
    <row r="110" spans="1:8" x14ac:dyDescent="0.3">
      <c r="A110" s="7" t="s">
        <v>945</v>
      </c>
      <c r="B110" s="7" t="s">
        <v>3882</v>
      </c>
      <c r="C110" s="13">
        <v>23.206090463972799</v>
      </c>
      <c r="D110" s="13">
        <v>15.117000000000001</v>
      </c>
      <c r="E110" s="13">
        <v>1.5350989259755801</v>
      </c>
      <c r="F110" s="13">
        <v>0.18613636783988499</v>
      </c>
      <c r="G110" s="18">
        <v>0.18613636783988499</v>
      </c>
      <c r="H110" s="7" t="b">
        <v>0</v>
      </c>
    </row>
    <row r="111" spans="1:8" x14ac:dyDescent="0.3">
      <c r="A111" s="7" t="s">
        <v>945</v>
      </c>
      <c r="B111" s="7" t="s">
        <v>3883</v>
      </c>
      <c r="C111" s="13">
        <v>22.7792501173254</v>
      </c>
      <c r="D111" s="13" t="s">
        <v>37</v>
      </c>
      <c r="E111" s="13" t="s">
        <v>37</v>
      </c>
      <c r="F111" s="13" t="s">
        <v>37</v>
      </c>
      <c r="G111" s="18" t="s">
        <v>37</v>
      </c>
      <c r="H111" s="7" t="b">
        <v>0</v>
      </c>
    </row>
    <row r="112" spans="1:8" x14ac:dyDescent="0.3">
      <c r="A112" s="7" t="s">
        <v>945</v>
      </c>
      <c r="B112" s="7" t="s">
        <v>3884</v>
      </c>
      <c r="C112" s="13">
        <v>23.353623489955101</v>
      </c>
      <c r="D112" s="13" t="s">
        <v>37</v>
      </c>
      <c r="E112" s="13" t="s">
        <v>37</v>
      </c>
      <c r="F112" s="13" t="s">
        <v>37</v>
      </c>
      <c r="G112" s="18" t="s">
        <v>37</v>
      </c>
      <c r="H112" s="7" t="b">
        <v>0</v>
      </c>
    </row>
    <row r="113" spans="1:8" x14ac:dyDescent="0.3">
      <c r="A113" s="7" t="s">
        <v>1339</v>
      </c>
      <c r="B113" s="7" t="s">
        <v>2244</v>
      </c>
      <c r="C113" s="13">
        <v>0.70955086003561496</v>
      </c>
      <c r="D113" s="13" t="s">
        <v>37</v>
      </c>
      <c r="E113" s="13" t="s">
        <v>37</v>
      </c>
      <c r="F113" s="13" t="s">
        <v>37</v>
      </c>
      <c r="G113" s="18" t="s">
        <v>37</v>
      </c>
      <c r="H113" s="7" t="b">
        <v>0</v>
      </c>
    </row>
    <row r="114" spans="1:8" x14ac:dyDescent="0.3">
      <c r="A114" s="7" t="s">
        <v>1339</v>
      </c>
      <c r="B114" s="7" t="s">
        <v>2247</v>
      </c>
      <c r="C114" s="13">
        <v>0.70955086003561496</v>
      </c>
      <c r="D114" s="13" t="s">
        <v>37</v>
      </c>
      <c r="E114" s="13" t="s">
        <v>37</v>
      </c>
      <c r="F114" s="13" t="s">
        <v>37</v>
      </c>
      <c r="G114" s="18" t="s">
        <v>37</v>
      </c>
      <c r="H114" s="7" t="b">
        <v>0</v>
      </c>
    </row>
    <row r="115" spans="1:8" x14ac:dyDescent="0.3">
      <c r="A115" s="7" t="s">
        <v>1339</v>
      </c>
      <c r="B115" s="7" t="s">
        <v>2300</v>
      </c>
      <c r="C115" s="13">
        <v>0.70955086003561496</v>
      </c>
      <c r="D115" s="13">
        <v>2.173</v>
      </c>
      <c r="E115" s="13">
        <v>0.32653053844252899</v>
      </c>
      <c r="F115" s="13">
        <v>-0.48607619553173298</v>
      </c>
      <c r="G115" s="18">
        <v>0.48607619553173298</v>
      </c>
      <c r="H115" s="7" t="b">
        <v>0</v>
      </c>
    </row>
    <row r="116" spans="1:8" x14ac:dyDescent="0.3">
      <c r="A116" s="7" t="s">
        <v>1339</v>
      </c>
      <c r="B116" s="7" t="s">
        <v>2301</v>
      </c>
      <c r="C116" s="13">
        <v>0.67258913947295995</v>
      </c>
      <c r="D116" s="13" t="s">
        <v>37</v>
      </c>
      <c r="E116" s="13" t="s">
        <v>37</v>
      </c>
      <c r="F116" s="13" t="s">
        <v>37</v>
      </c>
      <c r="G116" s="18" t="s">
        <v>37</v>
      </c>
      <c r="H116" s="7" t="b">
        <v>0</v>
      </c>
    </row>
    <row r="117" spans="1:8" x14ac:dyDescent="0.3">
      <c r="A117" s="7" t="s">
        <v>1339</v>
      </c>
      <c r="B117" s="7" t="s">
        <v>2302</v>
      </c>
      <c r="C117" s="13">
        <v>0.59836797272797104</v>
      </c>
      <c r="D117" s="13" t="s">
        <v>37</v>
      </c>
      <c r="E117" s="13" t="s">
        <v>37</v>
      </c>
      <c r="F117" s="13" t="s">
        <v>37</v>
      </c>
      <c r="G117" s="18" t="s">
        <v>37</v>
      </c>
      <c r="H117" s="7" t="b">
        <v>0</v>
      </c>
    </row>
    <row r="118" spans="1:8" x14ac:dyDescent="0.3">
      <c r="A118" s="7" t="s">
        <v>1339</v>
      </c>
      <c r="B118" s="7" t="s">
        <v>3880</v>
      </c>
      <c r="C118" s="13">
        <v>0.63007430692174404</v>
      </c>
      <c r="D118" s="13" t="s">
        <v>37</v>
      </c>
      <c r="E118" s="13" t="s">
        <v>37</v>
      </c>
      <c r="F118" s="13" t="s">
        <v>37</v>
      </c>
      <c r="G118" s="18" t="s">
        <v>37</v>
      </c>
      <c r="H118" s="7" t="b">
        <v>0</v>
      </c>
    </row>
    <row r="119" spans="1:8" x14ac:dyDescent="0.3">
      <c r="A119" s="7" t="s">
        <v>1339</v>
      </c>
      <c r="B119" s="7" t="s">
        <v>3881</v>
      </c>
      <c r="C119" s="13">
        <v>0.66043403561506597</v>
      </c>
      <c r="D119" s="13" t="s">
        <v>37</v>
      </c>
      <c r="E119" s="13" t="s">
        <v>37</v>
      </c>
      <c r="F119" s="13" t="s">
        <v>37</v>
      </c>
      <c r="G119" s="18" t="s">
        <v>37</v>
      </c>
      <c r="H119" s="7" t="b">
        <v>0</v>
      </c>
    </row>
    <row r="120" spans="1:8" x14ac:dyDescent="0.3">
      <c r="A120" s="7" t="s">
        <v>1339</v>
      </c>
      <c r="B120" s="7" t="s">
        <v>3882</v>
      </c>
      <c r="C120" s="13">
        <v>0.65347112160960097</v>
      </c>
      <c r="D120" s="13" t="s">
        <v>37</v>
      </c>
      <c r="E120" s="13" t="s">
        <v>37</v>
      </c>
      <c r="F120" s="13" t="s">
        <v>37</v>
      </c>
      <c r="G120" s="18" t="s">
        <v>37</v>
      </c>
      <c r="H120" s="7" t="b">
        <v>0</v>
      </c>
    </row>
    <row r="121" spans="1:8" x14ac:dyDescent="0.3">
      <c r="A121" s="7" t="s">
        <v>1339</v>
      </c>
      <c r="B121" s="7" t="s">
        <v>3883</v>
      </c>
      <c r="C121" s="13">
        <v>0.67295431024246999</v>
      </c>
      <c r="D121" s="13" t="s">
        <v>37</v>
      </c>
      <c r="E121" s="13" t="s">
        <v>37</v>
      </c>
      <c r="F121" s="13" t="s">
        <v>37</v>
      </c>
      <c r="G121" s="18" t="s">
        <v>37</v>
      </c>
      <c r="H121" s="7" t="b">
        <v>0</v>
      </c>
    </row>
    <row r="122" spans="1:8" x14ac:dyDescent="0.3">
      <c r="A122" s="7" t="s">
        <v>1339</v>
      </c>
      <c r="B122" s="7" t="s">
        <v>3884</v>
      </c>
      <c r="C122" s="13">
        <v>0.63343246933717001</v>
      </c>
      <c r="D122" s="13" t="s">
        <v>37</v>
      </c>
      <c r="E122" s="13" t="s">
        <v>37</v>
      </c>
      <c r="F122" s="13" t="s">
        <v>37</v>
      </c>
      <c r="G122" s="18" t="s">
        <v>37</v>
      </c>
      <c r="H122" s="7" t="b">
        <v>0</v>
      </c>
    </row>
    <row r="123" spans="1:8" x14ac:dyDescent="0.3">
      <c r="A123" s="7" t="s">
        <v>414</v>
      </c>
      <c r="B123" s="7" t="s">
        <v>2244</v>
      </c>
      <c r="C123" s="13">
        <v>27.634795858723699</v>
      </c>
      <c r="D123" s="13" t="s">
        <v>37</v>
      </c>
      <c r="E123" s="13" t="s">
        <v>37</v>
      </c>
      <c r="F123" s="13" t="s">
        <v>37</v>
      </c>
      <c r="G123" s="18" t="s">
        <v>37</v>
      </c>
      <c r="H123" s="7" t="b">
        <v>0</v>
      </c>
    </row>
    <row r="124" spans="1:8" x14ac:dyDescent="0.3">
      <c r="A124" s="7" t="s">
        <v>414</v>
      </c>
      <c r="B124" s="7" t="s">
        <v>2247</v>
      </c>
      <c r="C124" s="13">
        <v>27.634795858723699</v>
      </c>
      <c r="D124" s="13" t="s">
        <v>37</v>
      </c>
      <c r="E124" s="13" t="s">
        <v>37</v>
      </c>
      <c r="F124" s="13" t="s">
        <v>37</v>
      </c>
      <c r="G124" s="18" t="s">
        <v>37</v>
      </c>
      <c r="H124" s="7" t="b">
        <v>0</v>
      </c>
    </row>
    <row r="125" spans="1:8" x14ac:dyDescent="0.3">
      <c r="A125" s="7" t="s">
        <v>414</v>
      </c>
      <c r="B125" s="7" t="s">
        <v>2300</v>
      </c>
      <c r="C125" s="13">
        <v>27.634795858723699</v>
      </c>
      <c r="D125" s="13">
        <v>620.80799999999999</v>
      </c>
      <c r="E125" s="13">
        <v>4.4514239279654401E-2</v>
      </c>
      <c r="F125" s="13">
        <v>-1.3515010440439099</v>
      </c>
      <c r="G125" s="18">
        <v>1.3515010440439099</v>
      </c>
      <c r="H125" s="7" t="b">
        <v>1</v>
      </c>
    </row>
    <row r="126" spans="1:8" x14ac:dyDescent="0.3">
      <c r="A126" s="7" t="s">
        <v>414</v>
      </c>
      <c r="B126" s="7" t="s">
        <v>2301</v>
      </c>
      <c r="C126" s="13">
        <v>27.860926680398499</v>
      </c>
      <c r="D126" s="13">
        <v>134.405</v>
      </c>
      <c r="E126" s="13">
        <v>0.20729084989694199</v>
      </c>
      <c r="F126" s="13">
        <v>-0.68341986783846398</v>
      </c>
      <c r="G126" s="18">
        <v>0.68341986783846398</v>
      </c>
      <c r="H126" s="7" t="b">
        <v>0</v>
      </c>
    </row>
    <row r="127" spans="1:8" x14ac:dyDescent="0.3">
      <c r="A127" s="7" t="s">
        <v>414</v>
      </c>
      <c r="B127" s="7" t="s">
        <v>2302</v>
      </c>
      <c r="C127" s="13">
        <v>25.096254542213099</v>
      </c>
      <c r="D127" s="13" t="s">
        <v>37</v>
      </c>
      <c r="E127" s="13" t="s">
        <v>37</v>
      </c>
      <c r="F127" s="13" t="s">
        <v>37</v>
      </c>
      <c r="G127" s="18" t="s">
        <v>37</v>
      </c>
      <c r="H127" s="7" t="b">
        <v>0</v>
      </c>
    </row>
    <row r="128" spans="1:8" x14ac:dyDescent="0.3">
      <c r="A128" s="7" t="s">
        <v>414</v>
      </c>
      <c r="B128" s="7" t="s">
        <v>3880</v>
      </c>
      <c r="C128" s="13">
        <v>27.580302796433799</v>
      </c>
      <c r="D128" s="13" t="s">
        <v>37</v>
      </c>
      <c r="E128" s="13" t="s">
        <v>37</v>
      </c>
      <c r="F128" s="13" t="s">
        <v>37</v>
      </c>
      <c r="G128" s="18" t="s">
        <v>37</v>
      </c>
      <c r="H128" s="7" t="b">
        <v>0</v>
      </c>
    </row>
    <row r="129" spans="1:8" x14ac:dyDescent="0.3">
      <c r="A129" s="7" t="s">
        <v>414</v>
      </c>
      <c r="B129" s="7" t="s">
        <v>3881</v>
      </c>
      <c r="C129" s="13">
        <v>25.628840859225999</v>
      </c>
      <c r="D129" s="13" t="s">
        <v>37</v>
      </c>
      <c r="E129" s="13" t="s">
        <v>37</v>
      </c>
      <c r="F129" s="13" t="s">
        <v>37</v>
      </c>
      <c r="G129" s="18" t="s">
        <v>37</v>
      </c>
      <c r="H129" s="7" t="b">
        <v>0</v>
      </c>
    </row>
    <row r="130" spans="1:8" x14ac:dyDescent="0.3">
      <c r="A130" s="7" t="s">
        <v>414</v>
      </c>
      <c r="B130" s="7" t="s">
        <v>3882</v>
      </c>
      <c r="C130" s="13">
        <v>28.061734092144999</v>
      </c>
      <c r="D130" s="13" t="s">
        <v>37</v>
      </c>
      <c r="E130" s="13" t="s">
        <v>37</v>
      </c>
      <c r="F130" s="13" t="s">
        <v>37</v>
      </c>
      <c r="G130" s="18" t="s">
        <v>37</v>
      </c>
      <c r="H130" s="7" t="b">
        <v>0</v>
      </c>
    </row>
    <row r="131" spans="1:8" x14ac:dyDescent="0.3">
      <c r="A131" s="7" t="s">
        <v>414</v>
      </c>
      <c r="B131" s="7" t="s">
        <v>3883</v>
      </c>
      <c r="C131" s="13">
        <v>27.559501722388401</v>
      </c>
      <c r="D131" s="13" t="s">
        <v>37</v>
      </c>
      <c r="E131" s="13" t="s">
        <v>37</v>
      </c>
      <c r="F131" s="13" t="s">
        <v>37</v>
      </c>
      <c r="G131" s="18" t="s">
        <v>37</v>
      </c>
      <c r="H131" s="7" t="b">
        <v>0</v>
      </c>
    </row>
    <row r="132" spans="1:8" x14ac:dyDescent="0.3">
      <c r="A132" s="7" t="s">
        <v>414</v>
      </c>
      <c r="B132" s="7" t="s">
        <v>3884</v>
      </c>
      <c r="C132" s="13">
        <v>27.694584326835599</v>
      </c>
      <c r="D132" s="13" t="s">
        <v>37</v>
      </c>
      <c r="E132" s="13" t="s">
        <v>37</v>
      </c>
      <c r="F132" s="13" t="s">
        <v>37</v>
      </c>
      <c r="G132" s="18" t="s">
        <v>37</v>
      </c>
      <c r="H132" s="7" t="b">
        <v>0</v>
      </c>
    </row>
    <row r="133" spans="1:8" x14ac:dyDescent="0.3">
      <c r="A133" s="7" t="s">
        <v>206</v>
      </c>
      <c r="B133" s="7" t="s">
        <v>2244</v>
      </c>
      <c r="C133" s="13">
        <v>37.915169243679699</v>
      </c>
      <c r="D133" s="13" t="s">
        <v>37</v>
      </c>
      <c r="E133" s="13" t="s">
        <v>37</v>
      </c>
      <c r="F133" s="13" t="s">
        <v>37</v>
      </c>
      <c r="G133" s="18" t="s">
        <v>37</v>
      </c>
      <c r="H133" s="7" t="b">
        <v>0</v>
      </c>
    </row>
    <row r="134" spans="1:8" x14ac:dyDescent="0.3">
      <c r="A134" s="7" t="s">
        <v>206</v>
      </c>
      <c r="B134" s="7" t="s">
        <v>2247</v>
      </c>
      <c r="C134" s="13">
        <v>37.915169243679699</v>
      </c>
      <c r="D134" s="13" t="s">
        <v>37</v>
      </c>
      <c r="E134" s="13" t="s">
        <v>37</v>
      </c>
      <c r="F134" s="13" t="s">
        <v>37</v>
      </c>
      <c r="G134" s="18" t="s">
        <v>37</v>
      </c>
      <c r="H134" s="7" t="b">
        <v>0</v>
      </c>
    </row>
    <row r="135" spans="1:8" x14ac:dyDescent="0.3">
      <c r="A135" s="7" t="s">
        <v>206</v>
      </c>
      <c r="B135" s="7" t="s">
        <v>2300</v>
      </c>
      <c r="C135" s="13">
        <v>37.915169243679699</v>
      </c>
      <c r="D135" s="13" t="s">
        <v>37</v>
      </c>
      <c r="E135" s="13" t="s">
        <v>37</v>
      </c>
      <c r="F135" s="13" t="s">
        <v>37</v>
      </c>
      <c r="G135" s="18" t="s">
        <v>37</v>
      </c>
      <c r="H135" s="7" t="b">
        <v>0</v>
      </c>
    </row>
    <row r="136" spans="1:8" x14ac:dyDescent="0.3">
      <c r="A136" s="7" t="s">
        <v>206</v>
      </c>
      <c r="B136" s="7" t="s">
        <v>2301</v>
      </c>
      <c r="C136" s="13">
        <v>38.030450649271202</v>
      </c>
      <c r="D136" s="13" t="s">
        <v>37</v>
      </c>
      <c r="E136" s="13" t="s">
        <v>37</v>
      </c>
      <c r="F136" s="13" t="s">
        <v>37</v>
      </c>
      <c r="G136" s="18" t="s">
        <v>37</v>
      </c>
      <c r="H136" s="7" t="b">
        <v>0</v>
      </c>
    </row>
    <row r="137" spans="1:8" x14ac:dyDescent="0.3">
      <c r="A137" s="7" t="s">
        <v>206</v>
      </c>
      <c r="B137" s="7" t="s">
        <v>2302</v>
      </c>
      <c r="C137" s="13">
        <v>33.054945197274598</v>
      </c>
      <c r="D137" s="13" t="s">
        <v>37</v>
      </c>
      <c r="E137" s="13" t="s">
        <v>37</v>
      </c>
      <c r="F137" s="13" t="s">
        <v>37</v>
      </c>
      <c r="G137" s="18" t="s">
        <v>37</v>
      </c>
      <c r="H137" s="7" t="b">
        <v>0</v>
      </c>
    </row>
    <row r="138" spans="1:8" x14ac:dyDescent="0.3">
      <c r="A138" s="7" t="s">
        <v>206</v>
      </c>
      <c r="B138" s="7" t="s">
        <v>3880</v>
      </c>
      <c r="C138" s="13">
        <v>38.100921986133002</v>
      </c>
      <c r="D138" s="13" t="s">
        <v>37</v>
      </c>
      <c r="E138" s="13" t="s">
        <v>37</v>
      </c>
      <c r="F138" s="13" t="s">
        <v>37</v>
      </c>
      <c r="G138" s="18" t="s">
        <v>37</v>
      </c>
      <c r="H138" s="7" t="b">
        <v>0</v>
      </c>
    </row>
    <row r="139" spans="1:8" x14ac:dyDescent="0.3">
      <c r="A139" s="7" t="s">
        <v>206</v>
      </c>
      <c r="B139" s="7" t="s">
        <v>3881</v>
      </c>
      <c r="C139" s="13">
        <v>37.093441935756701</v>
      </c>
      <c r="D139" s="13" t="s">
        <v>37</v>
      </c>
      <c r="E139" s="13" t="s">
        <v>37</v>
      </c>
      <c r="F139" s="13" t="s">
        <v>37</v>
      </c>
      <c r="G139" s="18" t="s">
        <v>37</v>
      </c>
      <c r="H139" s="7" t="b">
        <v>0</v>
      </c>
    </row>
    <row r="140" spans="1:8" x14ac:dyDescent="0.3">
      <c r="A140" s="7" t="s">
        <v>206</v>
      </c>
      <c r="B140" s="7" t="s">
        <v>3882</v>
      </c>
      <c r="C140" s="13">
        <v>39.772730656495497</v>
      </c>
      <c r="D140" s="13" t="s">
        <v>37</v>
      </c>
      <c r="E140" s="13" t="s">
        <v>37</v>
      </c>
      <c r="F140" s="13" t="s">
        <v>37</v>
      </c>
      <c r="G140" s="18" t="s">
        <v>37</v>
      </c>
      <c r="H140" s="7" t="b">
        <v>0</v>
      </c>
    </row>
    <row r="141" spans="1:8" x14ac:dyDescent="0.3">
      <c r="A141" s="7" t="s">
        <v>206</v>
      </c>
      <c r="B141" s="7" t="s">
        <v>3883</v>
      </c>
      <c r="C141" s="13">
        <v>38.485624109160398</v>
      </c>
      <c r="D141" s="13" t="s">
        <v>37</v>
      </c>
      <c r="E141" s="13" t="s">
        <v>37</v>
      </c>
      <c r="F141" s="13" t="s">
        <v>37</v>
      </c>
      <c r="G141" s="18" t="s">
        <v>37</v>
      </c>
      <c r="H141" s="7" t="b">
        <v>0</v>
      </c>
    </row>
    <row r="142" spans="1:8" x14ac:dyDescent="0.3">
      <c r="A142" s="7" t="s">
        <v>206</v>
      </c>
      <c r="B142" s="7" t="s">
        <v>3884</v>
      </c>
      <c r="C142" s="13">
        <v>38.2133326424076</v>
      </c>
      <c r="D142" s="13" t="s">
        <v>37</v>
      </c>
      <c r="E142" s="13" t="s">
        <v>37</v>
      </c>
      <c r="F142" s="13" t="s">
        <v>37</v>
      </c>
      <c r="G142" s="18" t="s">
        <v>37</v>
      </c>
      <c r="H142" s="7" t="b">
        <v>0</v>
      </c>
    </row>
    <row r="143" spans="1:8" x14ac:dyDescent="0.3">
      <c r="A143" s="7" t="s">
        <v>1048</v>
      </c>
      <c r="B143" s="7" t="s">
        <v>2244</v>
      </c>
      <c r="C143" s="13">
        <v>0.83903790649500698</v>
      </c>
      <c r="D143" s="13" t="s">
        <v>37</v>
      </c>
      <c r="E143" s="13" t="s">
        <v>37</v>
      </c>
      <c r="F143" s="13" t="s">
        <v>37</v>
      </c>
      <c r="G143" s="18" t="s">
        <v>37</v>
      </c>
      <c r="H143" s="7" t="b">
        <v>0</v>
      </c>
    </row>
    <row r="144" spans="1:8" x14ac:dyDescent="0.3">
      <c r="A144" s="7" t="s">
        <v>1048</v>
      </c>
      <c r="B144" s="7" t="s">
        <v>2247</v>
      </c>
      <c r="C144" s="13">
        <v>0.83903790649500698</v>
      </c>
      <c r="D144" s="13" t="s">
        <v>37</v>
      </c>
      <c r="E144" s="13" t="s">
        <v>37</v>
      </c>
      <c r="F144" s="13" t="s">
        <v>37</v>
      </c>
      <c r="G144" s="18" t="s">
        <v>37</v>
      </c>
      <c r="H144" s="7" t="b">
        <v>0</v>
      </c>
    </row>
    <row r="145" spans="1:8" x14ac:dyDescent="0.3">
      <c r="A145" s="7" t="s">
        <v>1048</v>
      </c>
      <c r="B145" s="7" t="s">
        <v>2300</v>
      </c>
      <c r="C145" s="13">
        <v>0.83903790649500698</v>
      </c>
      <c r="D145" s="13">
        <v>7.45</v>
      </c>
      <c r="E145" s="13">
        <v>0.112622537784565</v>
      </c>
      <c r="F145" s="13">
        <v>-0.94837469069226599</v>
      </c>
      <c r="G145" s="18">
        <v>0.94837469069226599</v>
      </c>
      <c r="H145" s="7" t="b">
        <v>0</v>
      </c>
    </row>
    <row r="146" spans="1:8" x14ac:dyDescent="0.3">
      <c r="A146" s="7" t="s">
        <v>1048</v>
      </c>
      <c r="B146" s="7" t="s">
        <v>2301</v>
      </c>
      <c r="C146" s="13">
        <v>0.83355096329178602</v>
      </c>
      <c r="D146" s="13" t="s">
        <v>37</v>
      </c>
      <c r="E146" s="13" t="s">
        <v>37</v>
      </c>
      <c r="F146" s="13" t="s">
        <v>37</v>
      </c>
      <c r="G146" s="18" t="s">
        <v>37</v>
      </c>
      <c r="H146" s="7" t="b">
        <v>0</v>
      </c>
    </row>
    <row r="147" spans="1:8" x14ac:dyDescent="0.3">
      <c r="A147" s="7" t="s">
        <v>1048</v>
      </c>
      <c r="B147" s="7" t="s">
        <v>2302</v>
      </c>
      <c r="C147" s="13">
        <v>0.87287398386270498</v>
      </c>
      <c r="D147" s="13" t="s">
        <v>37</v>
      </c>
      <c r="E147" s="13" t="s">
        <v>37</v>
      </c>
      <c r="F147" s="13" t="s">
        <v>37</v>
      </c>
      <c r="G147" s="18" t="s">
        <v>37</v>
      </c>
      <c r="H147" s="7" t="b">
        <v>0</v>
      </c>
    </row>
    <row r="148" spans="1:8" x14ac:dyDescent="0.3">
      <c r="A148" s="7" t="s">
        <v>1048</v>
      </c>
      <c r="B148" s="7" t="s">
        <v>3880</v>
      </c>
      <c r="C148" s="13">
        <v>0.82034257007329203</v>
      </c>
      <c r="D148" s="13" t="s">
        <v>37</v>
      </c>
      <c r="E148" s="13" t="s">
        <v>37</v>
      </c>
      <c r="F148" s="13" t="s">
        <v>37</v>
      </c>
      <c r="G148" s="18" t="s">
        <v>37</v>
      </c>
      <c r="H148" s="7" t="b">
        <v>0</v>
      </c>
    </row>
    <row r="149" spans="1:8" x14ac:dyDescent="0.3">
      <c r="A149" s="7" t="s">
        <v>1048</v>
      </c>
      <c r="B149" s="7" t="s">
        <v>3881</v>
      </c>
      <c r="C149" s="13">
        <v>0.83956120370732601</v>
      </c>
      <c r="D149" s="13" t="s">
        <v>37</v>
      </c>
      <c r="E149" s="13" t="s">
        <v>37</v>
      </c>
      <c r="F149" s="13" t="s">
        <v>37</v>
      </c>
      <c r="G149" s="18" t="s">
        <v>37</v>
      </c>
      <c r="H149" s="7" t="b">
        <v>0</v>
      </c>
    </row>
    <row r="150" spans="1:8" x14ac:dyDescent="0.3">
      <c r="A150" s="7" t="s">
        <v>1048</v>
      </c>
      <c r="B150" s="7" t="s">
        <v>3882</v>
      </c>
      <c r="C150" s="13">
        <v>0.809886412676737</v>
      </c>
      <c r="D150" s="13" t="s">
        <v>37</v>
      </c>
      <c r="E150" s="13" t="s">
        <v>37</v>
      </c>
      <c r="F150" s="13" t="s">
        <v>37</v>
      </c>
      <c r="G150" s="18" t="s">
        <v>37</v>
      </c>
      <c r="H150" s="7" t="b">
        <v>0</v>
      </c>
    </row>
    <row r="151" spans="1:8" x14ac:dyDescent="0.3">
      <c r="A151" s="7" t="s">
        <v>1048</v>
      </c>
      <c r="B151" s="7" t="s">
        <v>3883</v>
      </c>
      <c r="C151" s="13">
        <v>0.83390736761407802</v>
      </c>
      <c r="D151" s="13" t="s">
        <v>37</v>
      </c>
      <c r="E151" s="13" t="s">
        <v>37</v>
      </c>
      <c r="F151" s="13" t="s">
        <v>37</v>
      </c>
      <c r="G151" s="18" t="s">
        <v>37</v>
      </c>
      <c r="H151" s="7" t="b">
        <v>0</v>
      </c>
    </row>
    <row r="152" spans="1:8" x14ac:dyDescent="0.3">
      <c r="A152" s="7" t="s">
        <v>1048</v>
      </c>
      <c r="B152" s="7" t="s">
        <v>3884</v>
      </c>
      <c r="C152" s="13">
        <v>0.83547223700814999</v>
      </c>
      <c r="D152" s="13" t="s">
        <v>37</v>
      </c>
      <c r="E152" s="13" t="s">
        <v>37</v>
      </c>
      <c r="F152" s="13" t="s">
        <v>37</v>
      </c>
      <c r="G152" s="18" t="s">
        <v>37</v>
      </c>
      <c r="H152" s="7" t="b">
        <v>0</v>
      </c>
    </row>
    <row r="153" spans="1:8" x14ac:dyDescent="0.3">
      <c r="A153" s="7" t="s">
        <v>605</v>
      </c>
      <c r="B153" s="7" t="s">
        <v>2244</v>
      </c>
      <c r="C153" s="13">
        <v>30.1269319610075</v>
      </c>
      <c r="D153" s="13" t="s">
        <v>37</v>
      </c>
      <c r="E153" s="13" t="s">
        <v>37</v>
      </c>
      <c r="F153" s="13" t="s">
        <v>37</v>
      </c>
      <c r="G153" s="18" t="s">
        <v>37</v>
      </c>
      <c r="H153" s="7" t="b">
        <v>0</v>
      </c>
    </row>
    <row r="154" spans="1:8" x14ac:dyDescent="0.3">
      <c r="A154" s="7" t="s">
        <v>605</v>
      </c>
      <c r="B154" s="7" t="s">
        <v>2247</v>
      </c>
      <c r="C154" s="13">
        <v>30.1269319610075</v>
      </c>
      <c r="D154" s="13" t="s">
        <v>37</v>
      </c>
      <c r="E154" s="13" t="s">
        <v>37</v>
      </c>
      <c r="F154" s="13" t="s">
        <v>37</v>
      </c>
      <c r="G154" s="18" t="s">
        <v>37</v>
      </c>
      <c r="H154" s="7" t="b">
        <v>0</v>
      </c>
    </row>
    <row r="155" spans="1:8" x14ac:dyDescent="0.3">
      <c r="A155" s="7" t="s">
        <v>605</v>
      </c>
      <c r="B155" s="7" t="s">
        <v>2300</v>
      </c>
      <c r="C155" s="13">
        <v>30.1269319610075</v>
      </c>
      <c r="D155" s="13" t="s">
        <v>37</v>
      </c>
      <c r="E155" s="13" t="s">
        <v>37</v>
      </c>
      <c r="F155" s="13" t="s">
        <v>37</v>
      </c>
      <c r="G155" s="18" t="s">
        <v>37</v>
      </c>
      <c r="H155" s="7" t="b">
        <v>0</v>
      </c>
    </row>
    <row r="156" spans="1:8" x14ac:dyDescent="0.3">
      <c r="A156" s="7" t="s">
        <v>605</v>
      </c>
      <c r="B156" s="7" t="s">
        <v>2301</v>
      </c>
      <c r="C156" s="13">
        <v>30.6327610125985</v>
      </c>
      <c r="D156" s="13" t="s">
        <v>37</v>
      </c>
      <c r="E156" s="13" t="s">
        <v>37</v>
      </c>
      <c r="F156" s="13" t="s">
        <v>37</v>
      </c>
      <c r="G156" s="18" t="s">
        <v>37</v>
      </c>
      <c r="H156" s="7" t="b">
        <v>0</v>
      </c>
    </row>
    <row r="157" spans="1:8" x14ac:dyDescent="0.3">
      <c r="A157" s="7" t="s">
        <v>605</v>
      </c>
      <c r="B157" s="7" t="s">
        <v>2302</v>
      </c>
      <c r="C157" s="13">
        <v>25.725325972336101</v>
      </c>
      <c r="D157" s="13" t="s">
        <v>37</v>
      </c>
      <c r="E157" s="13" t="s">
        <v>37</v>
      </c>
      <c r="F157" s="13" t="s">
        <v>37</v>
      </c>
      <c r="G157" s="18" t="s">
        <v>37</v>
      </c>
      <c r="H157" s="7" t="b">
        <v>0</v>
      </c>
    </row>
    <row r="158" spans="1:8" x14ac:dyDescent="0.3">
      <c r="A158" s="7" t="s">
        <v>605</v>
      </c>
      <c r="B158" s="7" t="s">
        <v>3880</v>
      </c>
      <c r="C158" s="13">
        <v>30.901360586569499</v>
      </c>
      <c r="D158" s="13" t="s">
        <v>37</v>
      </c>
      <c r="E158" s="13" t="s">
        <v>37</v>
      </c>
      <c r="F158" s="13" t="s">
        <v>37</v>
      </c>
      <c r="G158" s="18" t="s">
        <v>37</v>
      </c>
      <c r="H158" s="7" t="b">
        <v>0</v>
      </c>
    </row>
    <row r="159" spans="1:8" x14ac:dyDescent="0.3">
      <c r="A159" s="7" t="s">
        <v>605</v>
      </c>
      <c r="B159" s="7" t="s">
        <v>3881</v>
      </c>
      <c r="C159" s="13">
        <v>30.410205867311699</v>
      </c>
      <c r="D159" s="13" t="s">
        <v>37</v>
      </c>
      <c r="E159" s="13" t="s">
        <v>37</v>
      </c>
      <c r="F159" s="13" t="s">
        <v>37</v>
      </c>
      <c r="G159" s="18" t="s">
        <v>37</v>
      </c>
      <c r="H159" s="7" t="b">
        <v>0</v>
      </c>
    </row>
    <row r="160" spans="1:8" x14ac:dyDescent="0.3">
      <c r="A160" s="7" t="s">
        <v>605</v>
      </c>
      <c r="B160" s="7" t="s">
        <v>3882</v>
      </c>
      <c r="C160" s="13">
        <v>28.7605018888889</v>
      </c>
      <c r="D160" s="13" t="s">
        <v>37</v>
      </c>
      <c r="E160" s="13" t="s">
        <v>37</v>
      </c>
      <c r="F160" s="13" t="s">
        <v>37</v>
      </c>
      <c r="G160" s="18" t="s">
        <v>37</v>
      </c>
      <c r="H160" s="7" t="b">
        <v>0</v>
      </c>
    </row>
    <row r="161" spans="1:8" x14ac:dyDescent="0.3">
      <c r="A161" s="7" t="s">
        <v>605</v>
      </c>
      <c r="B161" s="7" t="s">
        <v>3883</v>
      </c>
      <c r="C161" s="13">
        <v>28.809654637257001</v>
      </c>
      <c r="D161" s="13" t="s">
        <v>37</v>
      </c>
      <c r="E161" s="13" t="s">
        <v>37</v>
      </c>
      <c r="F161" s="13" t="s">
        <v>37</v>
      </c>
      <c r="G161" s="18" t="s">
        <v>37</v>
      </c>
      <c r="H161" s="7" t="b">
        <v>0</v>
      </c>
    </row>
    <row r="162" spans="1:8" x14ac:dyDescent="0.3">
      <c r="A162" s="7" t="s">
        <v>605</v>
      </c>
      <c r="B162" s="7" t="s">
        <v>3884</v>
      </c>
      <c r="C162" s="13">
        <v>30.983979574010998</v>
      </c>
      <c r="D162" s="13" t="s">
        <v>37</v>
      </c>
      <c r="E162" s="13" t="s">
        <v>37</v>
      </c>
      <c r="F162" s="13" t="s">
        <v>37</v>
      </c>
      <c r="G162" s="18" t="s">
        <v>37</v>
      </c>
      <c r="H162" s="7" t="b">
        <v>0</v>
      </c>
    </row>
    <row r="163" spans="1:8" x14ac:dyDescent="0.3">
      <c r="A163" s="7" t="s">
        <v>1470</v>
      </c>
      <c r="B163" s="7" t="s">
        <v>2244</v>
      </c>
      <c r="C163" s="13">
        <v>0.37859583382787498</v>
      </c>
      <c r="D163" s="13" t="s">
        <v>37</v>
      </c>
      <c r="E163" s="13" t="s">
        <v>37</v>
      </c>
      <c r="F163" s="13" t="s">
        <v>37</v>
      </c>
      <c r="G163" s="18" t="s">
        <v>37</v>
      </c>
      <c r="H163" s="7" t="b">
        <v>0</v>
      </c>
    </row>
    <row r="164" spans="1:8" x14ac:dyDescent="0.3">
      <c r="A164" s="7" t="s">
        <v>1470</v>
      </c>
      <c r="B164" s="7" t="s">
        <v>2247</v>
      </c>
      <c r="C164" s="13">
        <v>0.37859583382787498</v>
      </c>
      <c r="D164" s="13" t="s">
        <v>37</v>
      </c>
      <c r="E164" s="13" t="s">
        <v>37</v>
      </c>
      <c r="F164" s="13" t="s">
        <v>37</v>
      </c>
      <c r="G164" s="18" t="s">
        <v>37</v>
      </c>
      <c r="H164" s="7" t="b">
        <v>0</v>
      </c>
    </row>
    <row r="165" spans="1:8" x14ac:dyDescent="0.3">
      <c r="A165" s="7" t="s">
        <v>1470</v>
      </c>
      <c r="B165" s="7" t="s">
        <v>2300</v>
      </c>
      <c r="C165" s="13">
        <v>0.37859583382787498</v>
      </c>
      <c r="D165" s="13" t="s">
        <v>37</v>
      </c>
      <c r="E165" s="13" t="s">
        <v>37</v>
      </c>
      <c r="F165" s="13" t="s">
        <v>37</v>
      </c>
      <c r="G165" s="18" t="s">
        <v>37</v>
      </c>
      <c r="H165" s="7" t="b">
        <v>0</v>
      </c>
    </row>
    <row r="166" spans="1:8" x14ac:dyDescent="0.3">
      <c r="A166" s="7" t="s">
        <v>1470</v>
      </c>
      <c r="B166" s="7" t="s">
        <v>2301</v>
      </c>
      <c r="C166" s="13">
        <v>0.37726154392440397</v>
      </c>
      <c r="D166" s="13" t="s">
        <v>37</v>
      </c>
      <c r="E166" s="13" t="s">
        <v>37</v>
      </c>
      <c r="F166" s="13" t="s">
        <v>37</v>
      </c>
      <c r="G166" s="18" t="s">
        <v>37</v>
      </c>
      <c r="H166" s="7" t="b">
        <v>0</v>
      </c>
    </row>
    <row r="167" spans="1:8" x14ac:dyDescent="0.3">
      <c r="A167" s="7" t="s">
        <v>1470</v>
      </c>
      <c r="B167" s="7" t="s">
        <v>2302</v>
      </c>
      <c r="C167" s="13">
        <v>0.38820149204661902</v>
      </c>
      <c r="D167" s="13" t="s">
        <v>37</v>
      </c>
      <c r="E167" s="13" t="s">
        <v>37</v>
      </c>
      <c r="F167" s="13" t="s">
        <v>37</v>
      </c>
      <c r="G167" s="18" t="s">
        <v>37</v>
      </c>
      <c r="H167" s="7" t="b">
        <v>0</v>
      </c>
    </row>
    <row r="168" spans="1:8" x14ac:dyDescent="0.3">
      <c r="A168" s="7" t="s">
        <v>1470</v>
      </c>
      <c r="B168" s="7" t="s">
        <v>3880</v>
      </c>
      <c r="C168" s="13">
        <v>0.37918039404902798</v>
      </c>
      <c r="D168" s="13" t="s">
        <v>37</v>
      </c>
      <c r="E168" s="13" t="s">
        <v>37</v>
      </c>
      <c r="F168" s="13" t="s">
        <v>37</v>
      </c>
      <c r="G168" s="18" t="s">
        <v>37</v>
      </c>
      <c r="H168" s="7" t="b">
        <v>0</v>
      </c>
    </row>
    <row r="169" spans="1:8" x14ac:dyDescent="0.3">
      <c r="A169" s="7" t="s">
        <v>1470</v>
      </c>
      <c r="B169" s="7" t="s">
        <v>3881</v>
      </c>
      <c r="C169" s="13">
        <v>0.362089394054596</v>
      </c>
      <c r="D169" s="13" t="s">
        <v>37</v>
      </c>
      <c r="E169" s="13" t="s">
        <v>37</v>
      </c>
      <c r="F169" s="13" t="s">
        <v>37</v>
      </c>
      <c r="G169" s="18" t="s">
        <v>37</v>
      </c>
      <c r="H169" s="7" t="b">
        <v>0</v>
      </c>
    </row>
    <row r="170" spans="1:8" x14ac:dyDescent="0.3">
      <c r="A170" s="7" t="s">
        <v>1470</v>
      </c>
      <c r="B170" s="7" t="s">
        <v>3882</v>
      </c>
      <c r="C170" s="13">
        <v>0.38228231751963698</v>
      </c>
      <c r="D170" s="13" t="s">
        <v>37</v>
      </c>
      <c r="E170" s="13" t="s">
        <v>37</v>
      </c>
      <c r="F170" s="13" t="s">
        <v>37</v>
      </c>
      <c r="G170" s="18" t="s">
        <v>37</v>
      </c>
      <c r="H170" s="7" t="b">
        <v>0</v>
      </c>
    </row>
    <row r="171" spans="1:8" x14ac:dyDescent="0.3">
      <c r="A171" s="7" t="s">
        <v>1470</v>
      </c>
      <c r="B171" s="7" t="s">
        <v>3883</v>
      </c>
      <c r="C171" s="13">
        <v>0.38065379446816899</v>
      </c>
      <c r="D171" s="13" t="s">
        <v>37</v>
      </c>
      <c r="E171" s="13" t="s">
        <v>37</v>
      </c>
      <c r="F171" s="13" t="s">
        <v>37</v>
      </c>
      <c r="G171" s="18" t="s">
        <v>37</v>
      </c>
      <c r="H171" s="7" t="b">
        <v>0</v>
      </c>
    </row>
    <row r="172" spans="1:8" x14ac:dyDescent="0.3">
      <c r="A172" s="7" t="s">
        <v>1470</v>
      </c>
      <c r="B172" s="7" t="s">
        <v>3884</v>
      </c>
      <c r="C172" s="13">
        <v>0.36868102403910702</v>
      </c>
      <c r="D172" s="13" t="s">
        <v>37</v>
      </c>
      <c r="E172" s="13" t="s">
        <v>37</v>
      </c>
      <c r="F172" s="13" t="s">
        <v>37</v>
      </c>
      <c r="G172" s="18" t="s">
        <v>37</v>
      </c>
      <c r="H172" s="7" t="b">
        <v>0</v>
      </c>
    </row>
    <row r="173" spans="1:8" x14ac:dyDescent="0.3">
      <c r="A173" s="7" t="s">
        <v>623</v>
      </c>
      <c r="B173" s="7" t="s">
        <v>2244</v>
      </c>
      <c r="C173" s="13">
        <v>60.789504433042701</v>
      </c>
      <c r="D173" s="13" t="s">
        <v>37</v>
      </c>
      <c r="E173" s="13" t="s">
        <v>37</v>
      </c>
      <c r="F173" s="13" t="s">
        <v>37</v>
      </c>
      <c r="G173" s="18" t="s">
        <v>37</v>
      </c>
      <c r="H173" s="7" t="b">
        <v>0</v>
      </c>
    </row>
    <row r="174" spans="1:8" x14ac:dyDescent="0.3">
      <c r="A174" s="7" t="s">
        <v>623</v>
      </c>
      <c r="B174" s="7" t="s">
        <v>2247</v>
      </c>
      <c r="C174" s="13">
        <v>60.789504433042701</v>
      </c>
      <c r="D174" s="13" t="s">
        <v>37</v>
      </c>
      <c r="E174" s="13" t="s">
        <v>37</v>
      </c>
      <c r="F174" s="13" t="s">
        <v>37</v>
      </c>
      <c r="G174" s="18" t="s">
        <v>37</v>
      </c>
      <c r="H174" s="7" t="b">
        <v>0</v>
      </c>
    </row>
    <row r="175" spans="1:8" x14ac:dyDescent="0.3">
      <c r="A175" s="7" t="s">
        <v>623</v>
      </c>
      <c r="B175" s="7" t="s">
        <v>2300</v>
      </c>
      <c r="C175" s="13">
        <v>60.789504433042701</v>
      </c>
      <c r="D175" s="13" t="s">
        <v>37</v>
      </c>
      <c r="E175" s="13" t="s">
        <v>37</v>
      </c>
      <c r="F175" s="13" t="s">
        <v>37</v>
      </c>
      <c r="G175" s="18" t="s">
        <v>37</v>
      </c>
      <c r="H175" s="7" t="b">
        <v>0</v>
      </c>
    </row>
    <row r="176" spans="1:8" x14ac:dyDescent="0.3">
      <c r="A176" s="7" t="s">
        <v>623</v>
      </c>
      <c r="B176" s="7" t="s">
        <v>2301</v>
      </c>
      <c r="C176" s="13">
        <v>61.167274716516602</v>
      </c>
      <c r="D176" s="13">
        <v>7.45</v>
      </c>
      <c r="E176" s="13">
        <v>8.2103724451700106</v>
      </c>
      <c r="F176" s="13">
        <v>0.91436285836345499</v>
      </c>
      <c r="G176" s="18">
        <v>0.91436285836345499</v>
      </c>
      <c r="H176" s="7" t="b">
        <v>0</v>
      </c>
    </row>
    <row r="177" spans="1:8" x14ac:dyDescent="0.3">
      <c r="A177" s="7" t="s">
        <v>623</v>
      </c>
      <c r="B177" s="7" t="s">
        <v>2302</v>
      </c>
      <c r="C177" s="13">
        <v>62.432002317648603</v>
      </c>
      <c r="D177" s="13" t="s">
        <v>37</v>
      </c>
      <c r="E177" s="13" t="s">
        <v>37</v>
      </c>
      <c r="F177" s="13" t="s">
        <v>37</v>
      </c>
      <c r="G177" s="18" t="s">
        <v>37</v>
      </c>
      <c r="H177" s="7" t="b">
        <v>0</v>
      </c>
    </row>
    <row r="178" spans="1:8" x14ac:dyDescent="0.3">
      <c r="A178" s="7" t="s">
        <v>623</v>
      </c>
      <c r="B178" s="7" t="s">
        <v>3880</v>
      </c>
      <c r="C178" s="13">
        <v>60.968066329064101</v>
      </c>
      <c r="D178" s="13" t="s">
        <v>37</v>
      </c>
      <c r="E178" s="13" t="s">
        <v>37</v>
      </c>
      <c r="F178" s="13" t="s">
        <v>37</v>
      </c>
      <c r="G178" s="18" t="s">
        <v>37</v>
      </c>
      <c r="H178" s="7" t="b">
        <v>0</v>
      </c>
    </row>
    <row r="179" spans="1:8" x14ac:dyDescent="0.3">
      <c r="A179" s="7" t="s">
        <v>623</v>
      </c>
      <c r="B179" s="7" t="s">
        <v>3881</v>
      </c>
      <c r="C179" s="13">
        <v>60.331366663441599</v>
      </c>
      <c r="D179" s="13">
        <v>7.2939999999999996</v>
      </c>
      <c r="E179" s="13">
        <v>8.2713691614260494</v>
      </c>
      <c r="F179" s="13">
        <v>0.91757740435735102</v>
      </c>
      <c r="G179" s="18">
        <v>0.91757740435735102</v>
      </c>
      <c r="H179" s="7" t="b">
        <v>0</v>
      </c>
    </row>
    <row r="180" spans="1:8" x14ac:dyDescent="0.3">
      <c r="A180" s="7" t="s">
        <v>623</v>
      </c>
      <c r="B180" s="7" t="s">
        <v>3882</v>
      </c>
      <c r="C180" s="13">
        <v>61.268644355782101</v>
      </c>
      <c r="D180" s="13">
        <v>5.1219999999999999</v>
      </c>
      <c r="E180" s="13">
        <v>11.9618594993717</v>
      </c>
      <c r="F180" s="13">
        <v>1.07779869700554</v>
      </c>
      <c r="G180" s="18">
        <v>1.07779869700554</v>
      </c>
      <c r="H180" s="7" t="b">
        <v>0</v>
      </c>
    </row>
    <row r="181" spans="1:8" x14ac:dyDescent="0.3">
      <c r="A181" s="7" t="s">
        <v>623</v>
      </c>
      <c r="B181" s="7" t="s">
        <v>3883</v>
      </c>
      <c r="C181" s="13">
        <v>62.469148029571699</v>
      </c>
      <c r="D181" s="13" t="s">
        <v>37</v>
      </c>
      <c r="E181" s="13" t="s">
        <v>37</v>
      </c>
      <c r="F181" s="13" t="s">
        <v>37</v>
      </c>
      <c r="G181" s="18" t="s">
        <v>37</v>
      </c>
      <c r="H181" s="7" t="b">
        <v>0</v>
      </c>
    </row>
    <row r="182" spans="1:8" x14ac:dyDescent="0.3">
      <c r="A182" s="7" t="s">
        <v>623</v>
      </c>
      <c r="B182" s="7" t="s">
        <v>3884</v>
      </c>
      <c r="C182" s="13">
        <v>61.1514532376315</v>
      </c>
      <c r="D182" s="13" t="s">
        <v>37</v>
      </c>
      <c r="E182" s="13" t="s">
        <v>37</v>
      </c>
      <c r="F182" s="13" t="s">
        <v>37</v>
      </c>
      <c r="G182" s="18" t="s">
        <v>37</v>
      </c>
      <c r="H182" s="7" t="b">
        <v>0</v>
      </c>
    </row>
    <row r="183" spans="1:8" x14ac:dyDescent="0.3">
      <c r="A183" s="7" t="s">
        <v>104</v>
      </c>
      <c r="B183" s="7" t="s">
        <v>2244</v>
      </c>
      <c r="C183" s="13">
        <v>0.20561022176531099</v>
      </c>
      <c r="D183" s="13">
        <v>23.28</v>
      </c>
      <c r="E183" s="13">
        <v>8.8320541995408498E-3</v>
      </c>
      <c r="F183" s="13">
        <v>-2.05393827447796</v>
      </c>
      <c r="G183" s="18">
        <v>2.05393827447796</v>
      </c>
      <c r="H183" s="7" t="b">
        <v>1</v>
      </c>
    </row>
    <row r="184" spans="1:8" x14ac:dyDescent="0.3">
      <c r="A184" s="7" t="s">
        <v>104</v>
      </c>
      <c r="B184" s="7" t="s">
        <v>2247</v>
      </c>
      <c r="C184" s="13">
        <v>0.20561022176531099</v>
      </c>
      <c r="D184" s="13" t="s">
        <v>37</v>
      </c>
      <c r="E184" s="13" t="s">
        <v>37</v>
      </c>
      <c r="F184" s="13" t="s">
        <v>37</v>
      </c>
      <c r="G184" s="18" t="s">
        <v>37</v>
      </c>
      <c r="H184" s="7" t="b">
        <v>0</v>
      </c>
    </row>
    <row r="185" spans="1:8" x14ac:dyDescent="0.3">
      <c r="A185" s="7" t="s">
        <v>104</v>
      </c>
      <c r="B185" s="7" t="s">
        <v>2300</v>
      </c>
      <c r="C185" s="13">
        <v>0.20561022176531099</v>
      </c>
      <c r="D185" s="13" t="s">
        <v>37</v>
      </c>
      <c r="E185" s="13" t="s">
        <v>37</v>
      </c>
      <c r="F185" s="13" t="s">
        <v>37</v>
      </c>
      <c r="G185" s="18" t="s">
        <v>37</v>
      </c>
      <c r="H185" s="7" t="b">
        <v>0</v>
      </c>
    </row>
    <row r="186" spans="1:8" x14ac:dyDescent="0.3">
      <c r="A186" s="7" t="s">
        <v>104</v>
      </c>
      <c r="B186" s="7" t="s">
        <v>2301</v>
      </c>
      <c r="C186" s="13">
        <v>0.15940828693491599</v>
      </c>
      <c r="D186" s="13">
        <v>4.9660000000000002</v>
      </c>
      <c r="E186" s="13">
        <v>3.2099936958299602E-2</v>
      </c>
      <c r="F186" s="13">
        <v>-1.4934958205138</v>
      </c>
      <c r="G186" s="18">
        <v>1.4934958205138</v>
      </c>
      <c r="H186" s="7" t="b">
        <v>1</v>
      </c>
    </row>
    <row r="187" spans="1:8" x14ac:dyDescent="0.3">
      <c r="A187" s="7" t="s">
        <v>104</v>
      </c>
      <c r="B187" s="7" t="s">
        <v>2302</v>
      </c>
      <c r="C187" s="13">
        <v>0</v>
      </c>
      <c r="D187" s="13">
        <v>879.84</v>
      </c>
      <c r="E187" s="13">
        <v>0</v>
      </c>
      <c r="F187" s="13">
        <v>-1</v>
      </c>
      <c r="G187" s="18">
        <v>1</v>
      </c>
      <c r="H187" s="7" t="b">
        <v>1</v>
      </c>
    </row>
    <row r="188" spans="1:8" x14ac:dyDescent="0.3">
      <c r="A188" s="7" t="s">
        <v>104</v>
      </c>
      <c r="B188" s="7" t="s">
        <v>3880</v>
      </c>
      <c r="C188" s="13">
        <v>0.14100229128723299</v>
      </c>
      <c r="D188" s="13">
        <v>620.80799999999999</v>
      </c>
      <c r="E188" s="13">
        <v>2.2712705262695201E-4</v>
      </c>
      <c r="F188" s="13">
        <v>-3.6437311347943999</v>
      </c>
      <c r="G188" s="18">
        <v>3.6437311347943999</v>
      </c>
      <c r="H188" s="7" t="b">
        <v>1</v>
      </c>
    </row>
    <row r="189" spans="1:8" x14ac:dyDescent="0.3">
      <c r="A189" s="7" t="s">
        <v>104</v>
      </c>
      <c r="B189" s="7" t="s">
        <v>3881</v>
      </c>
      <c r="C189" s="13">
        <v>0</v>
      </c>
      <c r="D189" s="13">
        <v>1015.021</v>
      </c>
      <c r="E189" s="13">
        <v>0</v>
      </c>
      <c r="F189" s="13">
        <v>-1</v>
      </c>
      <c r="G189" s="18">
        <v>1</v>
      </c>
      <c r="H189" s="7" t="b">
        <v>1</v>
      </c>
    </row>
    <row r="190" spans="1:8" x14ac:dyDescent="0.3">
      <c r="A190" s="7" t="s">
        <v>104</v>
      </c>
      <c r="B190" s="7" t="s">
        <v>3882</v>
      </c>
      <c r="C190" s="13">
        <v>0</v>
      </c>
      <c r="D190" s="13">
        <v>1250.9280000000001</v>
      </c>
      <c r="E190" s="13">
        <v>0</v>
      </c>
      <c r="F190" s="13">
        <v>-1</v>
      </c>
      <c r="G190" s="18">
        <v>1</v>
      </c>
      <c r="H190" s="7" t="b">
        <v>1</v>
      </c>
    </row>
    <row r="191" spans="1:8" x14ac:dyDescent="0.3">
      <c r="A191" s="7" t="s">
        <v>104</v>
      </c>
      <c r="B191" s="7" t="s">
        <v>3883</v>
      </c>
      <c r="C191" s="13">
        <v>0</v>
      </c>
      <c r="D191" s="13">
        <v>400.42099999999999</v>
      </c>
      <c r="E191" s="13">
        <v>0</v>
      </c>
      <c r="F191" s="13">
        <v>-1</v>
      </c>
      <c r="G191" s="18">
        <v>1</v>
      </c>
      <c r="H191" s="7" t="b">
        <v>1</v>
      </c>
    </row>
    <row r="192" spans="1:8" x14ac:dyDescent="0.3">
      <c r="A192" s="7" t="s">
        <v>104</v>
      </c>
      <c r="B192" s="7" t="s">
        <v>3884</v>
      </c>
      <c r="C192" s="13">
        <v>0.32538941279262501</v>
      </c>
      <c r="D192" s="13">
        <v>252.358</v>
      </c>
      <c r="E192" s="13">
        <v>1.2893960674622001E-3</v>
      </c>
      <c r="F192" s="13">
        <v>-2.8896136586805801</v>
      </c>
      <c r="G192" s="18">
        <v>2.8896136586805801</v>
      </c>
      <c r="H192" s="7" t="b">
        <v>1</v>
      </c>
    </row>
    <row r="193" spans="1:8" x14ac:dyDescent="0.3">
      <c r="A193" s="7" t="s">
        <v>319</v>
      </c>
      <c r="B193" s="7" t="s">
        <v>2244</v>
      </c>
      <c r="C193" s="13">
        <v>7.8484358936701401E-2</v>
      </c>
      <c r="D193" s="13">
        <v>45.319000000000003</v>
      </c>
      <c r="E193" s="13">
        <v>1.7318201843973E-3</v>
      </c>
      <c r="F193" s="13">
        <v>-2.7614972029526701</v>
      </c>
      <c r="G193" s="18">
        <v>2.7614972029526701</v>
      </c>
      <c r="H193" s="7" t="b">
        <v>1</v>
      </c>
    </row>
    <row r="194" spans="1:8" x14ac:dyDescent="0.3">
      <c r="A194" s="7" t="s">
        <v>319</v>
      </c>
      <c r="B194" s="7" t="s">
        <v>2247</v>
      </c>
      <c r="C194" s="13">
        <v>7.8484358936701401E-2</v>
      </c>
      <c r="D194" s="13">
        <v>21.417999999999999</v>
      </c>
      <c r="E194" s="13">
        <v>3.6644111932347301E-3</v>
      </c>
      <c r="F194" s="13">
        <v>-2.4359957989416698</v>
      </c>
      <c r="G194" s="18">
        <v>2.4359957989416698</v>
      </c>
      <c r="H194" s="7" t="b">
        <v>1</v>
      </c>
    </row>
    <row r="195" spans="1:8" x14ac:dyDescent="0.3">
      <c r="A195" s="7" t="s">
        <v>319</v>
      </c>
      <c r="B195" s="7" t="s">
        <v>2300</v>
      </c>
      <c r="C195" s="13">
        <v>7.8484358936701401E-2</v>
      </c>
      <c r="D195" s="13">
        <v>170.101</v>
      </c>
      <c r="E195" s="13">
        <v>4.6139857459216201E-4</v>
      </c>
      <c r="F195" s="13">
        <v>-3.33592375148748</v>
      </c>
      <c r="G195" s="18">
        <v>3.33592375148748</v>
      </c>
      <c r="H195" s="7" t="b">
        <v>1</v>
      </c>
    </row>
    <row r="196" spans="1:8" x14ac:dyDescent="0.3">
      <c r="A196" s="7" t="s">
        <v>319</v>
      </c>
      <c r="B196" s="7" t="s">
        <v>2301</v>
      </c>
      <c r="C196" s="13">
        <v>7.0989823781682795E-2</v>
      </c>
      <c r="D196" s="13">
        <v>33.524000000000001</v>
      </c>
      <c r="E196" s="13">
        <v>2.1175821435891499E-3</v>
      </c>
      <c r="F196" s="13">
        <v>-2.6741597338588599</v>
      </c>
      <c r="G196" s="18">
        <v>2.6741597338588599</v>
      </c>
      <c r="H196" s="7" t="b">
        <v>1</v>
      </c>
    </row>
    <row r="197" spans="1:8" x14ac:dyDescent="0.3">
      <c r="A197" s="7" t="s">
        <v>319</v>
      </c>
      <c r="B197" s="7" t="s">
        <v>2302</v>
      </c>
      <c r="C197" s="13">
        <v>0</v>
      </c>
      <c r="D197" s="13">
        <v>230.32</v>
      </c>
      <c r="E197" s="13">
        <v>0</v>
      </c>
      <c r="F197" s="13">
        <v>-1</v>
      </c>
      <c r="G197" s="18">
        <v>1</v>
      </c>
      <c r="H197" s="7" t="b">
        <v>1</v>
      </c>
    </row>
    <row r="198" spans="1:8" x14ac:dyDescent="0.3">
      <c r="A198" s="7" t="s">
        <v>319</v>
      </c>
      <c r="B198" s="7" t="s">
        <v>3880</v>
      </c>
      <c r="C198" s="13">
        <v>0.12558604077316299</v>
      </c>
      <c r="D198" s="13">
        <v>180.655</v>
      </c>
      <c r="E198" s="13">
        <v>6.95170578025313E-4</v>
      </c>
      <c r="F198" s="13">
        <v>-3.1579086169846602</v>
      </c>
      <c r="G198" s="18">
        <v>3.1579086169846602</v>
      </c>
      <c r="H198" s="7" t="b">
        <v>1</v>
      </c>
    </row>
    <row r="199" spans="1:8" x14ac:dyDescent="0.3">
      <c r="A199" s="7" t="s">
        <v>319</v>
      </c>
      <c r="B199" s="7" t="s">
        <v>3881</v>
      </c>
      <c r="C199" s="13">
        <v>0</v>
      </c>
      <c r="D199" s="13">
        <v>236.52799999999999</v>
      </c>
      <c r="E199" s="13">
        <v>0</v>
      </c>
      <c r="F199" s="13">
        <v>-1</v>
      </c>
      <c r="G199" s="18">
        <v>1</v>
      </c>
      <c r="H199" s="7" t="b">
        <v>1</v>
      </c>
    </row>
    <row r="200" spans="1:8" x14ac:dyDescent="0.3">
      <c r="A200" s="7" t="s">
        <v>319</v>
      </c>
      <c r="B200" s="7" t="s">
        <v>3882</v>
      </c>
      <c r="C200" s="13">
        <v>0</v>
      </c>
      <c r="D200" s="13">
        <v>247.392</v>
      </c>
      <c r="E200" s="13">
        <v>0</v>
      </c>
      <c r="F200" s="13">
        <v>-1</v>
      </c>
      <c r="G200" s="18">
        <v>1</v>
      </c>
      <c r="H200" s="7" t="b">
        <v>1</v>
      </c>
    </row>
    <row r="201" spans="1:8" x14ac:dyDescent="0.3">
      <c r="A201" s="7" t="s">
        <v>319</v>
      </c>
      <c r="B201" s="7" t="s">
        <v>3883</v>
      </c>
      <c r="C201" s="13">
        <v>0</v>
      </c>
      <c r="D201" s="13">
        <v>112.056</v>
      </c>
      <c r="E201" s="13">
        <v>0</v>
      </c>
      <c r="F201" s="13">
        <v>-1</v>
      </c>
      <c r="G201" s="18">
        <v>1</v>
      </c>
      <c r="H201" s="7" t="b">
        <v>1</v>
      </c>
    </row>
    <row r="202" spans="1:8" x14ac:dyDescent="0.3">
      <c r="A202" s="7" t="s">
        <v>319</v>
      </c>
      <c r="B202" s="7" t="s">
        <v>3884</v>
      </c>
      <c r="C202" s="13">
        <v>6.4403000813473499E-2</v>
      </c>
      <c r="D202" s="13">
        <v>123.851</v>
      </c>
      <c r="E202" s="13">
        <v>5.2000388219290499E-4</v>
      </c>
      <c r="F202" s="13">
        <v>-3.2839934140408502</v>
      </c>
      <c r="G202" s="18">
        <v>3.2839934140408502</v>
      </c>
      <c r="H202" s="7" t="b">
        <v>1</v>
      </c>
    </row>
    <row r="203" spans="1:8" x14ac:dyDescent="0.3">
      <c r="A203" s="7" t="s">
        <v>510</v>
      </c>
      <c r="B203" s="7" t="s">
        <v>2244</v>
      </c>
      <c r="C203" s="13">
        <v>13.056259741013699</v>
      </c>
      <c r="D203" s="13">
        <v>111.125</v>
      </c>
      <c r="E203" s="13">
        <v>0.117491651212722</v>
      </c>
      <c r="F203" s="13">
        <v>-0.92999299263535695</v>
      </c>
      <c r="G203" s="18">
        <v>0.92999299263535695</v>
      </c>
      <c r="H203" s="7" t="b">
        <v>0</v>
      </c>
    </row>
    <row r="204" spans="1:8" x14ac:dyDescent="0.3">
      <c r="A204" s="7" t="s">
        <v>510</v>
      </c>
      <c r="B204" s="7" t="s">
        <v>2247</v>
      </c>
      <c r="C204" s="13">
        <v>13.056259741013699</v>
      </c>
      <c r="D204" s="13">
        <v>120.437</v>
      </c>
      <c r="E204" s="13">
        <v>0.108407380962775</v>
      </c>
      <c r="F204" s="13">
        <v>-0.96494114766592098</v>
      </c>
      <c r="G204" s="18">
        <v>0.96494114766592098</v>
      </c>
      <c r="H204" s="7" t="b">
        <v>0</v>
      </c>
    </row>
    <row r="205" spans="1:8" x14ac:dyDescent="0.3">
      <c r="A205" s="7" t="s">
        <v>510</v>
      </c>
      <c r="B205" s="7" t="s">
        <v>2300</v>
      </c>
      <c r="C205" s="13">
        <v>13.056259741013699</v>
      </c>
      <c r="D205" s="13">
        <v>208.59100000000001</v>
      </c>
      <c r="E205" s="13">
        <v>6.2592632189373901E-2</v>
      </c>
      <c r="F205" s="13">
        <v>-1.2034767848057999</v>
      </c>
      <c r="G205" s="18">
        <v>1.2034767848057999</v>
      </c>
      <c r="H205" s="7" t="b">
        <v>1</v>
      </c>
    </row>
    <row r="206" spans="1:8" x14ac:dyDescent="0.3">
      <c r="A206" s="7" t="s">
        <v>510</v>
      </c>
      <c r="B206" s="7" t="s">
        <v>2301</v>
      </c>
      <c r="C206" s="13">
        <v>12.9598287255084</v>
      </c>
      <c r="D206" s="13">
        <v>34.454999999999998</v>
      </c>
      <c r="E206" s="13">
        <v>0.37613782398805401</v>
      </c>
      <c r="F206" s="13">
        <v>-0.42465299222678898</v>
      </c>
      <c r="G206" s="18">
        <v>0.42465299222678898</v>
      </c>
      <c r="H206" s="7" t="b">
        <v>0</v>
      </c>
    </row>
    <row r="207" spans="1:8" x14ac:dyDescent="0.3">
      <c r="A207" s="7" t="s">
        <v>510</v>
      </c>
      <c r="B207" s="7" t="s">
        <v>2302</v>
      </c>
      <c r="C207" s="13">
        <v>13.2829247820184</v>
      </c>
      <c r="D207" s="13" t="s">
        <v>37</v>
      </c>
      <c r="E207" s="13" t="s">
        <v>37</v>
      </c>
      <c r="F207" s="13" t="s">
        <v>37</v>
      </c>
      <c r="G207" s="18" t="s">
        <v>37</v>
      </c>
      <c r="H207" s="7" t="b">
        <v>0</v>
      </c>
    </row>
    <row r="208" spans="1:8" x14ac:dyDescent="0.3">
      <c r="A208" s="7" t="s">
        <v>510</v>
      </c>
      <c r="B208" s="7" t="s">
        <v>3880</v>
      </c>
      <c r="C208" s="13">
        <v>12.87153018403</v>
      </c>
      <c r="D208" s="13">
        <v>72.323999999999998</v>
      </c>
      <c r="E208" s="13">
        <v>0.177970385819783</v>
      </c>
      <c r="F208" s="13">
        <v>-0.749652258056554</v>
      </c>
      <c r="G208" s="18">
        <v>0.749652258056554</v>
      </c>
      <c r="H208" s="7" t="b">
        <v>0</v>
      </c>
    </row>
    <row r="209" spans="1:8" x14ac:dyDescent="0.3">
      <c r="A209" s="7" t="s">
        <v>510</v>
      </c>
      <c r="B209" s="7" t="s">
        <v>3881</v>
      </c>
      <c r="C209" s="13">
        <v>12.8904487595888</v>
      </c>
      <c r="D209" s="13">
        <v>197.107</v>
      </c>
      <c r="E209" s="13">
        <v>6.5398229183077194E-2</v>
      </c>
      <c r="F209" s="13">
        <v>-1.1844340111012699</v>
      </c>
      <c r="G209" s="18">
        <v>1.1844340111012699</v>
      </c>
      <c r="H209" s="7" t="b">
        <v>1</v>
      </c>
    </row>
    <row r="210" spans="1:8" x14ac:dyDescent="0.3">
      <c r="A210" s="7" t="s">
        <v>510</v>
      </c>
      <c r="B210" s="7" t="s">
        <v>3882</v>
      </c>
      <c r="C210" s="13">
        <v>13.2331494166667</v>
      </c>
      <c r="D210" s="13">
        <v>171.964</v>
      </c>
      <c r="E210" s="13">
        <v>7.6953021659572393E-2</v>
      </c>
      <c r="F210" s="13">
        <v>-1.11377432236514</v>
      </c>
      <c r="G210" s="18">
        <v>1.11377432236514</v>
      </c>
      <c r="H210" s="7" t="b">
        <v>1</v>
      </c>
    </row>
    <row r="211" spans="1:8" x14ac:dyDescent="0.3">
      <c r="A211" s="7" t="s">
        <v>510</v>
      </c>
      <c r="B211" s="7" t="s">
        <v>3883</v>
      </c>
      <c r="C211" s="13">
        <v>13.0401713012711</v>
      </c>
      <c r="D211" s="13">
        <v>34.143999999999998</v>
      </c>
      <c r="E211" s="13">
        <v>0.38191691955456603</v>
      </c>
      <c r="F211" s="13">
        <v>-0.41803110123282</v>
      </c>
      <c r="G211" s="18">
        <v>0.41803110123282</v>
      </c>
      <c r="H211" s="7" t="b">
        <v>0</v>
      </c>
    </row>
    <row r="212" spans="1:8" x14ac:dyDescent="0.3">
      <c r="A212" s="7" t="s">
        <v>510</v>
      </c>
      <c r="B212" s="7" t="s">
        <v>3884</v>
      </c>
      <c r="C212" s="13">
        <v>13.021626749005801</v>
      </c>
      <c r="D212" s="13">
        <v>53.389000000000003</v>
      </c>
      <c r="E212" s="13">
        <v>0.24390092994822499</v>
      </c>
      <c r="F212" s="13">
        <v>-0.61278654380019804</v>
      </c>
      <c r="G212" s="18">
        <v>0.61278654380019804</v>
      </c>
      <c r="H212" s="7" t="b">
        <v>0</v>
      </c>
    </row>
    <row r="213" spans="1:8" x14ac:dyDescent="0.3">
      <c r="A213" s="7" t="s">
        <v>212</v>
      </c>
      <c r="B213" s="7" t="s">
        <v>2244</v>
      </c>
      <c r="C213" s="13">
        <v>254.033655248825</v>
      </c>
      <c r="D213" s="13" t="s">
        <v>37</v>
      </c>
      <c r="E213" s="13" t="s">
        <v>37</v>
      </c>
      <c r="F213" s="13" t="s">
        <v>37</v>
      </c>
      <c r="G213" s="18" t="s">
        <v>37</v>
      </c>
      <c r="H213" s="7" t="b">
        <v>0</v>
      </c>
    </row>
    <row r="214" spans="1:8" x14ac:dyDescent="0.3">
      <c r="A214" s="7" t="s">
        <v>212</v>
      </c>
      <c r="B214" s="7" t="s">
        <v>2247</v>
      </c>
      <c r="C214" s="13">
        <v>254.033655248825</v>
      </c>
      <c r="D214" s="13" t="s">
        <v>37</v>
      </c>
      <c r="E214" s="13" t="s">
        <v>37</v>
      </c>
      <c r="F214" s="13" t="s">
        <v>37</v>
      </c>
      <c r="G214" s="18" t="s">
        <v>37</v>
      </c>
      <c r="H214" s="7" t="b">
        <v>0</v>
      </c>
    </row>
    <row r="215" spans="1:8" x14ac:dyDescent="0.3">
      <c r="A215" s="7" t="s">
        <v>212</v>
      </c>
      <c r="B215" s="7" t="s">
        <v>2300</v>
      </c>
      <c r="C215" s="13">
        <v>254.033655248825</v>
      </c>
      <c r="D215" s="13" t="s">
        <v>37</v>
      </c>
      <c r="E215" s="13" t="s">
        <v>37</v>
      </c>
      <c r="F215" s="13" t="s">
        <v>37</v>
      </c>
      <c r="G215" s="18" t="s">
        <v>37</v>
      </c>
      <c r="H215" s="7" t="b">
        <v>0</v>
      </c>
    </row>
    <row r="216" spans="1:8" x14ac:dyDescent="0.3">
      <c r="A216" s="7" t="s">
        <v>212</v>
      </c>
      <c r="B216" s="7" t="s">
        <v>2301</v>
      </c>
      <c r="C216" s="13">
        <v>260.366544142301</v>
      </c>
      <c r="D216" s="13" t="s">
        <v>37</v>
      </c>
      <c r="E216" s="13" t="s">
        <v>37</v>
      </c>
      <c r="F216" s="13" t="s">
        <v>37</v>
      </c>
      <c r="G216" s="18" t="s">
        <v>37</v>
      </c>
      <c r="H216" s="7" t="b">
        <v>0</v>
      </c>
    </row>
    <row r="217" spans="1:8" x14ac:dyDescent="0.3">
      <c r="A217" s="7" t="s">
        <v>212</v>
      </c>
      <c r="B217" s="7" t="s">
        <v>2302</v>
      </c>
      <c r="C217" s="13">
        <v>236.67556054610699</v>
      </c>
      <c r="D217" s="13" t="s">
        <v>37</v>
      </c>
      <c r="E217" s="13" t="s">
        <v>37</v>
      </c>
      <c r="F217" s="13" t="s">
        <v>37</v>
      </c>
      <c r="G217" s="18" t="s">
        <v>37</v>
      </c>
      <c r="H217" s="7" t="b">
        <v>0</v>
      </c>
    </row>
    <row r="218" spans="1:8" x14ac:dyDescent="0.3">
      <c r="A218" s="7" t="s">
        <v>212</v>
      </c>
      <c r="B218" s="7" t="s">
        <v>3880</v>
      </c>
      <c r="C218" s="13">
        <v>263.530492056019</v>
      </c>
      <c r="D218" s="13">
        <v>1691.702</v>
      </c>
      <c r="E218" s="13">
        <v>0.155778317963813</v>
      </c>
      <c r="F218" s="13">
        <v>-0.807492989821046</v>
      </c>
      <c r="G218" s="18">
        <v>0.807492989821046</v>
      </c>
      <c r="H218" s="7" t="b">
        <v>0</v>
      </c>
    </row>
    <row r="219" spans="1:8" x14ac:dyDescent="0.3">
      <c r="A219" s="7" t="s">
        <v>212</v>
      </c>
      <c r="B219" s="7" t="s">
        <v>3881</v>
      </c>
      <c r="C219" s="13">
        <v>255.74566304388401</v>
      </c>
      <c r="D219" s="13">
        <v>6425.3630000000003</v>
      </c>
      <c r="E219" s="13">
        <v>3.9802523693040201E-2</v>
      </c>
      <c r="F219" s="13">
        <v>-1.40008939045863</v>
      </c>
      <c r="G219" s="18">
        <v>1.40008939045863</v>
      </c>
      <c r="H219" s="7" t="b">
        <v>1</v>
      </c>
    </row>
    <row r="220" spans="1:8" x14ac:dyDescent="0.3">
      <c r="A220" s="7" t="s">
        <v>212</v>
      </c>
      <c r="B220" s="7" t="s">
        <v>3882</v>
      </c>
      <c r="C220" s="13">
        <v>240.536084277946</v>
      </c>
      <c r="D220" s="13">
        <v>1573.748</v>
      </c>
      <c r="E220" s="13">
        <v>0.15284282126359899</v>
      </c>
      <c r="F220" s="13">
        <v>-0.81575495444407997</v>
      </c>
      <c r="G220" s="18">
        <v>0.81575495444407997</v>
      </c>
      <c r="H220" s="7" t="b">
        <v>0</v>
      </c>
    </row>
    <row r="221" spans="1:8" x14ac:dyDescent="0.3">
      <c r="A221" s="7" t="s">
        <v>212</v>
      </c>
      <c r="B221" s="7" t="s">
        <v>3883</v>
      </c>
      <c r="C221" s="13">
        <v>256.30453912764398</v>
      </c>
      <c r="D221" s="13">
        <v>1468.211</v>
      </c>
      <c r="E221" s="13">
        <v>0.17456928134147201</v>
      </c>
      <c r="F221" s="13">
        <v>-0.75803217596614703</v>
      </c>
      <c r="G221" s="18">
        <v>0.75803217596614703</v>
      </c>
      <c r="H221" s="7" t="b">
        <v>0</v>
      </c>
    </row>
    <row r="222" spans="1:8" x14ac:dyDescent="0.3">
      <c r="A222" s="7" t="s">
        <v>212</v>
      </c>
      <c r="B222" s="7" t="s">
        <v>3884</v>
      </c>
      <c r="C222" s="13">
        <v>261.69432887748201</v>
      </c>
      <c r="D222" s="13">
        <v>1763.095</v>
      </c>
      <c r="E222" s="13">
        <v>0.14842894391821301</v>
      </c>
      <c r="F222" s="13">
        <v>-0.82848140257262204</v>
      </c>
      <c r="G222" s="18">
        <v>0.82848140257262204</v>
      </c>
      <c r="H222" s="7" t="b">
        <v>0</v>
      </c>
    </row>
    <row r="223" spans="1:8" x14ac:dyDescent="0.3">
      <c r="A223" s="7" t="s">
        <v>641</v>
      </c>
      <c r="B223" s="7" t="s">
        <v>2244</v>
      </c>
      <c r="C223" s="13">
        <v>138.20677263913299</v>
      </c>
      <c r="D223" s="13" t="s">
        <v>37</v>
      </c>
      <c r="E223" s="13" t="s">
        <v>37</v>
      </c>
      <c r="F223" s="13" t="s">
        <v>37</v>
      </c>
      <c r="G223" s="18" t="s">
        <v>37</v>
      </c>
      <c r="H223" s="7" t="b">
        <v>0</v>
      </c>
    </row>
    <row r="224" spans="1:8" x14ac:dyDescent="0.3">
      <c r="A224" s="7" t="s">
        <v>641</v>
      </c>
      <c r="B224" s="7" t="s">
        <v>2247</v>
      </c>
      <c r="C224" s="13">
        <v>138.20677263913299</v>
      </c>
      <c r="D224" s="13" t="s">
        <v>37</v>
      </c>
      <c r="E224" s="13" t="s">
        <v>37</v>
      </c>
      <c r="F224" s="13" t="s">
        <v>37</v>
      </c>
      <c r="G224" s="18" t="s">
        <v>37</v>
      </c>
      <c r="H224" s="7" t="b">
        <v>0</v>
      </c>
    </row>
    <row r="225" spans="1:8" x14ac:dyDescent="0.3">
      <c r="A225" s="7" t="s">
        <v>641</v>
      </c>
      <c r="B225" s="7" t="s">
        <v>2300</v>
      </c>
      <c r="C225" s="13">
        <v>138.20677263913299</v>
      </c>
      <c r="D225" s="13" t="s">
        <v>37</v>
      </c>
      <c r="E225" s="13" t="s">
        <v>37</v>
      </c>
      <c r="F225" s="13" t="s">
        <v>37</v>
      </c>
      <c r="G225" s="18" t="s">
        <v>37</v>
      </c>
      <c r="H225" s="7" t="b">
        <v>0</v>
      </c>
    </row>
    <row r="226" spans="1:8" x14ac:dyDescent="0.3">
      <c r="A226" s="7" t="s">
        <v>641</v>
      </c>
      <c r="B226" s="7" t="s">
        <v>2301</v>
      </c>
      <c r="C226" s="13">
        <v>137.40741072151201</v>
      </c>
      <c r="D226" s="13" t="s">
        <v>37</v>
      </c>
      <c r="E226" s="13" t="s">
        <v>37</v>
      </c>
      <c r="F226" s="13" t="s">
        <v>37</v>
      </c>
      <c r="G226" s="18" t="s">
        <v>37</v>
      </c>
      <c r="H226" s="7" t="b">
        <v>0</v>
      </c>
    </row>
    <row r="227" spans="1:8" x14ac:dyDescent="0.3">
      <c r="A227" s="7" t="s">
        <v>641</v>
      </c>
      <c r="B227" s="7" t="s">
        <v>2302</v>
      </c>
      <c r="C227" s="13">
        <v>136.50973234775</v>
      </c>
      <c r="D227" s="13">
        <v>197.107</v>
      </c>
      <c r="E227" s="13">
        <v>0.69256663815973096</v>
      </c>
      <c r="F227" s="13">
        <v>-0.159538432815584</v>
      </c>
      <c r="G227" s="18">
        <v>0.159538432815584</v>
      </c>
      <c r="H227" s="7" t="b">
        <v>0</v>
      </c>
    </row>
    <row r="228" spans="1:8" x14ac:dyDescent="0.3">
      <c r="A228" s="7" t="s">
        <v>641</v>
      </c>
      <c r="B228" s="7" t="s">
        <v>3880</v>
      </c>
      <c r="C228" s="13">
        <v>138.194420308345</v>
      </c>
      <c r="D228" s="13">
        <v>6.798</v>
      </c>
      <c r="E228" s="13">
        <v>20.3286878947257</v>
      </c>
      <c r="F228" s="13">
        <v>1.3081093482165</v>
      </c>
      <c r="G228" s="18">
        <v>1.3081093482165</v>
      </c>
      <c r="H228" s="7" t="b">
        <v>0</v>
      </c>
    </row>
    <row r="229" spans="1:8" x14ac:dyDescent="0.3">
      <c r="A229" s="7" t="s">
        <v>641</v>
      </c>
      <c r="B229" s="7" t="s">
        <v>3881</v>
      </c>
      <c r="C229" s="13">
        <v>141.354360029346</v>
      </c>
      <c r="D229" s="13" t="s">
        <v>37</v>
      </c>
      <c r="E229" s="13" t="s">
        <v>37</v>
      </c>
      <c r="F229" s="13" t="s">
        <v>37</v>
      </c>
      <c r="G229" s="18" t="s">
        <v>37</v>
      </c>
      <c r="H229" s="7" t="b">
        <v>0</v>
      </c>
    </row>
    <row r="230" spans="1:8" x14ac:dyDescent="0.3">
      <c r="A230" s="7" t="s">
        <v>641</v>
      </c>
      <c r="B230" s="7" t="s">
        <v>3882</v>
      </c>
      <c r="C230" s="13">
        <v>134.86276343863199</v>
      </c>
      <c r="D230" s="13">
        <v>11.298999999999999</v>
      </c>
      <c r="E230" s="13">
        <v>11.9358140931615</v>
      </c>
      <c r="F230" s="13">
        <v>1.0768520458069699</v>
      </c>
      <c r="G230" s="18">
        <v>1.0768520458069699</v>
      </c>
      <c r="H230" s="7" t="b">
        <v>0</v>
      </c>
    </row>
    <row r="231" spans="1:8" x14ac:dyDescent="0.3">
      <c r="A231" s="7" t="s">
        <v>641</v>
      </c>
      <c r="B231" s="7" t="s">
        <v>3883</v>
      </c>
      <c r="C231" s="13">
        <v>137.34515262815</v>
      </c>
      <c r="D231" s="13">
        <v>3.8180000000000001</v>
      </c>
      <c r="E231" s="13">
        <v>35.973062500825002</v>
      </c>
      <c r="F231" s="13">
        <v>1.55597741225812</v>
      </c>
      <c r="G231" s="18">
        <v>1.55597741225812</v>
      </c>
      <c r="H231" s="7" t="b">
        <v>0</v>
      </c>
    </row>
    <row r="232" spans="1:8" x14ac:dyDescent="0.3">
      <c r="A232" s="7" t="s">
        <v>641</v>
      </c>
      <c r="B232" s="7" t="s">
        <v>3884</v>
      </c>
      <c r="C232" s="13">
        <v>137.36738334309899</v>
      </c>
      <c r="D232" s="13">
        <v>3.694</v>
      </c>
      <c r="E232" s="13">
        <v>37.1866224534648</v>
      </c>
      <c r="F232" s="13">
        <v>1.57038673451828</v>
      </c>
      <c r="G232" s="18">
        <v>1.57038673451828</v>
      </c>
      <c r="H232" s="7" t="b">
        <v>0</v>
      </c>
    </row>
    <row r="233" spans="1:8" x14ac:dyDescent="0.3">
      <c r="A233" s="7" t="s">
        <v>1552</v>
      </c>
      <c r="B233" s="7" t="s">
        <v>2244</v>
      </c>
      <c r="C233" s="13">
        <v>7.4579600528711998E-4</v>
      </c>
      <c r="D233" s="13" t="s">
        <v>37</v>
      </c>
      <c r="E233" s="13" t="s">
        <v>37</v>
      </c>
      <c r="F233" s="13" t="s">
        <v>37</v>
      </c>
      <c r="G233" s="18" t="s">
        <v>37</v>
      </c>
      <c r="H233" s="7" t="b">
        <v>0</v>
      </c>
    </row>
    <row r="234" spans="1:8" x14ac:dyDescent="0.3">
      <c r="A234" s="7" t="s">
        <v>1552</v>
      </c>
      <c r="B234" s="7" t="s">
        <v>2247</v>
      </c>
      <c r="C234" s="13">
        <v>7.4579600528711998E-4</v>
      </c>
      <c r="D234" s="13" t="s">
        <v>37</v>
      </c>
      <c r="E234" s="13" t="s">
        <v>37</v>
      </c>
      <c r="F234" s="13" t="s">
        <v>37</v>
      </c>
      <c r="G234" s="18" t="s">
        <v>37</v>
      </c>
      <c r="H234" s="7" t="b">
        <v>0</v>
      </c>
    </row>
    <row r="235" spans="1:8" x14ac:dyDescent="0.3">
      <c r="A235" s="7" t="s">
        <v>1552</v>
      </c>
      <c r="B235" s="7" t="s">
        <v>2300</v>
      </c>
      <c r="C235" s="13">
        <v>7.4579600528711998E-4</v>
      </c>
      <c r="D235" s="13" t="s">
        <v>37</v>
      </c>
      <c r="E235" s="13" t="s">
        <v>37</v>
      </c>
      <c r="F235" s="13" t="s">
        <v>37</v>
      </c>
      <c r="G235" s="18" t="s">
        <v>37</v>
      </c>
      <c r="H235" s="7" t="b">
        <v>0</v>
      </c>
    </row>
    <row r="236" spans="1:8" x14ac:dyDescent="0.3">
      <c r="A236" s="7" t="s">
        <v>1552</v>
      </c>
      <c r="B236" s="7" t="s">
        <v>2301</v>
      </c>
      <c r="C236" s="13">
        <v>6.4959491927085505E-4</v>
      </c>
      <c r="D236" s="13" t="s">
        <v>37</v>
      </c>
      <c r="E236" s="13" t="s">
        <v>37</v>
      </c>
      <c r="F236" s="13" t="s">
        <v>37</v>
      </c>
      <c r="G236" s="18" t="s">
        <v>37</v>
      </c>
      <c r="H236" s="7" t="b">
        <v>0</v>
      </c>
    </row>
    <row r="237" spans="1:8" x14ac:dyDescent="0.3">
      <c r="A237" s="7" t="s">
        <v>1552</v>
      </c>
      <c r="B237" s="7" t="s">
        <v>2302</v>
      </c>
      <c r="C237" s="13">
        <v>0</v>
      </c>
      <c r="D237" s="13" t="s">
        <v>37</v>
      </c>
      <c r="E237" s="13" t="s">
        <v>37</v>
      </c>
      <c r="F237" s="13" t="s">
        <v>37</v>
      </c>
      <c r="G237" s="18" t="s">
        <v>37</v>
      </c>
      <c r="H237" s="7" t="b">
        <v>0</v>
      </c>
    </row>
    <row r="238" spans="1:8" x14ac:dyDescent="0.3">
      <c r="A238" s="7" t="s">
        <v>1552</v>
      </c>
      <c r="B238" s="7" t="s">
        <v>3880</v>
      </c>
      <c r="C238" s="13">
        <v>1.37697550085189E-3</v>
      </c>
      <c r="D238" s="13">
        <v>89.706999999999994</v>
      </c>
      <c r="E238" s="13">
        <v>1.5349699587009801E-5</v>
      </c>
      <c r="F238" s="13">
        <v>-4.81390011979465</v>
      </c>
      <c r="G238" s="18">
        <v>4.81390011979465</v>
      </c>
      <c r="H238" s="7" t="b">
        <v>1</v>
      </c>
    </row>
    <row r="239" spans="1:8" x14ac:dyDescent="0.3">
      <c r="A239" s="7" t="s">
        <v>1552</v>
      </c>
      <c r="B239" s="7" t="s">
        <v>3881</v>
      </c>
      <c r="C239" s="13">
        <v>0</v>
      </c>
      <c r="D239" s="13">
        <v>122.29900000000001</v>
      </c>
      <c r="E239" s="13">
        <v>0</v>
      </c>
      <c r="F239" s="13">
        <v>-1</v>
      </c>
      <c r="G239" s="18">
        <v>1</v>
      </c>
      <c r="H239" s="7" t="b">
        <v>1</v>
      </c>
    </row>
    <row r="240" spans="1:8" x14ac:dyDescent="0.3">
      <c r="A240" s="7" t="s">
        <v>1552</v>
      </c>
      <c r="B240" s="7" t="s">
        <v>3882</v>
      </c>
      <c r="C240" s="13">
        <v>7.8675730110775398E-4</v>
      </c>
      <c r="D240" s="13">
        <v>94.052000000000007</v>
      </c>
      <c r="E240" s="13">
        <v>8.3651310031445797E-6</v>
      </c>
      <c r="F240" s="13">
        <v>-5.0775272533271298</v>
      </c>
      <c r="G240" s="18">
        <v>5.0775272533271298</v>
      </c>
      <c r="H240" s="7" t="b">
        <v>1</v>
      </c>
    </row>
    <row r="241" spans="1:8" x14ac:dyDescent="0.3">
      <c r="A241" s="7" t="s">
        <v>1552</v>
      </c>
      <c r="B241" s="7" t="s">
        <v>3883</v>
      </c>
      <c r="C241" s="13">
        <v>5.0069429609057902E-4</v>
      </c>
      <c r="D241" s="13">
        <v>41.283999999999999</v>
      </c>
      <c r="E241" s="13">
        <v>1.2128047090654501E-5</v>
      </c>
      <c r="F241" s="13">
        <v>-4.91620912543467</v>
      </c>
      <c r="G241" s="18">
        <v>4.91620912543467</v>
      </c>
      <c r="H241" s="7" t="b">
        <v>1</v>
      </c>
    </row>
    <row r="242" spans="1:8" x14ac:dyDescent="0.3">
      <c r="A242" s="7" t="s">
        <v>1552</v>
      </c>
      <c r="B242" s="7" t="s">
        <v>3884</v>
      </c>
      <c r="C242" s="13">
        <v>1.0592103281009901E-3</v>
      </c>
      <c r="D242" s="13">
        <v>50.595999999999997</v>
      </c>
      <c r="E242" s="13">
        <v>2.0934665351035501E-5</v>
      </c>
      <c r="F242" s="13">
        <v>-4.6791339770875497</v>
      </c>
      <c r="G242" s="18">
        <v>4.6791339770875497</v>
      </c>
      <c r="H242" s="7" t="b">
        <v>1</v>
      </c>
    </row>
    <row r="243" spans="1:8" x14ac:dyDescent="0.3">
      <c r="A243" s="7" t="s">
        <v>761</v>
      </c>
      <c r="B243" s="7" t="s">
        <v>2244</v>
      </c>
      <c r="C243" s="13">
        <v>122.839892202122</v>
      </c>
      <c r="D243" s="13" t="s">
        <v>37</v>
      </c>
      <c r="E243" s="13" t="s">
        <v>37</v>
      </c>
      <c r="F243" s="13" t="s">
        <v>37</v>
      </c>
      <c r="G243" s="18" t="s">
        <v>37</v>
      </c>
      <c r="H243" s="7" t="b">
        <v>0</v>
      </c>
    </row>
    <row r="244" spans="1:8" x14ac:dyDescent="0.3">
      <c r="A244" s="7" t="s">
        <v>761</v>
      </c>
      <c r="B244" s="7" t="s">
        <v>2247</v>
      </c>
      <c r="C244" s="13">
        <v>122.839892202122</v>
      </c>
      <c r="D244" s="13" t="s">
        <v>37</v>
      </c>
      <c r="E244" s="13" t="s">
        <v>37</v>
      </c>
      <c r="F244" s="13" t="s">
        <v>37</v>
      </c>
      <c r="G244" s="18" t="s">
        <v>37</v>
      </c>
      <c r="H244" s="7" t="b">
        <v>0</v>
      </c>
    </row>
    <row r="245" spans="1:8" x14ac:dyDescent="0.3">
      <c r="A245" s="7" t="s">
        <v>761</v>
      </c>
      <c r="B245" s="7" t="s">
        <v>2300</v>
      </c>
      <c r="C245" s="13">
        <v>122.839892202122</v>
      </c>
      <c r="D245" s="13" t="s">
        <v>37</v>
      </c>
      <c r="E245" s="13" t="s">
        <v>37</v>
      </c>
      <c r="F245" s="13" t="s">
        <v>37</v>
      </c>
      <c r="G245" s="18" t="s">
        <v>37</v>
      </c>
      <c r="H245" s="7" t="b">
        <v>0</v>
      </c>
    </row>
    <row r="246" spans="1:8" x14ac:dyDescent="0.3">
      <c r="A246" s="7" t="s">
        <v>761</v>
      </c>
      <c r="B246" s="7" t="s">
        <v>2301</v>
      </c>
      <c r="C246" s="13">
        <v>121.922803697552</v>
      </c>
      <c r="D246" s="13" t="s">
        <v>37</v>
      </c>
      <c r="E246" s="13" t="s">
        <v>37</v>
      </c>
      <c r="F246" s="13" t="s">
        <v>37</v>
      </c>
      <c r="G246" s="18" t="s">
        <v>37</v>
      </c>
      <c r="H246" s="7" t="b">
        <v>0</v>
      </c>
    </row>
    <row r="247" spans="1:8" x14ac:dyDescent="0.3">
      <c r="A247" s="7" t="s">
        <v>761</v>
      </c>
      <c r="B247" s="7" t="s">
        <v>2302</v>
      </c>
      <c r="C247" s="13">
        <v>124.15479427008199</v>
      </c>
      <c r="D247" s="13">
        <v>138.596</v>
      </c>
      <c r="E247" s="13">
        <v>0.89580358935381998</v>
      </c>
      <c r="F247" s="13">
        <v>-4.7787201733444799E-2</v>
      </c>
      <c r="G247" s="18">
        <v>4.7787201733444799E-2</v>
      </c>
      <c r="H247" s="7" t="b">
        <v>0</v>
      </c>
    </row>
    <row r="248" spans="1:8" x14ac:dyDescent="0.3">
      <c r="A248" s="7" t="s">
        <v>761</v>
      </c>
      <c r="B248" s="7" t="s">
        <v>3880</v>
      </c>
      <c r="C248" s="13">
        <v>122.65092051731099</v>
      </c>
      <c r="D248" s="13">
        <v>443.87799999999999</v>
      </c>
      <c r="E248" s="13">
        <v>0.27631673684505897</v>
      </c>
      <c r="F248" s="13">
        <v>-0.55859280853513005</v>
      </c>
      <c r="G248" s="18">
        <v>0.55859280853513005</v>
      </c>
      <c r="H248" s="7" t="b">
        <v>0</v>
      </c>
    </row>
    <row r="249" spans="1:8" x14ac:dyDescent="0.3">
      <c r="A249" s="7" t="s">
        <v>761</v>
      </c>
      <c r="B249" s="7" t="s">
        <v>3881</v>
      </c>
      <c r="C249" s="13">
        <v>123.623675792364</v>
      </c>
      <c r="D249" s="13">
        <v>1148.4949999999999</v>
      </c>
      <c r="E249" s="13">
        <v>0.107639716143618</v>
      </c>
      <c r="F249" s="13">
        <v>-0.96802745618348895</v>
      </c>
      <c r="G249" s="18">
        <v>0.96802745618348895</v>
      </c>
      <c r="H249" s="7" t="b">
        <v>0</v>
      </c>
    </row>
    <row r="250" spans="1:8" x14ac:dyDescent="0.3">
      <c r="A250" s="7" t="s">
        <v>761</v>
      </c>
      <c r="B250" s="7" t="s">
        <v>3882</v>
      </c>
      <c r="C250" s="13">
        <v>122.365453023968</v>
      </c>
      <c r="D250" s="13">
        <v>633.22400000000005</v>
      </c>
      <c r="E250" s="13">
        <v>0.193241969704193</v>
      </c>
      <c r="F250" s="13">
        <v>-0.71389854442448297</v>
      </c>
      <c r="G250" s="18">
        <v>0.71389854442448297</v>
      </c>
      <c r="H250" s="7" t="b">
        <v>0</v>
      </c>
    </row>
    <row r="251" spans="1:8" x14ac:dyDescent="0.3">
      <c r="A251" s="7" t="s">
        <v>761</v>
      </c>
      <c r="B251" s="7" t="s">
        <v>3883</v>
      </c>
      <c r="C251" s="13">
        <v>120.073081094958</v>
      </c>
      <c r="D251" s="13">
        <v>366.27699999999999</v>
      </c>
      <c r="E251" s="13">
        <v>0.32782042305402198</v>
      </c>
      <c r="F251" s="13">
        <v>-0.48436399358622401</v>
      </c>
      <c r="G251" s="18">
        <v>0.48436399358622401</v>
      </c>
      <c r="H251" s="7" t="b">
        <v>0</v>
      </c>
    </row>
    <row r="252" spans="1:8" x14ac:dyDescent="0.3">
      <c r="A252" s="7" t="s">
        <v>761</v>
      </c>
      <c r="B252" s="7" t="s">
        <v>3884</v>
      </c>
      <c r="C252" s="13">
        <v>122.706742979068</v>
      </c>
      <c r="D252" s="13">
        <v>325.92399999999998</v>
      </c>
      <c r="E252" s="13">
        <v>0.37648882248336402</v>
      </c>
      <c r="F252" s="13">
        <v>-0.42424791297152897</v>
      </c>
      <c r="G252" s="18">
        <v>0.42424791297152897</v>
      </c>
      <c r="H252" s="7" t="b">
        <v>0</v>
      </c>
    </row>
    <row r="253" spans="1:8" x14ac:dyDescent="0.3">
      <c r="A253" s="7" t="s">
        <v>296</v>
      </c>
      <c r="B253" s="7" t="s">
        <v>2244</v>
      </c>
      <c r="C253" s="13">
        <v>1.50597595232229</v>
      </c>
      <c r="D253" s="13" t="s">
        <v>37</v>
      </c>
      <c r="E253" s="13" t="s">
        <v>37</v>
      </c>
      <c r="F253" s="13" t="s">
        <v>37</v>
      </c>
      <c r="G253" s="18" t="s">
        <v>37</v>
      </c>
      <c r="H253" s="7" t="b">
        <v>0</v>
      </c>
    </row>
    <row r="254" spans="1:8" x14ac:dyDescent="0.3">
      <c r="A254" s="7" t="s">
        <v>296</v>
      </c>
      <c r="B254" s="7" t="s">
        <v>2247</v>
      </c>
      <c r="C254" s="13">
        <v>1.50597595232229</v>
      </c>
      <c r="D254" s="13" t="s">
        <v>37</v>
      </c>
      <c r="E254" s="13" t="s">
        <v>37</v>
      </c>
      <c r="F254" s="13" t="s">
        <v>37</v>
      </c>
      <c r="G254" s="18" t="s">
        <v>37</v>
      </c>
      <c r="H254" s="7" t="b">
        <v>0</v>
      </c>
    </row>
    <row r="255" spans="1:8" x14ac:dyDescent="0.3">
      <c r="A255" s="7" t="s">
        <v>296</v>
      </c>
      <c r="B255" s="7" t="s">
        <v>2300</v>
      </c>
      <c r="C255" s="13">
        <v>1.50597595232229</v>
      </c>
      <c r="D255" s="13" t="s">
        <v>37</v>
      </c>
      <c r="E255" s="13" t="s">
        <v>37</v>
      </c>
      <c r="F255" s="13" t="s">
        <v>37</v>
      </c>
      <c r="G255" s="18" t="s">
        <v>37</v>
      </c>
      <c r="H255" s="7" t="b">
        <v>0</v>
      </c>
    </row>
    <row r="256" spans="1:8" x14ac:dyDescent="0.3">
      <c r="A256" s="7" t="s">
        <v>296</v>
      </c>
      <c r="B256" s="7" t="s">
        <v>2301</v>
      </c>
      <c r="C256" s="13">
        <v>1.60178012647026</v>
      </c>
      <c r="D256" s="13" t="s">
        <v>37</v>
      </c>
      <c r="E256" s="13" t="s">
        <v>37</v>
      </c>
      <c r="F256" s="13" t="s">
        <v>37</v>
      </c>
      <c r="G256" s="18" t="s">
        <v>37</v>
      </c>
      <c r="H256" s="7" t="b">
        <v>0</v>
      </c>
    </row>
    <row r="257" spans="1:8" x14ac:dyDescent="0.3">
      <c r="A257" s="7" t="s">
        <v>296</v>
      </c>
      <c r="B257" s="7" t="s">
        <v>2302</v>
      </c>
      <c r="C257" s="13">
        <v>1.0431829411629101</v>
      </c>
      <c r="D257" s="13" t="s">
        <v>37</v>
      </c>
      <c r="E257" s="13" t="s">
        <v>37</v>
      </c>
      <c r="F257" s="13" t="s">
        <v>37</v>
      </c>
      <c r="G257" s="18" t="s">
        <v>37</v>
      </c>
      <c r="H257" s="7" t="b">
        <v>0</v>
      </c>
    </row>
    <row r="258" spans="1:8" x14ac:dyDescent="0.3">
      <c r="A258" s="7" t="s">
        <v>296</v>
      </c>
      <c r="B258" s="7" t="s">
        <v>3880</v>
      </c>
      <c r="C258" s="13">
        <v>1.5210629390782</v>
      </c>
      <c r="D258" s="13">
        <v>45.94</v>
      </c>
      <c r="E258" s="13">
        <v>3.3109772291645599E-2</v>
      </c>
      <c r="F258" s="13">
        <v>-1.4800438060441199</v>
      </c>
      <c r="G258" s="18">
        <v>1.4800438060441199</v>
      </c>
      <c r="H258" s="7" t="b">
        <v>1</v>
      </c>
    </row>
    <row r="259" spans="1:8" x14ac:dyDescent="0.3">
      <c r="A259" s="7" t="s">
        <v>296</v>
      </c>
      <c r="B259" s="7" t="s">
        <v>3881</v>
      </c>
      <c r="C259" s="13">
        <v>1.2062156784381499</v>
      </c>
      <c r="D259" s="13">
        <v>75.117999999999995</v>
      </c>
      <c r="E259" s="13">
        <v>1.6057611736709599E-2</v>
      </c>
      <c r="F259" s="13">
        <v>-1.79431904727011</v>
      </c>
      <c r="G259" s="18">
        <v>1.79431904727011</v>
      </c>
      <c r="H259" s="7" t="b">
        <v>1</v>
      </c>
    </row>
    <row r="260" spans="1:8" x14ac:dyDescent="0.3">
      <c r="A260" s="7" t="s">
        <v>296</v>
      </c>
      <c r="B260" s="7" t="s">
        <v>3882</v>
      </c>
      <c r="C260" s="13">
        <v>1.36709842306143</v>
      </c>
      <c r="D260" s="13">
        <v>29.24</v>
      </c>
      <c r="E260" s="13">
        <v>4.6754392033564601E-2</v>
      </c>
      <c r="F260" s="13">
        <v>-1.3301775859391001</v>
      </c>
      <c r="G260" s="18">
        <v>1.3301775859391001</v>
      </c>
      <c r="H260" s="7" t="b">
        <v>1</v>
      </c>
    </row>
    <row r="261" spans="1:8" x14ac:dyDescent="0.3">
      <c r="A261" s="7" t="s">
        <v>296</v>
      </c>
      <c r="B261" s="7" t="s">
        <v>3883</v>
      </c>
      <c r="C261" s="13">
        <v>1.4914711272804999</v>
      </c>
      <c r="D261" s="13">
        <v>33.213000000000001</v>
      </c>
      <c r="E261" s="13">
        <v>4.4906245364179698E-2</v>
      </c>
      <c r="F261" s="13">
        <v>-1.3476932550193299</v>
      </c>
      <c r="G261" s="18">
        <v>1.3476932550193299</v>
      </c>
      <c r="H261" s="7" t="b">
        <v>1</v>
      </c>
    </row>
    <row r="262" spans="1:8" x14ac:dyDescent="0.3">
      <c r="A262" s="7" t="s">
        <v>296</v>
      </c>
      <c r="B262" s="7" t="s">
        <v>3884</v>
      </c>
      <c r="C262" s="13">
        <v>1.49432924478699</v>
      </c>
      <c r="D262" s="13">
        <v>36.317</v>
      </c>
      <c r="E262" s="13">
        <v>4.1146825034749299E-2</v>
      </c>
      <c r="F262" s="13">
        <v>-1.3856636701257199</v>
      </c>
      <c r="G262" s="18">
        <v>1.3856636701257199</v>
      </c>
      <c r="H262" s="7" t="b">
        <v>1</v>
      </c>
    </row>
    <row r="263" spans="1:8" x14ac:dyDescent="0.3">
      <c r="A263" s="7" t="s">
        <v>713</v>
      </c>
      <c r="B263" s="7" t="s">
        <v>2244</v>
      </c>
      <c r="C263" s="13">
        <v>8.2301232583876995</v>
      </c>
      <c r="D263" s="13" t="s">
        <v>37</v>
      </c>
      <c r="E263" s="13" t="s">
        <v>37</v>
      </c>
      <c r="F263" s="13" t="s">
        <v>37</v>
      </c>
      <c r="G263" s="18" t="s">
        <v>37</v>
      </c>
      <c r="H263" s="7" t="b">
        <v>0</v>
      </c>
    </row>
    <row r="264" spans="1:8" x14ac:dyDescent="0.3">
      <c r="A264" s="7" t="s">
        <v>713</v>
      </c>
      <c r="B264" s="7" t="s">
        <v>2247</v>
      </c>
      <c r="C264" s="13">
        <v>8.2301232583876995</v>
      </c>
      <c r="D264" s="13" t="s">
        <v>37</v>
      </c>
      <c r="E264" s="13" t="s">
        <v>37</v>
      </c>
      <c r="F264" s="13" t="s">
        <v>37</v>
      </c>
      <c r="G264" s="18" t="s">
        <v>37</v>
      </c>
      <c r="H264" s="7" t="b">
        <v>0</v>
      </c>
    </row>
    <row r="265" spans="1:8" x14ac:dyDescent="0.3">
      <c r="A265" s="7" t="s">
        <v>713</v>
      </c>
      <c r="B265" s="7" t="s">
        <v>2300</v>
      </c>
      <c r="C265" s="13">
        <v>8.2301232583876995</v>
      </c>
      <c r="D265" s="13" t="s">
        <v>37</v>
      </c>
      <c r="E265" s="13" t="s">
        <v>37</v>
      </c>
      <c r="F265" s="13" t="s">
        <v>37</v>
      </c>
      <c r="G265" s="18" t="s">
        <v>37</v>
      </c>
      <c r="H265" s="7" t="b">
        <v>0</v>
      </c>
    </row>
    <row r="266" spans="1:8" x14ac:dyDescent="0.3">
      <c r="A266" s="7" t="s">
        <v>713</v>
      </c>
      <c r="B266" s="7" t="s">
        <v>2301</v>
      </c>
      <c r="C266" s="13">
        <v>8.1918680075814798</v>
      </c>
      <c r="D266" s="13" t="s">
        <v>37</v>
      </c>
      <c r="E266" s="13" t="s">
        <v>37</v>
      </c>
      <c r="F266" s="13" t="s">
        <v>37</v>
      </c>
      <c r="G266" s="18" t="s">
        <v>37</v>
      </c>
      <c r="H266" s="7" t="b">
        <v>0</v>
      </c>
    </row>
    <row r="267" spans="1:8" x14ac:dyDescent="0.3">
      <c r="A267" s="7" t="s">
        <v>713</v>
      </c>
      <c r="B267" s="7" t="s">
        <v>2302</v>
      </c>
      <c r="C267" s="13">
        <v>8.7856442585271495</v>
      </c>
      <c r="D267" s="13" t="s">
        <v>37</v>
      </c>
      <c r="E267" s="13" t="s">
        <v>37</v>
      </c>
      <c r="F267" s="13" t="s">
        <v>37</v>
      </c>
      <c r="G267" s="18" t="s">
        <v>37</v>
      </c>
      <c r="H267" s="7" t="b">
        <v>0</v>
      </c>
    </row>
    <row r="268" spans="1:8" x14ac:dyDescent="0.3">
      <c r="A268" s="7" t="s">
        <v>713</v>
      </c>
      <c r="B268" s="7" t="s">
        <v>3880</v>
      </c>
      <c r="C268" s="13">
        <v>8.20985784027914</v>
      </c>
      <c r="D268" s="13">
        <v>237.459</v>
      </c>
      <c r="E268" s="13">
        <v>3.45737910135187E-2</v>
      </c>
      <c r="F268" s="13">
        <v>-1.46125299749017</v>
      </c>
      <c r="G268" s="18">
        <v>1.46125299749017</v>
      </c>
      <c r="H268" s="7" t="b">
        <v>1</v>
      </c>
    </row>
    <row r="269" spans="1:8" x14ac:dyDescent="0.3">
      <c r="A269" s="7" t="s">
        <v>713</v>
      </c>
      <c r="B269" s="7" t="s">
        <v>3881</v>
      </c>
      <c r="C269" s="13">
        <v>8.0853489757178707</v>
      </c>
      <c r="D269" s="13">
        <v>741.86599999999999</v>
      </c>
      <c r="E269" s="13">
        <v>1.08986649552856E-2</v>
      </c>
      <c r="F269" s="13">
        <v>-1.96262669821194</v>
      </c>
      <c r="G269" s="18">
        <v>1.96262669821194</v>
      </c>
      <c r="H269" s="7" t="b">
        <v>1</v>
      </c>
    </row>
    <row r="270" spans="1:8" x14ac:dyDescent="0.3">
      <c r="A270" s="7" t="s">
        <v>713</v>
      </c>
      <c r="B270" s="7" t="s">
        <v>3882</v>
      </c>
      <c r="C270" s="13">
        <v>8.6108421239690305</v>
      </c>
      <c r="D270" s="13">
        <v>620.80799999999999</v>
      </c>
      <c r="E270" s="13">
        <v>1.38703788030583E-2</v>
      </c>
      <c r="F270" s="13">
        <v>-1.85791167808811</v>
      </c>
      <c r="G270" s="18">
        <v>1.85791167808811</v>
      </c>
      <c r="H270" s="7" t="b">
        <v>1</v>
      </c>
    </row>
    <row r="271" spans="1:8" x14ac:dyDescent="0.3">
      <c r="A271" s="7" t="s">
        <v>713</v>
      </c>
      <c r="B271" s="7" t="s">
        <v>3883</v>
      </c>
      <c r="C271" s="13">
        <v>8.4139915192806001</v>
      </c>
      <c r="D271" s="13">
        <v>111.745</v>
      </c>
      <c r="E271" s="13">
        <v>7.5296357951412596E-2</v>
      </c>
      <c r="F271" s="13">
        <v>-1.1232260299062999</v>
      </c>
      <c r="G271" s="18">
        <v>1.1232260299062999</v>
      </c>
      <c r="H271" s="7" t="b">
        <v>1</v>
      </c>
    </row>
    <row r="272" spans="1:8" x14ac:dyDescent="0.3">
      <c r="A272" s="7" t="s">
        <v>713</v>
      </c>
      <c r="B272" s="7" t="s">
        <v>3884</v>
      </c>
      <c r="C272" s="13">
        <v>8.0547279208501195</v>
      </c>
      <c r="D272" s="13">
        <v>157.99600000000001</v>
      </c>
      <c r="E272" s="13">
        <v>5.0980581285919403E-2</v>
      </c>
      <c r="F272" s="13">
        <v>-1.29259521696742</v>
      </c>
      <c r="G272" s="18">
        <v>1.29259521696742</v>
      </c>
      <c r="H272" s="7" t="b">
        <v>1</v>
      </c>
    </row>
    <row r="273" spans="1:8" x14ac:dyDescent="0.3">
      <c r="A273" s="7" t="s">
        <v>563</v>
      </c>
      <c r="B273" s="7" t="s">
        <v>2244</v>
      </c>
      <c r="C273" s="13">
        <v>1.24100455279777E-2</v>
      </c>
      <c r="D273" s="13" t="s">
        <v>37</v>
      </c>
      <c r="E273" s="13" t="s">
        <v>37</v>
      </c>
      <c r="F273" s="13" t="s">
        <v>37</v>
      </c>
      <c r="G273" s="18" t="s">
        <v>37</v>
      </c>
      <c r="H273" s="7" t="b">
        <v>0</v>
      </c>
    </row>
    <row r="274" spans="1:8" x14ac:dyDescent="0.3">
      <c r="A274" s="7" t="s">
        <v>563</v>
      </c>
      <c r="B274" s="7" t="s">
        <v>2247</v>
      </c>
      <c r="C274" s="13">
        <v>1.24100455279777E-2</v>
      </c>
      <c r="D274" s="13" t="s">
        <v>37</v>
      </c>
      <c r="E274" s="13" t="s">
        <v>37</v>
      </c>
      <c r="F274" s="13" t="s">
        <v>37</v>
      </c>
      <c r="G274" s="18" t="s">
        <v>37</v>
      </c>
      <c r="H274" s="7" t="b">
        <v>0</v>
      </c>
    </row>
    <row r="275" spans="1:8" x14ac:dyDescent="0.3">
      <c r="A275" s="7" t="s">
        <v>563</v>
      </c>
      <c r="B275" s="7" t="s">
        <v>2300</v>
      </c>
      <c r="C275" s="13">
        <v>1.24100455279777E-2</v>
      </c>
      <c r="D275" s="13" t="s">
        <v>37</v>
      </c>
      <c r="E275" s="13" t="s">
        <v>37</v>
      </c>
      <c r="F275" s="13" t="s">
        <v>37</v>
      </c>
      <c r="G275" s="18" t="s">
        <v>37</v>
      </c>
      <c r="H275" s="7" t="b">
        <v>0</v>
      </c>
    </row>
    <row r="276" spans="1:8" x14ac:dyDescent="0.3">
      <c r="A276" s="7" t="s">
        <v>563</v>
      </c>
      <c r="B276" s="7" t="s">
        <v>2301</v>
      </c>
      <c r="C276" s="13">
        <v>1.0254938458889201E-2</v>
      </c>
      <c r="D276" s="13" t="s">
        <v>37</v>
      </c>
      <c r="E276" s="13" t="s">
        <v>37</v>
      </c>
      <c r="F276" s="13" t="s">
        <v>37</v>
      </c>
      <c r="G276" s="18" t="s">
        <v>37</v>
      </c>
      <c r="H276" s="7" t="b">
        <v>0</v>
      </c>
    </row>
    <row r="277" spans="1:8" x14ac:dyDescent="0.3">
      <c r="A277" s="7" t="s">
        <v>563</v>
      </c>
      <c r="B277" s="7" t="s">
        <v>2302</v>
      </c>
      <c r="C277" s="13">
        <v>0</v>
      </c>
      <c r="D277" s="13" t="s">
        <v>37</v>
      </c>
      <c r="E277" s="13" t="s">
        <v>37</v>
      </c>
      <c r="F277" s="13" t="s">
        <v>37</v>
      </c>
      <c r="G277" s="18" t="s">
        <v>37</v>
      </c>
      <c r="H277" s="7" t="b">
        <v>0</v>
      </c>
    </row>
    <row r="278" spans="1:8" x14ac:dyDescent="0.3">
      <c r="A278" s="7" t="s">
        <v>563</v>
      </c>
      <c r="B278" s="7" t="s">
        <v>3880</v>
      </c>
      <c r="C278" s="13">
        <v>9.9289113448093498E-3</v>
      </c>
      <c r="D278" s="13">
        <v>26.291</v>
      </c>
      <c r="E278" s="13">
        <v>3.7765438153015702E-4</v>
      </c>
      <c r="F278" s="13">
        <v>-3.4229054722713799</v>
      </c>
      <c r="G278" s="18">
        <v>3.4229054722713799</v>
      </c>
      <c r="H278" s="7" t="b">
        <v>1</v>
      </c>
    </row>
    <row r="279" spans="1:8" x14ac:dyDescent="0.3">
      <c r="A279" s="7" t="s">
        <v>563</v>
      </c>
      <c r="B279" s="7" t="s">
        <v>3881</v>
      </c>
      <c r="C279" s="13">
        <v>0</v>
      </c>
      <c r="D279" s="13">
        <v>26.384</v>
      </c>
      <c r="E279" s="13">
        <v>0</v>
      </c>
      <c r="F279" s="13">
        <v>-1</v>
      </c>
      <c r="G279" s="18">
        <v>1</v>
      </c>
      <c r="H279" s="7" t="b">
        <v>1</v>
      </c>
    </row>
    <row r="280" spans="1:8" x14ac:dyDescent="0.3">
      <c r="A280" s="7" t="s">
        <v>563</v>
      </c>
      <c r="B280" s="7" t="s">
        <v>3882</v>
      </c>
      <c r="C280" s="13">
        <v>0</v>
      </c>
      <c r="D280" s="13">
        <v>26.788</v>
      </c>
      <c r="E280" s="13">
        <v>0</v>
      </c>
      <c r="F280" s="13">
        <v>-1</v>
      </c>
      <c r="G280" s="18">
        <v>1</v>
      </c>
      <c r="H280" s="7" t="b">
        <v>1</v>
      </c>
    </row>
    <row r="281" spans="1:8" x14ac:dyDescent="0.3">
      <c r="A281" s="7" t="s">
        <v>563</v>
      </c>
      <c r="B281" s="7" t="s">
        <v>3883</v>
      </c>
      <c r="C281" s="13">
        <v>1.8051698355052301E-2</v>
      </c>
      <c r="D281" s="13">
        <v>12.416</v>
      </c>
      <c r="E281" s="13">
        <v>1.45390611751388E-3</v>
      </c>
      <c r="F281" s="13">
        <v>-2.8374636360918601</v>
      </c>
      <c r="G281" s="18">
        <v>2.8374636360918601</v>
      </c>
      <c r="H281" s="7" t="b">
        <v>1</v>
      </c>
    </row>
    <row r="282" spans="1:8" x14ac:dyDescent="0.3">
      <c r="A282" s="7" t="s">
        <v>563</v>
      </c>
      <c r="B282" s="7" t="s">
        <v>3884</v>
      </c>
      <c r="C282" s="13">
        <v>0</v>
      </c>
      <c r="D282" s="13">
        <v>12.353999999999999</v>
      </c>
      <c r="E282" s="13">
        <v>0</v>
      </c>
      <c r="F282" s="13">
        <v>-1</v>
      </c>
      <c r="G282" s="18">
        <v>1</v>
      </c>
      <c r="H282" s="7" t="b">
        <v>1</v>
      </c>
    </row>
    <row r="283" spans="1:8" x14ac:dyDescent="0.3">
      <c r="A283" s="7" t="s">
        <v>1108</v>
      </c>
      <c r="B283" s="7" t="s">
        <v>2244</v>
      </c>
      <c r="C283" s="13">
        <v>1.2661756077742701</v>
      </c>
      <c r="D283" s="13" t="s">
        <v>37</v>
      </c>
      <c r="E283" s="13" t="s">
        <v>37</v>
      </c>
      <c r="F283" s="13" t="s">
        <v>37</v>
      </c>
      <c r="G283" s="18" t="s">
        <v>37</v>
      </c>
      <c r="H283" s="7" t="b">
        <v>0</v>
      </c>
    </row>
    <row r="284" spans="1:8" x14ac:dyDescent="0.3">
      <c r="A284" s="7" t="s">
        <v>1108</v>
      </c>
      <c r="B284" s="7" t="s">
        <v>2247</v>
      </c>
      <c r="C284" s="13">
        <v>1.2661756077742701</v>
      </c>
      <c r="D284" s="13" t="s">
        <v>37</v>
      </c>
      <c r="E284" s="13" t="s">
        <v>37</v>
      </c>
      <c r="F284" s="13" t="s">
        <v>37</v>
      </c>
      <c r="G284" s="18" t="s">
        <v>37</v>
      </c>
      <c r="H284" s="7" t="b">
        <v>0</v>
      </c>
    </row>
    <row r="285" spans="1:8" x14ac:dyDescent="0.3">
      <c r="A285" s="7" t="s">
        <v>1108</v>
      </c>
      <c r="B285" s="7" t="s">
        <v>2300</v>
      </c>
      <c r="C285" s="13">
        <v>1.2661756077742701</v>
      </c>
      <c r="D285" s="13" t="s">
        <v>37</v>
      </c>
      <c r="E285" s="13" t="s">
        <v>37</v>
      </c>
      <c r="F285" s="13" t="s">
        <v>37</v>
      </c>
      <c r="G285" s="18" t="s">
        <v>37</v>
      </c>
      <c r="H285" s="7" t="b">
        <v>0</v>
      </c>
    </row>
    <row r="286" spans="1:8" x14ac:dyDescent="0.3">
      <c r="A286" s="7" t="s">
        <v>1108</v>
      </c>
      <c r="B286" s="7" t="s">
        <v>2301</v>
      </c>
      <c r="C286" s="13">
        <v>1.2798669384078301</v>
      </c>
      <c r="D286" s="13" t="s">
        <v>37</v>
      </c>
      <c r="E286" s="13" t="s">
        <v>37</v>
      </c>
      <c r="F286" s="13" t="s">
        <v>37</v>
      </c>
      <c r="G286" s="18" t="s">
        <v>37</v>
      </c>
      <c r="H286" s="7" t="b">
        <v>0</v>
      </c>
    </row>
    <row r="287" spans="1:8" x14ac:dyDescent="0.3">
      <c r="A287" s="7" t="s">
        <v>1108</v>
      </c>
      <c r="B287" s="7" t="s">
        <v>2302</v>
      </c>
      <c r="C287" s="13">
        <v>1.0279025774923201</v>
      </c>
      <c r="D287" s="13" t="s">
        <v>37</v>
      </c>
      <c r="E287" s="13" t="s">
        <v>37</v>
      </c>
      <c r="F287" s="13" t="s">
        <v>37</v>
      </c>
      <c r="G287" s="18" t="s">
        <v>37</v>
      </c>
      <c r="H287" s="7" t="b">
        <v>0</v>
      </c>
    </row>
    <row r="288" spans="1:8" x14ac:dyDescent="0.3">
      <c r="A288" s="7" t="s">
        <v>1108</v>
      </c>
      <c r="B288" s="7" t="s">
        <v>3880</v>
      </c>
      <c r="C288" s="13">
        <v>1.33464786008945</v>
      </c>
      <c r="D288" s="13" t="s">
        <v>37</v>
      </c>
      <c r="E288" s="13" t="s">
        <v>37</v>
      </c>
      <c r="F288" s="13" t="s">
        <v>37</v>
      </c>
      <c r="G288" s="18" t="s">
        <v>37</v>
      </c>
      <c r="H288" s="7" t="b">
        <v>0</v>
      </c>
    </row>
    <row r="289" spans="1:8" x14ac:dyDescent="0.3">
      <c r="A289" s="7" t="s">
        <v>1108</v>
      </c>
      <c r="B289" s="7" t="s">
        <v>3881</v>
      </c>
      <c r="C289" s="13">
        <v>1.0922152142622701</v>
      </c>
      <c r="D289" s="13" t="s">
        <v>37</v>
      </c>
      <c r="E289" s="13" t="s">
        <v>37</v>
      </c>
      <c r="F289" s="13" t="s">
        <v>37</v>
      </c>
      <c r="G289" s="18" t="s">
        <v>37</v>
      </c>
      <c r="H289" s="7" t="b">
        <v>0</v>
      </c>
    </row>
    <row r="290" spans="1:8" x14ac:dyDescent="0.3">
      <c r="A290" s="7" t="s">
        <v>1108</v>
      </c>
      <c r="B290" s="7" t="s">
        <v>3882</v>
      </c>
      <c r="C290" s="13">
        <v>1.07027749693857</v>
      </c>
      <c r="D290" s="13">
        <v>4.532</v>
      </c>
      <c r="E290" s="13">
        <v>0.236160083172677</v>
      </c>
      <c r="F290" s="13">
        <v>-0.62679350690385105</v>
      </c>
      <c r="G290" s="18">
        <v>0.62679350690385105</v>
      </c>
      <c r="H290" s="7" t="b">
        <v>0</v>
      </c>
    </row>
    <row r="291" spans="1:8" x14ac:dyDescent="0.3">
      <c r="A291" s="7" t="s">
        <v>1108</v>
      </c>
      <c r="B291" s="7" t="s">
        <v>3883</v>
      </c>
      <c r="C291" s="13">
        <v>1.19784447644093</v>
      </c>
      <c r="D291" s="13" t="s">
        <v>37</v>
      </c>
      <c r="E291" s="13" t="s">
        <v>37</v>
      </c>
      <c r="F291" s="13" t="s">
        <v>37</v>
      </c>
      <c r="G291" s="18" t="s">
        <v>37</v>
      </c>
      <c r="H291" s="7" t="b">
        <v>0</v>
      </c>
    </row>
    <row r="292" spans="1:8" x14ac:dyDescent="0.3">
      <c r="A292" s="7" t="s">
        <v>1108</v>
      </c>
      <c r="B292" s="7" t="s">
        <v>3884</v>
      </c>
      <c r="C292" s="13">
        <v>1.27818937983994</v>
      </c>
      <c r="D292" s="13" t="s">
        <v>37</v>
      </c>
      <c r="E292" s="13" t="s">
        <v>37</v>
      </c>
      <c r="F292" s="13" t="s">
        <v>37</v>
      </c>
      <c r="G292" s="18" t="s">
        <v>37</v>
      </c>
      <c r="H292" s="7" t="b">
        <v>0</v>
      </c>
    </row>
    <row r="293" spans="1:8" x14ac:dyDescent="0.3">
      <c r="A293" s="7" t="s">
        <v>420</v>
      </c>
      <c r="B293" s="7" t="s">
        <v>2244</v>
      </c>
      <c r="C293" s="13">
        <v>14.592083047672199</v>
      </c>
      <c r="D293" s="13" t="s">
        <v>37</v>
      </c>
      <c r="E293" s="13" t="s">
        <v>37</v>
      </c>
      <c r="F293" s="13" t="s">
        <v>37</v>
      </c>
      <c r="G293" s="18" t="s">
        <v>37</v>
      </c>
      <c r="H293" s="7" t="b">
        <v>0</v>
      </c>
    </row>
    <row r="294" spans="1:8" x14ac:dyDescent="0.3">
      <c r="A294" s="7" t="s">
        <v>420</v>
      </c>
      <c r="B294" s="7" t="s">
        <v>2247</v>
      </c>
      <c r="C294" s="13">
        <v>14.592083047672199</v>
      </c>
      <c r="D294" s="13" t="s">
        <v>37</v>
      </c>
      <c r="E294" s="13" t="s">
        <v>37</v>
      </c>
      <c r="F294" s="13" t="s">
        <v>37</v>
      </c>
      <c r="G294" s="18" t="s">
        <v>37</v>
      </c>
      <c r="H294" s="7" t="b">
        <v>0</v>
      </c>
    </row>
    <row r="295" spans="1:8" x14ac:dyDescent="0.3">
      <c r="A295" s="7" t="s">
        <v>420</v>
      </c>
      <c r="B295" s="7" t="s">
        <v>2300</v>
      </c>
      <c r="C295" s="13">
        <v>14.592083047672199</v>
      </c>
      <c r="D295" s="13" t="s">
        <v>37</v>
      </c>
      <c r="E295" s="13" t="s">
        <v>37</v>
      </c>
      <c r="F295" s="13" t="s">
        <v>37</v>
      </c>
      <c r="G295" s="18" t="s">
        <v>37</v>
      </c>
      <c r="H295" s="7" t="b">
        <v>0</v>
      </c>
    </row>
    <row r="296" spans="1:8" x14ac:dyDescent="0.3">
      <c r="A296" s="7" t="s">
        <v>420</v>
      </c>
      <c r="B296" s="7" t="s">
        <v>2301</v>
      </c>
      <c r="C296" s="13">
        <v>14.6537886493646</v>
      </c>
      <c r="D296" s="13" t="s">
        <v>37</v>
      </c>
      <c r="E296" s="13" t="s">
        <v>37</v>
      </c>
      <c r="F296" s="13" t="s">
        <v>37</v>
      </c>
      <c r="G296" s="18" t="s">
        <v>37</v>
      </c>
      <c r="H296" s="7" t="b">
        <v>0</v>
      </c>
    </row>
    <row r="297" spans="1:8" x14ac:dyDescent="0.3">
      <c r="A297" s="7" t="s">
        <v>420</v>
      </c>
      <c r="B297" s="7" t="s">
        <v>2302</v>
      </c>
      <c r="C297" s="13">
        <v>15.339727125338101</v>
      </c>
      <c r="D297" s="13">
        <v>20.486999999999998</v>
      </c>
      <c r="E297" s="13">
        <v>0.74875419169903401</v>
      </c>
      <c r="F297" s="13">
        <v>-0.12566073331493299</v>
      </c>
      <c r="G297" s="18">
        <v>0.12566073331493299</v>
      </c>
      <c r="H297" s="7" t="b">
        <v>0</v>
      </c>
    </row>
    <row r="298" spans="1:8" x14ac:dyDescent="0.3">
      <c r="A298" s="7" t="s">
        <v>420</v>
      </c>
      <c r="B298" s="7" t="s">
        <v>3880</v>
      </c>
      <c r="C298" s="13">
        <v>14.696276643518001</v>
      </c>
      <c r="D298" s="13">
        <v>45.94</v>
      </c>
      <c r="E298" s="13">
        <v>0.319901537734393</v>
      </c>
      <c r="F298" s="13">
        <v>-0.49498367230114998</v>
      </c>
      <c r="G298" s="18">
        <v>0.49498367230114998</v>
      </c>
      <c r="H298" s="7" t="b">
        <v>0</v>
      </c>
    </row>
    <row r="299" spans="1:8" x14ac:dyDescent="0.3">
      <c r="A299" s="7" t="s">
        <v>420</v>
      </c>
      <c r="B299" s="7" t="s">
        <v>3881</v>
      </c>
      <c r="C299" s="13">
        <v>15.2460176449343</v>
      </c>
      <c r="D299" s="13">
        <v>87.224000000000004</v>
      </c>
      <c r="E299" s="13">
        <v>0.17479154412701001</v>
      </c>
      <c r="F299" s="13">
        <v>-0.75747958101400803</v>
      </c>
      <c r="G299" s="18">
        <v>0.75747958101400803</v>
      </c>
      <c r="H299" s="7" t="b">
        <v>0</v>
      </c>
    </row>
    <row r="300" spans="1:8" x14ac:dyDescent="0.3">
      <c r="A300" s="7" t="s">
        <v>420</v>
      </c>
      <c r="B300" s="7" t="s">
        <v>3882</v>
      </c>
      <c r="C300" s="13">
        <v>14.8946370574924</v>
      </c>
      <c r="D300" s="13">
        <v>117.333</v>
      </c>
      <c r="E300" s="13">
        <v>0.12694329010161201</v>
      </c>
      <c r="F300" s="13">
        <v>-0.89639024988169702</v>
      </c>
      <c r="G300" s="18">
        <v>0.89639024988169702</v>
      </c>
      <c r="H300" s="7" t="b">
        <v>0</v>
      </c>
    </row>
    <row r="301" spans="1:8" x14ac:dyDescent="0.3">
      <c r="A301" s="7" t="s">
        <v>420</v>
      </c>
      <c r="B301" s="7" t="s">
        <v>3883</v>
      </c>
      <c r="C301" s="13">
        <v>14.8499242945033</v>
      </c>
      <c r="D301" s="13">
        <v>28.402000000000001</v>
      </c>
      <c r="E301" s="13">
        <v>0.52284783798687795</v>
      </c>
      <c r="F301" s="13">
        <v>-0.28162468348005998</v>
      </c>
      <c r="G301" s="18">
        <v>0.28162468348005998</v>
      </c>
      <c r="H301" s="7" t="b">
        <v>0</v>
      </c>
    </row>
    <row r="302" spans="1:8" x14ac:dyDescent="0.3">
      <c r="A302" s="7" t="s">
        <v>420</v>
      </c>
      <c r="B302" s="7" t="s">
        <v>3884</v>
      </c>
      <c r="C302" s="13">
        <v>14.569462646967599</v>
      </c>
      <c r="D302" s="13">
        <v>27.190999999999999</v>
      </c>
      <c r="E302" s="13">
        <v>0.53581930223116503</v>
      </c>
      <c r="F302" s="13">
        <v>-0.27098164552159398</v>
      </c>
      <c r="G302" s="18">
        <v>0.27098164552159398</v>
      </c>
      <c r="H302" s="7" t="b">
        <v>0</v>
      </c>
    </row>
    <row r="303" spans="1:8" x14ac:dyDescent="0.3">
      <c r="A303" s="7" t="s">
        <v>242</v>
      </c>
      <c r="B303" s="7" t="s">
        <v>2244</v>
      </c>
      <c r="C303" s="13">
        <v>278.21247811530702</v>
      </c>
      <c r="D303" s="13" t="s">
        <v>37</v>
      </c>
      <c r="E303" s="13" t="s">
        <v>37</v>
      </c>
      <c r="F303" s="13" t="s">
        <v>37</v>
      </c>
      <c r="G303" s="18" t="s">
        <v>37</v>
      </c>
      <c r="H303" s="7" t="b">
        <v>0</v>
      </c>
    </row>
    <row r="304" spans="1:8" x14ac:dyDescent="0.3">
      <c r="A304" s="7" t="s">
        <v>242</v>
      </c>
      <c r="B304" s="7" t="s">
        <v>2247</v>
      </c>
      <c r="C304" s="13">
        <v>278.21247811530702</v>
      </c>
      <c r="D304" s="13" t="s">
        <v>37</v>
      </c>
      <c r="E304" s="13" t="s">
        <v>37</v>
      </c>
      <c r="F304" s="13" t="s">
        <v>37</v>
      </c>
      <c r="G304" s="18" t="s">
        <v>37</v>
      </c>
      <c r="H304" s="7" t="b">
        <v>0</v>
      </c>
    </row>
    <row r="305" spans="1:8" x14ac:dyDescent="0.3">
      <c r="A305" s="7" t="s">
        <v>242</v>
      </c>
      <c r="B305" s="7" t="s">
        <v>2300</v>
      </c>
      <c r="C305" s="13">
        <v>278.21247811530702</v>
      </c>
      <c r="D305" s="13" t="s">
        <v>37</v>
      </c>
      <c r="E305" s="13" t="s">
        <v>37</v>
      </c>
      <c r="F305" s="13" t="s">
        <v>37</v>
      </c>
      <c r="G305" s="18" t="s">
        <v>37</v>
      </c>
      <c r="H305" s="7" t="b">
        <v>0</v>
      </c>
    </row>
    <row r="306" spans="1:8" x14ac:dyDescent="0.3">
      <c r="A306" s="7" t="s">
        <v>242</v>
      </c>
      <c r="B306" s="7" t="s">
        <v>2301</v>
      </c>
      <c r="C306" s="13">
        <v>285.13869954632497</v>
      </c>
      <c r="D306" s="13" t="s">
        <v>37</v>
      </c>
      <c r="E306" s="13" t="s">
        <v>37</v>
      </c>
      <c r="F306" s="13" t="s">
        <v>37</v>
      </c>
      <c r="G306" s="18" t="s">
        <v>37</v>
      </c>
      <c r="H306" s="7" t="b">
        <v>0</v>
      </c>
    </row>
    <row r="307" spans="1:8" x14ac:dyDescent="0.3">
      <c r="A307" s="7" t="s">
        <v>242</v>
      </c>
      <c r="B307" s="7" t="s">
        <v>2302</v>
      </c>
      <c r="C307" s="13">
        <v>228.344836485912</v>
      </c>
      <c r="D307" s="13">
        <v>134.25</v>
      </c>
      <c r="E307" s="13">
        <v>1.70089263676657</v>
      </c>
      <c r="F307" s="13">
        <v>0.23067690107206201</v>
      </c>
      <c r="G307" s="18">
        <v>0.23067690107206201</v>
      </c>
      <c r="H307" s="7" t="b">
        <v>0</v>
      </c>
    </row>
    <row r="308" spans="1:8" x14ac:dyDescent="0.3">
      <c r="A308" s="7" t="s">
        <v>242</v>
      </c>
      <c r="B308" s="7" t="s">
        <v>3880</v>
      </c>
      <c r="C308" s="13">
        <v>274.96361956496401</v>
      </c>
      <c r="D308" s="13">
        <v>437.67</v>
      </c>
      <c r="E308" s="13">
        <v>0.62824415556232804</v>
      </c>
      <c r="F308" s="13">
        <v>-0.20187154287678999</v>
      </c>
      <c r="G308" s="18">
        <v>0.20187154287678999</v>
      </c>
      <c r="H308" s="7" t="b">
        <v>0</v>
      </c>
    </row>
    <row r="309" spans="1:8" x14ac:dyDescent="0.3">
      <c r="A309" s="7" t="s">
        <v>242</v>
      </c>
      <c r="B309" s="7" t="s">
        <v>3881</v>
      </c>
      <c r="C309" s="13">
        <v>280.03337363856298</v>
      </c>
      <c r="D309" s="13">
        <v>577.351</v>
      </c>
      <c r="E309" s="13">
        <v>0.48503141700380398</v>
      </c>
      <c r="F309" s="13">
        <v>-0.31423012987301402</v>
      </c>
      <c r="G309" s="18">
        <v>0.31423012987301402</v>
      </c>
      <c r="H309" s="7" t="b">
        <v>0</v>
      </c>
    </row>
    <row r="310" spans="1:8" x14ac:dyDescent="0.3">
      <c r="A310" s="7" t="s">
        <v>242</v>
      </c>
      <c r="B310" s="7" t="s">
        <v>3882</v>
      </c>
      <c r="C310" s="13">
        <v>258.441005083753</v>
      </c>
      <c r="D310" s="13">
        <v>782.21799999999996</v>
      </c>
      <c r="E310" s="13">
        <v>0.33039511374546898</v>
      </c>
      <c r="F310" s="13">
        <v>-0.48096638413940301</v>
      </c>
      <c r="G310" s="18">
        <v>0.48096638413940301</v>
      </c>
      <c r="H310" s="7" t="b">
        <v>0</v>
      </c>
    </row>
    <row r="311" spans="1:8" x14ac:dyDescent="0.3">
      <c r="A311" s="7" t="s">
        <v>242</v>
      </c>
      <c r="B311" s="7" t="s">
        <v>3883</v>
      </c>
      <c r="C311" s="13">
        <v>274.842197394707</v>
      </c>
      <c r="D311" s="13">
        <v>322.82</v>
      </c>
      <c r="E311" s="13">
        <v>0.85137908863982104</v>
      </c>
      <c r="F311" s="13">
        <v>-6.9877021060297695E-2</v>
      </c>
      <c r="G311" s="18">
        <v>6.9877021060297695E-2</v>
      </c>
      <c r="H311" s="7" t="b">
        <v>0</v>
      </c>
    </row>
    <row r="312" spans="1:8" x14ac:dyDescent="0.3">
      <c r="A312" s="7" t="s">
        <v>242</v>
      </c>
      <c r="B312" s="7" t="s">
        <v>3884</v>
      </c>
      <c r="C312" s="13">
        <v>279.26665878123998</v>
      </c>
      <c r="D312" s="13">
        <v>316.61200000000002</v>
      </c>
      <c r="E312" s="13">
        <v>0.88204698110381197</v>
      </c>
      <c r="F312" s="13">
        <v>-5.4508282112236198E-2</v>
      </c>
      <c r="G312" s="18">
        <v>5.4508282112236198E-2</v>
      </c>
      <c r="H312" s="7" t="b">
        <v>0</v>
      </c>
    </row>
    <row r="313" spans="1:8" x14ac:dyDescent="0.3">
      <c r="A313" s="7" t="s">
        <v>826</v>
      </c>
      <c r="B313" s="7" t="s">
        <v>2244</v>
      </c>
      <c r="C313" s="13">
        <v>15.7306793607989</v>
      </c>
      <c r="D313" s="13" t="s">
        <v>37</v>
      </c>
      <c r="E313" s="13" t="s">
        <v>37</v>
      </c>
      <c r="F313" s="13" t="s">
        <v>37</v>
      </c>
      <c r="G313" s="18" t="s">
        <v>37</v>
      </c>
      <c r="H313" s="7" t="b">
        <v>0</v>
      </c>
    </row>
    <row r="314" spans="1:8" x14ac:dyDescent="0.3">
      <c r="A314" s="7" t="s">
        <v>826</v>
      </c>
      <c r="B314" s="7" t="s">
        <v>2247</v>
      </c>
      <c r="C314" s="13">
        <v>15.7306793607989</v>
      </c>
      <c r="D314" s="13" t="s">
        <v>37</v>
      </c>
      <c r="E314" s="13" t="s">
        <v>37</v>
      </c>
      <c r="F314" s="13" t="s">
        <v>37</v>
      </c>
      <c r="G314" s="18" t="s">
        <v>37</v>
      </c>
      <c r="H314" s="7" t="b">
        <v>0</v>
      </c>
    </row>
    <row r="315" spans="1:8" x14ac:dyDescent="0.3">
      <c r="A315" s="7" t="s">
        <v>826</v>
      </c>
      <c r="B315" s="7" t="s">
        <v>2300</v>
      </c>
      <c r="C315" s="13">
        <v>15.7306793607989</v>
      </c>
      <c r="D315" s="13" t="s">
        <v>37</v>
      </c>
      <c r="E315" s="13" t="s">
        <v>37</v>
      </c>
      <c r="F315" s="13" t="s">
        <v>37</v>
      </c>
      <c r="G315" s="18" t="s">
        <v>37</v>
      </c>
      <c r="H315" s="7" t="b">
        <v>0</v>
      </c>
    </row>
    <row r="316" spans="1:8" x14ac:dyDescent="0.3">
      <c r="A316" s="7" t="s">
        <v>826</v>
      </c>
      <c r="B316" s="7" t="s">
        <v>2301</v>
      </c>
      <c r="C316" s="13">
        <v>15.8339418201443</v>
      </c>
      <c r="D316" s="13" t="s">
        <v>37</v>
      </c>
      <c r="E316" s="13" t="s">
        <v>37</v>
      </c>
      <c r="F316" s="13" t="s">
        <v>37</v>
      </c>
      <c r="G316" s="18" t="s">
        <v>37</v>
      </c>
      <c r="H316" s="7" t="b">
        <v>0</v>
      </c>
    </row>
    <row r="317" spans="1:8" x14ac:dyDescent="0.3">
      <c r="A317" s="7" t="s">
        <v>826</v>
      </c>
      <c r="B317" s="7" t="s">
        <v>2302</v>
      </c>
      <c r="C317" s="13">
        <v>15.9186342963934</v>
      </c>
      <c r="D317" s="13" t="s">
        <v>37</v>
      </c>
      <c r="E317" s="13" t="s">
        <v>37</v>
      </c>
      <c r="F317" s="13" t="s">
        <v>37</v>
      </c>
      <c r="G317" s="18" t="s">
        <v>37</v>
      </c>
      <c r="H317" s="7" t="b">
        <v>0</v>
      </c>
    </row>
    <row r="318" spans="1:8" x14ac:dyDescent="0.3">
      <c r="A318" s="7" t="s">
        <v>826</v>
      </c>
      <c r="B318" s="7" t="s">
        <v>3880</v>
      </c>
      <c r="C318" s="13">
        <v>15.776103730836001</v>
      </c>
      <c r="D318" s="13">
        <v>52.148000000000003</v>
      </c>
      <c r="E318" s="13">
        <v>0.30252557587704199</v>
      </c>
      <c r="F318" s="13">
        <v>-0.51923790368015099</v>
      </c>
      <c r="G318" s="18">
        <v>0.51923790368015099</v>
      </c>
      <c r="H318" s="7" t="b">
        <v>0</v>
      </c>
    </row>
    <row r="319" spans="1:8" x14ac:dyDescent="0.3">
      <c r="A319" s="7" t="s">
        <v>826</v>
      </c>
      <c r="B319" s="7" t="s">
        <v>3881</v>
      </c>
      <c r="C319" s="13">
        <v>14.671141849343501</v>
      </c>
      <c r="D319" s="13">
        <v>91.259</v>
      </c>
      <c r="E319" s="13">
        <v>0.160763780551436</v>
      </c>
      <c r="F319" s="13">
        <v>-0.79381178940883002</v>
      </c>
      <c r="G319" s="18">
        <v>0.79381178940883002</v>
      </c>
      <c r="H319" s="7" t="b">
        <v>0</v>
      </c>
    </row>
    <row r="320" spans="1:8" x14ac:dyDescent="0.3">
      <c r="A320" s="7" t="s">
        <v>826</v>
      </c>
      <c r="B320" s="7" t="s">
        <v>3882</v>
      </c>
      <c r="C320" s="13">
        <v>15.3188295418328</v>
      </c>
      <c r="D320" s="13">
        <v>45.628999999999998</v>
      </c>
      <c r="E320" s="13">
        <v>0.33572573455111399</v>
      </c>
      <c r="F320" s="13">
        <v>-0.47401536728586202</v>
      </c>
      <c r="G320" s="18">
        <v>0.47401536728586202</v>
      </c>
      <c r="H320" s="7" t="b">
        <v>0</v>
      </c>
    </row>
    <row r="321" spans="1:8" x14ac:dyDescent="0.3">
      <c r="A321" s="7" t="s">
        <v>826</v>
      </c>
      <c r="B321" s="7" t="s">
        <v>3883</v>
      </c>
      <c r="C321" s="13">
        <v>15.547243048852801</v>
      </c>
      <c r="D321" s="13">
        <v>36.317</v>
      </c>
      <c r="E321" s="13">
        <v>0.428098219810359</v>
      </c>
      <c r="F321" s="13">
        <v>-0.36845657811791099</v>
      </c>
      <c r="G321" s="18">
        <v>0.36845657811791099</v>
      </c>
      <c r="H321" s="7" t="b">
        <v>0</v>
      </c>
    </row>
    <row r="322" spans="1:8" x14ac:dyDescent="0.3">
      <c r="A322" s="7" t="s">
        <v>826</v>
      </c>
      <c r="B322" s="7" t="s">
        <v>3884</v>
      </c>
      <c r="C322" s="13">
        <v>16.006243146607201</v>
      </c>
      <c r="D322" s="13">
        <v>59.908000000000001</v>
      </c>
      <c r="E322" s="13">
        <v>0.26718039571688601</v>
      </c>
      <c r="F322" s="13">
        <v>-0.57319541125759899</v>
      </c>
      <c r="G322" s="18">
        <v>0.57319541125759899</v>
      </c>
      <c r="H322" s="7" t="b">
        <v>0</v>
      </c>
    </row>
    <row r="323" spans="1:8" x14ac:dyDescent="0.3">
      <c r="A323" s="7" t="s">
        <v>516</v>
      </c>
      <c r="B323" s="7" t="s">
        <v>2244</v>
      </c>
      <c r="C323" s="13">
        <v>42.142135944093603</v>
      </c>
      <c r="D323" s="13" t="s">
        <v>37</v>
      </c>
      <c r="E323" s="13" t="s">
        <v>37</v>
      </c>
      <c r="F323" s="13" t="s">
        <v>37</v>
      </c>
      <c r="G323" s="18" t="s">
        <v>37</v>
      </c>
      <c r="H323" s="7" t="b">
        <v>0</v>
      </c>
    </row>
    <row r="324" spans="1:8" x14ac:dyDescent="0.3">
      <c r="A324" s="7" t="s">
        <v>516</v>
      </c>
      <c r="B324" s="7" t="s">
        <v>2247</v>
      </c>
      <c r="C324" s="13">
        <v>42.142135944093603</v>
      </c>
      <c r="D324" s="13" t="s">
        <v>37</v>
      </c>
      <c r="E324" s="13" t="s">
        <v>37</v>
      </c>
      <c r="F324" s="13" t="s">
        <v>37</v>
      </c>
      <c r="G324" s="18" t="s">
        <v>37</v>
      </c>
      <c r="H324" s="7" t="b">
        <v>0</v>
      </c>
    </row>
    <row r="325" spans="1:8" x14ac:dyDescent="0.3">
      <c r="A325" s="7" t="s">
        <v>516</v>
      </c>
      <c r="B325" s="7" t="s">
        <v>2300</v>
      </c>
      <c r="C325" s="13">
        <v>42.142135944093603</v>
      </c>
      <c r="D325" s="13" t="s">
        <v>37</v>
      </c>
      <c r="E325" s="13" t="s">
        <v>37</v>
      </c>
      <c r="F325" s="13" t="s">
        <v>37</v>
      </c>
      <c r="G325" s="18" t="s">
        <v>37</v>
      </c>
      <c r="H325" s="7" t="b">
        <v>0</v>
      </c>
    </row>
    <row r="326" spans="1:8" x14ac:dyDescent="0.3">
      <c r="A326" s="7" t="s">
        <v>516</v>
      </c>
      <c r="B326" s="7" t="s">
        <v>2301</v>
      </c>
      <c r="C326" s="13">
        <v>42.138293451570703</v>
      </c>
      <c r="D326" s="13" t="s">
        <v>37</v>
      </c>
      <c r="E326" s="13" t="s">
        <v>37</v>
      </c>
      <c r="F326" s="13" t="s">
        <v>37</v>
      </c>
      <c r="G326" s="18" t="s">
        <v>37</v>
      </c>
      <c r="H326" s="7" t="b">
        <v>0</v>
      </c>
    </row>
    <row r="327" spans="1:8" x14ac:dyDescent="0.3">
      <c r="A327" s="7" t="s">
        <v>516</v>
      </c>
      <c r="B327" s="7" t="s">
        <v>2302</v>
      </c>
      <c r="C327" s="13">
        <v>40.583077177254097</v>
      </c>
      <c r="D327" s="13" t="s">
        <v>37</v>
      </c>
      <c r="E327" s="13" t="s">
        <v>37</v>
      </c>
      <c r="F327" s="13" t="s">
        <v>37</v>
      </c>
      <c r="G327" s="18" t="s">
        <v>37</v>
      </c>
      <c r="H327" s="7" t="b">
        <v>0</v>
      </c>
    </row>
    <row r="328" spans="1:8" x14ac:dyDescent="0.3">
      <c r="A328" s="7" t="s">
        <v>516</v>
      </c>
      <c r="B328" s="7" t="s">
        <v>3880</v>
      </c>
      <c r="C328" s="13">
        <v>42.064586967275702</v>
      </c>
      <c r="D328" s="13">
        <v>5.9290000000000003</v>
      </c>
      <c r="E328" s="13">
        <v>7.09471866542009</v>
      </c>
      <c r="F328" s="13">
        <v>0.850935178584458</v>
      </c>
      <c r="G328" s="18">
        <v>0.850935178584458</v>
      </c>
      <c r="H328" s="7" t="b">
        <v>0</v>
      </c>
    </row>
    <row r="329" spans="1:8" x14ac:dyDescent="0.3">
      <c r="A329" s="7" t="s">
        <v>516</v>
      </c>
      <c r="B329" s="7" t="s">
        <v>3881</v>
      </c>
      <c r="C329" s="13">
        <v>42.167829847097501</v>
      </c>
      <c r="D329" s="13" t="s">
        <v>37</v>
      </c>
      <c r="E329" s="13" t="s">
        <v>37</v>
      </c>
      <c r="F329" s="13" t="s">
        <v>37</v>
      </c>
      <c r="G329" s="18" t="s">
        <v>37</v>
      </c>
      <c r="H329" s="7" t="b">
        <v>0</v>
      </c>
    </row>
    <row r="330" spans="1:8" x14ac:dyDescent="0.3">
      <c r="A330" s="7" t="s">
        <v>516</v>
      </c>
      <c r="B330" s="7" t="s">
        <v>3882</v>
      </c>
      <c r="C330" s="13">
        <v>41.186254100788901</v>
      </c>
      <c r="D330" s="13">
        <v>7.17</v>
      </c>
      <c r="E330" s="13">
        <v>5.7442474338617702</v>
      </c>
      <c r="F330" s="13">
        <v>0.75923313890248301</v>
      </c>
      <c r="G330" s="18">
        <v>0.75923313890248301</v>
      </c>
      <c r="H330" s="7" t="b">
        <v>0</v>
      </c>
    </row>
    <row r="331" spans="1:8" x14ac:dyDescent="0.3">
      <c r="A331" s="7" t="s">
        <v>516</v>
      </c>
      <c r="B331" s="7" t="s">
        <v>3883</v>
      </c>
      <c r="C331" s="13">
        <v>42.268062794808799</v>
      </c>
      <c r="D331" s="13" t="s">
        <v>37</v>
      </c>
      <c r="E331" s="13" t="s">
        <v>37</v>
      </c>
      <c r="F331" s="13" t="s">
        <v>37</v>
      </c>
      <c r="G331" s="18" t="s">
        <v>37</v>
      </c>
      <c r="H331" s="7" t="b">
        <v>0</v>
      </c>
    </row>
    <row r="332" spans="1:8" x14ac:dyDescent="0.3">
      <c r="A332" s="7" t="s">
        <v>516</v>
      </c>
      <c r="B332" s="7" t="s">
        <v>3884</v>
      </c>
      <c r="C332" s="13">
        <v>42.1713584656232</v>
      </c>
      <c r="D332" s="13">
        <v>9.25</v>
      </c>
      <c r="E332" s="13">
        <v>4.5590657800673702</v>
      </c>
      <c r="F332" s="13">
        <v>0.65887585842573604</v>
      </c>
      <c r="G332" s="18">
        <v>0.65887585842573604</v>
      </c>
      <c r="H332" s="7" t="b">
        <v>0</v>
      </c>
    </row>
    <row r="333" spans="1:8" x14ac:dyDescent="0.3">
      <c r="A333" s="7" t="s">
        <v>456</v>
      </c>
      <c r="B333" s="7" t="s">
        <v>2244</v>
      </c>
      <c r="C333" s="13">
        <v>28.025213048155901</v>
      </c>
      <c r="D333" s="13" t="s">
        <v>37</v>
      </c>
      <c r="E333" s="13" t="s">
        <v>37</v>
      </c>
      <c r="F333" s="13" t="s">
        <v>37</v>
      </c>
      <c r="G333" s="18" t="s">
        <v>37</v>
      </c>
      <c r="H333" s="7" t="b">
        <v>0</v>
      </c>
    </row>
    <row r="334" spans="1:8" x14ac:dyDescent="0.3">
      <c r="A334" s="7" t="s">
        <v>456</v>
      </c>
      <c r="B334" s="7" t="s">
        <v>2247</v>
      </c>
      <c r="C334" s="13">
        <v>28.025213048155901</v>
      </c>
      <c r="D334" s="13" t="s">
        <v>37</v>
      </c>
      <c r="E334" s="13" t="s">
        <v>37</v>
      </c>
      <c r="F334" s="13" t="s">
        <v>37</v>
      </c>
      <c r="G334" s="18" t="s">
        <v>37</v>
      </c>
      <c r="H334" s="7" t="b">
        <v>0</v>
      </c>
    </row>
    <row r="335" spans="1:8" x14ac:dyDescent="0.3">
      <c r="A335" s="7" t="s">
        <v>456</v>
      </c>
      <c r="B335" s="7" t="s">
        <v>2300</v>
      </c>
      <c r="C335" s="13">
        <v>28.025213048155901</v>
      </c>
      <c r="D335" s="13" t="s">
        <v>37</v>
      </c>
      <c r="E335" s="13" t="s">
        <v>37</v>
      </c>
      <c r="F335" s="13" t="s">
        <v>37</v>
      </c>
      <c r="G335" s="18" t="s">
        <v>37</v>
      </c>
      <c r="H335" s="7" t="b">
        <v>0</v>
      </c>
    </row>
    <row r="336" spans="1:8" x14ac:dyDescent="0.3">
      <c r="A336" s="7" t="s">
        <v>456</v>
      </c>
      <c r="B336" s="7" t="s">
        <v>2301</v>
      </c>
      <c r="C336" s="13">
        <v>29.236397947610602</v>
      </c>
      <c r="D336" s="13" t="s">
        <v>37</v>
      </c>
      <c r="E336" s="13" t="s">
        <v>37</v>
      </c>
      <c r="F336" s="13" t="s">
        <v>37</v>
      </c>
      <c r="G336" s="18" t="s">
        <v>37</v>
      </c>
      <c r="H336" s="7" t="b">
        <v>0</v>
      </c>
    </row>
    <row r="337" spans="1:8" x14ac:dyDescent="0.3">
      <c r="A337" s="7" t="s">
        <v>456</v>
      </c>
      <c r="B337" s="7" t="s">
        <v>2302</v>
      </c>
      <c r="C337" s="13">
        <v>32.966391627113197</v>
      </c>
      <c r="D337" s="13" t="s">
        <v>37</v>
      </c>
      <c r="E337" s="13" t="s">
        <v>37</v>
      </c>
      <c r="F337" s="13" t="s">
        <v>37</v>
      </c>
      <c r="G337" s="18" t="s">
        <v>37</v>
      </c>
      <c r="H337" s="7" t="b">
        <v>0</v>
      </c>
    </row>
    <row r="338" spans="1:8" x14ac:dyDescent="0.3">
      <c r="A338" s="7" t="s">
        <v>456</v>
      </c>
      <c r="B338" s="7" t="s">
        <v>3880</v>
      </c>
      <c r="C338" s="13">
        <v>28.791082731089499</v>
      </c>
      <c r="D338" s="13">
        <v>521.47900000000004</v>
      </c>
      <c r="E338" s="13">
        <v>5.5210435570923297E-2</v>
      </c>
      <c r="F338" s="13">
        <v>-1.2579788265729199</v>
      </c>
      <c r="G338" s="18">
        <v>1.2579788265729199</v>
      </c>
      <c r="H338" s="7" t="b">
        <v>1</v>
      </c>
    </row>
    <row r="339" spans="1:8" x14ac:dyDescent="0.3">
      <c r="A339" s="7" t="s">
        <v>456</v>
      </c>
      <c r="B339" s="7" t="s">
        <v>3881</v>
      </c>
      <c r="C339" s="13">
        <v>31.472204954353799</v>
      </c>
      <c r="D339" s="13">
        <v>897.06799999999998</v>
      </c>
      <c r="E339" s="13">
        <v>3.5083410571276397E-2</v>
      </c>
      <c r="F339" s="13">
        <v>-1.4548981940891399</v>
      </c>
      <c r="G339" s="18">
        <v>1.4548981940891399</v>
      </c>
      <c r="H339" s="7" t="b">
        <v>1</v>
      </c>
    </row>
    <row r="340" spans="1:8" x14ac:dyDescent="0.3">
      <c r="A340" s="7" t="s">
        <v>456</v>
      </c>
      <c r="B340" s="7" t="s">
        <v>3882</v>
      </c>
      <c r="C340" s="13">
        <v>29.743385662835699</v>
      </c>
      <c r="D340" s="13">
        <v>1139.183</v>
      </c>
      <c r="E340" s="13">
        <v>2.61094009152486E-2</v>
      </c>
      <c r="F340" s="13">
        <v>-1.5832030930252601</v>
      </c>
      <c r="G340" s="18">
        <v>1.5832030930252601</v>
      </c>
      <c r="H340" s="7" t="b">
        <v>1</v>
      </c>
    </row>
    <row r="341" spans="1:8" x14ac:dyDescent="0.3">
      <c r="A341" s="7" t="s">
        <v>456</v>
      </c>
      <c r="B341" s="7" t="s">
        <v>3883</v>
      </c>
      <c r="C341" s="13">
        <v>29.926482173571401</v>
      </c>
      <c r="D341" s="13">
        <v>381.79700000000003</v>
      </c>
      <c r="E341" s="13">
        <v>7.8383230286176706E-2</v>
      </c>
      <c r="F341" s="13">
        <v>-1.10577684258599</v>
      </c>
      <c r="G341" s="18">
        <v>1.10577684258599</v>
      </c>
      <c r="H341" s="7" t="b">
        <v>1</v>
      </c>
    </row>
    <row r="342" spans="1:8" x14ac:dyDescent="0.3">
      <c r="A342" s="7" t="s">
        <v>456</v>
      </c>
      <c r="B342" s="7" t="s">
        <v>3884</v>
      </c>
      <c r="C342" s="13">
        <v>28.515134553183099</v>
      </c>
      <c r="D342" s="13">
        <v>605.28800000000001</v>
      </c>
      <c r="E342" s="13">
        <v>4.7110027876288797E-2</v>
      </c>
      <c r="F342" s="13">
        <v>-1.3268866387778</v>
      </c>
      <c r="G342" s="18">
        <v>1.3268866387778</v>
      </c>
      <c r="H342" s="7" t="b">
        <v>1</v>
      </c>
    </row>
    <row r="343" spans="1:8" x14ac:dyDescent="0.3">
      <c r="A343" s="7" t="s">
        <v>611</v>
      </c>
      <c r="B343" s="7" t="s">
        <v>2244</v>
      </c>
      <c r="C343" s="13">
        <v>8.6334860069026291</v>
      </c>
      <c r="D343" s="13" t="s">
        <v>37</v>
      </c>
      <c r="E343" s="13" t="s">
        <v>37</v>
      </c>
      <c r="F343" s="13" t="s">
        <v>37</v>
      </c>
      <c r="G343" s="18" t="s">
        <v>37</v>
      </c>
      <c r="H343" s="7" t="b">
        <v>0</v>
      </c>
    </row>
    <row r="344" spans="1:8" x14ac:dyDescent="0.3">
      <c r="A344" s="7" t="s">
        <v>611</v>
      </c>
      <c r="B344" s="7" t="s">
        <v>2247</v>
      </c>
      <c r="C344" s="13">
        <v>8.6334860069026291</v>
      </c>
      <c r="D344" s="13" t="s">
        <v>37</v>
      </c>
      <c r="E344" s="13" t="s">
        <v>37</v>
      </c>
      <c r="F344" s="13" t="s">
        <v>37</v>
      </c>
      <c r="G344" s="18" t="s">
        <v>37</v>
      </c>
      <c r="H344" s="7" t="b">
        <v>0</v>
      </c>
    </row>
    <row r="345" spans="1:8" x14ac:dyDescent="0.3">
      <c r="A345" s="7" t="s">
        <v>611</v>
      </c>
      <c r="B345" s="7" t="s">
        <v>2300</v>
      </c>
      <c r="C345" s="13">
        <v>8.6334860069026291</v>
      </c>
      <c r="D345" s="13" t="s">
        <v>37</v>
      </c>
      <c r="E345" s="13" t="s">
        <v>37</v>
      </c>
      <c r="F345" s="13" t="s">
        <v>37</v>
      </c>
      <c r="G345" s="18" t="s">
        <v>37</v>
      </c>
      <c r="H345" s="7" t="b">
        <v>0</v>
      </c>
    </row>
    <row r="346" spans="1:8" x14ac:dyDescent="0.3">
      <c r="A346" s="7" t="s">
        <v>611</v>
      </c>
      <c r="B346" s="7" t="s">
        <v>2301</v>
      </c>
      <c r="C346" s="13">
        <v>8.3983398892374801</v>
      </c>
      <c r="D346" s="13" t="s">
        <v>37</v>
      </c>
      <c r="E346" s="13" t="s">
        <v>37</v>
      </c>
      <c r="F346" s="13" t="s">
        <v>37</v>
      </c>
      <c r="G346" s="18" t="s">
        <v>37</v>
      </c>
      <c r="H346" s="7" t="b">
        <v>0</v>
      </c>
    </row>
    <row r="347" spans="1:8" x14ac:dyDescent="0.3">
      <c r="A347" s="7" t="s">
        <v>611</v>
      </c>
      <c r="B347" s="7" t="s">
        <v>2302</v>
      </c>
      <c r="C347" s="13">
        <v>9.15427204098361</v>
      </c>
      <c r="D347" s="13" t="s">
        <v>37</v>
      </c>
      <c r="E347" s="13" t="s">
        <v>37</v>
      </c>
      <c r="F347" s="13" t="s">
        <v>37</v>
      </c>
      <c r="G347" s="18" t="s">
        <v>37</v>
      </c>
      <c r="H347" s="7" t="b">
        <v>0</v>
      </c>
    </row>
    <row r="348" spans="1:8" x14ac:dyDescent="0.3">
      <c r="A348" s="7" t="s">
        <v>611</v>
      </c>
      <c r="B348" s="7" t="s">
        <v>3880</v>
      </c>
      <c r="C348" s="13">
        <v>8.0288057020151609</v>
      </c>
      <c r="D348" s="13">
        <v>76.98</v>
      </c>
      <c r="E348" s="13">
        <v>0.104297294128542</v>
      </c>
      <c r="F348" s="13">
        <v>-0.98172695869031201</v>
      </c>
      <c r="G348" s="18">
        <v>0.98172695869031201</v>
      </c>
      <c r="H348" s="7" t="b">
        <v>0</v>
      </c>
    </row>
    <row r="349" spans="1:8" x14ac:dyDescent="0.3">
      <c r="A349" s="7" t="s">
        <v>611</v>
      </c>
      <c r="B349" s="7" t="s">
        <v>3881</v>
      </c>
      <c r="C349" s="13">
        <v>7.8585143662750498</v>
      </c>
      <c r="D349" s="13">
        <v>55.252000000000002</v>
      </c>
      <c r="E349" s="13">
        <v>0.14223040552876001</v>
      </c>
      <c r="F349" s="13">
        <v>-0.847007551694829</v>
      </c>
      <c r="G349" s="18">
        <v>0.847007551694829</v>
      </c>
      <c r="H349" s="7" t="b">
        <v>0</v>
      </c>
    </row>
    <row r="350" spans="1:8" x14ac:dyDescent="0.3">
      <c r="A350" s="7" t="s">
        <v>611</v>
      </c>
      <c r="B350" s="7" t="s">
        <v>3882</v>
      </c>
      <c r="C350" s="13">
        <v>8.3159196226921797</v>
      </c>
      <c r="D350" s="13">
        <v>98.087999999999994</v>
      </c>
      <c r="E350" s="13">
        <v>8.4780193527161096E-2</v>
      </c>
      <c r="F350" s="13">
        <v>-1.0717055964056601</v>
      </c>
      <c r="G350" s="18">
        <v>1.0717055964056601</v>
      </c>
      <c r="H350" s="7" t="b">
        <v>1</v>
      </c>
    </row>
    <row r="351" spans="1:8" x14ac:dyDescent="0.3">
      <c r="A351" s="7" t="s">
        <v>611</v>
      </c>
      <c r="B351" s="7" t="s">
        <v>3883</v>
      </c>
      <c r="C351" s="13">
        <v>8.3722005584276893</v>
      </c>
      <c r="D351" s="13">
        <v>58.976999999999997</v>
      </c>
      <c r="E351" s="13">
        <v>0.14195704356660499</v>
      </c>
      <c r="F351" s="13">
        <v>-0.84784305395729398</v>
      </c>
      <c r="G351" s="18">
        <v>0.84784305395729398</v>
      </c>
      <c r="H351" s="7" t="b">
        <v>0</v>
      </c>
    </row>
    <row r="352" spans="1:8" x14ac:dyDescent="0.3">
      <c r="A352" s="7" t="s">
        <v>611</v>
      </c>
      <c r="B352" s="7" t="s">
        <v>3884</v>
      </c>
      <c r="C352" s="13">
        <v>8.5160823722093308</v>
      </c>
      <c r="D352" s="13">
        <v>72.635000000000005</v>
      </c>
      <c r="E352" s="13">
        <v>0.117244887068346</v>
      </c>
      <c r="F352" s="13">
        <v>-0.93090608734567404</v>
      </c>
      <c r="G352" s="18">
        <v>0.93090608734567404</v>
      </c>
      <c r="H352" s="7" t="b">
        <v>0</v>
      </c>
    </row>
    <row r="353" spans="1:8" x14ac:dyDescent="0.3">
      <c r="A353" s="7" t="s">
        <v>1363</v>
      </c>
      <c r="B353" s="7" t="s">
        <v>2244</v>
      </c>
      <c r="C353" s="13">
        <v>0</v>
      </c>
      <c r="D353" s="13" t="s">
        <v>37</v>
      </c>
      <c r="E353" s="13" t="s">
        <v>37</v>
      </c>
      <c r="F353" s="13" t="s">
        <v>37</v>
      </c>
      <c r="G353" s="18" t="s">
        <v>37</v>
      </c>
      <c r="H353" s="7" t="b">
        <v>0</v>
      </c>
    </row>
    <row r="354" spans="1:8" x14ac:dyDescent="0.3">
      <c r="A354" s="7" t="s">
        <v>1363</v>
      </c>
      <c r="B354" s="7" t="s">
        <v>2247</v>
      </c>
      <c r="C354" s="13">
        <v>0</v>
      </c>
      <c r="D354" s="13" t="s">
        <v>37</v>
      </c>
      <c r="E354" s="13" t="s">
        <v>37</v>
      </c>
      <c r="F354" s="13" t="s">
        <v>37</v>
      </c>
      <c r="G354" s="18" t="s">
        <v>37</v>
      </c>
      <c r="H354" s="7" t="b">
        <v>0</v>
      </c>
    </row>
    <row r="355" spans="1:8" x14ac:dyDescent="0.3">
      <c r="A355" s="7" t="s">
        <v>1363</v>
      </c>
      <c r="B355" s="7" t="s">
        <v>2300</v>
      </c>
      <c r="C355" s="13">
        <v>0</v>
      </c>
      <c r="D355" s="13" t="s">
        <v>37</v>
      </c>
      <c r="E355" s="13" t="s">
        <v>37</v>
      </c>
      <c r="F355" s="13" t="s">
        <v>37</v>
      </c>
      <c r="G355" s="18" t="s">
        <v>37</v>
      </c>
      <c r="H355" s="7" t="b">
        <v>0</v>
      </c>
    </row>
    <row r="356" spans="1:8" x14ac:dyDescent="0.3">
      <c r="A356" s="7" t="s">
        <v>1363</v>
      </c>
      <c r="B356" s="7" t="s">
        <v>2301</v>
      </c>
      <c r="C356" s="13">
        <v>0</v>
      </c>
      <c r="D356" s="13" t="s">
        <v>37</v>
      </c>
      <c r="E356" s="13" t="s">
        <v>37</v>
      </c>
      <c r="F356" s="13" t="s">
        <v>37</v>
      </c>
      <c r="G356" s="18" t="s">
        <v>37</v>
      </c>
      <c r="H356" s="7" t="b">
        <v>0</v>
      </c>
    </row>
    <row r="357" spans="1:8" x14ac:dyDescent="0.3">
      <c r="A357" s="7" t="s">
        <v>1363</v>
      </c>
      <c r="B357" s="7" t="s">
        <v>2302</v>
      </c>
      <c r="C357" s="13">
        <v>0</v>
      </c>
      <c r="D357" s="13" t="s">
        <v>37</v>
      </c>
      <c r="E357" s="13" t="s">
        <v>37</v>
      </c>
      <c r="F357" s="13" t="s">
        <v>37</v>
      </c>
      <c r="G357" s="18" t="s">
        <v>37</v>
      </c>
      <c r="H357" s="7" t="b">
        <v>0</v>
      </c>
    </row>
    <row r="358" spans="1:8" x14ac:dyDescent="0.3">
      <c r="A358" s="7" t="s">
        <v>1363</v>
      </c>
      <c r="B358" s="7" t="s">
        <v>3880</v>
      </c>
      <c r="C358" s="13">
        <v>0</v>
      </c>
      <c r="D358" s="13">
        <v>1.831</v>
      </c>
      <c r="E358" s="13">
        <v>0</v>
      </c>
      <c r="F358" s="13">
        <v>-1</v>
      </c>
      <c r="G358" s="18">
        <v>1</v>
      </c>
      <c r="H358" s="7" t="b">
        <v>1</v>
      </c>
    </row>
    <row r="359" spans="1:8" x14ac:dyDescent="0.3">
      <c r="A359" s="7" t="s">
        <v>1363</v>
      </c>
      <c r="B359" s="7" t="s">
        <v>3881</v>
      </c>
      <c r="C359" s="13">
        <v>0</v>
      </c>
      <c r="D359" s="13">
        <v>4.4080000000000004</v>
      </c>
      <c r="E359" s="13">
        <v>0</v>
      </c>
      <c r="F359" s="13">
        <v>-1</v>
      </c>
      <c r="G359" s="18">
        <v>1</v>
      </c>
      <c r="H359" s="7" t="b">
        <v>1</v>
      </c>
    </row>
    <row r="360" spans="1:8" x14ac:dyDescent="0.3">
      <c r="A360" s="7" t="s">
        <v>1363</v>
      </c>
      <c r="B360" s="7" t="s">
        <v>3882</v>
      </c>
      <c r="C360" s="13">
        <v>0</v>
      </c>
      <c r="D360" s="13">
        <v>1.921</v>
      </c>
      <c r="E360" s="13">
        <v>0</v>
      </c>
      <c r="F360" s="13">
        <v>-1</v>
      </c>
      <c r="G360" s="18">
        <v>1</v>
      </c>
      <c r="H360" s="7" t="b">
        <v>1</v>
      </c>
    </row>
    <row r="361" spans="1:8" x14ac:dyDescent="0.3">
      <c r="A361" s="7" t="s">
        <v>1363</v>
      </c>
      <c r="B361" s="7" t="s">
        <v>3883</v>
      </c>
      <c r="C361" s="13">
        <v>0</v>
      </c>
      <c r="D361" s="13">
        <v>0.44400000000000001</v>
      </c>
      <c r="E361" s="13">
        <v>0</v>
      </c>
      <c r="F361" s="13">
        <v>-1</v>
      </c>
      <c r="G361" s="18">
        <v>1</v>
      </c>
      <c r="H361" s="7" t="b">
        <v>1</v>
      </c>
    </row>
    <row r="362" spans="1:8" x14ac:dyDescent="0.3">
      <c r="A362" s="7" t="s">
        <v>1363</v>
      </c>
      <c r="B362" s="7" t="s">
        <v>3884</v>
      </c>
      <c r="C362" s="13">
        <v>0</v>
      </c>
      <c r="D362" s="13" t="s">
        <v>37</v>
      </c>
      <c r="E362" s="13" t="s">
        <v>37</v>
      </c>
      <c r="F362" s="13" t="s">
        <v>37</v>
      </c>
      <c r="G362" s="18" t="s">
        <v>37</v>
      </c>
      <c r="H362" s="7" t="b">
        <v>0</v>
      </c>
    </row>
    <row r="363" spans="1:8" x14ac:dyDescent="0.3">
      <c r="A363" s="7" t="s">
        <v>254</v>
      </c>
      <c r="B363" s="7" t="s">
        <v>2244</v>
      </c>
      <c r="C363" s="13">
        <v>4.8063227601016401</v>
      </c>
      <c r="D363" s="13" t="s">
        <v>37</v>
      </c>
      <c r="E363" s="13" t="s">
        <v>37</v>
      </c>
      <c r="F363" s="13" t="s">
        <v>37</v>
      </c>
      <c r="G363" s="18" t="s">
        <v>37</v>
      </c>
      <c r="H363" s="7" t="b">
        <v>0</v>
      </c>
    </row>
    <row r="364" spans="1:8" x14ac:dyDescent="0.3">
      <c r="A364" s="7" t="s">
        <v>254</v>
      </c>
      <c r="B364" s="7" t="s">
        <v>2247</v>
      </c>
      <c r="C364" s="13">
        <v>4.8063227601016401</v>
      </c>
      <c r="D364" s="13" t="s">
        <v>37</v>
      </c>
      <c r="E364" s="13" t="s">
        <v>37</v>
      </c>
      <c r="F364" s="13" t="s">
        <v>37</v>
      </c>
      <c r="G364" s="18" t="s">
        <v>37</v>
      </c>
      <c r="H364" s="7" t="b">
        <v>0</v>
      </c>
    </row>
    <row r="365" spans="1:8" x14ac:dyDescent="0.3">
      <c r="A365" s="7" t="s">
        <v>254</v>
      </c>
      <c r="B365" s="7" t="s">
        <v>2300</v>
      </c>
      <c r="C365" s="13">
        <v>4.8063227601016401</v>
      </c>
      <c r="D365" s="13" t="s">
        <v>37</v>
      </c>
      <c r="E365" s="13" t="s">
        <v>37</v>
      </c>
      <c r="F365" s="13" t="s">
        <v>37</v>
      </c>
      <c r="G365" s="18" t="s">
        <v>37</v>
      </c>
      <c r="H365" s="7" t="b">
        <v>0</v>
      </c>
    </row>
    <row r="366" spans="1:8" x14ac:dyDescent="0.3">
      <c r="A366" s="7" t="s">
        <v>254</v>
      </c>
      <c r="B366" s="7" t="s">
        <v>2301</v>
      </c>
      <c r="C366" s="13">
        <v>5.0690369185425999</v>
      </c>
      <c r="D366" s="13" t="s">
        <v>37</v>
      </c>
      <c r="E366" s="13" t="s">
        <v>37</v>
      </c>
      <c r="F366" s="13" t="s">
        <v>37</v>
      </c>
      <c r="G366" s="18" t="s">
        <v>37</v>
      </c>
      <c r="H366" s="7" t="b">
        <v>0</v>
      </c>
    </row>
    <row r="367" spans="1:8" x14ac:dyDescent="0.3">
      <c r="A367" s="7" t="s">
        <v>254</v>
      </c>
      <c r="B367" s="7" t="s">
        <v>2302</v>
      </c>
      <c r="C367" s="13">
        <v>4.2366994968160903</v>
      </c>
      <c r="D367" s="13" t="s">
        <v>37</v>
      </c>
      <c r="E367" s="13" t="s">
        <v>37</v>
      </c>
      <c r="F367" s="13" t="s">
        <v>37</v>
      </c>
      <c r="G367" s="18" t="s">
        <v>37</v>
      </c>
      <c r="H367" s="7" t="b">
        <v>0</v>
      </c>
    </row>
    <row r="368" spans="1:8" x14ac:dyDescent="0.3">
      <c r="A368" s="7" t="s">
        <v>254</v>
      </c>
      <c r="B368" s="7" t="s">
        <v>3880</v>
      </c>
      <c r="C368" s="13">
        <v>4.9834770086068696</v>
      </c>
      <c r="D368" s="13">
        <v>11.268000000000001</v>
      </c>
      <c r="E368" s="13">
        <v>0.44226810513018</v>
      </c>
      <c r="F368" s="13">
        <v>-0.35431437934037302</v>
      </c>
      <c r="G368" s="18">
        <v>0.35431437934037302</v>
      </c>
      <c r="H368" s="7" t="b">
        <v>0</v>
      </c>
    </row>
    <row r="369" spans="1:8" x14ac:dyDescent="0.3">
      <c r="A369" s="7" t="s">
        <v>254</v>
      </c>
      <c r="B369" s="7" t="s">
        <v>3881</v>
      </c>
      <c r="C369" s="13">
        <v>4.6340260844160301</v>
      </c>
      <c r="D369" s="13">
        <v>20.393999999999998</v>
      </c>
      <c r="E369" s="13">
        <v>0.227224972267139</v>
      </c>
      <c r="F369" s="13">
        <v>-0.64354394091066103</v>
      </c>
      <c r="G369" s="18">
        <v>0.64354394091066103</v>
      </c>
      <c r="H369" s="7" t="b">
        <v>0</v>
      </c>
    </row>
    <row r="370" spans="1:8" x14ac:dyDescent="0.3">
      <c r="A370" s="7" t="s">
        <v>254</v>
      </c>
      <c r="B370" s="7" t="s">
        <v>3882</v>
      </c>
      <c r="C370" s="13">
        <v>4.6518632218563303</v>
      </c>
      <c r="D370" s="13">
        <v>22.318000000000001</v>
      </c>
      <c r="E370" s="13">
        <v>0.20843548803012499</v>
      </c>
      <c r="F370" s="13">
        <v>-0.68102833650713701</v>
      </c>
      <c r="G370" s="18">
        <v>0.68102833650713701</v>
      </c>
      <c r="H370" s="7" t="b">
        <v>0</v>
      </c>
    </row>
    <row r="371" spans="1:8" x14ac:dyDescent="0.3">
      <c r="A371" s="7" t="s">
        <v>254</v>
      </c>
      <c r="B371" s="7" t="s">
        <v>3883</v>
      </c>
      <c r="C371" s="13">
        <v>4.7033071337946</v>
      </c>
      <c r="D371" s="13">
        <v>15.303000000000001</v>
      </c>
      <c r="E371" s="13">
        <v>0.30734543120921398</v>
      </c>
      <c r="F371" s="13">
        <v>-0.51237323842526195</v>
      </c>
      <c r="G371" s="18">
        <v>0.51237323842526195</v>
      </c>
      <c r="H371" s="7" t="b">
        <v>0</v>
      </c>
    </row>
    <row r="372" spans="1:8" x14ac:dyDescent="0.3">
      <c r="A372" s="7" t="s">
        <v>254</v>
      </c>
      <c r="B372" s="7" t="s">
        <v>3884</v>
      </c>
      <c r="C372" s="13">
        <v>5.0068708141519496</v>
      </c>
      <c r="D372" s="13" t="s">
        <v>37</v>
      </c>
      <c r="E372" s="13" t="s">
        <v>37</v>
      </c>
      <c r="F372" s="13" t="s">
        <v>37</v>
      </c>
      <c r="G372" s="18" t="s">
        <v>37</v>
      </c>
      <c r="H372" s="7" t="b">
        <v>0</v>
      </c>
    </row>
    <row r="373" spans="1:8" x14ac:dyDescent="0.3">
      <c r="A373" s="7" t="s">
        <v>659</v>
      </c>
      <c r="B373" s="7" t="s">
        <v>2244</v>
      </c>
      <c r="C373" s="13">
        <v>68.402336227140594</v>
      </c>
      <c r="D373" s="13" t="s">
        <v>37</v>
      </c>
      <c r="E373" s="13" t="s">
        <v>37</v>
      </c>
      <c r="F373" s="13" t="s">
        <v>37</v>
      </c>
      <c r="G373" s="18" t="s">
        <v>37</v>
      </c>
      <c r="H373" s="7" t="b">
        <v>0</v>
      </c>
    </row>
    <row r="374" spans="1:8" x14ac:dyDescent="0.3">
      <c r="A374" s="7" t="s">
        <v>659</v>
      </c>
      <c r="B374" s="7" t="s">
        <v>2247</v>
      </c>
      <c r="C374" s="13">
        <v>68.402336227140594</v>
      </c>
      <c r="D374" s="13" t="s">
        <v>37</v>
      </c>
      <c r="E374" s="13" t="s">
        <v>37</v>
      </c>
      <c r="F374" s="13" t="s">
        <v>37</v>
      </c>
      <c r="G374" s="18" t="s">
        <v>37</v>
      </c>
      <c r="H374" s="7" t="b">
        <v>0</v>
      </c>
    </row>
    <row r="375" spans="1:8" x14ac:dyDescent="0.3">
      <c r="A375" s="7" t="s">
        <v>659</v>
      </c>
      <c r="B375" s="7" t="s">
        <v>2300</v>
      </c>
      <c r="C375" s="13">
        <v>68.402336227140594</v>
      </c>
      <c r="D375" s="13" t="s">
        <v>37</v>
      </c>
      <c r="E375" s="13" t="s">
        <v>37</v>
      </c>
      <c r="F375" s="13" t="s">
        <v>37</v>
      </c>
      <c r="G375" s="18" t="s">
        <v>37</v>
      </c>
      <c r="H375" s="7" t="b">
        <v>0</v>
      </c>
    </row>
    <row r="376" spans="1:8" x14ac:dyDescent="0.3">
      <c r="A376" s="7" t="s">
        <v>659</v>
      </c>
      <c r="B376" s="7" t="s">
        <v>2301</v>
      </c>
      <c r="C376" s="13">
        <v>68.411397403753895</v>
      </c>
      <c r="D376" s="13" t="s">
        <v>37</v>
      </c>
      <c r="E376" s="13" t="s">
        <v>37</v>
      </c>
      <c r="F376" s="13" t="s">
        <v>37</v>
      </c>
      <c r="G376" s="18" t="s">
        <v>37</v>
      </c>
      <c r="H376" s="7" t="b">
        <v>0</v>
      </c>
    </row>
    <row r="377" spans="1:8" x14ac:dyDescent="0.3">
      <c r="A377" s="7" t="s">
        <v>659</v>
      </c>
      <c r="B377" s="7" t="s">
        <v>2302</v>
      </c>
      <c r="C377" s="13">
        <v>78.360134285553301</v>
      </c>
      <c r="D377" s="13" t="s">
        <v>37</v>
      </c>
      <c r="E377" s="13" t="s">
        <v>37</v>
      </c>
      <c r="F377" s="13" t="s">
        <v>37</v>
      </c>
      <c r="G377" s="18" t="s">
        <v>37</v>
      </c>
      <c r="H377" s="7" t="b">
        <v>0</v>
      </c>
    </row>
    <row r="378" spans="1:8" x14ac:dyDescent="0.3">
      <c r="A378" s="7" t="s">
        <v>659</v>
      </c>
      <c r="B378" s="7" t="s">
        <v>3880</v>
      </c>
      <c r="C378" s="13">
        <v>69.468567712637295</v>
      </c>
      <c r="D378" s="13">
        <v>11.763999999999999</v>
      </c>
      <c r="E378" s="13">
        <v>5.9051825665281603</v>
      </c>
      <c r="F378" s="13">
        <v>0.77123332894531804</v>
      </c>
      <c r="G378" s="18">
        <v>0.77123332894531804</v>
      </c>
      <c r="H378" s="7" t="b">
        <v>0</v>
      </c>
    </row>
    <row r="379" spans="1:8" x14ac:dyDescent="0.3">
      <c r="A379" s="7" t="s">
        <v>659</v>
      </c>
      <c r="B379" s="7" t="s">
        <v>3881</v>
      </c>
      <c r="C379" s="13">
        <v>72.896714068987606</v>
      </c>
      <c r="D379" s="13">
        <v>6.8289999999999997</v>
      </c>
      <c r="E379" s="13">
        <v>10.6745810615006</v>
      </c>
      <c r="F379" s="13">
        <v>1.02835083955198</v>
      </c>
      <c r="G379" s="18">
        <v>1.02835083955198</v>
      </c>
      <c r="H379" s="7" t="b">
        <v>0</v>
      </c>
    </row>
    <row r="380" spans="1:8" x14ac:dyDescent="0.3">
      <c r="A380" s="7" t="s">
        <v>659</v>
      </c>
      <c r="B380" s="7" t="s">
        <v>3882</v>
      </c>
      <c r="C380" s="13">
        <v>70.528288147482399</v>
      </c>
      <c r="D380" s="13">
        <v>2.5419999999999998</v>
      </c>
      <c r="E380" s="13">
        <v>27.745195966751499</v>
      </c>
      <c r="F380" s="13">
        <v>1.44318779662102</v>
      </c>
      <c r="G380" s="18">
        <v>1.44318779662102</v>
      </c>
      <c r="H380" s="7" t="b">
        <v>0</v>
      </c>
    </row>
    <row r="381" spans="1:8" x14ac:dyDescent="0.3">
      <c r="A381" s="7" t="s">
        <v>659</v>
      </c>
      <c r="B381" s="7" t="s">
        <v>3883</v>
      </c>
      <c r="C381" s="13">
        <v>67.326566030127097</v>
      </c>
      <c r="D381" s="13">
        <v>5.2460000000000004</v>
      </c>
      <c r="E381" s="13">
        <v>12.833886014130201</v>
      </c>
      <c r="F381" s="13">
        <v>1.1083581777279501</v>
      </c>
      <c r="G381" s="18">
        <v>1.1083581777279501</v>
      </c>
      <c r="H381" s="7" t="b">
        <v>0</v>
      </c>
    </row>
    <row r="382" spans="1:8" x14ac:dyDescent="0.3">
      <c r="A382" s="7" t="s">
        <v>659</v>
      </c>
      <c r="B382" s="7" t="s">
        <v>3884</v>
      </c>
      <c r="C382" s="13">
        <v>69.935780355077398</v>
      </c>
      <c r="D382" s="13">
        <v>5.96</v>
      </c>
      <c r="E382" s="13">
        <v>11.7341913347445</v>
      </c>
      <c r="F382" s="13">
        <v>1.0694531654335999</v>
      </c>
      <c r="G382" s="18">
        <v>1.0694531654335999</v>
      </c>
      <c r="H382" s="7" t="b">
        <v>0</v>
      </c>
    </row>
    <row r="383" spans="1:8" x14ac:dyDescent="0.3">
      <c r="A383" s="7" t="s">
        <v>50</v>
      </c>
      <c r="B383" s="7" t="s">
        <v>2244</v>
      </c>
      <c r="C383" s="13">
        <v>0</v>
      </c>
      <c r="D383" s="13" t="s">
        <v>37</v>
      </c>
      <c r="E383" s="13" t="s">
        <v>37</v>
      </c>
      <c r="F383" s="13" t="s">
        <v>37</v>
      </c>
      <c r="G383" s="18" t="s">
        <v>37</v>
      </c>
      <c r="H383" s="7" t="b">
        <v>0</v>
      </c>
    </row>
    <row r="384" spans="1:8" x14ac:dyDescent="0.3">
      <c r="A384" s="7" t="s">
        <v>50</v>
      </c>
      <c r="B384" s="7" t="s">
        <v>2247</v>
      </c>
      <c r="C384" s="13">
        <v>0</v>
      </c>
      <c r="D384" s="13" t="s">
        <v>37</v>
      </c>
      <c r="E384" s="13" t="s">
        <v>37</v>
      </c>
      <c r="F384" s="13" t="s">
        <v>37</v>
      </c>
      <c r="G384" s="18" t="s">
        <v>37</v>
      </c>
      <c r="H384" s="7" t="b">
        <v>0</v>
      </c>
    </row>
    <row r="385" spans="1:8" x14ac:dyDescent="0.3">
      <c r="A385" s="7" t="s">
        <v>50</v>
      </c>
      <c r="B385" s="7" t="s">
        <v>2300</v>
      </c>
      <c r="C385" s="13">
        <v>0</v>
      </c>
      <c r="D385" s="13" t="s">
        <v>37</v>
      </c>
      <c r="E385" s="13" t="s">
        <v>37</v>
      </c>
      <c r="F385" s="13" t="s">
        <v>37</v>
      </c>
      <c r="G385" s="18" t="s">
        <v>37</v>
      </c>
      <c r="H385" s="7" t="b">
        <v>0</v>
      </c>
    </row>
    <row r="386" spans="1:8" x14ac:dyDescent="0.3">
      <c r="A386" s="7" t="s">
        <v>50</v>
      </c>
      <c r="B386" s="7" t="s">
        <v>2301</v>
      </c>
      <c r="C386" s="13">
        <v>0</v>
      </c>
      <c r="D386" s="13" t="s">
        <v>37</v>
      </c>
      <c r="E386" s="13" t="s">
        <v>37</v>
      </c>
      <c r="F386" s="13" t="s">
        <v>37</v>
      </c>
      <c r="G386" s="18" t="s">
        <v>37</v>
      </c>
      <c r="H386" s="7" t="b">
        <v>0</v>
      </c>
    </row>
    <row r="387" spans="1:8" x14ac:dyDescent="0.3">
      <c r="A387" s="7" t="s">
        <v>50</v>
      </c>
      <c r="B387" s="7" t="s">
        <v>2302</v>
      </c>
      <c r="C387" s="13">
        <v>0</v>
      </c>
      <c r="D387" s="13" t="s">
        <v>37</v>
      </c>
      <c r="E387" s="13" t="s">
        <v>37</v>
      </c>
      <c r="F387" s="13" t="s">
        <v>37</v>
      </c>
      <c r="G387" s="18" t="s">
        <v>37</v>
      </c>
      <c r="H387" s="7" t="b">
        <v>0</v>
      </c>
    </row>
    <row r="388" spans="1:8" x14ac:dyDescent="0.3">
      <c r="A388" s="7" t="s">
        <v>50</v>
      </c>
      <c r="B388" s="7" t="s">
        <v>3880</v>
      </c>
      <c r="C388" s="13">
        <v>0</v>
      </c>
      <c r="D388" s="13">
        <v>9.4359999999999999</v>
      </c>
      <c r="E388" s="13">
        <v>0</v>
      </c>
      <c r="F388" s="13">
        <v>-1</v>
      </c>
      <c r="G388" s="18">
        <v>1</v>
      </c>
      <c r="H388" s="7" t="b">
        <v>1</v>
      </c>
    </row>
    <row r="389" spans="1:8" x14ac:dyDescent="0.3">
      <c r="A389" s="7" t="s">
        <v>50</v>
      </c>
      <c r="B389" s="7" t="s">
        <v>3881</v>
      </c>
      <c r="C389" s="13">
        <v>0</v>
      </c>
      <c r="D389" s="13">
        <v>58.045999999999999</v>
      </c>
      <c r="E389" s="13">
        <v>0</v>
      </c>
      <c r="F389" s="13">
        <v>-1</v>
      </c>
      <c r="G389" s="18">
        <v>1</v>
      </c>
      <c r="H389" s="7" t="b">
        <v>1</v>
      </c>
    </row>
    <row r="390" spans="1:8" x14ac:dyDescent="0.3">
      <c r="A390" s="7" t="s">
        <v>50</v>
      </c>
      <c r="B390" s="7" t="s">
        <v>3882</v>
      </c>
      <c r="C390" s="13">
        <v>0</v>
      </c>
      <c r="D390" s="13">
        <v>19.710999999999999</v>
      </c>
      <c r="E390" s="13">
        <v>0</v>
      </c>
      <c r="F390" s="13">
        <v>-1</v>
      </c>
      <c r="G390" s="18">
        <v>1</v>
      </c>
      <c r="H390" s="7" t="b">
        <v>1</v>
      </c>
    </row>
    <row r="391" spans="1:8" x14ac:dyDescent="0.3">
      <c r="A391" s="7" t="s">
        <v>50</v>
      </c>
      <c r="B391" s="7" t="s">
        <v>3883</v>
      </c>
      <c r="C391" s="13">
        <v>0</v>
      </c>
      <c r="D391" s="13" t="s">
        <v>37</v>
      </c>
      <c r="E391" s="13" t="s">
        <v>37</v>
      </c>
      <c r="F391" s="13" t="s">
        <v>37</v>
      </c>
      <c r="G391" s="18" t="s">
        <v>37</v>
      </c>
      <c r="H391" s="7" t="b">
        <v>0</v>
      </c>
    </row>
    <row r="392" spans="1:8" x14ac:dyDescent="0.3">
      <c r="A392" s="7" t="s">
        <v>50</v>
      </c>
      <c r="B392" s="7" t="s">
        <v>3884</v>
      </c>
      <c r="C392" s="13">
        <v>0</v>
      </c>
      <c r="D392" s="13" t="s">
        <v>37</v>
      </c>
      <c r="E392" s="13" t="s">
        <v>37</v>
      </c>
      <c r="F392" s="13" t="s">
        <v>37</v>
      </c>
      <c r="G392" s="18" t="s">
        <v>37</v>
      </c>
      <c r="H392" s="7" t="b">
        <v>0</v>
      </c>
    </row>
    <row r="393" spans="1:8" x14ac:dyDescent="0.3">
      <c r="A393" s="7" t="s">
        <v>134</v>
      </c>
      <c r="B393" s="7" t="s">
        <v>2244</v>
      </c>
      <c r="C393" s="13">
        <v>20361.765094964099</v>
      </c>
      <c r="D393" s="13" t="s">
        <v>37</v>
      </c>
      <c r="E393" s="13" t="s">
        <v>37</v>
      </c>
      <c r="F393" s="13" t="s">
        <v>37</v>
      </c>
      <c r="G393" s="18" t="s">
        <v>37</v>
      </c>
      <c r="H393" s="7" t="b">
        <v>0</v>
      </c>
    </row>
    <row r="394" spans="1:8" x14ac:dyDescent="0.3">
      <c r="A394" s="7" t="s">
        <v>134</v>
      </c>
      <c r="B394" s="7" t="s">
        <v>2247</v>
      </c>
      <c r="C394" s="13">
        <v>20361.765094964099</v>
      </c>
      <c r="D394" s="13" t="s">
        <v>37</v>
      </c>
      <c r="E394" s="13" t="s">
        <v>37</v>
      </c>
      <c r="F394" s="13" t="s">
        <v>37</v>
      </c>
      <c r="G394" s="18" t="s">
        <v>37</v>
      </c>
      <c r="H394" s="7" t="b">
        <v>0</v>
      </c>
    </row>
    <row r="395" spans="1:8" x14ac:dyDescent="0.3">
      <c r="A395" s="7" t="s">
        <v>134</v>
      </c>
      <c r="B395" s="7" t="s">
        <v>2300</v>
      </c>
      <c r="C395" s="13">
        <v>20361.765094964099</v>
      </c>
      <c r="D395" s="13" t="s">
        <v>37</v>
      </c>
      <c r="E395" s="13" t="s">
        <v>37</v>
      </c>
      <c r="F395" s="13" t="s">
        <v>37</v>
      </c>
      <c r="G395" s="18" t="s">
        <v>37</v>
      </c>
      <c r="H395" s="7" t="b">
        <v>0</v>
      </c>
    </row>
    <row r="396" spans="1:8" x14ac:dyDescent="0.3">
      <c r="A396" s="7" t="s">
        <v>134</v>
      </c>
      <c r="B396" s="7" t="s">
        <v>2301</v>
      </c>
      <c r="C396" s="13">
        <v>20338.976584948501</v>
      </c>
      <c r="D396" s="13" t="s">
        <v>37</v>
      </c>
      <c r="E396" s="13" t="s">
        <v>37</v>
      </c>
      <c r="F396" s="13" t="s">
        <v>37</v>
      </c>
      <c r="G396" s="18" t="s">
        <v>37</v>
      </c>
      <c r="H396" s="7" t="b">
        <v>0</v>
      </c>
    </row>
    <row r="397" spans="1:8" x14ac:dyDescent="0.3">
      <c r="A397" s="7" t="s">
        <v>134</v>
      </c>
      <c r="B397" s="7" t="s">
        <v>2302</v>
      </c>
      <c r="C397" s="13">
        <v>20366.209790930799</v>
      </c>
      <c r="D397" s="13" t="s">
        <v>37</v>
      </c>
      <c r="E397" s="13" t="s">
        <v>37</v>
      </c>
      <c r="F397" s="13" t="s">
        <v>37</v>
      </c>
      <c r="G397" s="18" t="s">
        <v>37</v>
      </c>
      <c r="H397" s="7" t="b">
        <v>0</v>
      </c>
    </row>
    <row r="398" spans="1:8" x14ac:dyDescent="0.3">
      <c r="A398" s="7" t="s">
        <v>134</v>
      </c>
      <c r="B398" s="7" t="s">
        <v>3880</v>
      </c>
      <c r="C398" s="13">
        <v>20407.702964952801</v>
      </c>
      <c r="D398" s="13">
        <v>9870.8469999999998</v>
      </c>
      <c r="E398" s="13">
        <v>2.0674723217726698</v>
      </c>
      <c r="F398" s="13">
        <v>0.31543970415838901</v>
      </c>
      <c r="G398" s="18">
        <v>0.31543970415838901</v>
      </c>
      <c r="H398" s="7" t="b">
        <v>0</v>
      </c>
    </row>
    <row r="399" spans="1:8" x14ac:dyDescent="0.3">
      <c r="A399" s="7" t="s">
        <v>134</v>
      </c>
      <c r="B399" s="7" t="s">
        <v>3881</v>
      </c>
      <c r="C399" s="13">
        <v>20399.1611730363</v>
      </c>
      <c r="D399" s="13">
        <v>12385.12</v>
      </c>
      <c r="E399" s="13">
        <v>1.64707012713937</v>
      </c>
      <c r="F399" s="13">
        <v>0.216712090475942</v>
      </c>
      <c r="G399" s="18">
        <v>0.216712090475942</v>
      </c>
      <c r="H399" s="7" t="b">
        <v>0</v>
      </c>
    </row>
    <row r="400" spans="1:8" x14ac:dyDescent="0.3">
      <c r="A400" s="7" t="s">
        <v>134</v>
      </c>
      <c r="B400" s="7" t="s">
        <v>3882</v>
      </c>
      <c r="C400" s="13">
        <v>20056.734366078599</v>
      </c>
      <c r="D400" s="13">
        <v>8815.4740000000002</v>
      </c>
      <c r="E400" s="13">
        <v>2.2751736737104098</v>
      </c>
      <c r="F400" s="13">
        <v>0.35701455380861802</v>
      </c>
      <c r="G400" s="18">
        <v>0.35701455380861802</v>
      </c>
      <c r="H400" s="7" t="b">
        <v>0</v>
      </c>
    </row>
    <row r="401" spans="1:8" x14ac:dyDescent="0.3">
      <c r="A401" s="7" t="s">
        <v>134</v>
      </c>
      <c r="B401" s="7" t="s">
        <v>3883</v>
      </c>
      <c r="C401" s="13">
        <v>20277.1350726624</v>
      </c>
      <c r="D401" s="13">
        <v>2331.134</v>
      </c>
      <c r="E401" s="13">
        <v>8.69839960837189</v>
      </c>
      <c r="F401" s="13">
        <v>0.93943935547053903</v>
      </c>
      <c r="G401" s="18">
        <v>0.93943935547053903</v>
      </c>
      <c r="H401" s="7" t="b">
        <v>0</v>
      </c>
    </row>
    <row r="402" spans="1:8" x14ac:dyDescent="0.3">
      <c r="A402" s="7" t="s">
        <v>134</v>
      </c>
      <c r="B402" s="7" t="s">
        <v>3884</v>
      </c>
      <c r="C402" s="13">
        <v>20336.689031875601</v>
      </c>
      <c r="D402" s="13">
        <v>17724.067999999999</v>
      </c>
      <c r="E402" s="13">
        <v>1.1474052701600801</v>
      </c>
      <c r="F402" s="13">
        <v>5.9716840313883003E-2</v>
      </c>
      <c r="G402" s="18">
        <v>5.9716840313883003E-2</v>
      </c>
      <c r="H402" s="7" t="b">
        <v>0</v>
      </c>
    </row>
    <row r="403" spans="1:8" x14ac:dyDescent="0.3">
      <c r="A403" s="7" t="s">
        <v>74</v>
      </c>
      <c r="B403" s="7" t="s">
        <v>2244</v>
      </c>
      <c r="C403" s="13">
        <v>176.17553194301701</v>
      </c>
      <c r="D403" s="13" t="s">
        <v>37</v>
      </c>
      <c r="E403" s="13" t="s">
        <v>37</v>
      </c>
      <c r="F403" s="13" t="s">
        <v>37</v>
      </c>
      <c r="G403" s="18" t="s">
        <v>37</v>
      </c>
      <c r="H403" s="7" t="b">
        <v>0</v>
      </c>
    </row>
    <row r="404" spans="1:8" x14ac:dyDescent="0.3">
      <c r="A404" s="7" t="s">
        <v>74</v>
      </c>
      <c r="B404" s="7" t="s">
        <v>2247</v>
      </c>
      <c r="C404" s="13">
        <v>176.17553194301701</v>
      </c>
      <c r="D404" s="13" t="s">
        <v>37</v>
      </c>
      <c r="E404" s="13" t="s">
        <v>37</v>
      </c>
      <c r="F404" s="13" t="s">
        <v>37</v>
      </c>
      <c r="G404" s="18" t="s">
        <v>37</v>
      </c>
      <c r="H404" s="7" t="b">
        <v>0</v>
      </c>
    </row>
    <row r="405" spans="1:8" x14ac:dyDescent="0.3">
      <c r="A405" s="7" t="s">
        <v>74</v>
      </c>
      <c r="B405" s="7" t="s">
        <v>2300</v>
      </c>
      <c r="C405" s="13">
        <v>176.17553194301701</v>
      </c>
      <c r="D405" s="13" t="s">
        <v>37</v>
      </c>
      <c r="E405" s="13" t="s">
        <v>37</v>
      </c>
      <c r="F405" s="13" t="s">
        <v>37</v>
      </c>
      <c r="G405" s="18" t="s">
        <v>37</v>
      </c>
      <c r="H405" s="7" t="b">
        <v>0</v>
      </c>
    </row>
    <row r="406" spans="1:8" x14ac:dyDescent="0.3">
      <c r="A406" s="7" t="s">
        <v>74</v>
      </c>
      <c r="B406" s="7" t="s">
        <v>2301</v>
      </c>
      <c r="C406" s="13">
        <v>172.98867511213501</v>
      </c>
      <c r="D406" s="13" t="s">
        <v>37</v>
      </c>
      <c r="E406" s="13" t="s">
        <v>37</v>
      </c>
      <c r="F406" s="13" t="s">
        <v>37</v>
      </c>
      <c r="G406" s="18" t="s">
        <v>37</v>
      </c>
      <c r="H406" s="7" t="b">
        <v>0</v>
      </c>
    </row>
    <row r="407" spans="1:8" x14ac:dyDescent="0.3">
      <c r="A407" s="7" t="s">
        <v>74</v>
      </c>
      <c r="B407" s="7" t="s">
        <v>2302</v>
      </c>
      <c r="C407" s="13">
        <v>167.53090573770501</v>
      </c>
      <c r="D407" s="13" t="s">
        <v>37</v>
      </c>
      <c r="E407" s="13" t="s">
        <v>37</v>
      </c>
      <c r="F407" s="13" t="s">
        <v>37</v>
      </c>
      <c r="G407" s="18" t="s">
        <v>37</v>
      </c>
      <c r="H407" s="7" t="b">
        <v>0</v>
      </c>
    </row>
    <row r="408" spans="1:8" x14ac:dyDescent="0.3">
      <c r="A408" s="7" t="s">
        <v>74</v>
      </c>
      <c r="B408" s="7" t="s">
        <v>3880</v>
      </c>
      <c r="C408" s="13">
        <v>172.825860348981</v>
      </c>
      <c r="D408" s="13">
        <v>583.55999999999995</v>
      </c>
      <c r="E408" s="13">
        <v>0.29615782498625798</v>
      </c>
      <c r="F408" s="13">
        <v>-0.52847678808311704</v>
      </c>
      <c r="G408" s="18">
        <v>0.52847678808311704</v>
      </c>
      <c r="H408" s="7" t="b">
        <v>0</v>
      </c>
    </row>
    <row r="409" spans="1:8" x14ac:dyDescent="0.3">
      <c r="A409" s="7" t="s">
        <v>74</v>
      </c>
      <c r="B409" s="7" t="s">
        <v>3881</v>
      </c>
      <c r="C409" s="13">
        <v>152.75847823082199</v>
      </c>
      <c r="D409" s="13">
        <v>1533.396</v>
      </c>
      <c r="E409" s="13">
        <v>9.9621023030464398E-2</v>
      </c>
      <c r="F409" s="13">
        <v>-1.0016490027140099</v>
      </c>
      <c r="G409" s="18">
        <v>1.0016490027140099</v>
      </c>
      <c r="H409" s="7" t="b">
        <v>1</v>
      </c>
    </row>
    <row r="410" spans="1:8" x14ac:dyDescent="0.3">
      <c r="A410" s="7" t="s">
        <v>74</v>
      </c>
      <c r="B410" s="7" t="s">
        <v>3882</v>
      </c>
      <c r="C410" s="13">
        <v>166.69567774420901</v>
      </c>
      <c r="D410" s="13">
        <v>1089.518</v>
      </c>
      <c r="E410" s="13">
        <v>0.152999471091078</v>
      </c>
      <c r="F410" s="13">
        <v>-0.81531007050673698</v>
      </c>
      <c r="G410" s="18">
        <v>0.81531007050673698</v>
      </c>
      <c r="H410" s="7" t="b">
        <v>0</v>
      </c>
    </row>
    <row r="411" spans="1:8" x14ac:dyDescent="0.3">
      <c r="A411" s="7" t="s">
        <v>74</v>
      </c>
      <c r="B411" s="7" t="s">
        <v>3883</v>
      </c>
      <c r="C411" s="13">
        <v>173.682732535783</v>
      </c>
      <c r="D411" s="13">
        <v>633.22400000000005</v>
      </c>
      <c r="E411" s="13">
        <v>0.27428324342694399</v>
      </c>
      <c r="F411" s="13">
        <v>-0.56180072360036404</v>
      </c>
      <c r="G411" s="18">
        <v>0.56180072360036404</v>
      </c>
      <c r="H411" s="7" t="b">
        <v>0</v>
      </c>
    </row>
    <row r="412" spans="1:8" x14ac:dyDescent="0.3">
      <c r="A412" s="7" t="s">
        <v>74</v>
      </c>
      <c r="B412" s="7" t="s">
        <v>3884</v>
      </c>
      <c r="C412" s="13">
        <v>177.850011057214</v>
      </c>
      <c r="D412" s="13">
        <v>425.25299999999999</v>
      </c>
      <c r="E412" s="13">
        <v>0.41822164936452899</v>
      </c>
      <c r="F412" s="13">
        <v>-0.37859348955709998</v>
      </c>
      <c r="G412" s="18">
        <v>0.37859348955709998</v>
      </c>
      <c r="H412" s="7" t="b">
        <v>0</v>
      </c>
    </row>
    <row r="413" spans="1:8" x14ac:dyDescent="0.3">
      <c r="A413" s="7" t="s">
        <v>689</v>
      </c>
      <c r="B413" s="7" t="s">
        <v>2244</v>
      </c>
      <c r="C413" s="13">
        <v>40.846306740208803</v>
      </c>
      <c r="D413" s="13" t="s">
        <v>37</v>
      </c>
      <c r="E413" s="13" t="s">
        <v>37</v>
      </c>
      <c r="F413" s="13" t="s">
        <v>37</v>
      </c>
      <c r="G413" s="18" t="s">
        <v>37</v>
      </c>
      <c r="H413" s="7" t="b">
        <v>0</v>
      </c>
    </row>
    <row r="414" spans="1:8" x14ac:dyDescent="0.3">
      <c r="A414" s="7" t="s">
        <v>689</v>
      </c>
      <c r="B414" s="7" t="s">
        <v>2247</v>
      </c>
      <c r="C414" s="13">
        <v>40.846306740208803</v>
      </c>
      <c r="D414" s="13" t="s">
        <v>37</v>
      </c>
      <c r="E414" s="13" t="s">
        <v>37</v>
      </c>
      <c r="F414" s="13" t="s">
        <v>37</v>
      </c>
      <c r="G414" s="18" t="s">
        <v>37</v>
      </c>
      <c r="H414" s="7" t="b">
        <v>0</v>
      </c>
    </row>
    <row r="415" spans="1:8" x14ac:dyDescent="0.3">
      <c r="A415" s="7" t="s">
        <v>689</v>
      </c>
      <c r="B415" s="7" t="s">
        <v>2300</v>
      </c>
      <c r="C415" s="13">
        <v>40.846306740208803</v>
      </c>
      <c r="D415" s="13" t="s">
        <v>37</v>
      </c>
      <c r="E415" s="13" t="s">
        <v>37</v>
      </c>
      <c r="F415" s="13" t="s">
        <v>37</v>
      </c>
      <c r="G415" s="18" t="s">
        <v>37</v>
      </c>
      <c r="H415" s="7" t="b">
        <v>0</v>
      </c>
    </row>
    <row r="416" spans="1:8" x14ac:dyDescent="0.3">
      <c r="A416" s="7" t="s">
        <v>689</v>
      </c>
      <c r="B416" s="7" t="s">
        <v>2301</v>
      </c>
      <c r="C416" s="13">
        <v>40.691855922144399</v>
      </c>
      <c r="D416" s="13" t="s">
        <v>37</v>
      </c>
      <c r="E416" s="13" t="s">
        <v>37</v>
      </c>
      <c r="F416" s="13" t="s">
        <v>37</v>
      </c>
      <c r="G416" s="18" t="s">
        <v>37</v>
      </c>
      <c r="H416" s="7" t="b">
        <v>0</v>
      </c>
    </row>
    <row r="417" spans="1:8" x14ac:dyDescent="0.3">
      <c r="A417" s="7" t="s">
        <v>689</v>
      </c>
      <c r="B417" s="7" t="s">
        <v>2302</v>
      </c>
      <c r="C417" s="13">
        <v>40.2441382663064</v>
      </c>
      <c r="D417" s="13">
        <v>137.19800000000001</v>
      </c>
      <c r="E417" s="13">
        <v>0.29332889886373298</v>
      </c>
      <c r="F417" s="13">
        <v>-0.53264514807029495</v>
      </c>
      <c r="G417" s="18">
        <v>0.53264514807029495</v>
      </c>
      <c r="H417" s="7" t="b">
        <v>0</v>
      </c>
    </row>
    <row r="418" spans="1:8" x14ac:dyDescent="0.3">
      <c r="A418" s="7" t="s">
        <v>689</v>
      </c>
      <c r="B418" s="7" t="s">
        <v>3880</v>
      </c>
      <c r="C418" s="13">
        <v>40.508653655546702</v>
      </c>
      <c r="D418" s="13">
        <v>73.566000000000003</v>
      </c>
      <c r="E418" s="13">
        <v>0.55064368941558195</v>
      </c>
      <c r="F418" s="13">
        <v>-0.25912933359041801</v>
      </c>
      <c r="G418" s="18">
        <v>0.25912933359041801</v>
      </c>
      <c r="H418" s="7" t="b">
        <v>0</v>
      </c>
    </row>
    <row r="419" spans="1:8" x14ac:dyDescent="0.3">
      <c r="A419" s="7" t="s">
        <v>689</v>
      </c>
      <c r="B419" s="7" t="s">
        <v>3881</v>
      </c>
      <c r="C419" s="13">
        <v>39.9894657441465</v>
      </c>
      <c r="D419" s="13">
        <v>305.43799999999999</v>
      </c>
      <c r="E419" s="13">
        <v>0.130924985575294</v>
      </c>
      <c r="F419" s="13">
        <v>-0.88297746527502197</v>
      </c>
      <c r="G419" s="18">
        <v>0.88297746527502197</v>
      </c>
      <c r="H419" s="7" t="b">
        <v>0</v>
      </c>
    </row>
    <row r="420" spans="1:8" x14ac:dyDescent="0.3">
      <c r="A420" s="7" t="s">
        <v>689</v>
      </c>
      <c r="B420" s="7" t="s">
        <v>3882</v>
      </c>
      <c r="C420" s="13">
        <v>40.9443427447315</v>
      </c>
      <c r="D420" s="13">
        <v>171.34299999999999</v>
      </c>
      <c r="E420" s="13">
        <v>0.238961280850292</v>
      </c>
      <c r="F420" s="13">
        <v>-0.62167246254686903</v>
      </c>
      <c r="G420" s="18">
        <v>0.62167246254686903</v>
      </c>
      <c r="H420" s="7" t="b">
        <v>0</v>
      </c>
    </row>
    <row r="421" spans="1:8" x14ac:dyDescent="0.3">
      <c r="A421" s="7" t="s">
        <v>689</v>
      </c>
      <c r="B421" s="7" t="s">
        <v>3883</v>
      </c>
      <c r="C421" s="13">
        <v>40.823854361419599</v>
      </c>
      <c r="D421" s="13">
        <v>57.424999999999997</v>
      </c>
      <c r="E421" s="13">
        <v>0.71090734630247499</v>
      </c>
      <c r="F421" s="13">
        <v>-0.14818699788015699</v>
      </c>
      <c r="G421" s="18">
        <v>0.14818699788015699</v>
      </c>
      <c r="H421" s="7" t="b">
        <v>0</v>
      </c>
    </row>
    <row r="422" spans="1:8" x14ac:dyDescent="0.3">
      <c r="A422" s="7" t="s">
        <v>689</v>
      </c>
      <c r="B422" s="7" t="s">
        <v>3884</v>
      </c>
      <c r="C422" s="13">
        <v>40.910519009724503</v>
      </c>
      <c r="D422" s="13">
        <v>47.180999999999997</v>
      </c>
      <c r="E422" s="13">
        <v>0.86709732752007196</v>
      </c>
      <c r="F422" s="13">
        <v>-6.1932152313201101E-2</v>
      </c>
      <c r="G422" s="18">
        <v>6.1932152313201101E-2</v>
      </c>
      <c r="H422" s="7" t="b">
        <v>0</v>
      </c>
    </row>
    <row r="423" spans="1:8" x14ac:dyDescent="0.3">
      <c r="A423" s="7" t="s">
        <v>731</v>
      </c>
      <c r="B423" s="7" t="s">
        <v>2244</v>
      </c>
      <c r="C423" s="13">
        <v>3.0327352393317701</v>
      </c>
      <c r="D423" s="13" t="s">
        <v>37</v>
      </c>
      <c r="E423" s="13" t="s">
        <v>37</v>
      </c>
      <c r="F423" s="13" t="s">
        <v>37</v>
      </c>
      <c r="G423" s="18" t="s">
        <v>37</v>
      </c>
      <c r="H423" s="7" t="b">
        <v>0</v>
      </c>
    </row>
    <row r="424" spans="1:8" x14ac:dyDescent="0.3">
      <c r="A424" s="7" t="s">
        <v>731</v>
      </c>
      <c r="B424" s="7" t="s">
        <v>2247</v>
      </c>
      <c r="C424" s="13">
        <v>3.0327352393317701</v>
      </c>
      <c r="D424" s="13" t="s">
        <v>37</v>
      </c>
      <c r="E424" s="13" t="s">
        <v>37</v>
      </c>
      <c r="F424" s="13" t="s">
        <v>37</v>
      </c>
      <c r="G424" s="18" t="s">
        <v>37</v>
      </c>
      <c r="H424" s="7" t="b">
        <v>0</v>
      </c>
    </row>
    <row r="425" spans="1:8" x14ac:dyDescent="0.3">
      <c r="A425" s="7" t="s">
        <v>731</v>
      </c>
      <c r="B425" s="7" t="s">
        <v>2300</v>
      </c>
      <c r="C425" s="13">
        <v>3.0327352393317701</v>
      </c>
      <c r="D425" s="13" t="s">
        <v>37</v>
      </c>
      <c r="E425" s="13" t="s">
        <v>37</v>
      </c>
      <c r="F425" s="13" t="s">
        <v>37</v>
      </c>
      <c r="G425" s="18" t="s">
        <v>37</v>
      </c>
      <c r="H425" s="7" t="b">
        <v>0</v>
      </c>
    </row>
    <row r="426" spans="1:8" x14ac:dyDescent="0.3">
      <c r="A426" s="7" t="s">
        <v>731</v>
      </c>
      <c r="B426" s="7" t="s">
        <v>2301</v>
      </c>
      <c r="C426" s="13">
        <v>3.0077125663211</v>
      </c>
      <c r="D426" s="13" t="s">
        <v>37</v>
      </c>
      <c r="E426" s="13" t="s">
        <v>37</v>
      </c>
      <c r="F426" s="13" t="s">
        <v>37</v>
      </c>
      <c r="G426" s="18" t="s">
        <v>37</v>
      </c>
      <c r="H426" s="7" t="b">
        <v>0</v>
      </c>
    </row>
    <row r="427" spans="1:8" x14ac:dyDescent="0.3">
      <c r="A427" s="7" t="s">
        <v>731</v>
      </c>
      <c r="B427" s="7" t="s">
        <v>2302</v>
      </c>
      <c r="C427" s="13">
        <v>2.7603791113114799</v>
      </c>
      <c r="D427" s="13" t="s">
        <v>37</v>
      </c>
      <c r="E427" s="13" t="s">
        <v>37</v>
      </c>
      <c r="F427" s="13" t="s">
        <v>37</v>
      </c>
      <c r="G427" s="18" t="s">
        <v>37</v>
      </c>
      <c r="H427" s="7" t="b">
        <v>0</v>
      </c>
    </row>
    <row r="428" spans="1:8" x14ac:dyDescent="0.3">
      <c r="A428" s="7" t="s">
        <v>731</v>
      </c>
      <c r="B428" s="7" t="s">
        <v>3880</v>
      </c>
      <c r="C428" s="13">
        <v>2.9803914889524701</v>
      </c>
      <c r="D428" s="13">
        <v>172.274</v>
      </c>
      <c r="E428" s="13">
        <v>1.7300297717313499E-2</v>
      </c>
      <c r="F428" s="13">
        <v>-1.76194642312127</v>
      </c>
      <c r="G428" s="18">
        <v>1.76194642312127</v>
      </c>
      <c r="H428" s="7" t="b">
        <v>1</v>
      </c>
    </row>
    <row r="429" spans="1:8" x14ac:dyDescent="0.3">
      <c r="A429" s="7" t="s">
        <v>731</v>
      </c>
      <c r="B429" s="7" t="s">
        <v>3881</v>
      </c>
      <c r="C429" s="13">
        <v>2.8985975037042202</v>
      </c>
      <c r="D429" s="13">
        <v>114.229</v>
      </c>
      <c r="E429" s="13">
        <v>2.5375320660289601E-2</v>
      </c>
      <c r="F429" s="13">
        <v>-1.5955884609954001</v>
      </c>
      <c r="G429" s="18">
        <v>1.5955884609954001</v>
      </c>
      <c r="H429" s="7" t="b">
        <v>1</v>
      </c>
    </row>
    <row r="430" spans="1:8" x14ac:dyDescent="0.3">
      <c r="A430" s="7" t="s">
        <v>731</v>
      </c>
      <c r="B430" s="7" t="s">
        <v>3882</v>
      </c>
      <c r="C430" s="13">
        <v>2.9803232615642798</v>
      </c>
      <c r="D430" s="13">
        <v>137.81899999999999</v>
      </c>
      <c r="E430" s="13">
        <v>2.1624908478252498E-2</v>
      </c>
      <c r="F430" s="13">
        <v>-1.6650457218966299</v>
      </c>
      <c r="G430" s="18">
        <v>1.6650457218966299</v>
      </c>
      <c r="H430" s="7" t="b">
        <v>1</v>
      </c>
    </row>
    <row r="431" spans="1:8" x14ac:dyDescent="0.3">
      <c r="A431" s="7" t="s">
        <v>731</v>
      </c>
      <c r="B431" s="7" t="s">
        <v>3883</v>
      </c>
      <c r="C431" s="13">
        <v>2.9823738268916902</v>
      </c>
      <c r="D431" s="13">
        <v>77.290999999999997</v>
      </c>
      <c r="E431" s="13">
        <v>3.8586301469662597E-2</v>
      </c>
      <c r="F431" s="13">
        <v>-1.41356684693507</v>
      </c>
      <c r="G431" s="18">
        <v>1.41356684693507</v>
      </c>
      <c r="H431" s="7" t="b">
        <v>1</v>
      </c>
    </row>
    <row r="432" spans="1:8" x14ac:dyDescent="0.3">
      <c r="A432" s="7" t="s">
        <v>731</v>
      </c>
      <c r="B432" s="7" t="s">
        <v>3884</v>
      </c>
      <c r="C432" s="13">
        <v>2.9922397367454998</v>
      </c>
      <c r="D432" s="13">
        <v>96.846000000000004</v>
      </c>
      <c r="E432" s="13">
        <v>3.08968851242746E-2</v>
      </c>
      <c r="F432" s="13">
        <v>-1.5100853018543601</v>
      </c>
      <c r="G432" s="18">
        <v>1.5100853018543601</v>
      </c>
      <c r="H432" s="7" t="b">
        <v>1</v>
      </c>
    </row>
    <row r="433" spans="1:8" x14ac:dyDescent="0.3">
      <c r="A433" s="7" t="s">
        <v>981</v>
      </c>
      <c r="B433" s="7" t="s">
        <v>2244</v>
      </c>
      <c r="C433" s="13">
        <v>2.8525786548196002</v>
      </c>
      <c r="D433" s="13" t="s">
        <v>37</v>
      </c>
      <c r="E433" s="13" t="s">
        <v>37</v>
      </c>
      <c r="F433" s="13" t="s">
        <v>37</v>
      </c>
      <c r="G433" s="18" t="s">
        <v>37</v>
      </c>
      <c r="H433" s="7" t="b">
        <v>0</v>
      </c>
    </row>
    <row r="434" spans="1:8" x14ac:dyDescent="0.3">
      <c r="A434" s="7" t="s">
        <v>981</v>
      </c>
      <c r="B434" s="7" t="s">
        <v>2247</v>
      </c>
      <c r="C434" s="13">
        <v>2.8525786548196002</v>
      </c>
      <c r="D434" s="13" t="s">
        <v>37</v>
      </c>
      <c r="E434" s="13" t="s">
        <v>37</v>
      </c>
      <c r="F434" s="13" t="s">
        <v>37</v>
      </c>
      <c r="G434" s="18" t="s">
        <v>37</v>
      </c>
      <c r="H434" s="7" t="b">
        <v>0</v>
      </c>
    </row>
    <row r="435" spans="1:8" x14ac:dyDescent="0.3">
      <c r="A435" s="7" t="s">
        <v>981</v>
      </c>
      <c r="B435" s="7" t="s">
        <v>2300</v>
      </c>
      <c r="C435" s="13">
        <v>2.8525786548196002</v>
      </c>
      <c r="D435" s="13" t="s">
        <v>37</v>
      </c>
      <c r="E435" s="13" t="s">
        <v>37</v>
      </c>
      <c r="F435" s="13" t="s">
        <v>37</v>
      </c>
      <c r="G435" s="18" t="s">
        <v>37</v>
      </c>
      <c r="H435" s="7" t="b">
        <v>0</v>
      </c>
    </row>
    <row r="436" spans="1:8" x14ac:dyDescent="0.3">
      <c r="A436" s="7" t="s">
        <v>981</v>
      </c>
      <c r="B436" s="7" t="s">
        <v>2301</v>
      </c>
      <c r="C436" s="13">
        <v>2.8589729547769198</v>
      </c>
      <c r="D436" s="13" t="s">
        <v>37</v>
      </c>
      <c r="E436" s="13" t="s">
        <v>37</v>
      </c>
      <c r="F436" s="13" t="s">
        <v>37</v>
      </c>
      <c r="G436" s="18" t="s">
        <v>37</v>
      </c>
      <c r="H436" s="7" t="b">
        <v>0</v>
      </c>
    </row>
    <row r="437" spans="1:8" x14ac:dyDescent="0.3">
      <c r="A437" s="7" t="s">
        <v>981</v>
      </c>
      <c r="B437" s="7" t="s">
        <v>2302</v>
      </c>
      <c r="C437" s="13">
        <v>3.3833757049180302</v>
      </c>
      <c r="D437" s="13" t="s">
        <v>37</v>
      </c>
      <c r="E437" s="13" t="s">
        <v>37</v>
      </c>
      <c r="F437" s="13" t="s">
        <v>37</v>
      </c>
      <c r="G437" s="18" t="s">
        <v>37</v>
      </c>
      <c r="H437" s="7" t="b">
        <v>0</v>
      </c>
    </row>
    <row r="438" spans="1:8" x14ac:dyDescent="0.3">
      <c r="A438" s="7" t="s">
        <v>981</v>
      </c>
      <c r="B438" s="7" t="s">
        <v>3880</v>
      </c>
      <c r="C438" s="13">
        <v>3.0919692785382802</v>
      </c>
      <c r="D438" s="13">
        <v>4.6870000000000003</v>
      </c>
      <c r="E438" s="13">
        <v>0.65969047973933903</v>
      </c>
      <c r="F438" s="13">
        <v>-0.18065978335399499</v>
      </c>
      <c r="G438" s="18">
        <v>0.18065978335399499</v>
      </c>
      <c r="H438" s="7" t="b">
        <v>0</v>
      </c>
    </row>
    <row r="439" spans="1:8" x14ac:dyDescent="0.3">
      <c r="A439" s="7" t="s">
        <v>981</v>
      </c>
      <c r="B439" s="7" t="s">
        <v>3881</v>
      </c>
      <c r="C439" s="13">
        <v>3.2329514913614399</v>
      </c>
      <c r="D439" s="13">
        <v>43.767000000000003</v>
      </c>
      <c r="E439" s="13">
        <v>7.3867331353792601E-2</v>
      </c>
      <c r="F439" s="13">
        <v>-1.1315475906941499</v>
      </c>
      <c r="G439" s="18">
        <v>1.1315475906941499</v>
      </c>
      <c r="H439" s="7" t="b">
        <v>1</v>
      </c>
    </row>
    <row r="440" spans="1:8" x14ac:dyDescent="0.3">
      <c r="A440" s="7" t="s">
        <v>981</v>
      </c>
      <c r="B440" s="7" t="s">
        <v>3882</v>
      </c>
      <c r="C440" s="13">
        <v>3.2330791675058701</v>
      </c>
      <c r="D440" s="13">
        <v>5.5869999999999997</v>
      </c>
      <c r="E440" s="13">
        <v>0.57867892742184901</v>
      </c>
      <c r="F440" s="13">
        <v>-0.23756233217082001</v>
      </c>
      <c r="G440" s="18">
        <v>0.23756233217082001</v>
      </c>
      <c r="H440" s="7" t="b">
        <v>0</v>
      </c>
    </row>
    <row r="441" spans="1:8" x14ac:dyDescent="0.3">
      <c r="A441" s="7" t="s">
        <v>981</v>
      </c>
      <c r="B441" s="7" t="s">
        <v>3883</v>
      </c>
      <c r="C441" s="13">
        <v>2.9687357000640899</v>
      </c>
      <c r="D441" s="13">
        <v>8.7530000000000001</v>
      </c>
      <c r="E441" s="13">
        <v>0.33916779390655699</v>
      </c>
      <c r="F441" s="13">
        <v>-0.46958539342215799</v>
      </c>
      <c r="G441" s="18">
        <v>0.46958539342215799</v>
      </c>
      <c r="H441" s="7" t="b">
        <v>0</v>
      </c>
    </row>
    <row r="442" spans="1:8" x14ac:dyDescent="0.3">
      <c r="A442" s="7" t="s">
        <v>981</v>
      </c>
      <c r="B442" s="7" t="s">
        <v>3884</v>
      </c>
      <c r="C442" s="13">
        <v>2.9163024778403801</v>
      </c>
      <c r="D442" s="13" t="s">
        <v>37</v>
      </c>
      <c r="E442" s="13" t="s">
        <v>37</v>
      </c>
      <c r="F442" s="13" t="s">
        <v>37</v>
      </c>
      <c r="G442" s="18" t="s">
        <v>37</v>
      </c>
      <c r="H442" s="7" t="b">
        <v>0</v>
      </c>
    </row>
    <row r="443" spans="1:8" x14ac:dyDescent="0.3">
      <c r="A443" s="7" t="s">
        <v>767</v>
      </c>
      <c r="B443" s="7" t="s">
        <v>2244</v>
      </c>
      <c r="C443" s="13">
        <v>17.4862441201855</v>
      </c>
      <c r="D443" s="13" t="s">
        <v>37</v>
      </c>
      <c r="E443" s="13" t="s">
        <v>37</v>
      </c>
      <c r="F443" s="13" t="s">
        <v>37</v>
      </c>
      <c r="G443" s="18" t="s">
        <v>37</v>
      </c>
      <c r="H443" s="7" t="b">
        <v>0</v>
      </c>
    </row>
    <row r="444" spans="1:8" x14ac:dyDescent="0.3">
      <c r="A444" s="7" t="s">
        <v>767</v>
      </c>
      <c r="B444" s="7" t="s">
        <v>2247</v>
      </c>
      <c r="C444" s="13">
        <v>17.4862441201855</v>
      </c>
      <c r="D444" s="13" t="s">
        <v>37</v>
      </c>
      <c r="E444" s="13" t="s">
        <v>37</v>
      </c>
      <c r="F444" s="13" t="s">
        <v>37</v>
      </c>
      <c r="G444" s="18" t="s">
        <v>37</v>
      </c>
      <c r="H444" s="7" t="b">
        <v>0</v>
      </c>
    </row>
    <row r="445" spans="1:8" x14ac:dyDescent="0.3">
      <c r="A445" s="7" t="s">
        <v>767</v>
      </c>
      <c r="B445" s="7" t="s">
        <v>2300</v>
      </c>
      <c r="C445" s="13">
        <v>17.4862441201855</v>
      </c>
      <c r="D445" s="13" t="s">
        <v>37</v>
      </c>
      <c r="E445" s="13" t="s">
        <v>37</v>
      </c>
      <c r="F445" s="13" t="s">
        <v>37</v>
      </c>
      <c r="G445" s="18" t="s">
        <v>37</v>
      </c>
      <c r="H445" s="7" t="b">
        <v>0</v>
      </c>
    </row>
    <row r="446" spans="1:8" x14ac:dyDescent="0.3">
      <c r="A446" s="7" t="s">
        <v>767</v>
      </c>
      <c r="B446" s="7" t="s">
        <v>2301</v>
      </c>
      <c r="C446" s="13">
        <v>17.794650794309</v>
      </c>
      <c r="D446" s="13" t="s">
        <v>37</v>
      </c>
      <c r="E446" s="13" t="s">
        <v>37</v>
      </c>
      <c r="F446" s="13" t="s">
        <v>37</v>
      </c>
      <c r="G446" s="18" t="s">
        <v>37</v>
      </c>
      <c r="H446" s="7" t="b">
        <v>0</v>
      </c>
    </row>
    <row r="447" spans="1:8" x14ac:dyDescent="0.3">
      <c r="A447" s="7" t="s">
        <v>767</v>
      </c>
      <c r="B447" s="7" t="s">
        <v>2302</v>
      </c>
      <c r="C447" s="13">
        <v>19.320958839842199</v>
      </c>
      <c r="D447" s="13" t="s">
        <v>37</v>
      </c>
      <c r="E447" s="13" t="s">
        <v>37</v>
      </c>
      <c r="F447" s="13" t="s">
        <v>37</v>
      </c>
      <c r="G447" s="18" t="s">
        <v>37</v>
      </c>
      <c r="H447" s="7" t="b">
        <v>0</v>
      </c>
    </row>
    <row r="448" spans="1:8" x14ac:dyDescent="0.3">
      <c r="A448" s="7" t="s">
        <v>767</v>
      </c>
      <c r="B448" s="7" t="s">
        <v>3880</v>
      </c>
      <c r="C448" s="13">
        <v>17.498520409084399</v>
      </c>
      <c r="D448" s="13">
        <v>23.963000000000001</v>
      </c>
      <c r="E448" s="13">
        <v>0.73023078951234799</v>
      </c>
      <c r="F448" s="13">
        <v>-0.13653985937121799</v>
      </c>
      <c r="G448" s="18">
        <v>0.13653985937121799</v>
      </c>
      <c r="H448" s="7" t="b">
        <v>0</v>
      </c>
    </row>
    <row r="449" spans="1:8" x14ac:dyDescent="0.3">
      <c r="A449" s="7" t="s">
        <v>767</v>
      </c>
      <c r="B449" s="7" t="s">
        <v>3881</v>
      </c>
      <c r="C449" s="13">
        <v>17.173909616295798</v>
      </c>
      <c r="D449" s="13">
        <v>52.148000000000003</v>
      </c>
      <c r="E449" s="13">
        <v>0.32933016829592299</v>
      </c>
      <c r="F449" s="13">
        <v>-0.482368483912057</v>
      </c>
      <c r="G449" s="18">
        <v>0.482368483912057</v>
      </c>
      <c r="H449" s="7" t="b">
        <v>0</v>
      </c>
    </row>
    <row r="450" spans="1:8" x14ac:dyDescent="0.3">
      <c r="A450" s="7" t="s">
        <v>767</v>
      </c>
      <c r="B450" s="7" t="s">
        <v>3882</v>
      </c>
      <c r="C450" s="13">
        <v>17.7879659881084</v>
      </c>
      <c r="D450" s="13">
        <v>48.732999999999997</v>
      </c>
      <c r="E450" s="13">
        <v>0.365008638665964</v>
      </c>
      <c r="F450" s="13">
        <v>-0.43769685696664201</v>
      </c>
      <c r="G450" s="18">
        <v>0.43769685696664201</v>
      </c>
      <c r="H450" s="7" t="b">
        <v>0</v>
      </c>
    </row>
    <row r="451" spans="1:8" x14ac:dyDescent="0.3">
      <c r="A451" s="7" t="s">
        <v>767</v>
      </c>
      <c r="B451" s="7" t="s">
        <v>3883</v>
      </c>
      <c r="C451" s="13">
        <v>18.6433723151459</v>
      </c>
      <c r="D451" s="13">
        <v>14.31</v>
      </c>
      <c r="E451" s="13">
        <v>1.3028212659081699</v>
      </c>
      <c r="F451" s="13">
        <v>0.114884838925069</v>
      </c>
      <c r="G451" s="18">
        <v>0.114884838925069</v>
      </c>
      <c r="H451" s="7" t="b">
        <v>0</v>
      </c>
    </row>
    <row r="452" spans="1:8" x14ac:dyDescent="0.3">
      <c r="A452" s="7" t="s">
        <v>767</v>
      </c>
      <c r="B452" s="7" t="s">
        <v>3884</v>
      </c>
      <c r="C452" s="13">
        <v>18.1211398492526</v>
      </c>
      <c r="D452" s="13">
        <v>13.875</v>
      </c>
      <c r="E452" s="13">
        <v>1.3060280972434299</v>
      </c>
      <c r="F452" s="13">
        <v>0.115952520236543</v>
      </c>
      <c r="G452" s="18">
        <v>0.115952520236543</v>
      </c>
      <c r="H452" s="7" t="b">
        <v>0</v>
      </c>
    </row>
    <row r="453" spans="1:8" x14ac:dyDescent="0.3">
      <c r="A453" s="7" t="s">
        <v>343</v>
      </c>
      <c r="B453" s="7" t="s">
        <v>2244</v>
      </c>
      <c r="C453" s="13">
        <v>20.587299696379802</v>
      </c>
      <c r="D453" s="13" t="s">
        <v>37</v>
      </c>
      <c r="E453" s="13" t="s">
        <v>37</v>
      </c>
      <c r="F453" s="13" t="s">
        <v>37</v>
      </c>
      <c r="G453" s="18" t="s">
        <v>37</v>
      </c>
      <c r="H453" s="7" t="b">
        <v>0</v>
      </c>
    </row>
    <row r="454" spans="1:8" x14ac:dyDescent="0.3">
      <c r="A454" s="7" t="s">
        <v>343</v>
      </c>
      <c r="B454" s="7" t="s">
        <v>2247</v>
      </c>
      <c r="C454" s="13">
        <v>20.587299696379802</v>
      </c>
      <c r="D454" s="13" t="s">
        <v>37</v>
      </c>
      <c r="E454" s="13" t="s">
        <v>37</v>
      </c>
      <c r="F454" s="13" t="s">
        <v>37</v>
      </c>
      <c r="G454" s="18" t="s">
        <v>37</v>
      </c>
      <c r="H454" s="7" t="b">
        <v>0</v>
      </c>
    </row>
    <row r="455" spans="1:8" x14ac:dyDescent="0.3">
      <c r="A455" s="7" t="s">
        <v>343</v>
      </c>
      <c r="B455" s="7" t="s">
        <v>2300</v>
      </c>
      <c r="C455" s="13">
        <v>20.587299696379802</v>
      </c>
      <c r="D455" s="13" t="s">
        <v>37</v>
      </c>
      <c r="E455" s="13" t="s">
        <v>37</v>
      </c>
      <c r="F455" s="13" t="s">
        <v>37</v>
      </c>
      <c r="G455" s="18" t="s">
        <v>37</v>
      </c>
      <c r="H455" s="7" t="b">
        <v>0</v>
      </c>
    </row>
    <row r="456" spans="1:8" x14ac:dyDescent="0.3">
      <c r="A456" s="7" t="s">
        <v>343</v>
      </c>
      <c r="B456" s="7" t="s">
        <v>2301</v>
      </c>
      <c r="C456" s="13">
        <v>20.6511775063647</v>
      </c>
      <c r="D456" s="13" t="s">
        <v>37</v>
      </c>
      <c r="E456" s="13" t="s">
        <v>37</v>
      </c>
      <c r="F456" s="13" t="s">
        <v>37</v>
      </c>
      <c r="G456" s="18" t="s">
        <v>37</v>
      </c>
      <c r="H456" s="7" t="b">
        <v>0</v>
      </c>
    </row>
    <row r="457" spans="1:8" x14ac:dyDescent="0.3">
      <c r="A457" s="7" t="s">
        <v>343</v>
      </c>
      <c r="B457" s="7" t="s">
        <v>2302</v>
      </c>
      <c r="C457" s="13">
        <v>18.123612619057401</v>
      </c>
      <c r="D457" s="13" t="s">
        <v>37</v>
      </c>
      <c r="E457" s="13" t="s">
        <v>37</v>
      </c>
      <c r="F457" s="13" t="s">
        <v>37</v>
      </c>
      <c r="G457" s="18" t="s">
        <v>37</v>
      </c>
      <c r="H457" s="7" t="b">
        <v>0</v>
      </c>
    </row>
    <row r="458" spans="1:8" x14ac:dyDescent="0.3">
      <c r="A458" s="7" t="s">
        <v>343</v>
      </c>
      <c r="B458" s="7" t="s">
        <v>3880</v>
      </c>
      <c r="C458" s="13">
        <v>21.1140070131367</v>
      </c>
      <c r="D458" s="13">
        <v>26.198</v>
      </c>
      <c r="E458" s="13">
        <v>0.80593965238326204</v>
      </c>
      <c r="F458" s="13">
        <v>-9.3697476331576296E-2</v>
      </c>
      <c r="G458" s="18">
        <v>9.3697476331576296E-2</v>
      </c>
      <c r="H458" s="7" t="b">
        <v>0</v>
      </c>
    </row>
    <row r="459" spans="1:8" x14ac:dyDescent="0.3">
      <c r="A459" s="7" t="s">
        <v>343</v>
      </c>
      <c r="B459" s="7" t="s">
        <v>3881</v>
      </c>
      <c r="C459" s="13">
        <v>21.914397742018</v>
      </c>
      <c r="D459" s="13" t="s">
        <v>37</v>
      </c>
      <c r="E459" s="13" t="s">
        <v>37</v>
      </c>
      <c r="F459" s="13" t="s">
        <v>37</v>
      </c>
      <c r="G459" s="18" t="s">
        <v>37</v>
      </c>
      <c r="H459" s="7" t="b">
        <v>0</v>
      </c>
    </row>
    <row r="460" spans="1:8" x14ac:dyDescent="0.3">
      <c r="A460" s="7" t="s">
        <v>343</v>
      </c>
      <c r="B460" s="7" t="s">
        <v>3882</v>
      </c>
      <c r="C460" s="13">
        <v>20.058109689728099</v>
      </c>
      <c r="D460" s="13">
        <v>49.664999999999999</v>
      </c>
      <c r="E460" s="13">
        <v>0.403868110132449</v>
      </c>
      <c r="F460" s="13">
        <v>-0.39376043784333398</v>
      </c>
      <c r="G460" s="18">
        <v>0.39376043784333398</v>
      </c>
      <c r="H460" s="7" t="b">
        <v>0</v>
      </c>
    </row>
    <row r="461" spans="1:8" x14ac:dyDescent="0.3">
      <c r="A461" s="7" t="s">
        <v>343</v>
      </c>
      <c r="B461" s="7" t="s">
        <v>3883</v>
      </c>
      <c r="C461" s="13">
        <v>21.336495378829301</v>
      </c>
      <c r="D461" s="13" t="s">
        <v>37</v>
      </c>
      <c r="E461" s="13" t="s">
        <v>37</v>
      </c>
      <c r="F461" s="13" t="s">
        <v>37</v>
      </c>
      <c r="G461" s="18" t="s">
        <v>37</v>
      </c>
      <c r="H461" s="7" t="b">
        <v>0</v>
      </c>
    </row>
    <row r="462" spans="1:8" x14ac:dyDescent="0.3">
      <c r="A462" s="7" t="s">
        <v>343</v>
      </c>
      <c r="B462" s="7" t="s">
        <v>3884</v>
      </c>
      <c r="C462" s="13">
        <v>20.829959841237098</v>
      </c>
      <c r="D462" s="13" t="s">
        <v>37</v>
      </c>
      <c r="E462" s="13" t="s">
        <v>37</v>
      </c>
      <c r="F462" s="13" t="s">
        <v>37</v>
      </c>
      <c r="G462" s="18" t="s">
        <v>37</v>
      </c>
      <c r="H462" s="7" t="b">
        <v>0</v>
      </c>
    </row>
    <row r="463" spans="1:8" x14ac:dyDescent="0.3">
      <c r="A463" s="7" t="s">
        <v>683</v>
      </c>
      <c r="B463" s="7" t="s">
        <v>2244</v>
      </c>
      <c r="C463" s="13">
        <v>0.72986051257279005</v>
      </c>
      <c r="D463" s="13" t="s">
        <v>37</v>
      </c>
      <c r="E463" s="13" t="s">
        <v>37</v>
      </c>
      <c r="F463" s="13" t="s">
        <v>37</v>
      </c>
      <c r="G463" s="18" t="s">
        <v>37</v>
      </c>
      <c r="H463" s="7" t="b">
        <v>0</v>
      </c>
    </row>
    <row r="464" spans="1:8" x14ac:dyDescent="0.3">
      <c r="A464" s="7" t="s">
        <v>683</v>
      </c>
      <c r="B464" s="7" t="s">
        <v>2247</v>
      </c>
      <c r="C464" s="13">
        <v>0.72986051257279005</v>
      </c>
      <c r="D464" s="13" t="s">
        <v>37</v>
      </c>
      <c r="E464" s="13" t="s">
        <v>37</v>
      </c>
      <c r="F464" s="13" t="s">
        <v>37</v>
      </c>
      <c r="G464" s="18" t="s">
        <v>37</v>
      </c>
      <c r="H464" s="7" t="b">
        <v>0</v>
      </c>
    </row>
    <row r="465" spans="1:8" x14ac:dyDescent="0.3">
      <c r="A465" s="7" t="s">
        <v>683</v>
      </c>
      <c r="B465" s="7" t="s">
        <v>2300</v>
      </c>
      <c r="C465" s="13">
        <v>0.72986051257279005</v>
      </c>
      <c r="D465" s="13" t="s">
        <v>37</v>
      </c>
      <c r="E465" s="13" t="s">
        <v>37</v>
      </c>
      <c r="F465" s="13" t="s">
        <v>37</v>
      </c>
      <c r="G465" s="18" t="s">
        <v>37</v>
      </c>
      <c r="H465" s="7" t="b">
        <v>0</v>
      </c>
    </row>
    <row r="466" spans="1:8" x14ac:dyDescent="0.3">
      <c r="A466" s="7" t="s">
        <v>683</v>
      </c>
      <c r="B466" s="7" t="s">
        <v>2301</v>
      </c>
      <c r="C466" s="13">
        <v>0.72309281038699902</v>
      </c>
      <c r="D466" s="13" t="s">
        <v>37</v>
      </c>
      <c r="E466" s="13" t="s">
        <v>37</v>
      </c>
      <c r="F466" s="13" t="s">
        <v>37</v>
      </c>
      <c r="G466" s="18" t="s">
        <v>37</v>
      </c>
      <c r="H466" s="7" t="b">
        <v>0</v>
      </c>
    </row>
    <row r="467" spans="1:8" x14ac:dyDescent="0.3">
      <c r="A467" s="7" t="s">
        <v>683</v>
      </c>
      <c r="B467" s="7" t="s">
        <v>2302</v>
      </c>
      <c r="C467" s="13">
        <v>0.66685302451997996</v>
      </c>
      <c r="D467" s="13">
        <v>436.11799999999999</v>
      </c>
      <c r="E467" s="13">
        <v>1.5290655843601499E-3</v>
      </c>
      <c r="F467" s="13">
        <v>-2.8155738865204101</v>
      </c>
      <c r="G467" s="18">
        <v>2.8155738865204101</v>
      </c>
      <c r="H467" s="7" t="b">
        <v>1</v>
      </c>
    </row>
    <row r="468" spans="1:8" x14ac:dyDescent="0.3">
      <c r="A468" s="7" t="s">
        <v>683</v>
      </c>
      <c r="B468" s="7" t="s">
        <v>3880</v>
      </c>
      <c r="C468" s="13">
        <v>0.71928117566926197</v>
      </c>
      <c r="D468" s="13">
        <v>16.513000000000002</v>
      </c>
      <c r="E468" s="13">
        <v>4.3558479723203702E-2</v>
      </c>
      <c r="F468" s="13">
        <v>-1.36092728638517</v>
      </c>
      <c r="G468" s="18">
        <v>1.36092728638517</v>
      </c>
      <c r="H468" s="7" t="b">
        <v>1</v>
      </c>
    </row>
    <row r="469" spans="1:8" x14ac:dyDescent="0.3">
      <c r="A469" s="7" t="s">
        <v>683</v>
      </c>
      <c r="B469" s="7" t="s">
        <v>3881</v>
      </c>
      <c r="C469" s="13">
        <v>0.70263314717622705</v>
      </c>
      <c r="D469" s="13">
        <v>46.871000000000002</v>
      </c>
      <c r="E469" s="13">
        <v>1.4990786353528299E-2</v>
      </c>
      <c r="F469" s="13">
        <v>-1.8241755852944199</v>
      </c>
      <c r="G469" s="18">
        <v>1.8241755852944199</v>
      </c>
      <c r="H469" s="7" t="b">
        <v>1</v>
      </c>
    </row>
    <row r="470" spans="1:8" x14ac:dyDescent="0.3">
      <c r="A470" s="7" t="s">
        <v>683</v>
      </c>
      <c r="B470" s="7" t="s">
        <v>3882</v>
      </c>
      <c r="C470" s="13">
        <v>0.71619700381973805</v>
      </c>
      <c r="D470" s="13">
        <v>48.423000000000002</v>
      </c>
      <c r="E470" s="13">
        <v>1.47904302463651E-2</v>
      </c>
      <c r="F470" s="13">
        <v>-1.83001919240578</v>
      </c>
      <c r="G470" s="18">
        <v>1.83001919240578</v>
      </c>
      <c r="H470" s="7" t="b">
        <v>1</v>
      </c>
    </row>
    <row r="471" spans="1:8" x14ac:dyDescent="0.3">
      <c r="A471" s="7" t="s">
        <v>683</v>
      </c>
      <c r="B471" s="7" t="s">
        <v>3883</v>
      </c>
      <c r="C471" s="13">
        <v>0.70013881838036796</v>
      </c>
      <c r="D471" s="13">
        <v>13.223000000000001</v>
      </c>
      <c r="E471" s="13">
        <v>5.2948560718473002E-2</v>
      </c>
      <c r="F471" s="13">
        <v>-1.27614584066548</v>
      </c>
      <c r="G471" s="18">
        <v>1.27614584066548</v>
      </c>
      <c r="H471" s="7" t="b">
        <v>1</v>
      </c>
    </row>
    <row r="472" spans="1:8" x14ac:dyDescent="0.3">
      <c r="A472" s="7" t="s">
        <v>683</v>
      </c>
      <c r="B472" s="7" t="s">
        <v>3884</v>
      </c>
      <c r="C472" s="13">
        <v>0.72826666960193298</v>
      </c>
      <c r="D472" s="13" t="s">
        <v>37</v>
      </c>
      <c r="E472" s="13" t="s">
        <v>37</v>
      </c>
      <c r="F472" s="13" t="s">
        <v>37</v>
      </c>
      <c r="G472" s="18" t="s">
        <v>37</v>
      </c>
      <c r="H472" s="7" t="b">
        <v>0</v>
      </c>
    </row>
    <row r="473" spans="1:8" x14ac:dyDescent="0.3">
      <c r="A473" s="7" t="s">
        <v>426</v>
      </c>
      <c r="B473" s="7" t="s">
        <v>2244</v>
      </c>
      <c r="C473" s="13">
        <v>1.8599370657541501</v>
      </c>
      <c r="D473" s="13" t="s">
        <v>37</v>
      </c>
      <c r="E473" s="13" t="s">
        <v>37</v>
      </c>
      <c r="F473" s="13" t="s">
        <v>37</v>
      </c>
      <c r="G473" s="18" t="s">
        <v>37</v>
      </c>
      <c r="H473" s="7" t="b">
        <v>0</v>
      </c>
    </row>
    <row r="474" spans="1:8" x14ac:dyDescent="0.3">
      <c r="A474" s="7" t="s">
        <v>426</v>
      </c>
      <c r="B474" s="7" t="s">
        <v>2247</v>
      </c>
      <c r="C474" s="13">
        <v>1.8599370657541501</v>
      </c>
      <c r="D474" s="13" t="s">
        <v>37</v>
      </c>
      <c r="E474" s="13" t="s">
        <v>37</v>
      </c>
      <c r="F474" s="13" t="s">
        <v>37</v>
      </c>
      <c r="G474" s="18" t="s">
        <v>37</v>
      </c>
      <c r="H474" s="7" t="b">
        <v>0</v>
      </c>
    </row>
    <row r="475" spans="1:8" x14ac:dyDescent="0.3">
      <c r="A475" s="7" t="s">
        <v>426</v>
      </c>
      <c r="B475" s="7" t="s">
        <v>2300</v>
      </c>
      <c r="C475" s="13">
        <v>1.8599370657541501</v>
      </c>
      <c r="D475" s="13" t="s">
        <v>37</v>
      </c>
      <c r="E475" s="13" t="s">
        <v>37</v>
      </c>
      <c r="F475" s="13" t="s">
        <v>37</v>
      </c>
      <c r="G475" s="18" t="s">
        <v>37</v>
      </c>
      <c r="H475" s="7" t="b">
        <v>0</v>
      </c>
    </row>
    <row r="476" spans="1:8" x14ac:dyDescent="0.3">
      <c r="A476" s="7" t="s">
        <v>426</v>
      </c>
      <c r="B476" s="7" t="s">
        <v>2301</v>
      </c>
      <c r="C476" s="13">
        <v>2.0035946859572098</v>
      </c>
      <c r="D476" s="13" t="s">
        <v>37</v>
      </c>
      <c r="E476" s="13" t="s">
        <v>37</v>
      </c>
      <c r="F476" s="13" t="s">
        <v>37</v>
      </c>
      <c r="G476" s="18" t="s">
        <v>37</v>
      </c>
      <c r="H476" s="7" t="b">
        <v>0</v>
      </c>
    </row>
    <row r="477" spans="1:8" x14ac:dyDescent="0.3">
      <c r="A477" s="7" t="s">
        <v>426</v>
      </c>
      <c r="B477" s="7" t="s">
        <v>2302</v>
      </c>
      <c r="C477" s="13">
        <v>3.31295207901639</v>
      </c>
      <c r="D477" s="13" t="s">
        <v>37</v>
      </c>
      <c r="E477" s="13" t="s">
        <v>37</v>
      </c>
      <c r="F477" s="13" t="s">
        <v>37</v>
      </c>
      <c r="G477" s="18" t="s">
        <v>37</v>
      </c>
      <c r="H477" s="7" t="b">
        <v>0</v>
      </c>
    </row>
    <row r="478" spans="1:8" x14ac:dyDescent="0.3">
      <c r="A478" s="7" t="s">
        <v>426</v>
      </c>
      <c r="B478" s="7" t="s">
        <v>3880</v>
      </c>
      <c r="C478" s="13">
        <v>2.0896453510557498</v>
      </c>
      <c r="D478" s="13">
        <v>206.41800000000001</v>
      </c>
      <c r="E478" s="13">
        <v>1.0123367880009299E-2</v>
      </c>
      <c r="F478" s="13">
        <v>-1.99467498073965</v>
      </c>
      <c r="G478" s="18">
        <v>1.99467498073965</v>
      </c>
      <c r="H478" s="7" t="b">
        <v>1</v>
      </c>
    </row>
    <row r="479" spans="1:8" x14ac:dyDescent="0.3">
      <c r="A479" s="7" t="s">
        <v>426</v>
      </c>
      <c r="B479" s="7" t="s">
        <v>3881</v>
      </c>
      <c r="C479" s="13">
        <v>2.2345827429993101</v>
      </c>
      <c r="D479" s="13">
        <v>201.762</v>
      </c>
      <c r="E479" s="13">
        <v>1.10753399698621E-2</v>
      </c>
      <c r="F479" s="13">
        <v>-1.95564293374878</v>
      </c>
      <c r="G479" s="18">
        <v>1.95564293374878</v>
      </c>
      <c r="H479" s="7" t="b">
        <v>1</v>
      </c>
    </row>
    <row r="480" spans="1:8" x14ac:dyDescent="0.3">
      <c r="A480" s="7" t="s">
        <v>426</v>
      </c>
      <c r="B480" s="7" t="s">
        <v>3882</v>
      </c>
      <c r="C480" s="13">
        <v>1.9899213114199401</v>
      </c>
      <c r="D480" s="13">
        <v>280.916</v>
      </c>
      <c r="E480" s="13">
        <v>7.0836880470316402E-3</v>
      </c>
      <c r="F480" s="13">
        <v>-2.1497405726140699</v>
      </c>
      <c r="G480" s="18">
        <v>2.1497405726140699</v>
      </c>
      <c r="H480" s="7" t="b">
        <v>1</v>
      </c>
    </row>
    <row r="481" spans="1:8" x14ac:dyDescent="0.3">
      <c r="A481" s="7" t="s">
        <v>426</v>
      </c>
      <c r="B481" s="7" t="s">
        <v>3883</v>
      </c>
      <c r="C481" s="13">
        <v>2.1874023838666998</v>
      </c>
      <c r="D481" s="13">
        <v>128.042</v>
      </c>
      <c r="E481" s="13">
        <v>1.7083475608524499E-2</v>
      </c>
      <c r="F481" s="13">
        <v>-1.76742376807052</v>
      </c>
      <c r="G481" s="18">
        <v>1.76742376807052</v>
      </c>
      <c r="H481" s="7" t="b">
        <v>1</v>
      </c>
    </row>
    <row r="482" spans="1:8" x14ac:dyDescent="0.3">
      <c r="A482" s="7" t="s">
        <v>426</v>
      </c>
      <c r="B482" s="7" t="s">
        <v>3884</v>
      </c>
      <c r="C482" s="13">
        <v>1.8834381939778899</v>
      </c>
      <c r="D482" s="13">
        <v>173.82599999999999</v>
      </c>
      <c r="E482" s="13">
        <v>1.0835192629283801E-2</v>
      </c>
      <c r="F482" s="13">
        <v>-1.96516336333896</v>
      </c>
      <c r="G482" s="18">
        <v>1.96516336333896</v>
      </c>
      <c r="H482" s="7" t="b">
        <v>1</v>
      </c>
    </row>
    <row r="483" spans="1:8" x14ac:dyDescent="0.3">
      <c r="A483" s="7" t="s">
        <v>2182</v>
      </c>
      <c r="B483" s="7" t="s">
        <v>2244</v>
      </c>
      <c r="C483" s="13">
        <v>1592.55821446394</v>
      </c>
      <c r="D483" s="13" t="s">
        <v>37</v>
      </c>
      <c r="E483" s="13" t="s">
        <v>37</v>
      </c>
      <c r="F483" s="13" t="s">
        <v>37</v>
      </c>
      <c r="G483" s="18" t="s">
        <v>37</v>
      </c>
      <c r="H483" s="7" t="b">
        <v>0</v>
      </c>
    </row>
    <row r="484" spans="1:8" x14ac:dyDescent="0.3">
      <c r="A484" s="7" t="s">
        <v>2182</v>
      </c>
      <c r="B484" s="7" t="s">
        <v>2247</v>
      </c>
      <c r="C484" s="13">
        <v>1592.55821446394</v>
      </c>
      <c r="D484" s="13" t="s">
        <v>37</v>
      </c>
      <c r="E484" s="13" t="s">
        <v>37</v>
      </c>
      <c r="F484" s="13" t="s">
        <v>37</v>
      </c>
      <c r="G484" s="18" t="s">
        <v>37</v>
      </c>
      <c r="H484" s="7" t="b">
        <v>0</v>
      </c>
    </row>
    <row r="485" spans="1:8" x14ac:dyDescent="0.3">
      <c r="A485" s="7" t="s">
        <v>2182</v>
      </c>
      <c r="B485" s="7" t="s">
        <v>2300</v>
      </c>
      <c r="C485" s="13">
        <v>1592.55821446394</v>
      </c>
      <c r="D485" s="13" t="s">
        <v>37</v>
      </c>
      <c r="E485" s="13" t="s">
        <v>37</v>
      </c>
      <c r="F485" s="13" t="s">
        <v>37</v>
      </c>
      <c r="G485" s="18" t="s">
        <v>37</v>
      </c>
      <c r="H485" s="7" t="b">
        <v>0</v>
      </c>
    </row>
    <row r="486" spans="1:8" x14ac:dyDescent="0.3">
      <c r="A486" s="7" t="s">
        <v>2182</v>
      </c>
      <c r="B486" s="7" t="s">
        <v>2301</v>
      </c>
      <c r="C486" s="13">
        <v>1609.4784978047601</v>
      </c>
      <c r="D486" s="13" t="s">
        <v>37</v>
      </c>
      <c r="E486" s="13" t="s">
        <v>37</v>
      </c>
      <c r="F486" s="13" t="s">
        <v>37</v>
      </c>
      <c r="G486" s="18" t="s">
        <v>37</v>
      </c>
      <c r="H486" s="7" t="b">
        <v>0</v>
      </c>
    </row>
    <row r="487" spans="1:8" x14ac:dyDescent="0.3">
      <c r="A487" s="7" t="s">
        <v>2182</v>
      </c>
      <c r="B487" s="7" t="s">
        <v>2302</v>
      </c>
      <c r="C487" s="13">
        <v>1515.4520285041001</v>
      </c>
      <c r="D487" s="13" t="s">
        <v>37</v>
      </c>
      <c r="E487" s="13" t="s">
        <v>37</v>
      </c>
      <c r="F487" s="13" t="s">
        <v>37</v>
      </c>
      <c r="G487" s="18" t="s">
        <v>37</v>
      </c>
      <c r="H487" s="7" t="b">
        <v>0</v>
      </c>
    </row>
    <row r="488" spans="1:8" x14ac:dyDescent="0.3">
      <c r="A488" s="7" t="s">
        <v>2182</v>
      </c>
      <c r="B488" s="7" t="s">
        <v>3880</v>
      </c>
      <c r="C488" s="13">
        <v>1562.13289466071</v>
      </c>
      <c r="D488" s="13">
        <v>6.72</v>
      </c>
      <c r="E488" s="13">
        <v>232.460252181653</v>
      </c>
      <c r="F488" s="13">
        <v>2.3663487046070202</v>
      </c>
      <c r="G488" s="18">
        <v>2.3663487046070202</v>
      </c>
      <c r="H488" s="7" t="b">
        <v>0</v>
      </c>
    </row>
    <row r="489" spans="1:8" x14ac:dyDescent="0.3">
      <c r="A489" s="7" t="s">
        <v>2182</v>
      </c>
      <c r="B489" s="7" t="s">
        <v>3881</v>
      </c>
      <c r="C489" s="13">
        <v>1568.91335510712</v>
      </c>
      <c r="D489" s="13" t="s">
        <v>37</v>
      </c>
      <c r="E489" s="13" t="s">
        <v>37</v>
      </c>
      <c r="F489" s="13" t="s">
        <v>37</v>
      </c>
      <c r="G489" s="18" t="s">
        <v>37</v>
      </c>
      <c r="H489" s="7" t="b">
        <v>0</v>
      </c>
    </row>
    <row r="490" spans="1:8" x14ac:dyDescent="0.3">
      <c r="A490" s="7" t="s">
        <v>2182</v>
      </c>
      <c r="B490" s="7" t="s">
        <v>3882</v>
      </c>
      <c r="C490" s="13">
        <v>1755.0788803222599</v>
      </c>
      <c r="D490" s="13">
        <v>33.834000000000003</v>
      </c>
      <c r="E490" s="13">
        <v>51.8732304877419</v>
      </c>
      <c r="F490" s="13">
        <v>1.7149432952138</v>
      </c>
      <c r="G490" s="18">
        <v>1.7149432952138</v>
      </c>
      <c r="H490" s="7" t="b">
        <v>0</v>
      </c>
    </row>
    <row r="491" spans="1:8" x14ac:dyDescent="0.3">
      <c r="A491" s="7" t="s">
        <v>2182</v>
      </c>
      <c r="B491" s="7" t="s">
        <v>3883</v>
      </c>
      <c r="C491" s="13">
        <v>1594.5738886092699</v>
      </c>
      <c r="D491" s="13">
        <v>13.223000000000001</v>
      </c>
      <c r="E491" s="13">
        <v>120.59093160472401</v>
      </c>
      <c r="F491" s="13">
        <v>2.0813146502410702</v>
      </c>
      <c r="G491" s="18">
        <v>2.0813146502410702</v>
      </c>
      <c r="H491" s="7" t="b">
        <v>0</v>
      </c>
    </row>
    <row r="492" spans="1:8" x14ac:dyDescent="0.3">
      <c r="A492" s="7" t="s">
        <v>2182</v>
      </c>
      <c r="B492" s="7" t="s">
        <v>3884</v>
      </c>
      <c r="C492" s="13">
        <v>1705.8193990551699</v>
      </c>
      <c r="D492" s="13" t="s">
        <v>37</v>
      </c>
      <c r="E492" s="13" t="s">
        <v>37</v>
      </c>
      <c r="F492" s="13" t="s">
        <v>37</v>
      </c>
      <c r="G492" s="18" t="s">
        <v>37</v>
      </c>
      <c r="H492" s="7" t="b">
        <v>0</v>
      </c>
    </row>
    <row r="493" spans="1:8" x14ac:dyDescent="0.3">
      <c r="A493" s="7" t="s">
        <v>354</v>
      </c>
      <c r="B493" s="7" t="s">
        <v>2244</v>
      </c>
      <c r="C493" s="13">
        <v>40.6980719138365</v>
      </c>
      <c r="D493" s="13" t="s">
        <v>37</v>
      </c>
      <c r="E493" s="13" t="s">
        <v>37</v>
      </c>
      <c r="F493" s="13" t="s">
        <v>37</v>
      </c>
      <c r="G493" s="18" t="s">
        <v>37</v>
      </c>
      <c r="H493" s="7" t="b">
        <v>0</v>
      </c>
    </row>
    <row r="494" spans="1:8" x14ac:dyDescent="0.3">
      <c r="A494" s="7" t="s">
        <v>354</v>
      </c>
      <c r="B494" s="7" t="s">
        <v>2247</v>
      </c>
      <c r="C494" s="13">
        <v>40.6980719138365</v>
      </c>
      <c r="D494" s="13" t="s">
        <v>37</v>
      </c>
      <c r="E494" s="13" t="s">
        <v>37</v>
      </c>
      <c r="F494" s="13" t="s">
        <v>37</v>
      </c>
      <c r="G494" s="18" t="s">
        <v>37</v>
      </c>
      <c r="H494" s="7" t="b">
        <v>0</v>
      </c>
    </row>
    <row r="495" spans="1:8" x14ac:dyDescent="0.3">
      <c r="A495" s="7" t="s">
        <v>354</v>
      </c>
      <c r="B495" s="7" t="s">
        <v>2300</v>
      </c>
      <c r="C495" s="13">
        <v>40.6980719138365</v>
      </c>
      <c r="D495" s="13" t="s">
        <v>37</v>
      </c>
      <c r="E495" s="13" t="s">
        <v>37</v>
      </c>
      <c r="F495" s="13" t="s">
        <v>37</v>
      </c>
      <c r="G495" s="18" t="s">
        <v>37</v>
      </c>
      <c r="H495" s="7" t="b">
        <v>0</v>
      </c>
    </row>
    <row r="496" spans="1:8" x14ac:dyDescent="0.3">
      <c r="A496" s="7" t="s">
        <v>354</v>
      </c>
      <c r="B496" s="7" t="s">
        <v>2301</v>
      </c>
      <c r="C496" s="13">
        <v>40.831565086453601</v>
      </c>
      <c r="D496" s="13" t="s">
        <v>37</v>
      </c>
      <c r="E496" s="13" t="s">
        <v>37</v>
      </c>
      <c r="F496" s="13" t="s">
        <v>37</v>
      </c>
      <c r="G496" s="18" t="s">
        <v>37</v>
      </c>
      <c r="H496" s="7" t="b">
        <v>0</v>
      </c>
    </row>
    <row r="497" spans="1:8" x14ac:dyDescent="0.3">
      <c r="A497" s="7" t="s">
        <v>354</v>
      </c>
      <c r="B497" s="7" t="s">
        <v>2302</v>
      </c>
      <c r="C497" s="13">
        <v>43.990246134836099</v>
      </c>
      <c r="D497" s="13" t="s">
        <v>37</v>
      </c>
      <c r="E497" s="13" t="s">
        <v>37</v>
      </c>
      <c r="F497" s="13" t="s">
        <v>37</v>
      </c>
      <c r="G497" s="18" t="s">
        <v>37</v>
      </c>
      <c r="H497" s="7" t="b">
        <v>0</v>
      </c>
    </row>
    <row r="498" spans="1:8" x14ac:dyDescent="0.3">
      <c r="A498" s="7" t="s">
        <v>354</v>
      </c>
      <c r="B498" s="7" t="s">
        <v>3880</v>
      </c>
      <c r="C498" s="13">
        <v>41.911339066047802</v>
      </c>
      <c r="D498" s="13">
        <v>168.239</v>
      </c>
      <c r="E498" s="13">
        <v>0.24911785653770999</v>
      </c>
      <c r="F498" s="13">
        <v>-0.60359514152069405</v>
      </c>
      <c r="G498" s="18">
        <v>0.60359514152069405</v>
      </c>
      <c r="H498" s="7" t="b">
        <v>0</v>
      </c>
    </row>
    <row r="499" spans="1:8" x14ac:dyDescent="0.3">
      <c r="A499" s="7" t="s">
        <v>354</v>
      </c>
      <c r="B499" s="7" t="s">
        <v>3881</v>
      </c>
      <c r="C499" s="13">
        <v>36.375965053818199</v>
      </c>
      <c r="D499" s="13" t="s">
        <v>37</v>
      </c>
      <c r="E499" s="13" t="s">
        <v>37</v>
      </c>
      <c r="F499" s="13" t="s">
        <v>37</v>
      </c>
      <c r="G499" s="18" t="s">
        <v>37</v>
      </c>
      <c r="H499" s="7" t="b">
        <v>0</v>
      </c>
    </row>
    <row r="500" spans="1:8" x14ac:dyDescent="0.3">
      <c r="A500" s="7" t="s">
        <v>354</v>
      </c>
      <c r="B500" s="7" t="s">
        <v>3882</v>
      </c>
      <c r="C500" s="13">
        <v>40.188367502014103</v>
      </c>
      <c r="D500" s="13" t="s">
        <v>37</v>
      </c>
      <c r="E500" s="13" t="s">
        <v>37</v>
      </c>
      <c r="F500" s="13" t="s">
        <v>37</v>
      </c>
      <c r="G500" s="18" t="s">
        <v>37</v>
      </c>
      <c r="H500" s="7" t="b">
        <v>0</v>
      </c>
    </row>
    <row r="501" spans="1:8" x14ac:dyDescent="0.3">
      <c r="A501" s="7" t="s">
        <v>354</v>
      </c>
      <c r="B501" s="7" t="s">
        <v>3883</v>
      </c>
      <c r="C501" s="13">
        <v>40.745176624716898</v>
      </c>
      <c r="D501" s="13">
        <v>134.715</v>
      </c>
      <c r="E501" s="13">
        <v>0.30245463849398302</v>
      </c>
      <c r="F501" s="13">
        <v>-0.51933975069409499</v>
      </c>
      <c r="G501" s="18">
        <v>0.51933975069409499</v>
      </c>
      <c r="H501" s="7" t="b">
        <v>0</v>
      </c>
    </row>
    <row r="502" spans="1:8" x14ac:dyDescent="0.3">
      <c r="A502" s="7" t="s">
        <v>354</v>
      </c>
      <c r="B502" s="7" t="s">
        <v>3884</v>
      </c>
      <c r="C502" s="13">
        <v>40.946082727841898</v>
      </c>
      <c r="D502" s="13">
        <v>247.392</v>
      </c>
      <c r="E502" s="13">
        <v>0.16551094104838401</v>
      </c>
      <c r="F502" s="13">
        <v>-0.78117329204002495</v>
      </c>
      <c r="G502" s="18">
        <v>0.78117329204002495</v>
      </c>
      <c r="H502" s="7" t="b">
        <v>0</v>
      </c>
    </row>
    <row r="503" spans="1:8" x14ac:dyDescent="0.3">
      <c r="A503" s="7" t="s">
        <v>1060</v>
      </c>
      <c r="B503" s="7" t="s">
        <v>2244</v>
      </c>
      <c r="C503" s="13">
        <v>0</v>
      </c>
      <c r="D503" s="13" t="s">
        <v>37</v>
      </c>
      <c r="E503" s="13" t="s">
        <v>37</v>
      </c>
      <c r="F503" s="13" t="s">
        <v>37</v>
      </c>
      <c r="G503" s="18" t="s">
        <v>37</v>
      </c>
      <c r="H503" s="7" t="b">
        <v>0</v>
      </c>
    </row>
    <row r="504" spans="1:8" x14ac:dyDescent="0.3">
      <c r="A504" s="7" t="s">
        <v>1060</v>
      </c>
      <c r="B504" s="7" t="s">
        <v>2247</v>
      </c>
      <c r="C504" s="13">
        <v>0</v>
      </c>
      <c r="D504" s="13" t="s">
        <v>37</v>
      </c>
      <c r="E504" s="13" t="s">
        <v>37</v>
      </c>
      <c r="F504" s="13" t="s">
        <v>37</v>
      </c>
      <c r="G504" s="18" t="s">
        <v>37</v>
      </c>
      <c r="H504" s="7" t="b">
        <v>0</v>
      </c>
    </row>
    <row r="505" spans="1:8" x14ac:dyDescent="0.3">
      <c r="A505" s="7" t="s">
        <v>1060</v>
      </c>
      <c r="B505" s="7" t="s">
        <v>2300</v>
      </c>
      <c r="C505" s="13">
        <v>0</v>
      </c>
      <c r="D505" s="13" t="s">
        <v>37</v>
      </c>
      <c r="E505" s="13" t="s">
        <v>37</v>
      </c>
      <c r="F505" s="13" t="s">
        <v>37</v>
      </c>
      <c r="G505" s="18" t="s">
        <v>37</v>
      </c>
      <c r="H505" s="7" t="b">
        <v>0</v>
      </c>
    </row>
    <row r="506" spans="1:8" x14ac:dyDescent="0.3">
      <c r="A506" s="7" t="s">
        <v>1060</v>
      </c>
      <c r="B506" s="7" t="s">
        <v>2301</v>
      </c>
      <c r="C506" s="13">
        <v>0</v>
      </c>
      <c r="D506" s="13" t="s">
        <v>37</v>
      </c>
      <c r="E506" s="13" t="s">
        <v>37</v>
      </c>
      <c r="F506" s="13" t="s">
        <v>37</v>
      </c>
      <c r="G506" s="18" t="s">
        <v>37</v>
      </c>
      <c r="H506" s="7" t="b">
        <v>0</v>
      </c>
    </row>
    <row r="507" spans="1:8" x14ac:dyDescent="0.3">
      <c r="A507" s="7" t="s">
        <v>1060</v>
      </c>
      <c r="B507" s="7" t="s">
        <v>2302</v>
      </c>
      <c r="C507" s="13">
        <v>0</v>
      </c>
      <c r="D507" s="13" t="s">
        <v>37</v>
      </c>
      <c r="E507" s="13" t="s">
        <v>37</v>
      </c>
      <c r="F507" s="13" t="s">
        <v>37</v>
      </c>
      <c r="G507" s="18" t="s">
        <v>37</v>
      </c>
      <c r="H507" s="7" t="b">
        <v>0</v>
      </c>
    </row>
    <row r="508" spans="1:8" x14ac:dyDescent="0.3">
      <c r="A508" s="7" t="s">
        <v>1060</v>
      </c>
      <c r="B508" s="7" t="s">
        <v>3880</v>
      </c>
      <c r="C508" s="13">
        <v>0</v>
      </c>
      <c r="D508" s="13">
        <v>53.7</v>
      </c>
      <c r="E508" s="13">
        <v>0</v>
      </c>
      <c r="F508" s="13">
        <v>-1</v>
      </c>
      <c r="G508" s="18">
        <v>1</v>
      </c>
      <c r="H508" s="7" t="b">
        <v>1</v>
      </c>
    </row>
    <row r="509" spans="1:8" x14ac:dyDescent="0.3">
      <c r="A509" s="7" t="s">
        <v>1060</v>
      </c>
      <c r="B509" s="7" t="s">
        <v>3881</v>
      </c>
      <c r="C509" s="13">
        <v>0</v>
      </c>
      <c r="D509" s="13">
        <v>149.304</v>
      </c>
      <c r="E509" s="13">
        <v>0</v>
      </c>
      <c r="F509" s="13">
        <v>-1</v>
      </c>
      <c r="G509" s="18">
        <v>1</v>
      </c>
      <c r="H509" s="7" t="b">
        <v>1</v>
      </c>
    </row>
    <row r="510" spans="1:8" x14ac:dyDescent="0.3">
      <c r="A510" s="7" t="s">
        <v>1060</v>
      </c>
      <c r="B510" s="7" t="s">
        <v>3882</v>
      </c>
      <c r="C510" s="13">
        <v>0</v>
      </c>
      <c r="D510" s="13">
        <v>71.703000000000003</v>
      </c>
      <c r="E510" s="13">
        <v>0</v>
      </c>
      <c r="F510" s="13">
        <v>-1</v>
      </c>
      <c r="G510" s="18">
        <v>1</v>
      </c>
      <c r="H510" s="7" t="b">
        <v>1</v>
      </c>
    </row>
    <row r="511" spans="1:8" x14ac:dyDescent="0.3">
      <c r="A511" s="7" t="s">
        <v>1060</v>
      </c>
      <c r="B511" s="7" t="s">
        <v>3883</v>
      </c>
      <c r="C511" s="13">
        <v>0</v>
      </c>
      <c r="D511" s="13">
        <v>26.446000000000002</v>
      </c>
      <c r="E511" s="13">
        <v>0</v>
      </c>
      <c r="F511" s="13">
        <v>-1</v>
      </c>
      <c r="G511" s="18">
        <v>1</v>
      </c>
      <c r="H511" s="7" t="b">
        <v>1</v>
      </c>
    </row>
    <row r="512" spans="1:8" x14ac:dyDescent="0.3">
      <c r="A512" s="7" t="s">
        <v>1060</v>
      </c>
      <c r="B512" s="7" t="s">
        <v>3884</v>
      </c>
      <c r="C512" s="13">
        <v>0</v>
      </c>
      <c r="D512" s="13" t="s">
        <v>37</v>
      </c>
      <c r="E512" s="13" t="s">
        <v>37</v>
      </c>
      <c r="F512" s="13" t="s">
        <v>37</v>
      </c>
      <c r="G512" s="18" t="s">
        <v>37</v>
      </c>
      <c r="H512" s="7" t="b">
        <v>0</v>
      </c>
    </row>
    <row r="513" spans="1:8" x14ac:dyDescent="0.3">
      <c r="A513" s="7" t="s">
        <v>486</v>
      </c>
      <c r="B513" s="7" t="s">
        <v>2244</v>
      </c>
      <c r="C513" s="13">
        <v>48.817326509814201</v>
      </c>
      <c r="D513" s="13" t="s">
        <v>37</v>
      </c>
      <c r="E513" s="13" t="s">
        <v>37</v>
      </c>
      <c r="F513" s="13" t="s">
        <v>37</v>
      </c>
      <c r="G513" s="18" t="s">
        <v>37</v>
      </c>
      <c r="H513" s="7" t="b">
        <v>0</v>
      </c>
    </row>
    <row r="514" spans="1:8" x14ac:dyDescent="0.3">
      <c r="A514" s="7" t="s">
        <v>486</v>
      </c>
      <c r="B514" s="7" t="s">
        <v>2247</v>
      </c>
      <c r="C514" s="13">
        <v>48.817326509814201</v>
      </c>
      <c r="D514" s="13" t="s">
        <v>37</v>
      </c>
      <c r="E514" s="13" t="s">
        <v>37</v>
      </c>
      <c r="F514" s="13" t="s">
        <v>37</v>
      </c>
      <c r="G514" s="18" t="s">
        <v>37</v>
      </c>
      <c r="H514" s="7" t="b">
        <v>0</v>
      </c>
    </row>
    <row r="515" spans="1:8" x14ac:dyDescent="0.3">
      <c r="A515" s="7" t="s">
        <v>486</v>
      </c>
      <c r="B515" s="7" t="s">
        <v>2300</v>
      </c>
      <c r="C515" s="13">
        <v>48.817326509814201</v>
      </c>
      <c r="D515" s="13" t="s">
        <v>37</v>
      </c>
      <c r="E515" s="13" t="s">
        <v>37</v>
      </c>
      <c r="F515" s="13" t="s">
        <v>37</v>
      </c>
      <c r="G515" s="18" t="s">
        <v>37</v>
      </c>
      <c r="H515" s="7" t="b">
        <v>0</v>
      </c>
    </row>
    <row r="516" spans="1:8" x14ac:dyDescent="0.3">
      <c r="A516" s="7" t="s">
        <v>486</v>
      </c>
      <c r="B516" s="7" t="s">
        <v>2301</v>
      </c>
      <c r="C516" s="13">
        <v>48.467221682748601</v>
      </c>
      <c r="D516" s="13" t="s">
        <v>37</v>
      </c>
      <c r="E516" s="13" t="s">
        <v>37</v>
      </c>
      <c r="F516" s="13" t="s">
        <v>37</v>
      </c>
      <c r="G516" s="18" t="s">
        <v>37</v>
      </c>
      <c r="H516" s="7" t="b">
        <v>0</v>
      </c>
    </row>
    <row r="517" spans="1:8" x14ac:dyDescent="0.3">
      <c r="A517" s="7" t="s">
        <v>486</v>
      </c>
      <c r="B517" s="7" t="s">
        <v>2302</v>
      </c>
      <c r="C517" s="13">
        <v>47.607665264830899</v>
      </c>
      <c r="D517" s="13" t="s">
        <v>37</v>
      </c>
      <c r="E517" s="13" t="s">
        <v>37</v>
      </c>
      <c r="F517" s="13" t="s">
        <v>37</v>
      </c>
      <c r="G517" s="18" t="s">
        <v>37</v>
      </c>
      <c r="H517" s="7" t="b">
        <v>0</v>
      </c>
    </row>
    <row r="518" spans="1:8" x14ac:dyDescent="0.3">
      <c r="A518" s="7" t="s">
        <v>486</v>
      </c>
      <c r="B518" s="7" t="s">
        <v>3880</v>
      </c>
      <c r="C518" s="13">
        <v>48.885876217786901</v>
      </c>
      <c r="D518" s="13">
        <v>207.35</v>
      </c>
      <c r="E518" s="13">
        <v>0.23576501672431599</v>
      </c>
      <c r="F518" s="13">
        <v>-0.62752063592761098</v>
      </c>
      <c r="G518" s="18">
        <v>0.62752063592761098</v>
      </c>
      <c r="H518" s="7" t="b">
        <v>0</v>
      </c>
    </row>
    <row r="519" spans="1:8" x14ac:dyDescent="0.3">
      <c r="A519" s="7" t="s">
        <v>486</v>
      </c>
      <c r="B519" s="7" t="s">
        <v>3881</v>
      </c>
      <c r="C519" s="13">
        <v>47.380392753006198</v>
      </c>
      <c r="D519" s="13">
        <v>384.90100000000001</v>
      </c>
      <c r="E519" s="13">
        <v>0.123097608873467</v>
      </c>
      <c r="F519" s="13">
        <v>-0.909750382999997</v>
      </c>
      <c r="G519" s="18">
        <v>0.909750382999997</v>
      </c>
      <c r="H519" s="7" t="b">
        <v>0</v>
      </c>
    </row>
    <row r="520" spans="1:8" x14ac:dyDescent="0.3">
      <c r="A520" s="7" t="s">
        <v>486</v>
      </c>
      <c r="B520" s="7" t="s">
        <v>3882</v>
      </c>
      <c r="C520" s="13">
        <v>47.062327860347402</v>
      </c>
      <c r="D520" s="13">
        <v>281.84699999999998</v>
      </c>
      <c r="E520" s="13">
        <v>0.16697828204787499</v>
      </c>
      <c r="F520" s="13">
        <v>-0.77734001148788401</v>
      </c>
      <c r="G520" s="18">
        <v>0.77734001148788401</v>
      </c>
      <c r="H520" s="7" t="b">
        <v>0</v>
      </c>
    </row>
    <row r="521" spans="1:8" x14ac:dyDescent="0.3">
      <c r="A521" s="7" t="s">
        <v>486</v>
      </c>
      <c r="B521" s="7" t="s">
        <v>3883</v>
      </c>
      <c r="C521" s="13">
        <v>49.002241734036502</v>
      </c>
      <c r="D521" s="13">
        <v>156.75399999999999</v>
      </c>
      <c r="E521" s="13">
        <v>0.31260600516756498</v>
      </c>
      <c r="F521" s="13">
        <v>-0.50500268343107901</v>
      </c>
      <c r="G521" s="18">
        <v>0.50500268343107901</v>
      </c>
      <c r="H521" s="7" t="b">
        <v>0</v>
      </c>
    </row>
    <row r="522" spans="1:8" x14ac:dyDescent="0.3">
      <c r="A522" s="7" t="s">
        <v>486</v>
      </c>
      <c r="B522" s="7" t="s">
        <v>3884</v>
      </c>
      <c r="C522" s="13">
        <v>47.997028482336297</v>
      </c>
      <c r="D522" s="13">
        <v>148.06299999999999</v>
      </c>
      <c r="E522" s="13">
        <v>0.324166256811873</v>
      </c>
      <c r="F522" s="13">
        <v>-0.48923219381534999</v>
      </c>
      <c r="G522" s="18">
        <v>0.48923219381534999</v>
      </c>
      <c r="H522" s="7" t="b">
        <v>0</v>
      </c>
    </row>
    <row r="523" spans="1:8" x14ac:dyDescent="0.3">
      <c r="A523" s="7" t="s">
        <v>1036</v>
      </c>
      <c r="B523" s="7" t="s">
        <v>2244</v>
      </c>
      <c r="C523" s="13">
        <v>0.41141558957996799</v>
      </c>
      <c r="D523" s="13" t="s">
        <v>37</v>
      </c>
      <c r="E523" s="13" t="s">
        <v>37</v>
      </c>
      <c r="F523" s="13" t="s">
        <v>37</v>
      </c>
      <c r="G523" s="18" t="s">
        <v>37</v>
      </c>
      <c r="H523" s="7" t="b">
        <v>0</v>
      </c>
    </row>
    <row r="524" spans="1:8" x14ac:dyDescent="0.3">
      <c r="A524" s="7" t="s">
        <v>1036</v>
      </c>
      <c r="B524" s="7" t="s">
        <v>2247</v>
      </c>
      <c r="C524" s="13">
        <v>0.41141558957996799</v>
      </c>
      <c r="D524" s="13" t="s">
        <v>37</v>
      </c>
      <c r="E524" s="13" t="s">
        <v>37</v>
      </c>
      <c r="F524" s="13" t="s">
        <v>37</v>
      </c>
      <c r="G524" s="18" t="s">
        <v>37</v>
      </c>
      <c r="H524" s="7" t="b">
        <v>0</v>
      </c>
    </row>
    <row r="525" spans="1:8" x14ac:dyDescent="0.3">
      <c r="A525" s="7" t="s">
        <v>1036</v>
      </c>
      <c r="B525" s="7" t="s">
        <v>2300</v>
      </c>
      <c r="C525" s="13">
        <v>0.41141558957996799</v>
      </c>
      <c r="D525" s="13" t="s">
        <v>37</v>
      </c>
      <c r="E525" s="13" t="s">
        <v>37</v>
      </c>
      <c r="F525" s="13" t="s">
        <v>37</v>
      </c>
      <c r="G525" s="18" t="s">
        <v>37</v>
      </c>
      <c r="H525" s="7" t="b">
        <v>0</v>
      </c>
    </row>
    <row r="526" spans="1:8" x14ac:dyDescent="0.3">
      <c r="A526" s="7" t="s">
        <v>1036</v>
      </c>
      <c r="B526" s="7" t="s">
        <v>2301</v>
      </c>
      <c r="C526" s="13">
        <v>0.383222462725193</v>
      </c>
      <c r="D526" s="13" t="s">
        <v>37</v>
      </c>
      <c r="E526" s="13" t="s">
        <v>37</v>
      </c>
      <c r="F526" s="13" t="s">
        <v>37</v>
      </c>
      <c r="G526" s="18" t="s">
        <v>37</v>
      </c>
      <c r="H526" s="7" t="b">
        <v>0</v>
      </c>
    </row>
    <row r="527" spans="1:8" x14ac:dyDescent="0.3">
      <c r="A527" s="7" t="s">
        <v>1036</v>
      </c>
      <c r="B527" s="7" t="s">
        <v>2302</v>
      </c>
      <c r="C527" s="13">
        <v>0.54786691290983602</v>
      </c>
      <c r="D527" s="13" t="s">
        <v>37</v>
      </c>
      <c r="E527" s="13" t="s">
        <v>37</v>
      </c>
      <c r="F527" s="13" t="s">
        <v>37</v>
      </c>
      <c r="G527" s="18" t="s">
        <v>37</v>
      </c>
      <c r="H527" s="7" t="b">
        <v>0</v>
      </c>
    </row>
    <row r="528" spans="1:8" x14ac:dyDescent="0.3">
      <c r="A528" s="7" t="s">
        <v>1036</v>
      </c>
      <c r="B528" s="7" t="s">
        <v>3880</v>
      </c>
      <c r="C528" s="13">
        <v>0.38221825794606701</v>
      </c>
      <c r="D528" s="13">
        <v>19.245000000000001</v>
      </c>
      <c r="E528" s="13">
        <v>1.9860652530323E-2</v>
      </c>
      <c r="F528" s="13">
        <v>-1.70200648667331</v>
      </c>
      <c r="G528" s="18">
        <v>1.70200648667331</v>
      </c>
      <c r="H528" s="7" t="b">
        <v>1</v>
      </c>
    </row>
    <row r="529" spans="1:8" x14ac:dyDescent="0.3">
      <c r="A529" s="7" t="s">
        <v>1036</v>
      </c>
      <c r="B529" s="7" t="s">
        <v>3881</v>
      </c>
      <c r="C529" s="13">
        <v>0.50503207525915705</v>
      </c>
      <c r="D529" s="13">
        <v>77.290999999999997</v>
      </c>
      <c r="E529" s="13">
        <v>6.5341640716145098E-3</v>
      </c>
      <c r="F529" s="13">
        <v>-2.1848099646720001</v>
      </c>
      <c r="G529" s="18">
        <v>2.1848099646720001</v>
      </c>
      <c r="H529" s="7" t="b">
        <v>1</v>
      </c>
    </row>
    <row r="530" spans="1:8" x14ac:dyDescent="0.3">
      <c r="A530" s="7" t="s">
        <v>1036</v>
      </c>
      <c r="B530" s="7" t="s">
        <v>3882</v>
      </c>
      <c r="C530" s="13">
        <v>0.46668918368580098</v>
      </c>
      <c r="D530" s="13">
        <v>58.665999999999997</v>
      </c>
      <c r="E530" s="13">
        <v>7.95501966532235E-3</v>
      </c>
      <c r="F530" s="13">
        <v>-2.0993587424120701</v>
      </c>
      <c r="G530" s="18">
        <v>2.0993587424120701</v>
      </c>
      <c r="H530" s="7" t="b">
        <v>1</v>
      </c>
    </row>
    <row r="531" spans="1:8" x14ac:dyDescent="0.3">
      <c r="A531" s="7" t="s">
        <v>1036</v>
      </c>
      <c r="B531" s="7" t="s">
        <v>3883</v>
      </c>
      <c r="C531" s="13">
        <v>0.45311866932279399</v>
      </c>
      <c r="D531" s="13">
        <v>23.341999999999999</v>
      </c>
      <c r="E531" s="13">
        <v>1.9412161311061299E-2</v>
      </c>
      <c r="F531" s="13">
        <v>-1.71192610844408</v>
      </c>
      <c r="G531" s="18">
        <v>1.71192610844408</v>
      </c>
      <c r="H531" s="7" t="b">
        <v>1</v>
      </c>
    </row>
    <row r="532" spans="1:8" x14ac:dyDescent="0.3">
      <c r="A532" s="7" t="s">
        <v>1036</v>
      </c>
      <c r="B532" s="7" t="s">
        <v>3884</v>
      </c>
      <c r="C532" s="13">
        <v>0.38718503524750703</v>
      </c>
      <c r="D532" s="13">
        <v>17.568999999999999</v>
      </c>
      <c r="E532" s="13">
        <v>2.2037966602965801E-2</v>
      </c>
      <c r="F532" s="13">
        <v>-1.6568284794142101</v>
      </c>
      <c r="G532" s="18">
        <v>1.6568284794142101</v>
      </c>
      <c r="H532" s="7" t="b">
        <v>1</v>
      </c>
    </row>
    <row r="533" spans="1:8" x14ac:dyDescent="0.3">
      <c r="A533" s="7" t="s">
        <v>146</v>
      </c>
      <c r="B533" s="7" t="s">
        <v>2244</v>
      </c>
      <c r="C533" s="13">
        <v>328.351162399457</v>
      </c>
      <c r="D533" s="13" t="s">
        <v>37</v>
      </c>
      <c r="E533" s="13" t="s">
        <v>37</v>
      </c>
      <c r="F533" s="13" t="s">
        <v>37</v>
      </c>
      <c r="G533" s="18" t="s">
        <v>37</v>
      </c>
      <c r="H533" s="7" t="b">
        <v>0</v>
      </c>
    </row>
    <row r="534" spans="1:8" x14ac:dyDescent="0.3">
      <c r="A534" s="7" t="s">
        <v>146</v>
      </c>
      <c r="B534" s="7" t="s">
        <v>2247</v>
      </c>
      <c r="C534" s="13">
        <v>328.351162399457</v>
      </c>
      <c r="D534" s="13" t="s">
        <v>37</v>
      </c>
      <c r="E534" s="13" t="s">
        <v>37</v>
      </c>
      <c r="F534" s="13" t="s">
        <v>37</v>
      </c>
      <c r="G534" s="18" t="s">
        <v>37</v>
      </c>
      <c r="H534" s="7" t="b">
        <v>0</v>
      </c>
    </row>
    <row r="535" spans="1:8" x14ac:dyDescent="0.3">
      <c r="A535" s="7" t="s">
        <v>146</v>
      </c>
      <c r="B535" s="7" t="s">
        <v>2300</v>
      </c>
      <c r="C535" s="13">
        <v>328.351162399457</v>
      </c>
      <c r="D535" s="13" t="s">
        <v>37</v>
      </c>
      <c r="E535" s="13" t="s">
        <v>37</v>
      </c>
      <c r="F535" s="13" t="s">
        <v>37</v>
      </c>
      <c r="G535" s="18" t="s">
        <v>37</v>
      </c>
      <c r="H535" s="7" t="b">
        <v>0</v>
      </c>
    </row>
    <row r="536" spans="1:8" x14ac:dyDescent="0.3">
      <c r="A536" s="7" t="s">
        <v>146</v>
      </c>
      <c r="B536" s="7" t="s">
        <v>2301</v>
      </c>
      <c r="C536" s="13">
        <v>330.88487044694699</v>
      </c>
      <c r="D536" s="13" t="s">
        <v>37</v>
      </c>
      <c r="E536" s="13" t="s">
        <v>37</v>
      </c>
      <c r="F536" s="13" t="s">
        <v>37</v>
      </c>
      <c r="G536" s="18" t="s">
        <v>37</v>
      </c>
      <c r="H536" s="7" t="b">
        <v>0</v>
      </c>
    </row>
    <row r="537" spans="1:8" x14ac:dyDescent="0.3">
      <c r="A537" s="7" t="s">
        <v>146</v>
      </c>
      <c r="B537" s="7" t="s">
        <v>2302</v>
      </c>
      <c r="C537" s="13">
        <v>344.81490515645498</v>
      </c>
      <c r="D537" s="13" t="s">
        <v>37</v>
      </c>
      <c r="E537" s="13" t="s">
        <v>37</v>
      </c>
      <c r="F537" s="13" t="s">
        <v>37</v>
      </c>
      <c r="G537" s="18" t="s">
        <v>37</v>
      </c>
      <c r="H537" s="7" t="b">
        <v>0</v>
      </c>
    </row>
    <row r="538" spans="1:8" x14ac:dyDescent="0.3">
      <c r="A538" s="7" t="s">
        <v>146</v>
      </c>
      <c r="B538" s="7" t="s">
        <v>3880</v>
      </c>
      <c r="C538" s="13">
        <v>326.33699132699098</v>
      </c>
      <c r="D538" s="13">
        <v>69.53</v>
      </c>
      <c r="E538" s="13">
        <v>4.6934703196748302</v>
      </c>
      <c r="F538" s="13">
        <v>0.67149407584154697</v>
      </c>
      <c r="G538" s="18">
        <v>0.67149407584154697</v>
      </c>
      <c r="H538" s="7" t="b">
        <v>0</v>
      </c>
    </row>
    <row r="539" spans="1:8" x14ac:dyDescent="0.3">
      <c r="A539" s="7" t="s">
        <v>146</v>
      </c>
      <c r="B539" s="7" t="s">
        <v>3881</v>
      </c>
      <c r="C539" s="13">
        <v>344.21439820345302</v>
      </c>
      <c r="D539" s="13" t="s">
        <v>37</v>
      </c>
      <c r="E539" s="13" t="s">
        <v>37</v>
      </c>
      <c r="F539" s="13" t="s">
        <v>37</v>
      </c>
      <c r="G539" s="18" t="s">
        <v>37</v>
      </c>
      <c r="H539" s="7" t="b">
        <v>0</v>
      </c>
    </row>
    <row r="540" spans="1:8" x14ac:dyDescent="0.3">
      <c r="A540" s="7" t="s">
        <v>146</v>
      </c>
      <c r="B540" s="7" t="s">
        <v>3882</v>
      </c>
      <c r="C540" s="13">
        <v>332.13349494868697</v>
      </c>
      <c r="D540" s="13" t="s">
        <v>37</v>
      </c>
      <c r="E540" s="13" t="s">
        <v>37</v>
      </c>
      <c r="F540" s="13" t="s">
        <v>37</v>
      </c>
      <c r="G540" s="18" t="s">
        <v>37</v>
      </c>
      <c r="H540" s="7" t="b">
        <v>0</v>
      </c>
    </row>
    <row r="541" spans="1:8" x14ac:dyDescent="0.3">
      <c r="A541" s="7" t="s">
        <v>146</v>
      </c>
      <c r="B541" s="7" t="s">
        <v>3883</v>
      </c>
      <c r="C541" s="13">
        <v>333.23218870979798</v>
      </c>
      <c r="D541" s="13" t="s">
        <v>37</v>
      </c>
      <c r="E541" s="13" t="s">
        <v>37</v>
      </c>
      <c r="F541" s="13" t="s">
        <v>37</v>
      </c>
      <c r="G541" s="18" t="s">
        <v>37</v>
      </c>
      <c r="H541" s="7" t="b">
        <v>0</v>
      </c>
    </row>
    <row r="542" spans="1:8" x14ac:dyDescent="0.3">
      <c r="A542" s="7" t="s">
        <v>146</v>
      </c>
      <c r="B542" s="7" t="s">
        <v>3884</v>
      </c>
      <c r="C542" s="13">
        <v>327.555771709601</v>
      </c>
      <c r="D542" s="13" t="s">
        <v>37</v>
      </c>
      <c r="E542" s="13" t="s">
        <v>37</v>
      </c>
      <c r="F542" s="13" t="s">
        <v>37</v>
      </c>
      <c r="G542" s="18" t="s">
        <v>37</v>
      </c>
      <c r="H542" s="7" t="b">
        <v>0</v>
      </c>
    </row>
    <row r="543" spans="1:8" x14ac:dyDescent="0.3">
      <c r="A543" s="7" t="s">
        <v>444</v>
      </c>
      <c r="B543" s="7" t="s">
        <v>2244</v>
      </c>
      <c r="C543" s="13">
        <v>42.682790922126998</v>
      </c>
      <c r="D543" s="13" t="s">
        <v>37</v>
      </c>
      <c r="E543" s="13" t="s">
        <v>37</v>
      </c>
      <c r="F543" s="13" t="s">
        <v>37</v>
      </c>
      <c r="G543" s="18" t="s">
        <v>37</v>
      </c>
      <c r="H543" s="7" t="b">
        <v>0</v>
      </c>
    </row>
    <row r="544" spans="1:8" x14ac:dyDescent="0.3">
      <c r="A544" s="7" t="s">
        <v>444</v>
      </c>
      <c r="B544" s="7" t="s">
        <v>2247</v>
      </c>
      <c r="C544" s="13">
        <v>42.682790922126998</v>
      </c>
      <c r="D544" s="13" t="s">
        <v>37</v>
      </c>
      <c r="E544" s="13" t="s">
        <v>37</v>
      </c>
      <c r="F544" s="13" t="s">
        <v>37</v>
      </c>
      <c r="G544" s="18" t="s">
        <v>37</v>
      </c>
      <c r="H544" s="7" t="b">
        <v>0</v>
      </c>
    </row>
    <row r="545" spans="1:8" x14ac:dyDescent="0.3">
      <c r="A545" s="7" t="s">
        <v>444</v>
      </c>
      <c r="B545" s="7" t="s">
        <v>2300</v>
      </c>
      <c r="C545" s="13">
        <v>42.682790922126998</v>
      </c>
      <c r="D545" s="13" t="s">
        <v>37</v>
      </c>
      <c r="E545" s="13" t="s">
        <v>37</v>
      </c>
      <c r="F545" s="13" t="s">
        <v>37</v>
      </c>
      <c r="G545" s="18" t="s">
        <v>37</v>
      </c>
      <c r="H545" s="7" t="b">
        <v>0</v>
      </c>
    </row>
    <row r="546" spans="1:8" x14ac:dyDescent="0.3">
      <c r="A546" s="7" t="s">
        <v>444</v>
      </c>
      <c r="B546" s="7" t="s">
        <v>2301</v>
      </c>
      <c r="C546" s="13">
        <v>41.863377994267204</v>
      </c>
      <c r="D546" s="13" t="s">
        <v>37</v>
      </c>
      <c r="E546" s="13" t="s">
        <v>37</v>
      </c>
      <c r="F546" s="13" t="s">
        <v>37</v>
      </c>
      <c r="G546" s="18" t="s">
        <v>37</v>
      </c>
      <c r="H546" s="7" t="b">
        <v>0</v>
      </c>
    </row>
    <row r="547" spans="1:8" x14ac:dyDescent="0.3">
      <c r="A547" s="7" t="s">
        <v>444</v>
      </c>
      <c r="B547" s="7" t="s">
        <v>2302</v>
      </c>
      <c r="C547" s="13">
        <v>41.392502754790002</v>
      </c>
      <c r="D547" s="13" t="s">
        <v>37</v>
      </c>
      <c r="E547" s="13" t="s">
        <v>37</v>
      </c>
      <c r="F547" s="13" t="s">
        <v>37</v>
      </c>
      <c r="G547" s="18" t="s">
        <v>37</v>
      </c>
      <c r="H547" s="7" t="b">
        <v>0</v>
      </c>
    </row>
    <row r="548" spans="1:8" x14ac:dyDescent="0.3">
      <c r="A548" s="7" t="s">
        <v>444</v>
      </c>
      <c r="B548" s="7" t="s">
        <v>3880</v>
      </c>
      <c r="C548" s="13">
        <v>41.448246034087298</v>
      </c>
      <c r="D548" s="13">
        <v>10.74</v>
      </c>
      <c r="E548" s="13">
        <v>3.8592407852967701</v>
      </c>
      <c r="F548" s="13">
        <v>0.58650187586692104</v>
      </c>
      <c r="G548" s="18">
        <v>0.58650187586692104</v>
      </c>
      <c r="H548" s="7" t="b">
        <v>0</v>
      </c>
    </row>
    <row r="549" spans="1:8" x14ac:dyDescent="0.3">
      <c r="A549" s="7" t="s">
        <v>444</v>
      </c>
      <c r="B549" s="7" t="s">
        <v>3881</v>
      </c>
      <c r="C549" s="13">
        <v>42.041752829595701</v>
      </c>
      <c r="D549" s="13">
        <v>16.234000000000002</v>
      </c>
      <c r="E549" s="13">
        <v>2.58973468212367</v>
      </c>
      <c r="F549" s="13">
        <v>0.413255272964694</v>
      </c>
      <c r="G549" s="18">
        <v>0.413255272964694</v>
      </c>
      <c r="H549" s="7" t="b">
        <v>0</v>
      </c>
    </row>
    <row r="550" spans="1:8" x14ac:dyDescent="0.3">
      <c r="A550" s="7" t="s">
        <v>444</v>
      </c>
      <c r="B550" s="7" t="s">
        <v>3882</v>
      </c>
      <c r="C550" s="13">
        <v>43.638859021626402</v>
      </c>
      <c r="D550" s="13">
        <v>28.184999999999999</v>
      </c>
      <c r="E550" s="13">
        <v>1.54830083454413</v>
      </c>
      <c r="F550" s="13">
        <v>0.18985534787720401</v>
      </c>
      <c r="G550" s="18">
        <v>0.18985534787720401</v>
      </c>
      <c r="H550" s="7" t="b">
        <v>0</v>
      </c>
    </row>
    <row r="551" spans="1:8" x14ac:dyDescent="0.3">
      <c r="A551" s="7" t="s">
        <v>444</v>
      </c>
      <c r="B551" s="7" t="s">
        <v>3883</v>
      </c>
      <c r="C551" s="13">
        <v>39.693300874396499</v>
      </c>
      <c r="D551" s="13">
        <v>7.2009999999999996</v>
      </c>
      <c r="E551" s="13">
        <v>5.5121928724339</v>
      </c>
      <c r="F551" s="13">
        <v>0.74132440519279996</v>
      </c>
      <c r="G551" s="18">
        <v>0.74132440519279996</v>
      </c>
      <c r="H551" s="7" t="b">
        <v>0</v>
      </c>
    </row>
    <row r="552" spans="1:8" x14ac:dyDescent="0.3">
      <c r="A552" s="7" t="s">
        <v>444</v>
      </c>
      <c r="B552" s="7" t="s">
        <v>3884</v>
      </c>
      <c r="C552" s="13">
        <v>41.8905324624861</v>
      </c>
      <c r="D552" s="13">
        <v>10.057</v>
      </c>
      <c r="E552" s="13">
        <v>4.1653109736985297</v>
      </c>
      <c r="F552" s="13">
        <v>0.619647430501444</v>
      </c>
      <c r="G552" s="18">
        <v>0.619647430501444</v>
      </c>
      <c r="H552" s="7" t="b">
        <v>0</v>
      </c>
    </row>
    <row r="553" spans="1:8" x14ac:dyDescent="0.3">
      <c r="A553" s="7" t="s">
        <v>2188</v>
      </c>
      <c r="B553" s="7" t="s">
        <v>2244</v>
      </c>
      <c r="C553" s="13">
        <v>334.14342544490103</v>
      </c>
      <c r="D553" s="13" t="s">
        <v>37</v>
      </c>
      <c r="E553" s="13" t="s">
        <v>37</v>
      </c>
      <c r="F553" s="13" t="s">
        <v>37</v>
      </c>
      <c r="G553" s="18" t="s">
        <v>37</v>
      </c>
      <c r="H553" s="7" t="b">
        <v>0</v>
      </c>
    </row>
    <row r="554" spans="1:8" x14ac:dyDescent="0.3">
      <c r="A554" s="7" t="s">
        <v>2188</v>
      </c>
      <c r="B554" s="7" t="s">
        <v>2247</v>
      </c>
      <c r="C554" s="13">
        <v>334.14342544490103</v>
      </c>
      <c r="D554" s="13" t="s">
        <v>37</v>
      </c>
      <c r="E554" s="13" t="s">
        <v>37</v>
      </c>
      <c r="F554" s="13" t="s">
        <v>37</v>
      </c>
      <c r="G554" s="18" t="s">
        <v>37</v>
      </c>
      <c r="H554" s="7" t="b">
        <v>0</v>
      </c>
    </row>
    <row r="555" spans="1:8" x14ac:dyDescent="0.3">
      <c r="A555" s="7" t="s">
        <v>2188</v>
      </c>
      <c r="B555" s="7" t="s">
        <v>2300</v>
      </c>
      <c r="C555" s="13">
        <v>334.14342544490103</v>
      </c>
      <c r="D555" s="13" t="s">
        <v>37</v>
      </c>
      <c r="E555" s="13" t="s">
        <v>37</v>
      </c>
      <c r="F555" s="13" t="s">
        <v>37</v>
      </c>
      <c r="G555" s="18" t="s">
        <v>37</v>
      </c>
      <c r="H555" s="7" t="b">
        <v>0</v>
      </c>
    </row>
    <row r="556" spans="1:8" x14ac:dyDescent="0.3">
      <c r="A556" s="7" t="s">
        <v>2188</v>
      </c>
      <c r="B556" s="7" t="s">
        <v>2301</v>
      </c>
      <c r="C556" s="13">
        <v>369.88741614301</v>
      </c>
      <c r="D556" s="13" t="s">
        <v>37</v>
      </c>
      <c r="E556" s="13" t="s">
        <v>37</v>
      </c>
      <c r="F556" s="13" t="s">
        <v>37</v>
      </c>
      <c r="G556" s="18" t="s">
        <v>37</v>
      </c>
      <c r="H556" s="7" t="b">
        <v>0</v>
      </c>
    </row>
    <row r="557" spans="1:8" x14ac:dyDescent="0.3">
      <c r="A557" s="7" t="s">
        <v>2188</v>
      </c>
      <c r="B557" s="7" t="s">
        <v>2302</v>
      </c>
      <c r="C557" s="13">
        <v>406.59238893698802</v>
      </c>
      <c r="D557" s="13" t="s">
        <v>37</v>
      </c>
      <c r="E557" s="13" t="s">
        <v>37</v>
      </c>
      <c r="F557" s="13" t="s">
        <v>37</v>
      </c>
      <c r="G557" s="18" t="s">
        <v>37</v>
      </c>
      <c r="H557" s="7" t="b">
        <v>0</v>
      </c>
    </row>
    <row r="558" spans="1:8" x14ac:dyDescent="0.3">
      <c r="A558" s="7" t="s">
        <v>2188</v>
      </c>
      <c r="B558" s="7" t="s">
        <v>3880</v>
      </c>
      <c r="C558" s="13">
        <v>385.85309558905902</v>
      </c>
      <c r="D558" s="13">
        <v>164.51400000000001</v>
      </c>
      <c r="E558" s="13">
        <v>2.3454119138131699</v>
      </c>
      <c r="F558" s="13">
        <v>0.37021912687463299</v>
      </c>
      <c r="G558" s="18">
        <v>0.37021912687463299</v>
      </c>
      <c r="H558" s="7" t="b">
        <v>0</v>
      </c>
    </row>
    <row r="559" spans="1:8" x14ac:dyDescent="0.3">
      <c r="A559" s="7" t="s">
        <v>2188</v>
      </c>
      <c r="B559" s="7" t="s">
        <v>3881</v>
      </c>
      <c r="C559" s="13">
        <v>438.79383176503097</v>
      </c>
      <c r="D559" s="13">
        <v>363.173</v>
      </c>
      <c r="E559" s="13">
        <v>1.20822261502103</v>
      </c>
      <c r="F559" s="13">
        <v>8.2146960417550305E-2</v>
      </c>
      <c r="G559" s="18">
        <v>8.2146960417550305E-2</v>
      </c>
      <c r="H559" s="7" t="b">
        <v>0</v>
      </c>
    </row>
    <row r="560" spans="1:8" x14ac:dyDescent="0.3">
      <c r="A560" s="7" t="s">
        <v>2188</v>
      </c>
      <c r="B560" s="7" t="s">
        <v>3882</v>
      </c>
      <c r="C560" s="13">
        <v>372.98948656831101</v>
      </c>
      <c r="D560" s="13">
        <v>245.53</v>
      </c>
      <c r="E560" s="13">
        <v>1.5191198084483</v>
      </c>
      <c r="F560" s="13">
        <v>0.181592026723957</v>
      </c>
      <c r="G560" s="18">
        <v>0.181592026723957</v>
      </c>
      <c r="H560" s="7" t="b">
        <v>0</v>
      </c>
    </row>
    <row r="561" spans="1:8" x14ac:dyDescent="0.3">
      <c r="A561" s="7" t="s">
        <v>2188</v>
      </c>
      <c r="B561" s="7" t="s">
        <v>3883</v>
      </c>
      <c r="C561" s="13">
        <v>389.96735513170302</v>
      </c>
      <c r="D561" s="13">
        <v>147.44200000000001</v>
      </c>
      <c r="E561" s="13">
        <v>2.6448864986347398</v>
      </c>
      <c r="F561" s="13">
        <v>0.42240703967015503</v>
      </c>
      <c r="G561" s="18">
        <v>0.42240703967015503</v>
      </c>
      <c r="H561" s="7" t="b">
        <v>0</v>
      </c>
    </row>
    <row r="562" spans="1:8" x14ac:dyDescent="0.3">
      <c r="A562" s="7" t="s">
        <v>2188</v>
      </c>
      <c r="B562" s="7" t="s">
        <v>3884</v>
      </c>
      <c r="C562" s="13">
        <v>358.68232798273601</v>
      </c>
      <c r="D562" s="13">
        <v>144.02699999999999</v>
      </c>
      <c r="E562" s="13">
        <v>2.4903825531514001</v>
      </c>
      <c r="F562" s="13">
        <v>0.39626606515252799</v>
      </c>
      <c r="G562" s="18">
        <v>0.39626606515252799</v>
      </c>
      <c r="H562" s="7" t="b">
        <v>0</v>
      </c>
    </row>
    <row r="563" spans="1:8" x14ac:dyDescent="0.3">
      <c r="A563" s="7" t="s">
        <v>593</v>
      </c>
      <c r="B563" s="7" t="s">
        <v>2244</v>
      </c>
      <c r="C563" s="13">
        <v>131.92092962621899</v>
      </c>
      <c r="D563" s="13" t="s">
        <v>37</v>
      </c>
      <c r="E563" s="13" t="s">
        <v>37</v>
      </c>
      <c r="F563" s="13" t="s">
        <v>37</v>
      </c>
      <c r="G563" s="18" t="s">
        <v>37</v>
      </c>
      <c r="H563" s="7" t="b">
        <v>0</v>
      </c>
    </row>
    <row r="564" spans="1:8" x14ac:dyDescent="0.3">
      <c r="A564" s="7" t="s">
        <v>593</v>
      </c>
      <c r="B564" s="7" t="s">
        <v>2247</v>
      </c>
      <c r="C564" s="13">
        <v>131.92092962621899</v>
      </c>
      <c r="D564" s="13" t="s">
        <v>37</v>
      </c>
      <c r="E564" s="13" t="s">
        <v>37</v>
      </c>
      <c r="F564" s="13" t="s">
        <v>37</v>
      </c>
      <c r="G564" s="18" t="s">
        <v>37</v>
      </c>
      <c r="H564" s="7" t="b">
        <v>0</v>
      </c>
    </row>
    <row r="565" spans="1:8" x14ac:dyDescent="0.3">
      <c r="A565" s="7" t="s">
        <v>593</v>
      </c>
      <c r="B565" s="7" t="s">
        <v>2300</v>
      </c>
      <c r="C565" s="13">
        <v>131.92092962621899</v>
      </c>
      <c r="D565" s="13" t="s">
        <v>37</v>
      </c>
      <c r="E565" s="13" t="s">
        <v>37</v>
      </c>
      <c r="F565" s="13" t="s">
        <v>37</v>
      </c>
      <c r="G565" s="18" t="s">
        <v>37</v>
      </c>
      <c r="H565" s="7" t="b">
        <v>0</v>
      </c>
    </row>
    <row r="566" spans="1:8" x14ac:dyDescent="0.3">
      <c r="A566" s="7" t="s">
        <v>593</v>
      </c>
      <c r="B566" s="7" t="s">
        <v>2301</v>
      </c>
      <c r="C566" s="13">
        <v>130.958114662176</v>
      </c>
      <c r="D566" s="13" t="s">
        <v>37</v>
      </c>
      <c r="E566" s="13" t="s">
        <v>37</v>
      </c>
      <c r="F566" s="13" t="s">
        <v>37</v>
      </c>
      <c r="G566" s="18" t="s">
        <v>37</v>
      </c>
      <c r="H566" s="7" t="b">
        <v>0</v>
      </c>
    </row>
    <row r="567" spans="1:8" x14ac:dyDescent="0.3">
      <c r="A567" s="7" t="s">
        <v>593</v>
      </c>
      <c r="B567" s="7" t="s">
        <v>2302</v>
      </c>
      <c r="C567" s="13">
        <v>125.79656155198801</v>
      </c>
      <c r="D567" s="13" t="s">
        <v>37</v>
      </c>
      <c r="E567" s="13" t="s">
        <v>37</v>
      </c>
      <c r="F567" s="13" t="s">
        <v>37</v>
      </c>
      <c r="G567" s="18" t="s">
        <v>37</v>
      </c>
      <c r="H567" s="7" t="b">
        <v>0</v>
      </c>
    </row>
    <row r="568" spans="1:8" x14ac:dyDescent="0.3">
      <c r="A568" s="7" t="s">
        <v>593</v>
      </c>
      <c r="B568" s="7" t="s">
        <v>3880</v>
      </c>
      <c r="C568" s="13">
        <v>133.94620381938901</v>
      </c>
      <c r="D568" s="13">
        <v>397.31700000000001</v>
      </c>
      <c r="E568" s="13">
        <v>0.33712678747546398</v>
      </c>
      <c r="F568" s="13">
        <v>-0.47220673786594097</v>
      </c>
      <c r="G568" s="18">
        <v>0.47220673786594097</v>
      </c>
      <c r="H568" s="7" t="b">
        <v>0</v>
      </c>
    </row>
    <row r="569" spans="1:8" x14ac:dyDescent="0.3">
      <c r="A569" s="7" t="s">
        <v>593</v>
      </c>
      <c r="B569" s="7" t="s">
        <v>3881</v>
      </c>
      <c r="C569" s="13">
        <v>129.47037746845899</v>
      </c>
      <c r="D569" s="13">
        <v>580.45500000000004</v>
      </c>
      <c r="E569" s="13">
        <v>0.223049810008457</v>
      </c>
      <c r="F569" s="13">
        <v>-0.65159814234979696</v>
      </c>
      <c r="G569" s="18">
        <v>0.65159814234979696</v>
      </c>
      <c r="H569" s="7" t="b">
        <v>0</v>
      </c>
    </row>
    <row r="570" spans="1:8" x14ac:dyDescent="0.3">
      <c r="A570" s="7" t="s">
        <v>593</v>
      </c>
      <c r="B570" s="7" t="s">
        <v>3882</v>
      </c>
      <c r="C570" s="13">
        <v>131.91993960452501</v>
      </c>
      <c r="D570" s="13">
        <v>642.53599999999994</v>
      </c>
      <c r="E570" s="13">
        <v>0.20531135937056399</v>
      </c>
      <c r="F570" s="13">
        <v>-0.68758702152333095</v>
      </c>
      <c r="G570" s="18">
        <v>0.68758702152333095</v>
      </c>
      <c r="H570" s="7" t="b">
        <v>0</v>
      </c>
    </row>
    <row r="571" spans="1:8" x14ac:dyDescent="0.3">
      <c r="A571" s="7" t="s">
        <v>593</v>
      </c>
      <c r="B571" s="7" t="s">
        <v>3883</v>
      </c>
      <c r="C571" s="13">
        <v>130.11268229969701</v>
      </c>
      <c r="D571" s="13">
        <v>202.38300000000001</v>
      </c>
      <c r="E571" s="13">
        <v>0.64290321963651598</v>
      </c>
      <c r="F571" s="13">
        <v>-0.191854399301705</v>
      </c>
      <c r="G571" s="18">
        <v>0.191854399301705</v>
      </c>
      <c r="H571" s="7" t="b">
        <v>0</v>
      </c>
    </row>
    <row r="572" spans="1:8" x14ac:dyDescent="0.3">
      <c r="A572" s="7" t="s">
        <v>593</v>
      </c>
      <c r="B572" s="7" t="s">
        <v>3884</v>
      </c>
      <c r="C572" s="13">
        <v>130.549016455421</v>
      </c>
      <c r="D572" s="13">
        <v>313.50799999999998</v>
      </c>
      <c r="E572" s="13">
        <v>0.41641366872750002</v>
      </c>
      <c r="F572" s="13">
        <v>-0.38047502326453098</v>
      </c>
      <c r="G572" s="18">
        <v>0.38047502326453098</v>
      </c>
      <c r="H572" s="7" t="b">
        <v>0</v>
      </c>
    </row>
    <row r="573" spans="1:8" x14ac:dyDescent="0.3">
      <c r="A573" s="7" t="s">
        <v>1030</v>
      </c>
      <c r="B573" s="7" t="s">
        <v>2244</v>
      </c>
      <c r="C573" s="13">
        <v>3.21265971508298E-2</v>
      </c>
      <c r="D573" s="13" t="s">
        <v>37</v>
      </c>
      <c r="E573" s="13" t="s">
        <v>37</v>
      </c>
      <c r="F573" s="13" t="s">
        <v>37</v>
      </c>
      <c r="G573" s="18" t="s">
        <v>37</v>
      </c>
      <c r="H573" s="7" t="b">
        <v>0</v>
      </c>
    </row>
    <row r="574" spans="1:8" x14ac:dyDescent="0.3">
      <c r="A574" s="7" t="s">
        <v>1030</v>
      </c>
      <c r="B574" s="7" t="s">
        <v>2247</v>
      </c>
      <c r="C574" s="13">
        <v>3.21265971508298E-2</v>
      </c>
      <c r="D574" s="13" t="s">
        <v>37</v>
      </c>
      <c r="E574" s="13" t="s">
        <v>37</v>
      </c>
      <c r="F574" s="13" t="s">
        <v>37</v>
      </c>
      <c r="G574" s="18" t="s">
        <v>37</v>
      </c>
      <c r="H574" s="7" t="b">
        <v>0</v>
      </c>
    </row>
    <row r="575" spans="1:8" x14ac:dyDescent="0.3">
      <c r="A575" s="7" t="s">
        <v>1030</v>
      </c>
      <c r="B575" s="7" t="s">
        <v>2300</v>
      </c>
      <c r="C575" s="13">
        <v>3.21265971508298E-2</v>
      </c>
      <c r="D575" s="13" t="s">
        <v>37</v>
      </c>
      <c r="E575" s="13" t="s">
        <v>37</v>
      </c>
      <c r="F575" s="13" t="s">
        <v>37</v>
      </c>
      <c r="G575" s="18" t="s">
        <v>37</v>
      </c>
      <c r="H575" s="7" t="b">
        <v>0</v>
      </c>
    </row>
    <row r="576" spans="1:8" x14ac:dyDescent="0.3">
      <c r="A576" s="7" t="s">
        <v>1030</v>
      </c>
      <c r="B576" s="7" t="s">
        <v>2301</v>
      </c>
      <c r="C576" s="13">
        <v>2.92638026748448E-2</v>
      </c>
      <c r="D576" s="13" t="s">
        <v>37</v>
      </c>
      <c r="E576" s="13" t="s">
        <v>37</v>
      </c>
      <c r="F576" s="13" t="s">
        <v>37</v>
      </c>
      <c r="G576" s="18" t="s">
        <v>37</v>
      </c>
      <c r="H576" s="7" t="b">
        <v>0</v>
      </c>
    </row>
    <row r="577" spans="1:8" x14ac:dyDescent="0.3">
      <c r="A577" s="7" t="s">
        <v>1030</v>
      </c>
      <c r="B577" s="7" t="s">
        <v>2302</v>
      </c>
      <c r="C577" s="13">
        <v>6.4036885245901606E-2</v>
      </c>
      <c r="D577" s="13">
        <v>38.18</v>
      </c>
      <c r="E577" s="13">
        <v>1.6772363867444101E-3</v>
      </c>
      <c r="F577" s="13">
        <v>-2.7754057243802599</v>
      </c>
      <c r="G577" s="18">
        <v>2.7754057243802599</v>
      </c>
      <c r="H577" s="7" t="b">
        <v>1</v>
      </c>
    </row>
    <row r="578" spans="1:8" x14ac:dyDescent="0.3">
      <c r="A578" s="7" t="s">
        <v>1030</v>
      </c>
      <c r="B578" s="7" t="s">
        <v>3880</v>
      </c>
      <c r="C578" s="13">
        <v>2.2031608013630199E-2</v>
      </c>
      <c r="D578" s="13" t="s">
        <v>37</v>
      </c>
      <c r="E578" s="13" t="s">
        <v>37</v>
      </c>
      <c r="F578" s="13" t="s">
        <v>37</v>
      </c>
      <c r="G578" s="18" t="s">
        <v>37</v>
      </c>
      <c r="H578" s="7" t="b">
        <v>0</v>
      </c>
    </row>
    <row r="579" spans="1:8" x14ac:dyDescent="0.3">
      <c r="A579" s="7" t="s">
        <v>1030</v>
      </c>
      <c r="B579" s="7" t="s">
        <v>3881</v>
      </c>
      <c r="C579" s="13">
        <v>4.3192812715964098E-2</v>
      </c>
      <c r="D579" s="13" t="s">
        <v>37</v>
      </c>
      <c r="E579" s="13" t="s">
        <v>37</v>
      </c>
      <c r="F579" s="13" t="s">
        <v>37</v>
      </c>
      <c r="G579" s="18" t="s">
        <v>37</v>
      </c>
      <c r="H579" s="7" t="b">
        <v>0</v>
      </c>
    </row>
    <row r="580" spans="1:8" x14ac:dyDescent="0.3">
      <c r="A580" s="7" t="s">
        <v>1030</v>
      </c>
      <c r="B580" s="7" t="s">
        <v>3882</v>
      </c>
      <c r="C580" s="13">
        <v>3.1470292044310198E-2</v>
      </c>
      <c r="D580" s="13" t="s">
        <v>37</v>
      </c>
      <c r="E580" s="13" t="s">
        <v>37</v>
      </c>
      <c r="F580" s="13" t="s">
        <v>37</v>
      </c>
      <c r="G580" s="18" t="s">
        <v>37</v>
      </c>
      <c r="H580" s="7" t="b">
        <v>0</v>
      </c>
    </row>
    <row r="581" spans="1:8" x14ac:dyDescent="0.3">
      <c r="A581" s="7" t="s">
        <v>1030</v>
      </c>
      <c r="B581" s="7" t="s">
        <v>3883</v>
      </c>
      <c r="C581" s="13">
        <v>2.6703695791497499E-2</v>
      </c>
      <c r="D581" s="13" t="s">
        <v>37</v>
      </c>
      <c r="E581" s="13" t="s">
        <v>37</v>
      </c>
      <c r="F581" s="13" t="s">
        <v>37</v>
      </c>
      <c r="G581" s="18" t="s">
        <v>37</v>
      </c>
      <c r="H581" s="7" t="b">
        <v>0</v>
      </c>
    </row>
    <row r="582" spans="1:8" x14ac:dyDescent="0.3">
      <c r="A582" s="7" t="s">
        <v>1030</v>
      </c>
      <c r="B582" s="7" t="s">
        <v>3884</v>
      </c>
      <c r="C582" s="13">
        <v>3.2953210207586403E-2</v>
      </c>
      <c r="D582" s="13" t="s">
        <v>37</v>
      </c>
      <c r="E582" s="13" t="s">
        <v>37</v>
      </c>
      <c r="F582" s="13" t="s">
        <v>37</v>
      </c>
      <c r="G582" s="18" t="s">
        <v>37</v>
      </c>
      <c r="H582" s="7" t="b">
        <v>0</v>
      </c>
    </row>
    <row r="583" spans="1:8" x14ac:dyDescent="0.3">
      <c r="A583" s="7" t="s">
        <v>1393</v>
      </c>
      <c r="B583" s="7" t="s">
        <v>2244</v>
      </c>
      <c r="C583" s="13">
        <v>9.0135073825242301E-2</v>
      </c>
      <c r="D583" s="13" t="s">
        <v>37</v>
      </c>
      <c r="E583" s="13" t="s">
        <v>37</v>
      </c>
      <c r="F583" s="13" t="s">
        <v>37</v>
      </c>
      <c r="G583" s="18" t="s">
        <v>37</v>
      </c>
      <c r="H583" s="7" t="b">
        <v>0</v>
      </c>
    </row>
    <row r="584" spans="1:8" x14ac:dyDescent="0.3">
      <c r="A584" s="7" t="s">
        <v>1393</v>
      </c>
      <c r="B584" s="7" t="s">
        <v>2247</v>
      </c>
      <c r="C584" s="13">
        <v>9.0135073825242301E-2</v>
      </c>
      <c r="D584" s="13" t="s">
        <v>37</v>
      </c>
      <c r="E584" s="13" t="s">
        <v>37</v>
      </c>
      <c r="F584" s="13" t="s">
        <v>37</v>
      </c>
      <c r="G584" s="18" t="s">
        <v>37</v>
      </c>
      <c r="H584" s="7" t="b">
        <v>0</v>
      </c>
    </row>
    <row r="585" spans="1:8" x14ac:dyDescent="0.3">
      <c r="A585" s="7" t="s">
        <v>1393</v>
      </c>
      <c r="B585" s="7" t="s">
        <v>2300</v>
      </c>
      <c r="C585" s="13">
        <v>9.0135073825242301E-2</v>
      </c>
      <c r="D585" s="13" t="s">
        <v>37</v>
      </c>
      <c r="E585" s="13" t="s">
        <v>37</v>
      </c>
      <c r="F585" s="13" t="s">
        <v>37</v>
      </c>
      <c r="G585" s="18" t="s">
        <v>37</v>
      </c>
      <c r="H585" s="7" t="b">
        <v>0</v>
      </c>
    </row>
    <row r="586" spans="1:8" x14ac:dyDescent="0.3">
      <c r="A586" s="7" t="s">
        <v>1393</v>
      </c>
      <c r="B586" s="7" t="s">
        <v>2301</v>
      </c>
      <c r="C586" s="13">
        <v>9.0837564046772595E-2</v>
      </c>
      <c r="D586" s="13" t="s">
        <v>37</v>
      </c>
      <c r="E586" s="13" t="s">
        <v>37</v>
      </c>
      <c r="F586" s="13" t="s">
        <v>37</v>
      </c>
      <c r="G586" s="18" t="s">
        <v>37</v>
      </c>
      <c r="H586" s="7" t="b">
        <v>0</v>
      </c>
    </row>
    <row r="587" spans="1:8" x14ac:dyDescent="0.3">
      <c r="A587" s="7" t="s">
        <v>1393</v>
      </c>
      <c r="B587" s="7" t="s">
        <v>2302</v>
      </c>
      <c r="C587" s="13">
        <v>9.0106366503842197E-2</v>
      </c>
      <c r="D587" s="13" t="s">
        <v>37</v>
      </c>
      <c r="E587" s="13" t="s">
        <v>37</v>
      </c>
      <c r="F587" s="13" t="s">
        <v>37</v>
      </c>
      <c r="G587" s="18" t="s">
        <v>37</v>
      </c>
      <c r="H587" s="7" t="b">
        <v>0</v>
      </c>
    </row>
    <row r="588" spans="1:8" x14ac:dyDescent="0.3">
      <c r="A588" s="7" t="s">
        <v>1393</v>
      </c>
      <c r="B588" s="7" t="s">
        <v>3880</v>
      </c>
      <c r="C588" s="13">
        <v>9.0377814561286005E-2</v>
      </c>
      <c r="D588" s="13" t="s">
        <v>37</v>
      </c>
      <c r="E588" s="13" t="s">
        <v>37</v>
      </c>
      <c r="F588" s="13" t="s">
        <v>37</v>
      </c>
      <c r="G588" s="18" t="s">
        <v>37</v>
      </c>
      <c r="H588" s="7" t="b">
        <v>0</v>
      </c>
    </row>
    <row r="589" spans="1:8" x14ac:dyDescent="0.3">
      <c r="A589" s="7" t="s">
        <v>1393</v>
      </c>
      <c r="B589" s="7" t="s">
        <v>3881</v>
      </c>
      <c r="C589" s="13">
        <v>9.6105811840739505E-2</v>
      </c>
      <c r="D589" s="13" t="s">
        <v>37</v>
      </c>
      <c r="E589" s="13" t="s">
        <v>37</v>
      </c>
      <c r="F589" s="13" t="s">
        <v>37</v>
      </c>
      <c r="G589" s="18" t="s">
        <v>37</v>
      </c>
      <c r="H589" s="7" t="b">
        <v>0</v>
      </c>
    </row>
    <row r="590" spans="1:8" x14ac:dyDescent="0.3">
      <c r="A590" s="7" t="s">
        <v>1393</v>
      </c>
      <c r="B590" s="7" t="s">
        <v>3882</v>
      </c>
      <c r="C590" s="13">
        <v>9.07300678271903E-2</v>
      </c>
      <c r="D590" s="13" t="s">
        <v>37</v>
      </c>
      <c r="E590" s="13" t="s">
        <v>37</v>
      </c>
      <c r="F590" s="13" t="s">
        <v>37</v>
      </c>
      <c r="G590" s="18" t="s">
        <v>37</v>
      </c>
      <c r="H590" s="7" t="b">
        <v>0</v>
      </c>
    </row>
    <row r="591" spans="1:8" x14ac:dyDescent="0.3">
      <c r="A591" s="7" t="s">
        <v>1393</v>
      </c>
      <c r="B591" s="7" t="s">
        <v>3883</v>
      </c>
      <c r="C591" s="13">
        <v>9.0206546391508199E-2</v>
      </c>
      <c r="D591" s="13" t="s">
        <v>37</v>
      </c>
      <c r="E591" s="13" t="s">
        <v>37</v>
      </c>
      <c r="F591" s="13" t="s">
        <v>37</v>
      </c>
      <c r="G591" s="18" t="s">
        <v>37</v>
      </c>
      <c r="H591" s="7" t="b">
        <v>0</v>
      </c>
    </row>
    <row r="592" spans="1:8" x14ac:dyDescent="0.3">
      <c r="A592" s="7" t="s">
        <v>1393</v>
      </c>
      <c r="B592" s="7" t="s">
        <v>3884</v>
      </c>
      <c r="C592" s="13">
        <v>9.0026364384330093E-2</v>
      </c>
      <c r="D592" s="13" t="s">
        <v>37</v>
      </c>
      <c r="E592" s="13" t="s">
        <v>37</v>
      </c>
      <c r="F592" s="13" t="s">
        <v>37</v>
      </c>
      <c r="G592" s="18" t="s">
        <v>37</v>
      </c>
      <c r="H592" s="7" t="b">
        <v>0</v>
      </c>
    </row>
    <row r="593" spans="1:7" x14ac:dyDescent="0.3">
      <c r="C593" s="13"/>
      <c r="D593" s="13"/>
      <c r="E593" s="13"/>
      <c r="F593" s="13"/>
      <c r="G593" s="18"/>
    </row>
    <row r="594" spans="1:7" ht="18.600000000000001" x14ac:dyDescent="0.3">
      <c r="A594" s="14" t="s">
        <v>3896</v>
      </c>
      <c r="C594" s="13"/>
      <c r="D594" s="13"/>
      <c r="E594" s="13"/>
      <c r="F594" s="13"/>
      <c r="G594" s="18"/>
    </row>
    <row r="595" spans="1:7" s="65" customFormat="1" ht="32.4" customHeight="1" x14ac:dyDescent="0.3">
      <c r="A595" s="65" t="s">
        <v>3945</v>
      </c>
    </row>
    <row r="596" spans="1:7" ht="18.600000000000001" x14ac:dyDescent="0.3">
      <c r="A596" s="14" t="s">
        <v>3897</v>
      </c>
      <c r="C596" s="13"/>
      <c r="D596" s="13"/>
      <c r="E596" s="13"/>
      <c r="F596" s="13"/>
      <c r="G596" s="18"/>
    </row>
  </sheetData>
  <mergeCells count="1">
    <mergeCell ref="A595:XFD595"/>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6C1BCA-DA71-452E-8933-2199B0B84FA9}">
  <ds:schemaRefs>
    <ds:schemaRef ds:uri="http://schemas.microsoft.com/DataMashup"/>
  </ds:schemaRefs>
</ds:datastoreItem>
</file>

<file path=docMetadata/LabelInfo.xml><?xml version="1.0" encoding="utf-8"?>
<clbl:labelList xmlns:clbl="http://schemas.microsoft.com/office/2020/mipLabelMetadata">
  <clbl:label id="{3ded8b1b-070d-4629-82e4-c0b019f46057}" enabled="0" method="" siteId="{3ded8b1b-070d-4629-82e4-c0b019f460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S1</vt:lpstr>
      <vt:lpstr>S2</vt:lpstr>
      <vt:lpstr>S3</vt:lpstr>
      <vt:lpstr>S4</vt:lpstr>
      <vt:lpstr>S5</vt:lpstr>
      <vt:lpstr>S6</vt:lpstr>
      <vt:lpstr>S7</vt:lpstr>
      <vt:lpstr>S8</vt:lpstr>
      <vt:lpstr>S9</vt:lpstr>
      <vt:lpstr>S10</vt:lpstr>
      <vt:lpstr>S11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Vanessa Maybruck</cp:lastModifiedBy>
  <cp:revision/>
  <dcterms:created xsi:type="dcterms:W3CDTF">2024-11-25T16:47:35Z</dcterms:created>
  <dcterms:modified xsi:type="dcterms:W3CDTF">2026-02-11T17:38:51Z</dcterms:modified>
  <cp:category/>
  <cp:contentStatus/>
</cp:coreProperties>
</file>