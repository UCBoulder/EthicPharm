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ma3024\research\EthicPharm\"/>
    </mc:Choice>
  </mc:AlternateContent>
  <xr:revisionPtr revIDLastSave="0" documentId="13_ncr:1_{0AEC25AD-C901-4FCB-B6DA-F0AAADCD9903}" xr6:coauthVersionLast="47" xr6:coauthVersionMax="47" xr10:uidLastSave="{00000000-0000-0000-0000-000000000000}"/>
  <bookViews>
    <workbookView xWindow="-108" yWindow="-108" windowWidth="23256" windowHeight="13896" xr2:uid="{9C7E0BBA-EF08-4E51-8AE2-89BDE4639FF1}"/>
  </bookViews>
  <sheets>
    <sheet name="lit_values_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76" i="1" l="1"/>
  <c r="F1876" i="1"/>
  <c r="F1374" i="1"/>
  <c r="E1374" i="1"/>
  <c r="E1372" i="1"/>
  <c r="F1372" i="1"/>
  <c r="M1372" i="1"/>
  <c r="M1373" i="1"/>
  <c r="M1374" i="1"/>
  <c r="M1371" i="1"/>
  <c r="F1373" i="1"/>
  <c r="E1373" i="1"/>
  <c r="E1371" i="1"/>
  <c r="F1371" i="1"/>
  <c r="N1372" i="1" l="1"/>
  <c r="N1373" i="1"/>
  <c r="N1374" i="1"/>
  <c r="N1371" i="1"/>
  <c r="M1862" i="1" l="1"/>
  <c r="F1862" i="1"/>
  <c r="G1862" i="1" s="1"/>
  <c r="M1861" i="1"/>
  <c r="F1861" i="1"/>
  <c r="G1861" i="1" s="1"/>
  <c r="M1860" i="1"/>
  <c r="F1860" i="1"/>
  <c r="G1860" i="1" s="1"/>
  <c r="M1859" i="1"/>
  <c r="F1859" i="1"/>
  <c r="G1859" i="1" s="1"/>
  <c r="M1858" i="1"/>
  <c r="F1858" i="1"/>
  <c r="G1858" i="1" s="1"/>
  <c r="M1857" i="1"/>
  <c r="F1857" i="1"/>
  <c r="G1857" i="1" s="1"/>
  <c r="M1856" i="1"/>
  <c r="F1856" i="1"/>
  <c r="G1856" i="1" s="1"/>
  <c r="K1355" i="1"/>
  <c r="M1355" i="1" s="1"/>
  <c r="F1355" i="1"/>
  <c r="G1355" i="1" s="1"/>
  <c r="K1354" i="1"/>
  <c r="M1354" i="1" s="1"/>
  <c r="F1354" i="1"/>
  <c r="G1354" i="1" s="1"/>
  <c r="K1353" i="1"/>
  <c r="M1353" i="1" s="1"/>
  <c r="F1353" i="1"/>
  <c r="G1353" i="1" s="1"/>
  <c r="K1352" i="1"/>
  <c r="M1352" i="1" s="1"/>
  <c r="F1352" i="1"/>
  <c r="G1352" i="1" s="1"/>
  <c r="M1351" i="1"/>
  <c r="F1351" i="1"/>
  <c r="G1351" i="1" s="1"/>
  <c r="F1900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877" i="1"/>
  <c r="F1874" i="1"/>
  <c r="G1874" i="1" s="1"/>
  <c r="F1875" i="1"/>
  <c r="F1873" i="1"/>
  <c r="F1872" i="1"/>
  <c r="G1872" i="1" s="1"/>
  <c r="F1871" i="1"/>
  <c r="F1870" i="1"/>
  <c r="F1866" i="1"/>
  <c r="G1866" i="1" s="1"/>
  <c r="F1867" i="1"/>
  <c r="G1867" i="1" s="1"/>
  <c r="F1868" i="1"/>
  <c r="G1868" i="1" s="1"/>
  <c r="F1869" i="1"/>
  <c r="G1869" i="1" s="1"/>
  <c r="F1865" i="1"/>
  <c r="G1865" i="1"/>
  <c r="F1840" i="1"/>
  <c r="G1840" i="1" s="1"/>
  <c r="F1864" i="1"/>
  <c r="G1864" i="1" s="1"/>
  <c r="F1863" i="1"/>
  <c r="G1863" i="1"/>
  <c r="F1843" i="1"/>
  <c r="G1843" i="1" s="1"/>
  <c r="F1844" i="1"/>
  <c r="G1844" i="1" s="1"/>
  <c r="F1845" i="1"/>
  <c r="G1845" i="1" s="1"/>
  <c r="F1846" i="1"/>
  <c r="G1846" i="1"/>
  <c r="F1847" i="1"/>
  <c r="G1847" i="1"/>
  <c r="F1848" i="1"/>
  <c r="G1848" i="1" s="1"/>
  <c r="F1849" i="1"/>
  <c r="G1849" i="1"/>
  <c r="F1850" i="1"/>
  <c r="G1850" i="1"/>
  <c r="F1851" i="1"/>
  <c r="G1851" i="1" s="1"/>
  <c r="F1852" i="1"/>
  <c r="G1852" i="1" s="1"/>
  <c r="F1853" i="1"/>
  <c r="G1853" i="1" s="1"/>
  <c r="F1854" i="1"/>
  <c r="G1854" i="1" s="1"/>
  <c r="F1855" i="1"/>
  <c r="G1855" i="1" s="1"/>
  <c r="F1842" i="1"/>
  <c r="G1842" i="1" s="1"/>
  <c r="F1823" i="1"/>
  <c r="G1823" i="1" s="1"/>
  <c r="F1824" i="1"/>
  <c r="G1824" i="1" s="1"/>
  <c r="F1825" i="1"/>
  <c r="G1825" i="1" s="1"/>
  <c r="F1826" i="1"/>
  <c r="G1826" i="1" s="1"/>
  <c r="F1827" i="1"/>
  <c r="G1827" i="1"/>
  <c r="F1828" i="1"/>
  <c r="G1828" i="1"/>
  <c r="F1829" i="1"/>
  <c r="G1829" i="1" s="1"/>
  <c r="F1830" i="1"/>
  <c r="G1830" i="1"/>
  <c r="F1831" i="1"/>
  <c r="G1831" i="1" s="1"/>
  <c r="F1832" i="1"/>
  <c r="G1832" i="1"/>
  <c r="F1833" i="1"/>
  <c r="G1833" i="1" s="1"/>
  <c r="F1834" i="1"/>
  <c r="G1834" i="1" s="1"/>
  <c r="F1835" i="1"/>
  <c r="G1835" i="1" s="1"/>
  <c r="F1836" i="1"/>
  <c r="G1836" i="1" s="1"/>
  <c r="F1837" i="1"/>
  <c r="G1837" i="1" s="1"/>
  <c r="F1838" i="1"/>
  <c r="G1838" i="1" s="1"/>
  <c r="F1839" i="1"/>
  <c r="G1839" i="1" s="1"/>
  <c r="F1841" i="1"/>
  <c r="G1841" i="1"/>
  <c r="F1728" i="1"/>
  <c r="G1728" i="1"/>
  <c r="F1729" i="1"/>
  <c r="G1729" i="1"/>
  <c r="F1730" i="1"/>
  <c r="G1730" i="1" s="1"/>
  <c r="F1731" i="1"/>
  <c r="G1731" i="1"/>
  <c r="F1732" i="1"/>
  <c r="G1732" i="1" s="1"/>
  <c r="F1733" i="1"/>
  <c r="G1733" i="1" s="1"/>
  <c r="F1734" i="1"/>
  <c r="G1734" i="1" s="1"/>
  <c r="F1735" i="1"/>
  <c r="G1735" i="1"/>
  <c r="F1736" i="1"/>
  <c r="G1736" i="1" s="1"/>
  <c r="F1737" i="1"/>
  <c r="G1737" i="1" s="1"/>
  <c r="F1738" i="1"/>
  <c r="G1738" i="1" s="1"/>
  <c r="F1739" i="1"/>
  <c r="G1739" i="1" s="1"/>
  <c r="F1740" i="1"/>
  <c r="G1740" i="1"/>
  <c r="F1741" i="1"/>
  <c r="G1741" i="1" s="1"/>
  <c r="F1742" i="1"/>
  <c r="G1742" i="1"/>
  <c r="F1743" i="1"/>
  <c r="G1743" i="1" s="1"/>
  <c r="F1744" i="1"/>
  <c r="G1744" i="1"/>
  <c r="F1745" i="1"/>
  <c r="G1745" i="1" s="1"/>
  <c r="F1746" i="1"/>
  <c r="G1746" i="1" s="1"/>
  <c r="F1747" i="1"/>
  <c r="G1747" i="1" s="1"/>
  <c r="F1748" i="1"/>
  <c r="G1748" i="1" s="1"/>
  <c r="F1749" i="1"/>
  <c r="G1749" i="1" s="1"/>
  <c r="F1750" i="1"/>
  <c r="G1750" i="1" s="1"/>
  <c r="F1751" i="1"/>
  <c r="G1751" i="1" s="1"/>
  <c r="F1752" i="1"/>
  <c r="G1752" i="1"/>
  <c r="F1753" i="1"/>
  <c r="G1753" i="1" s="1"/>
  <c r="F1754" i="1"/>
  <c r="G1754" i="1" s="1"/>
  <c r="F1755" i="1"/>
  <c r="G1755" i="1" s="1"/>
  <c r="F1756" i="1"/>
  <c r="G1756" i="1" s="1"/>
  <c r="F1757" i="1"/>
  <c r="G1757" i="1" s="1"/>
  <c r="F1758" i="1"/>
  <c r="G1758" i="1"/>
  <c r="F1759" i="1"/>
  <c r="G1759" i="1" s="1"/>
  <c r="F1760" i="1"/>
  <c r="G1760" i="1" s="1"/>
  <c r="F1761" i="1"/>
  <c r="G1761" i="1" s="1"/>
  <c r="F1762" i="1"/>
  <c r="G1762" i="1"/>
  <c r="F1763" i="1"/>
  <c r="G1763" i="1"/>
  <c r="F1764" i="1"/>
  <c r="G1764" i="1" s="1"/>
  <c r="F1765" i="1"/>
  <c r="G1765" i="1"/>
  <c r="F1766" i="1"/>
  <c r="G1766" i="1" s="1"/>
  <c r="F1767" i="1"/>
  <c r="G1767" i="1" s="1"/>
  <c r="F1768" i="1"/>
  <c r="G1768" i="1" s="1"/>
  <c r="F1769" i="1"/>
  <c r="G1769" i="1" s="1"/>
  <c r="F1770" i="1"/>
  <c r="G1770" i="1" s="1"/>
  <c r="F1771" i="1"/>
  <c r="G1771" i="1"/>
  <c r="F1772" i="1"/>
  <c r="G1772" i="1" s="1"/>
  <c r="F1773" i="1"/>
  <c r="G1773" i="1" s="1"/>
  <c r="F1774" i="1"/>
  <c r="G1774" i="1"/>
  <c r="F1775" i="1"/>
  <c r="G1775" i="1"/>
  <c r="F1776" i="1"/>
  <c r="G1776" i="1" s="1"/>
  <c r="F1777" i="1"/>
  <c r="G1777" i="1" s="1"/>
  <c r="F1778" i="1"/>
  <c r="G1778" i="1" s="1"/>
  <c r="F1779" i="1"/>
  <c r="G1779" i="1" s="1"/>
  <c r="F1780" i="1"/>
  <c r="G1780" i="1"/>
  <c r="F1781" i="1"/>
  <c r="G1781" i="1" s="1"/>
  <c r="F1782" i="1"/>
  <c r="G1782" i="1"/>
  <c r="F1783" i="1"/>
  <c r="G1783" i="1" s="1"/>
  <c r="F1784" i="1"/>
  <c r="G1784" i="1"/>
  <c r="F1785" i="1"/>
  <c r="G1785" i="1" s="1"/>
  <c r="F1786" i="1"/>
  <c r="G1786" i="1" s="1"/>
  <c r="F1787" i="1"/>
  <c r="G1787" i="1" s="1"/>
  <c r="F1788" i="1"/>
  <c r="G1788" i="1" s="1"/>
  <c r="F1789" i="1"/>
  <c r="G1789" i="1" s="1"/>
  <c r="F1790" i="1"/>
  <c r="G1790" i="1"/>
  <c r="F1791" i="1"/>
  <c r="G1791" i="1" s="1"/>
  <c r="F1792" i="1"/>
  <c r="G1792" i="1" s="1"/>
  <c r="F1793" i="1"/>
  <c r="G1793" i="1" s="1"/>
  <c r="F1794" i="1"/>
  <c r="G1794" i="1" s="1"/>
  <c r="F1795" i="1"/>
  <c r="G1795" i="1"/>
  <c r="F1796" i="1"/>
  <c r="G1796" i="1" s="1"/>
  <c r="F1797" i="1"/>
  <c r="G1797" i="1" s="1"/>
  <c r="F1798" i="1"/>
  <c r="G1798" i="1" s="1"/>
  <c r="F1799" i="1"/>
  <c r="G1799" i="1" s="1"/>
  <c r="F1800" i="1"/>
  <c r="G1800" i="1" s="1"/>
  <c r="F1801" i="1"/>
  <c r="G1801" i="1"/>
  <c r="F1802" i="1"/>
  <c r="G1802" i="1" s="1"/>
  <c r="F1803" i="1"/>
  <c r="G1803" i="1"/>
  <c r="F1804" i="1"/>
  <c r="G1804" i="1" s="1"/>
  <c r="F1805" i="1"/>
  <c r="G1805" i="1"/>
  <c r="F1806" i="1"/>
  <c r="G1806" i="1" s="1"/>
  <c r="F1807" i="1"/>
  <c r="G1807" i="1"/>
  <c r="F1808" i="1"/>
  <c r="G1808" i="1" s="1"/>
  <c r="F1809" i="1"/>
  <c r="G1809" i="1" s="1"/>
  <c r="F1810" i="1"/>
  <c r="G1810" i="1" s="1"/>
  <c r="F1811" i="1"/>
  <c r="G1811" i="1" s="1"/>
  <c r="F1812" i="1"/>
  <c r="G1812" i="1"/>
  <c r="F1813" i="1"/>
  <c r="G1813" i="1"/>
  <c r="F1814" i="1"/>
  <c r="G1814" i="1" s="1"/>
  <c r="F1815" i="1"/>
  <c r="G1815" i="1" s="1"/>
  <c r="F1816" i="1"/>
  <c r="G1816" i="1" s="1"/>
  <c r="F1817" i="1"/>
  <c r="G1817" i="1"/>
  <c r="F1818" i="1"/>
  <c r="G1818" i="1" s="1"/>
  <c r="F1819" i="1"/>
  <c r="G1819" i="1" s="1"/>
  <c r="F1820" i="1"/>
  <c r="G1820" i="1" s="1"/>
  <c r="F1821" i="1"/>
  <c r="G1821" i="1" s="1"/>
  <c r="F1822" i="1"/>
  <c r="G1822" i="1" s="1"/>
  <c r="F1727" i="1"/>
  <c r="G1727" i="1" s="1"/>
  <c r="F1720" i="1"/>
  <c r="F1722" i="1"/>
  <c r="G1722" i="1"/>
  <c r="F1723" i="1"/>
  <c r="G1723" i="1" s="1"/>
  <c r="F1724" i="1"/>
  <c r="G1724" i="1" s="1"/>
  <c r="F1725" i="1"/>
  <c r="G1725" i="1" s="1"/>
  <c r="F1726" i="1"/>
  <c r="G1726" i="1" s="1"/>
  <c r="F1721" i="1"/>
  <c r="G1721" i="1" s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674" i="1"/>
  <c r="G1674" i="1" s="1"/>
  <c r="F1675" i="1"/>
  <c r="G1675" i="1" s="1"/>
  <c r="F1676" i="1"/>
  <c r="G1676" i="1" s="1"/>
  <c r="F1677" i="1"/>
  <c r="G1677" i="1" s="1"/>
  <c r="F1678" i="1"/>
  <c r="G1678" i="1" s="1"/>
  <c r="F1679" i="1"/>
  <c r="G1679" i="1" s="1"/>
  <c r="F1680" i="1"/>
  <c r="G1680" i="1" s="1"/>
  <c r="F1681" i="1"/>
  <c r="G1681" i="1" s="1"/>
  <c r="F1682" i="1"/>
  <c r="G1682" i="1" s="1"/>
  <c r="F1683" i="1"/>
  <c r="G1683" i="1" s="1"/>
  <c r="F1684" i="1"/>
  <c r="G1684" i="1" s="1"/>
  <c r="F1685" i="1"/>
  <c r="G1685" i="1" s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49" i="1"/>
  <c r="F1650" i="1"/>
  <c r="F1651" i="1"/>
  <c r="F1652" i="1"/>
  <c r="F1653" i="1"/>
  <c r="F1654" i="1"/>
  <c r="F1655" i="1"/>
  <c r="F1656" i="1"/>
  <c r="F1657" i="1"/>
  <c r="F1648" i="1"/>
  <c r="F1642" i="1"/>
  <c r="F1644" i="1"/>
  <c r="G1644" i="1" s="1"/>
  <c r="F1645" i="1"/>
  <c r="G1645" i="1" s="1"/>
  <c r="F1646" i="1"/>
  <c r="G1646" i="1" s="1"/>
  <c r="F1647" i="1"/>
  <c r="G1647" i="1" s="1"/>
  <c r="F1643" i="1"/>
  <c r="G1643" i="1" s="1"/>
  <c r="F1641" i="1"/>
  <c r="F1617" i="1"/>
  <c r="G1617" i="1"/>
  <c r="F1618" i="1"/>
  <c r="G1618" i="1"/>
  <c r="F1619" i="1"/>
  <c r="G1619" i="1" s="1"/>
  <c r="F1620" i="1"/>
  <c r="G1620" i="1" s="1"/>
  <c r="F1621" i="1"/>
  <c r="G1621" i="1" s="1"/>
  <c r="F1622" i="1"/>
  <c r="G1622" i="1" s="1"/>
  <c r="F1623" i="1"/>
  <c r="G1623" i="1" s="1"/>
  <c r="F1624" i="1"/>
  <c r="G1624" i="1" s="1"/>
  <c r="F1625" i="1"/>
  <c r="G1625" i="1" s="1"/>
  <c r="F1626" i="1"/>
  <c r="G1626" i="1" s="1"/>
  <c r="F1627" i="1"/>
  <c r="G1627" i="1" s="1"/>
  <c r="F1628" i="1"/>
  <c r="G1628" i="1"/>
  <c r="F1629" i="1"/>
  <c r="G1629" i="1"/>
  <c r="F1630" i="1"/>
  <c r="G1630" i="1" s="1"/>
  <c r="F1631" i="1"/>
  <c r="G1631" i="1" s="1"/>
  <c r="F1632" i="1"/>
  <c r="G1632" i="1" s="1"/>
  <c r="F1633" i="1"/>
  <c r="G1633" i="1" s="1"/>
  <c r="F1634" i="1"/>
  <c r="G1634" i="1"/>
  <c r="F1635" i="1"/>
  <c r="G1635" i="1" s="1"/>
  <c r="F1636" i="1"/>
  <c r="G1636" i="1"/>
  <c r="F1637" i="1"/>
  <c r="G1637" i="1" s="1"/>
  <c r="F1638" i="1"/>
  <c r="G1638" i="1" s="1"/>
  <c r="F1639" i="1"/>
  <c r="G1639" i="1" s="1"/>
  <c r="F1640" i="1"/>
  <c r="G1640" i="1" s="1"/>
  <c r="F1614" i="1"/>
  <c r="G1614" i="1" s="1"/>
  <c r="F1615" i="1"/>
  <c r="G1615" i="1" s="1"/>
  <c r="F1616" i="1"/>
  <c r="G1616" i="1" s="1"/>
  <c r="F1613" i="1"/>
  <c r="G1613" i="1" s="1"/>
  <c r="F1610" i="1"/>
  <c r="G1610" i="1" s="1"/>
  <c r="F1612" i="1"/>
  <c r="G1612" i="1" s="1"/>
  <c r="F1611" i="1"/>
  <c r="G1611" i="1" s="1"/>
  <c r="F1424" i="1"/>
  <c r="G1424" i="1" s="1"/>
  <c r="F1425" i="1"/>
  <c r="G1425" i="1" s="1"/>
  <c r="F1426" i="1"/>
  <c r="G1426" i="1"/>
  <c r="F1427" i="1"/>
  <c r="G1427" i="1" s="1"/>
  <c r="F1428" i="1"/>
  <c r="G1428" i="1" s="1"/>
  <c r="F1429" i="1"/>
  <c r="G1429" i="1" s="1"/>
  <c r="F1430" i="1"/>
  <c r="G1430" i="1" s="1"/>
  <c r="F1431" i="1"/>
  <c r="G1431" i="1" s="1"/>
  <c r="F1432" i="1"/>
  <c r="G1432" i="1"/>
  <c r="F1433" i="1"/>
  <c r="G1433" i="1" s="1"/>
  <c r="F1434" i="1"/>
  <c r="G1434" i="1" s="1"/>
  <c r="F1435" i="1"/>
  <c r="G1435" i="1" s="1"/>
  <c r="F1436" i="1"/>
  <c r="G1436" i="1" s="1"/>
  <c r="F1437" i="1"/>
  <c r="G1437" i="1" s="1"/>
  <c r="F1438" i="1"/>
  <c r="G1438" i="1" s="1"/>
  <c r="F1439" i="1"/>
  <c r="G1439" i="1" s="1"/>
  <c r="F1440" i="1"/>
  <c r="G1440" i="1" s="1"/>
  <c r="F1441" i="1"/>
  <c r="F1442" i="1"/>
  <c r="G1442" i="1"/>
  <c r="F1443" i="1"/>
  <c r="G1443" i="1" s="1"/>
  <c r="F1444" i="1"/>
  <c r="G1444" i="1"/>
  <c r="F1445" i="1"/>
  <c r="G1445" i="1" s="1"/>
  <c r="F1446" i="1"/>
  <c r="G1446" i="1" s="1"/>
  <c r="F1447" i="1"/>
  <c r="G1447" i="1" s="1"/>
  <c r="F1448" i="1"/>
  <c r="G1448" i="1" s="1"/>
  <c r="F1449" i="1"/>
  <c r="G1449" i="1"/>
  <c r="F1450" i="1"/>
  <c r="G1450" i="1" s="1"/>
  <c r="F1451" i="1"/>
  <c r="G1451" i="1" s="1"/>
  <c r="F1452" i="1"/>
  <c r="F1453" i="1"/>
  <c r="G1453" i="1" s="1"/>
  <c r="F1454" i="1"/>
  <c r="G1454" i="1" s="1"/>
  <c r="F1455" i="1"/>
  <c r="G1455" i="1" s="1"/>
  <c r="F1456" i="1"/>
  <c r="G1456" i="1"/>
  <c r="F1457" i="1"/>
  <c r="G1457" i="1"/>
  <c r="F1458" i="1"/>
  <c r="G1458" i="1" s="1"/>
  <c r="F1459" i="1"/>
  <c r="G1459" i="1" s="1"/>
  <c r="F1460" i="1"/>
  <c r="G1460" i="1" s="1"/>
  <c r="F1461" i="1"/>
  <c r="G1461" i="1"/>
  <c r="F1462" i="1"/>
  <c r="G1462" i="1" s="1"/>
  <c r="F1463" i="1"/>
  <c r="F1464" i="1"/>
  <c r="G1464" i="1" s="1"/>
  <c r="F1465" i="1"/>
  <c r="G1465" i="1" s="1"/>
  <c r="F1466" i="1"/>
  <c r="G1466" i="1"/>
  <c r="F1467" i="1"/>
  <c r="G1467" i="1" s="1"/>
  <c r="F1468" i="1"/>
  <c r="G1468" i="1" s="1"/>
  <c r="F1469" i="1"/>
  <c r="G1469" i="1" s="1"/>
  <c r="F1470" i="1"/>
  <c r="G1470" i="1"/>
  <c r="F1471" i="1"/>
  <c r="G1471" i="1" s="1"/>
  <c r="F1472" i="1"/>
  <c r="G1472" i="1"/>
  <c r="F1473" i="1"/>
  <c r="G1473" i="1" s="1"/>
  <c r="F1474" i="1"/>
  <c r="F1475" i="1"/>
  <c r="G1475" i="1" s="1"/>
  <c r="F1476" i="1"/>
  <c r="G1476" i="1" s="1"/>
  <c r="F1477" i="1"/>
  <c r="G1477" i="1" s="1"/>
  <c r="F1478" i="1"/>
  <c r="G1478" i="1" s="1"/>
  <c r="F1479" i="1"/>
  <c r="G1479" i="1" s="1"/>
  <c r="F1480" i="1"/>
  <c r="G1480" i="1"/>
  <c r="F1481" i="1"/>
  <c r="G1481" i="1" s="1"/>
  <c r="F1482" i="1"/>
  <c r="G1482" i="1" s="1"/>
  <c r="F1483" i="1"/>
  <c r="G1483" i="1" s="1"/>
  <c r="F1484" i="1"/>
  <c r="G1484" i="1" s="1"/>
  <c r="F1485" i="1"/>
  <c r="G1485" i="1" s="1"/>
  <c r="F1486" i="1"/>
  <c r="G1486" i="1"/>
  <c r="F1487" i="1"/>
  <c r="G1487" i="1" s="1"/>
  <c r="F1488" i="1"/>
  <c r="G1488" i="1" s="1"/>
  <c r="F1489" i="1"/>
  <c r="G1489" i="1" s="1"/>
  <c r="F1490" i="1"/>
  <c r="G1490" i="1" s="1"/>
  <c r="F1491" i="1"/>
  <c r="G1491" i="1"/>
  <c r="F1492" i="1"/>
  <c r="G1492" i="1" s="1"/>
  <c r="F1493" i="1"/>
  <c r="G1493" i="1" s="1"/>
  <c r="F1494" i="1"/>
  <c r="G1494" i="1" s="1"/>
  <c r="F1495" i="1"/>
  <c r="G1495" i="1" s="1"/>
  <c r="F1496" i="1"/>
  <c r="G1496" i="1" s="1"/>
  <c r="F1497" i="1"/>
  <c r="G1497" i="1" s="1"/>
  <c r="F1498" i="1"/>
  <c r="G1498" i="1" s="1"/>
  <c r="F1499" i="1"/>
  <c r="G1499" i="1" s="1"/>
  <c r="F1500" i="1"/>
  <c r="G1500" i="1" s="1"/>
  <c r="F1501" i="1"/>
  <c r="G1501" i="1"/>
  <c r="F1502" i="1"/>
  <c r="G1502" i="1" s="1"/>
  <c r="F1503" i="1"/>
  <c r="G1503" i="1" s="1"/>
  <c r="F1504" i="1"/>
  <c r="G1504" i="1" s="1"/>
  <c r="F1505" i="1"/>
  <c r="G1505" i="1" s="1"/>
  <c r="F1506" i="1"/>
  <c r="G1506" i="1" s="1"/>
  <c r="F1507" i="1"/>
  <c r="G1507" i="1" s="1"/>
  <c r="F1508" i="1"/>
  <c r="G1508" i="1" s="1"/>
  <c r="F1509" i="1"/>
  <c r="G1509" i="1"/>
  <c r="F1510" i="1"/>
  <c r="G1510" i="1"/>
  <c r="F1511" i="1"/>
  <c r="G1511" i="1" s="1"/>
  <c r="F1512" i="1"/>
  <c r="G1512" i="1" s="1"/>
  <c r="F1513" i="1"/>
  <c r="G1513" i="1" s="1"/>
  <c r="F1514" i="1"/>
  <c r="G1514" i="1" s="1"/>
  <c r="F1515" i="1"/>
  <c r="F1516" i="1"/>
  <c r="G1516" i="1" s="1"/>
  <c r="F1517" i="1"/>
  <c r="G1517" i="1" s="1"/>
  <c r="F1518" i="1"/>
  <c r="G1518" i="1" s="1"/>
  <c r="F1519" i="1"/>
  <c r="G1519" i="1" s="1"/>
  <c r="F1520" i="1"/>
  <c r="G1520" i="1" s="1"/>
  <c r="F1521" i="1"/>
  <c r="G1521" i="1" s="1"/>
  <c r="F1522" i="1"/>
  <c r="G1522" i="1" s="1"/>
  <c r="F1523" i="1"/>
  <c r="G1523" i="1"/>
  <c r="F1524" i="1"/>
  <c r="G1524" i="1" s="1"/>
  <c r="F1525" i="1"/>
  <c r="G1525" i="1" s="1"/>
  <c r="F1526" i="1"/>
  <c r="G1526" i="1"/>
  <c r="F1527" i="1"/>
  <c r="G1527" i="1" s="1"/>
  <c r="F1528" i="1"/>
  <c r="G1528" i="1" s="1"/>
  <c r="F1529" i="1"/>
  <c r="G1529" i="1" s="1"/>
  <c r="F1530" i="1"/>
  <c r="G1530" i="1" s="1"/>
  <c r="F1531" i="1"/>
  <c r="G1531" i="1" s="1"/>
  <c r="F1532" i="1"/>
  <c r="G1532" i="1" s="1"/>
  <c r="F1533" i="1"/>
  <c r="G1533" i="1" s="1"/>
  <c r="F1534" i="1"/>
  <c r="G1534" i="1" s="1"/>
  <c r="F1535" i="1"/>
  <c r="G1535" i="1" s="1"/>
  <c r="F1536" i="1"/>
  <c r="G1536" i="1" s="1"/>
  <c r="F1537" i="1"/>
  <c r="G1537" i="1" s="1"/>
  <c r="F1538" i="1"/>
  <c r="G1538" i="1" s="1"/>
  <c r="F1539" i="1"/>
  <c r="G1539" i="1" s="1"/>
  <c r="F1540" i="1"/>
  <c r="G1540" i="1" s="1"/>
  <c r="F1541" i="1"/>
  <c r="G1541" i="1" s="1"/>
  <c r="F1542" i="1"/>
  <c r="G1542" i="1"/>
  <c r="F1543" i="1"/>
  <c r="G1543" i="1" s="1"/>
  <c r="F1544" i="1"/>
  <c r="G1544" i="1"/>
  <c r="F1545" i="1"/>
  <c r="G1545" i="1" s="1"/>
  <c r="F1546" i="1"/>
  <c r="G1546" i="1" s="1"/>
  <c r="F1547" i="1"/>
  <c r="G1547" i="1" s="1"/>
  <c r="F1548" i="1"/>
  <c r="G1548" i="1" s="1"/>
  <c r="F1549" i="1"/>
  <c r="G1549" i="1" s="1"/>
  <c r="F1550" i="1"/>
  <c r="G1550" i="1" s="1"/>
  <c r="F1551" i="1"/>
  <c r="G1551" i="1" s="1"/>
  <c r="F1552" i="1"/>
  <c r="G1552" i="1" s="1"/>
  <c r="F1553" i="1"/>
  <c r="G1553" i="1" s="1"/>
  <c r="F1554" i="1"/>
  <c r="G1554" i="1" s="1"/>
  <c r="F1555" i="1"/>
  <c r="G1555" i="1" s="1"/>
  <c r="F1556" i="1"/>
  <c r="G1556" i="1" s="1"/>
  <c r="F1557" i="1"/>
  <c r="G1557" i="1" s="1"/>
  <c r="F1558" i="1"/>
  <c r="G1558" i="1"/>
  <c r="F1559" i="1"/>
  <c r="G1559" i="1" s="1"/>
  <c r="F1560" i="1"/>
  <c r="G1560" i="1" s="1"/>
  <c r="F1561" i="1"/>
  <c r="G1561" i="1" s="1"/>
  <c r="F1562" i="1"/>
  <c r="G1562" i="1" s="1"/>
  <c r="F1563" i="1"/>
  <c r="G1563" i="1" s="1"/>
  <c r="F1564" i="1"/>
  <c r="G1564" i="1" s="1"/>
  <c r="F1565" i="1"/>
  <c r="G1565" i="1" s="1"/>
  <c r="F1566" i="1"/>
  <c r="G1566" i="1"/>
  <c r="F1567" i="1"/>
  <c r="G1567" i="1" s="1"/>
  <c r="F1568" i="1"/>
  <c r="G1568" i="1" s="1"/>
  <c r="F1569" i="1"/>
  <c r="G1569" i="1"/>
  <c r="F1570" i="1"/>
  <c r="G1570" i="1"/>
  <c r="F1571" i="1"/>
  <c r="G1571" i="1" s="1"/>
  <c r="F1572" i="1"/>
  <c r="G1572" i="1" s="1"/>
  <c r="F1573" i="1"/>
  <c r="G1573" i="1" s="1"/>
  <c r="F1574" i="1"/>
  <c r="G1574" i="1" s="1"/>
  <c r="F1575" i="1"/>
  <c r="G1575" i="1" s="1"/>
  <c r="F1576" i="1"/>
  <c r="G1576" i="1" s="1"/>
  <c r="F1577" i="1"/>
  <c r="G1577" i="1"/>
  <c r="F1578" i="1"/>
  <c r="G1578" i="1"/>
  <c r="F1579" i="1"/>
  <c r="G1579" i="1" s="1"/>
  <c r="F1580" i="1"/>
  <c r="G1580" i="1"/>
  <c r="F1581" i="1"/>
  <c r="G1581" i="1" s="1"/>
  <c r="F1582" i="1"/>
  <c r="G1582" i="1" s="1"/>
  <c r="F1583" i="1"/>
  <c r="G1583" i="1" s="1"/>
  <c r="F1584" i="1"/>
  <c r="G1584" i="1" s="1"/>
  <c r="F1585" i="1"/>
  <c r="G1585" i="1" s="1"/>
  <c r="F1586" i="1"/>
  <c r="G1586" i="1" s="1"/>
  <c r="F1587" i="1"/>
  <c r="G1587" i="1"/>
  <c r="F1588" i="1"/>
  <c r="G1588" i="1" s="1"/>
  <c r="F1589" i="1"/>
  <c r="G1589" i="1" s="1"/>
  <c r="F1590" i="1"/>
  <c r="G1590" i="1" s="1"/>
  <c r="F1591" i="1"/>
  <c r="G1591" i="1" s="1"/>
  <c r="F1592" i="1"/>
  <c r="G1592" i="1" s="1"/>
  <c r="F1593" i="1"/>
  <c r="G1593" i="1"/>
  <c r="F1594" i="1"/>
  <c r="G1594" i="1"/>
  <c r="F1595" i="1"/>
  <c r="G1595" i="1" s="1"/>
  <c r="F1596" i="1"/>
  <c r="G1596" i="1" s="1"/>
  <c r="F1597" i="1"/>
  <c r="G1597" i="1" s="1"/>
  <c r="F1598" i="1"/>
  <c r="G1598" i="1" s="1"/>
  <c r="F1599" i="1"/>
  <c r="G1599" i="1" s="1"/>
  <c r="F1600" i="1"/>
  <c r="G1600" i="1" s="1"/>
  <c r="F1601" i="1"/>
  <c r="G1601" i="1"/>
  <c r="F1602" i="1"/>
  <c r="G1602" i="1" s="1"/>
  <c r="F1603" i="1"/>
  <c r="G1603" i="1" s="1"/>
  <c r="F1604" i="1"/>
  <c r="G1604" i="1" s="1"/>
  <c r="F1605" i="1"/>
  <c r="G1605" i="1" s="1"/>
  <c r="F1606" i="1"/>
  <c r="G1606" i="1" s="1"/>
  <c r="F1607" i="1"/>
  <c r="G1607" i="1" s="1"/>
  <c r="F1608" i="1"/>
  <c r="G1608" i="1" s="1"/>
  <c r="F1609" i="1"/>
  <c r="G1609" i="1" s="1"/>
  <c r="F1377" i="1"/>
  <c r="G1377" i="1" s="1"/>
  <c r="F1378" i="1"/>
  <c r="G1378" i="1" s="1"/>
  <c r="F1379" i="1"/>
  <c r="G1379" i="1" s="1"/>
  <c r="F1380" i="1"/>
  <c r="G1380" i="1" s="1"/>
  <c r="F1381" i="1"/>
  <c r="G1381" i="1" s="1"/>
  <c r="F1382" i="1"/>
  <c r="G1382" i="1" s="1"/>
  <c r="F1383" i="1"/>
  <c r="G1383" i="1" s="1"/>
  <c r="F1384" i="1"/>
  <c r="G1384" i="1" s="1"/>
  <c r="F1385" i="1"/>
  <c r="G1385" i="1" s="1"/>
  <c r="F1386" i="1"/>
  <c r="G1386" i="1"/>
  <c r="F1387" i="1"/>
  <c r="G1387" i="1" s="1"/>
  <c r="F1388" i="1"/>
  <c r="G1388" i="1"/>
  <c r="F1389" i="1"/>
  <c r="G1389" i="1" s="1"/>
  <c r="F1390" i="1"/>
  <c r="G1390" i="1" s="1"/>
  <c r="F1391" i="1"/>
  <c r="G1391" i="1" s="1"/>
  <c r="F1392" i="1"/>
  <c r="G1392" i="1" s="1"/>
  <c r="F1393" i="1"/>
  <c r="G1393" i="1" s="1"/>
  <c r="F1394" i="1"/>
  <c r="G1394" i="1"/>
  <c r="F1395" i="1"/>
  <c r="G1395" i="1"/>
  <c r="F1396" i="1"/>
  <c r="G1396" i="1" s="1"/>
  <c r="F1397" i="1"/>
  <c r="G1397" i="1"/>
  <c r="F1398" i="1"/>
  <c r="G1398" i="1" s="1"/>
  <c r="F1399" i="1"/>
  <c r="G1399" i="1" s="1"/>
  <c r="F1400" i="1"/>
  <c r="G1400" i="1"/>
  <c r="F1401" i="1"/>
  <c r="G1401" i="1" s="1"/>
  <c r="F1402" i="1"/>
  <c r="G1402" i="1" s="1"/>
  <c r="F1403" i="1"/>
  <c r="G1403" i="1" s="1"/>
  <c r="F1404" i="1"/>
  <c r="G1404" i="1" s="1"/>
  <c r="F1405" i="1"/>
  <c r="G1405" i="1" s="1"/>
  <c r="F1406" i="1"/>
  <c r="G1406" i="1"/>
  <c r="F1407" i="1"/>
  <c r="G1407" i="1" s="1"/>
  <c r="F1408" i="1"/>
  <c r="G1408" i="1" s="1"/>
  <c r="F1409" i="1"/>
  <c r="G1409" i="1" s="1"/>
  <c r="F1410" i="1"/>
  <c r="G1410" i="1" s="1"/>
  <c r="F1411" i="1"/>
  <c r="G1411" i="1" s="1"/>
  <c r="F1412" i="1"/>
  <c r="G1412" i="1" s="1"/>
  <c r="F1413" i="1"/>
  <c r="G1413" i="1" s="1"/>
  <c r="F1414" i="1"/>
  <c r="G1414" i="1"/>
  <c r="F1415" i="1"/>
  <c r="G1415" i="1" s="1"/>
  <c r="F1416" i="1"/>
  <c r="G1416" i="1"/>
  <c r="F1417" i="1"/>
  <c r="G1417" i="1" s="1"/>
  <c r="F1418" i="1"/>
  <c r="G1418" i="1" s="1"/>
  <c r="F1419" i="1"/>
  <c r="G1419" i="1"/>
  <c r="F1420" i="1"/>
  <c r="G1420" i="1" s="1"/>
  <c r="F1421" i="1"/>
  <c r="G1421" i="1" s="1"/>
  <c r="F1422" i="1"/>
  <c r="G1422" i="1" s="1"/>
  <c r="F1423" i="1"/>
  <c r="G1423" i="1" s="1"/>
  <c r="F1376" i="1"/>
  <c r="F1375" i="1"/>
  <c r="F1365" i="1"/>
  <c r="F1366" i="1"/>
  <c r="F1367" i="1"/>
  <c r="F1368" i="1"/>
  <c r="F1369" i="1"/>
  <c r="F1370" i="1"/>
  <c r="F1364" i="1"/>
  <c r="F1325" i="1"/>
  <c r="G1325" i="1" s="1"/>
  <c r="F1357" i="1"/>
  <c r="G1357" i="1" s="1"/>
  <c r="F1358" i="1"/>
  <c r="G1358" i="1" s="1"/>
  <c r="F1359" i="1"/>
  <c r="G1359" i="1" s="1"/>
  <c r="F1360" i="1"/>
  <c r="G1360" i="1" s="1"/>
  <c r="F1361" i="1"/>
  <c r="G1361" i="1" s="1"/>
  <c r="F1362" i="1"/>
  <c r="G1362" i="1" s="1"/>
  <c r="F1363" i="1"/>
  <c r="G1363" i="1" s="1"/>
  <c r="F1356" i="1"/>
  <c r="G1356" i="1" s="1"/>
  <c r="F1327" i="1"/>
  <c r="G1327" i="1" s="1"/>
  <c r="F1328" i="1"/>
  <c r="G1328" i="1" s="1"/>
  <c r="F1329" i="1"/>
  <c r="G1329" i="1" s="1"/>
  <c r="F1330" i="1"/>
  <c r="G1330" i="1" s="1"/>
  <c r="F1331" i="1"/>
  <c r="G1331" i="1"/>
  <c r="F1332" i="1"/>
  <c r="G1332" i="1" s="1"/>
  <c r="F1333" i="1"/>
  <c r="G1333" i="1" s="1"/>
  <c r="F1334" i="1"/>
  <c r="G1334" i="1" s="1"/>
  <c r="F1335" i="1"/>
  <c r="G1335" i="1" s="1"/>
  <c r="F1336" i="1"/>
  <c r="G1336" i="1" s="1"/>
  <c r="F1337" i="1"/>
  <c r="G1337" i="1" s="1"/>
  <c r="F1338" i="1"/>
  <c r="G1338" i="1" s="1"/>
  <c r="F1339" i="1"/>
  <c r="G1339" i="1" s="1"/>
  <c r="F1340" i="1"/>
  <c r="G1340" i="1" s="1"/>
  <c r="F1341" i="1"/>
  <c r="G1341" i="1" s="1"/>
  <c r="F1342" i="1"/>
  <c r="G1342" i="1" s="1"/>
  <c r="F1343" i="1"/>
  <c r="G1343" i="1" s="1"/>
  <c r="F1344" i="1"/>
  <c r="G1344" i="1" s="1"/>
  <c r="F1345" i="1"/>
  <c r="G1345" i="1" s="1"/>
  <c r="F1346" i="1"/>
  <c r="G1346" i="1" s="1"/>
  <c r="F1347" i="1"/>
  <c r="G1347" i="1" s="1"/>
  <c r="F1348" i="1"/>
  <c r="G1348" i="1" s="1"/>
  <c r="F1349" i="1"/>
  <c r="G1349" i="1" s="1"/>
  <c r="F1350" i="1"/>
  <c r="G1350" i="1" s="1"/>
  <c r="F1326" i="1"/>
  <c r="G1326" i="1" s="1"/>
  <c r="F1320" i="1"/>
  <c r="G1320" i="1" s="1"/>
  <c r="F1321" i="1"/>
  <c r="G1321" i="1" s="1"/>
  <c r="F1322" i="1"/>
  <c r="G1322" i="1" s="1"/>
  <c r="F1323" i="1"/>
  <c r="G1323" i="1" s="1"/>
  <c r="F1324" i="1"/>
  <c r="G1324" i="1" s="1"/>
  <c r="F1316" i="1"/>
  <c r="F1317" i="1"/>
  <c r="F1318" i="1"/>
  <c r="F1319" i="1"/>
  <c r="F1312" i="1"/>
  <c r="G1312" i="1" s="1"/>
  <c r="F1313" i="1"/>
  <c r="G1313" i="1" s="1"/>
  <c r="F1314" i="1"/>
  <c r="G1314" i="1" s="1"/>
  <c r="F1315" i="1"/>
  <c r="G1315" i="1"/>
  <c r="F1310" i="1"/>
  <c r="G1310" i="1" s="1"/>
  <c r="F1311" i="1"/>
  <c r="G1311" i="1" s="1"/>
  <c r="F1306" i="1"/>
  <c r="G1306" i="1" s="1"/>
  <c r="F1307" i="1"/>
  <c r="G1307" i="1" s="1"/>
  <c r="F1308" i="1"/>
  <c r="G1308" i="1" s="1"/>
  <c r="F1309" i="1"/>
  <c r="G1309" i="1" s="1"/>
  <c r="F1305" i="1"/>
  <c r="G1305" i="1" s="1"/>
  <c r="F1304" i="1"/>
  <c r="G1304" i="1" s="1"/>
  <c r="F1298" i="1"/>
  <c r="F1299" i="1"/>
  <c r="F1300" i="1"/>
  <c r="F1301" i="1"/>
  <c r="F1302" i="1"/>
  <c r="F1303" i="1"/>
  <c r="F1293" i="1"/>
  <c r="G1293" i="1" s="1"/>
  <c r="F1294" i="1"/>
  <c r="G1294" i="1" s="1"/>
  <c r="F1295" i="1"/>
  <c r="G1295" i="1" s="1"/>
  <c r="F1296" i="1"/>
  <c r="G1296" i="1" s="1"/>
  <c r="F1297" i="1"/>
  <c r="G1297" i="1" s="1"/>
  <c r="F1273" i="1"/>
  <c r="G1273" i="1" s="1"/>
  <c r="F1274" i="1"/>
  <c r="G1274" i="1" s="1"/>
  <c r="F1275" i="1"/>
  <c r="G1275" i="1" s="1"/>
  <c r="F1276" i="1"/>
  <c r="G1276" i="1" s="1"/>
  <c r="F1277" i="1"/>
  <c r="G1277" i="1" s="1"/>
  <c r="F1278" i="1"/>
  <c r="G1278" i="1" s="1"/>
  <c r="F1279" i="1"/>
  <c r="G1279" i="1" s="1"/>
  <c r="F1280" i="1"/>
  <c r="G1280" i="1" s="1"/>
  <c r="F1281" i="1"/>
  <c r="G1281" i="1" s="1"/>
  <c r="F1282" i="1"/>
  <c r="G1282" i="1" s="1"/>
  <c r="F1283" i="1"/>
  <c r="G1283" i="1" s="1"/>
  <c r="F1284" i="1"/>
  <c r="G1284" i="1" s="1"/>
  <c r="F1285" i="1"/>
  <c r="G1285" i="1" s="1"/>
  <c r="F1286" i="1"/>
  <c r="G1286" i="1" s="1"/>
  <c r="F1287" i="1"/>
  <c r="G1287" i="1" s="1"/>
  <c r="F1288" i="1"/>
  <c r="G1288" i="1" s="1"/>
  <c r="F1289" i="1"/>
  <c r="G1289" i="1" s="1"/>
  <c r="F1290" i="1"/>
  <c r="G1290" i="1" s="1"/>
  <c r="F1291" i="1"/>
  <c r="G1291" i="1" s="1"/>
  <c r="F1292" i="1"/>
  <c r="G1292" i="1" s="1"/>
  <c r="F1272" i="1"/>
  <c r="G1272" i="1" s="1"/>
  <c r="F164" i="1"/>
  <c r="G164" i="1" s="1"/>
  <c r="E1271" i="1"/>
  <c r="E1270" i="1"/>
  <c r="F1270" i="1" s="1"/>
  <c r="F758" i="1"/>
  <c r="G758" i="1" s="1"/>
  <c r="F759" i="1"/>
  <c r="G759" i="1" s="1"/>
  <c r="F760" i="1"/>
  <c r="G760" i="1" s="1"/>
  <c r="F761" i="1"/>
  <c r="G761" i="1"/>
  <c r="F762" i="1"/>
  <c r="G762" i="1" s="1"/>
  <c r="F763" i="1"/>
  <c r="G763" i="1"/>
  <c r="F764" i="1"/>
  <c r="G764" i="1" s="1"/>
  <c r="F765" i="1"/>
  <c r="G765" i="1"/>
  <c r="F766" i="1"/>
  <c r="G766" i="1" s="1"/>
  <c r="F767" i="1"/>
  <c r="G767" i="1" s="1"/>
  <c r="F768" i="1"/>
  <c r="G768" i="1" s="1"/>
  <c r="F769" i="1"/>
  <c r="G769" i="1" s="1"/>
  <c r="F770" i="1"/>
  <c r="G770" i="1" s="1"/>
  <c r="F771" i="1"/>
  <c r="G771" i="1" s="1"/>
  <c r="F772" i="1"/>
  <c r="G772" i="1" s="1"/>
  <c r="F773" i="1"/>
  <c r="F774" i="1"/>
  <c r="G774" i="1" s="1"/>
  <c r="F775" i="1"/>
  <c r="G775" i="1" s="1"/>
  <c r="F776" i="1"/>
  <c r="G776" i="1" s="1"/>
  <c r="F777" i="1"/>
  <c r="G777" i="1" s="1"/>
  <c r="F778" i="1"/>
  <c r="G778" i="1" s="1"/>
  <c r="F779" i="1"/>
  <c r="G779" i="1" s="1"/>
  <c r="F780" i="1"/>
  <c r="G780" i="1"/>
  <c r="F781" i="1"/>
  <c r="G781" i="1"/>
  <c r="F782" i="1"/>
  <c r="G782" i="1" s="1"/>
  <c r="F783" i="1"/>
  <c r="G783" i="1" s="1"/>
  <c r="F784" i="1"/>
  <c r="G784" i="1" s="1"/>
  <c r="F785" i="1"/>
  <c r="G785" i="1" s="1"/>
  <c r="F786" i="1"/>
  <c r="F787" i="1"/>
  <c r="G787" i="1" s="1"/>
  <c r="F788" i="1"/>
  <c r="F789" i="1"/>
  <c r="G789" i="1" s="1"/>
  <c r="F790" i="1"/>
  <c r="G790" i="1" s="1"/>
  <c r="F791" i="1"/>
  <c r="G791" i="1" s="1"/>
  <c r="F792" i="1"/>
  <c r="G792" i="1" s="1"/>
  <c r="F793" i="1"/>
  <c r="G793" i="1" s="1"/>
  <c r="F794" i="1"/>
  <c r="G794" i="1" s="1"/>
  <c r="F795" i="1"/>
  <c r="G795" i="1"/>
  <c r="F796" i="1"/>
  <c r="G796" i="1" s="1"/>
  <c r="F797" i="1"/>
  <c r="G797" i="1" s="1"/>
  <c r="F798" i="1"/>
  <c r="G798" i="1"/>
  <c r="F799" i="1"/>
  <c r="G799" i="1" s="1"/>
  <c r="F800" i="1"/>
  <c r="G800" i="1"/>
  <c r="F801" i="1"/>
  <c r="G801" i="1" s="1"/>
  <c r="F802" i="1"/>
  <c r="G802" i="1" s="1"/>
  <c r="F803" i="1"/>
  <c r="G803" i="1" s="1"/>
  <c r="F804" i="1"/>
  <c r="G804" i="1" s="1"/>
  <c r="F805" i="1"/>
  <c r="G805" i="1" s="1"/>
  <c r="F806" i="1"/>
  <c r="G806" i="1" s="1"/>
  <c r="F807" i="1"/>
  <c r="G807" i="1" s="1"/>
  <c r="F808" i="1"/>
  <c r="G808" i="1" s="1"/>
  <c r="F809" i="1"/>
  <c r="G809" i="1" s="1"/>
  <c r="F810" i="1"/>
  <c r="G810" i="1" s="1"/>
  <c r="F811" i="1"/>
  <c r="G811" i="1"/>
  <c r="F812" i="1"/>
  <c r="G812" i="1" s="1"/>
  <c r="F813" i="1"/>
  <c r="G813" i="1" s="1"/>
  <c r="F814" i="1"/>
  <c r="G814" i="1" s="1"/>
  <c r="F815" i="1"/>
  <c r="G815" i="1" s="1"/>
  <c r="F816" i="1"/>
  <c r="G816" i="1" s="1"/>
  <c r="F817" i="1"/>
  <c r="G817" i="1" s="1"/>
  <c r="F818" i="1"/>
  <c r="G818" i="1" s="1"/>
  <c r="F819" i="1"/>
  <c r="F820" i="1"/>
  <c r="G820" i="1" s="1"/>
  <c r="F821" i="1"/>
  <c r="F822" i="1"/>
  <c r="G822" i="1" s="1"/>
  <c r="F823" i="1"/>
  <c r="F824" i="1"/>
  <c r="G824" i="1" s="1"/>
  <c r="F825" i="1"/>
  <c r="G825" i="1" s="1"/>
  <c r="F826" i="1"/>
  <c r="G826" i="1" s="1"/>
  <c r="F827" i="1"/>
  <c r="F828" i="1"/>
  <c r="G828" i="1" s="1"/>
  <c r="F829" i="1"/>
  <c r="G829" i="1"/>
  <c r="F830" i="1"/>
  <c r="G830" i="1" s="1"/>
  <c r="F831" i="1"/>
  <c r="G831" i="1" s="1"/>
  <c r="F832" i="1"/>
  <c r="G832" i="1" s="1"/>
  <c r="F833" i="1"/>
  <c r="G833" i="1" s="1"/>
  <c r="F834" i="1"/>
  <c r="G834" i="1" s="1"/>
  <c r="F835" i="1"/>
  <c r="G835" i="1" s="1"/>
  <c r="F836" i="1"/>
  <c r="G836" i="1"/>
  <c r="F837" i="1"/>
  <c r="G837" i="1" s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G843" i="1" s="1"/>
  <c r="F844" i="1"/>
  <c r="G844" i="1" s="1"/>
  <c r="F845" i="1"/>
  <c r="G845" i="1" s="1"/>
  <c r="F846" i="1"/>
  <c r="G846" i="1" s="1"/>
  <c r="F847" i="1"/>
  <c r="G847" i="1" s="1"/>
  <c r="F848" i="1"/>
  <c r="G848" i="1" s="1"/>
  <c r="F849" i="1"/>
  <c r="G849" i="1" s="1"/>
  <c r="F850" i="1"/>
  <c r="F851" i="1"/>
  <c r="G851" i="1" s="1"/>
  <c r="F852" i="1"/>
  <c r="G852" i="1" s="1"/>
  <c r="F853" i="1"/>
  <c r="G853" i="1" s="1"/>
  <c r="F854" i="1"/>
  <c r="G854" i="1" s="1"/>
  <c r="F855" i="1"/>
  <c r="G855" i="1" s="1"/>
  <c r="F856" i="1"/>
  <c r="G856" i="1" s="1"/>
  <c r="F857" i="1"/>
  <c r="G857" i="1" s="1"/>
  <c r="F858" i="1"/>
  <c r="G858" i="1"/>
  <c r="F859" i="1"/>
  <c r="G859" i="1" s="1"/>
  <c r="F860" i="1"/>
  <c r="G860" i="1"/>
  <c r="F861" i="1"/>
  <c r="G861" i="1" s="1"/>
  <c r="F862" i="1"/>
  <c r="G862" i="1" s="1"/>
  <c r="F863" i="1"/>
  <c r="G863" i="1" s="1"/>
  <c r="F864" i="1"/>
  <c r="G864" i="1" s="1"/>
  <c r="F865" i="1"/>
  <c r="F866" i="1"/>
  <c r="G866" i="1" s="1"/>
  <c r="F867" i="1"/>
  <c r="G867" i="1" s="1"/>
  <c r="F868" i="1"/>
  <c r="G868" i="1" s="1"/>
  <c r="F869" i="1"/>
  <c r="G869" i="1" s="1"/>
  <c r="F870" i="1"/>
  <c r="G870" i="1" s="1"/>
  <c r="F871" i="1"/>
  <c r="G871" i="1" s="1"/>
  <c r="F872" i="1"/>
  <c r="G872" i="1" s="1"/>
  <c r="F873" i="1"/>
  <c r="G873" i="1" s="1"/>
  <c r="F874" i="1"/>
  <c r="G874" i="1" s="1"/>
  <c r="F875" i="1"/>
  <c r="G875" i="1" s="1"/>
  <c r="F876" i="1"/>
  <c r="G876" i="1" s="1"/>
  <c r="F877" i="1"/>
  <c r="G877" i="1"/>
  <c r="F878" i="1"/>
  <c r="G878" i="1" s="1"/>
  <c r="F879" i="1"/>
  <c r="G879" i="1" s="1"/>
  <c r="F880" i="1"/>
  <c r="G880" i="1" s="1"/>
  <c r="F881" i="1"/>
  <c r="G881" i="1" s="1"/>
  <c r="F882" i="1"/>
  <c r="G882" i="1" s="1"/>
  <c r="F883" i="1"/>
  <c r="F884" i="1"/>
  <c r="G884" i="1" s="1"/>
  <c r="F885" i="1"/>
  <c r="G885" i="1" s="1"/>
  <c r="F886" i="1"/>
  <c r="G886" i="1" s="1"/>
  <c r="F887" i="1"/>
  <c r="G887" i="1" s="1"/>
  <c r="F888" i="1"/>
  <c r="G888" i="1" s="1"/>
  <c r="F889" i="1"/>
  <c r="G889" i="1" s="1"/>
  <c r="F890" i="1"/>
  <c r="G890" i="1" s="1"/>
  <c r="F891" i="1"/>
  <c r="G891" i="1" s="1"/>
  <c r="F892" i="1"/>
  <c r="G892" i="1" s="1"/>
  <c r="F893" i="1"/>
  <c r="G893" i="1" s="1"/>
  <c r="F894" i="1"/>
  <c r="G894" i="1" s="1"/>
  <c r="F895" i="1"/>
  <c r="G895" i="1" s="1"/>
  <c r="F896" i="1"/>
  <c r="F897" i="1"/>
  <c r="G897" i="1" s="1"/>
  <c r="F898" i="1"/>
  <c r="F899" i="1"/>
  <c r="G899" i="1" s="1"/>
  <c r="F900" i="1"/>
  <c r="G900" i="1" s="1"/>
  <c r="F901" i="1"/>
  <c r="G901" i="1" s="1"/>
  <c r="F902" i="1"/>
  <c r="G902" i="1" s="1"/>
  <c r="F903" i="1"/>
  <c r="G903" i="1" s="1"/>
  <c r="F904" i="1"/>
  <c r="G904" i="1"/>
  <c r="F905" i="1"/>
  <c r="G905" i="1" s="1"/>
  <c r="F906" i="1"/>
  <c r="G906" i="1" s="1"/>
  <c r="F907" i="1"/>
  <c r="G907" i="1" s="1"/>
  <c r="F908" i="1"/>
  <c r="G908" i="1" s="1"/>
  <c r="F909" i="1"/>
  <c r="G909" i="1" s="1"/>
  <c r="F910" i="1"/>
  <c r="G910" i="1" s="1"/>
  <c r="F911" i="1"/>
  <c r="G911" i="1" s="1"/>
  <c r="F912" i="1"/>
  <c r="G912" i="1" s="1"/>
  <c r="F913" i="1"/>
  <c r="G913" i="1" s="1"/>
  <c r="F914" i="1"/>
  <c r="G914" i="1" s="1"/>
  <c r="F915" i="1"/>
  <c r="G915" i="1" s="1"/>
  <c r="F916" i="1"/>
  <c r="G916" i="1" s="1"/>
  <c r="F917" i="1"/>
  <c r="G917" i="1" s="1"/>
  <c r="F918" i="1"/>
  <c r="G918" i="1" s="1"/>
  <c r="F919" i="1"/>
  <c r="G919" i="1" s="1"/>
  <c r="F920" i="1"/>
  <c r="F921" i="1"/>
  <c r="G921" i="1" s="1"/>
  <c r="F922" i="1"/>
  <c r="G922" i="1" s="1"/>
  <c r="F923" i="1"/>
  <c r="G923" i="1" s="1"/>
  <c r="F924" i="1"/>
  <c r="G924" i="1" s="1"/>
  <c r="F925" i="1"/>
  <c r="G925" i="1" s="1"/>
  <c r="F926" i="1"/>
  <c r="G926" i="1"/>
  <c r="F927" i="1"/>
  <c r="G927" i="1" s="1"/>
  <c r="F928" i="1"/>
  <c r="G928" i="1" s="1"/>
  <c r="F929" i="1"/>
  <c r="G929" i="1" s="1"/>
  <c r="F930" i="1"/>
  <c r="G930" i="1" s="1"/>
  <c r="F931" i="1"/>
  <c r="G931" i="1" s="1"/>
  <c r="F932" i="1"/>
  <c r="G932" i="1" s="1"/>
  <c r="F933" i="1"/>
  <c r="G933" i="1" s="1"/>
  <c r="F934" i="1"/>
  <c r="G934" i="1" s="1"/>
  <c r="F935" i="1"/>
  <c r="G935" i="1" s="1"/>
  <c r="F936" i="1"/>
  <c r="G936" i="1" s="1"/>
  <c r="F937" i="1"/>
  <c r="G937" i="1" s="1"/>
  <c r="F938" i="1"/>
  <c r="G938" i="1" s="1"/>
  <c r="F939" i="1"/>
  <c r="G939" i="1" s="1"/>
  <c r="F940" i="1"/>
  <c r="G940" i="1" s="1"/>
  <c r="F941" i="1"/>
  <c r="G941" i="1" s="1"/>
  <c r="F942" i="1"/>
  <c r="F943" i="1"/>
  <c r="G943" i="1" s="1"/>
  <c r="F944" i="1"/>
  <c r="G944" i="1" s="1"/>
  <c r="F945" i="1"/>
  <c r="G945" i="1"/>
  <c r="F946" i="1"/>
  <c r="G946" i="1" s="1"/>
  <c r="F947" i="1"/>
  <c r="G947" i="1" s="1"/>
  <c r="F948" i="1"/>
  <c r="G948" i="1" s="1"/>
  <c r="F949" i="1"/>
  <c r="G949" i="1" s="1"/>
  <c r="F950" i="1"/>
  <c r="G950" i="1" s="1"/>
  <c r="F951" i="1"/>
  <c r="F952" i="1"/>
  <c r="G952" i="1" s="1"/>
  <c r="F953" i="1"/>
  <c r="F954" i="1"/>
  <c r="G954" i="1" s="1"/>
  <c r="F955" i="1"/>
  <c r="G955" i="1" s="1"/>
  <c r="F956" i="1"/>
  <c r="G956" i="1" s="1"/>
  <c r="F957" i="1"/>
  <c r="G957" i="1" s="1"/>
  <c r="F958" i="1"/>
  <c r="G958" i="1" s="1"/>
  <c r="F959" i="1"/>
  <c r="F960" i="1"/>
  <c r="F961" i="1"/>
  <c r="G961" i="1" s="1"/>
  <c r="F962" i="1"/>
  <c r="G962" i="1" s="1"/>
  <c r="F963" i="1"/>
  <c r="G963" i="1"/>
  <c r="F964" i="1"/>
  <c r="G964" i="1" s="1"/>
  <c r="F965" i="1"/>
  <c r="G965" i="1"/>
  <c r="F966" i="1"/>
  <c r="G966" i="1" s="1"/>
  <c r="F967" i="1"/>
  <c r="G967" i="1" s="1"/>
  <c r="F968" i="1"/>
  <c r="G968" i="1" s="1"/>
  <c r="F969" i="1"/>
  <c r="G969" i="1" s="1"/>
  <c r="F970" i="1"/>
  <c r="G970" i="1" s="1"/>
  <c r="F971" i="1"/>
  <c r="G971" i="1" s="1"/>
  <c r="F972" i="1"/>
  <c r="G972" i="1" s="1"/>
  <c r="F973" i="1"/>
  <c r="G973" i="1" s="1"/>
  <c r="F974" i="1"/>
  <c r="G974" i="1" s="1"/>
  <c r="F975" i="1"/>
  <c r="G975" i="1" s="1"/>
  <c r="F976" i="1"/>
  <c r="G976" i="1" s="1"/>
  <c r="F977" i="1"/>
  <c r="G977" i="1" s="1"/>
  <c r="F978" i="1"/>
  <c r="G978" i="1" s="1"/>
  <c r="F979" i="1"/>
  <c r="G979" i="1" s="1"/>
  <c r="F980" i="1"/>
  <c r="G980" i="1"/>
  <c r="F981" i="1"/>
  <c r="G981" i="1" s="1"/>
  <c r="F982" i="1"/>
  <c r="G982" i="1" s="1"/>
  <c r="F983" i="1"/>
  <c r="F984" i="1"/>
  <c r="G984" i="1" s="1"/>
  <c r="F985" i="1"/>
  <c r="G985" i="1" s="1"/>
  <c r="F986" i="1"/>
  <c r="G986" i="1" s="1"/>
  <c r="F987" i="1"/>
  <c r="G987" i="1" s="1"/>
  <c r="F988" i="1"/>
  <c r="G988" i="1"/>
  <c r="F989" i="1"/>
  <c r="G989" i="1" s="1"/>
  <c r="F990" i="1"/>
  <c r="G990" i="1" s="1"/>
  <c r="F991" i="1"/>
  <c r="G991" i="1" s="1"/>
  <c r="F992" i="1"/>
  <c r="G992" i="1" s="1"/>
  <c r="F993" i="1"/>
  <c r="F994" i="1"/>
  <c r="G994" i="1" s="1"/>
  <c r="F995" i="1"/>
  <c r="G995" i="1" s="1"/>
  <c r="F996" i="1"/>
  <c r="G996" i="1" s="1"/>
  <c r="F997" i="1"/>
  <c r="G997" i="1" s="1"/>
  <c r="F998" i="1"/>
  <c r="G998" i="1" s="1"/>
  <c r="F999" i="1"/>
  <c r="F1000" i="1"/>
  <c r="G1000" i="1" s="1"/>
  <c r="F1001" i="1"/>
  <c r="G1001" i="1" s="1"/>
  <c r="F1002" i="1"/>
  <c r="G1002" i="1" s="1"/>
  <c r="F1003" i="1"/>
  <c r="G1003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09" i="1"/>
  <c r="G1009" i="1" s="1"/>
  <c r="F1010" i="1"/>
  <c r="G1010" i="1" s="1"/>
  <c r="F1011" i="1"/>
  <c r="G1011" i="1" s="1"/>
  <c r="F1012" i="1"/>
  <c r="G1012" i="1" s="1"/>
  <c r="F1013" i="1"/>
  <c r="G1013" i="1" s="1"/>
  <c r="F1014" i="1"/>
  <c r="G1014" i="1" s="1"/>
  <c r="F1015" i="1"/>
  <c r="G1015" i="1" s="1"/>
  <c r="F1016" i="1"/>
  <c r="G1016" i="1" s="1"/>
  <c r="F1017" i="1"/>
  <c r="G1017" i="1" s="1"/>
  <c r="F1018" i="1"/>
  <c r="G1018" i="1" s="1"/>
  <c r="F1019" i="1"/>
  <c r="G1019" i="1" s="1"/>
  <c r="F1020" i="1"/>
  <c r="G1020" i="1"/>
  <c r="F1021" i="1"/>
  <c r="G1021" i="1" s="1"/>
  <c r="F1022" i="1"/>
  <c r="G1022" i="1" s="1"/>
  <c r="F1023" i="1"/>
  <c r="G1023" i="1" s="1"/>
  <c r="F1024" i="1"/>
  <c r="G1024" i="1" s="1"/>
  <c r="F1025" i="1"/>
  <c r="G1025" i="1" s="1"/>
  <c r="F1026" i="1"/>
  <c r="G1026" i="1" s="1"/>
  <c r="F1027" i="1"/>
  <c r="G1027" i="1" s="1"/>
  <c r="F1028" i="1"/>
  <c r="F1029" i="1"/>
  <c r="G1029" i="1" s="1"/>
  <c r="F1030" i="1"/>
  <c r="F1031" i="1"/>
  <c r="G1031" i="1" s="1"/>
  <c r="F1032" i="1"/>
  <c r="G1032" i="1" s="1"/>
  <c r="F1033" i="1"/>
  <c r="G1033" i="1" s="1"/>
  <c r="F1034" i="1"/>
  <c r="G1034" i="1" s="1"/>
  <c r="F1035" i="1"/>
  <c r="G1035" i="1" s="1"/>
  <c r="F1036" i="1"/>
  <c r="G1036" i="1" s="1"/>
  <c r="F1037" i="1"/>
  <c r="G1037" i="1" s="1"/>
  <c r="F1038" i="1"/>
  <c r="G1038" i="1" s="1"/>
  <c r="F1039" i="1"/>
  <c r="F1040" i="1"/>
  <c r="G1040" i="1"/>
  <c r="F1041" i="1"/>
  <c r="G1041" i="1" s="1"/>
  <c r="F1042" i="1"/>
  <c r="G1042" i="1" s="1"/>
  <c r="F1043" i="1"/>
  <c r="G1043" i="1" s="1"/>
  <c r="F1044" i="1"/>
  <c r="G1044" i="1" s="1"/>
  <c r="F1045" i="1"/>
  <c r="G1045" i="1" s="1"/>
  <c r="F1046" i="1"/>
  <c r="G1046" i="1" s="1"/>
  <c r="F1047" i="1"/>
  <c r="G1047" i="1"/>
  <c r="F1048" i="1"/>
  <c r="G1048" i="1" s="1"/>
  <c r="F1049" i="1"/>
  <c r="G1049" i="1" s="1"/>
  <c r="F1050" i="1"/>
  <c r="G1050" i="1" s="1"/>
  <c r="F1051" i="1"/>
  <c r="G1051" i="1"/>
  <c r="F1052" i="1"/>
  <c r="G1052" i="1" s="1"/>
  <c r="F1053" i="1"/>
  <c r="G1053" i="1" s="1"/>
  <c r="F1054" i="1"/>
  <c r="G1054" i="1" s="1"/>
  <c r="F1055" i="1"/>
  <c r="G1055" i="1" s="1"/>
  <c r="F1056" i="1"/>
  <c r="G1056" i="1" s="1"/>
  <c r="F1057" i="1"/>
  <c r="G1057" i="1" s="1"/>
  <c r="F1058" i="1"/>
  <c r="G1058" i="1" s="1"/>
  <c r="F1059" i="1"/>
  <c r="G1059" i="1" s="1"/>
  <c r="F1060" i="1"/>
  <c r="G1060" i="1" s="1"/>
  <c r="F1061" i="1"/>
  <c r="F1062" i="1"/>
  <c r="G1062" i="1" s="1"/>
  <c r="F1063" i="1"/>
  <c r="F1064" i="1"/>
  <c r="G1064" i="1" s="1"/>
  <c r="F1065" i="1"/>
  <c r="G1065" i="1" s="1"/>
  <c r="F1066" i="1"/>
  <c r="G1066" i="1" s="1"/>
  <c r="F1067" i="1"/>
  <c r="G1067" i="1" s="1"/>
  <c r="F1068" i="1"/>
  <c r="G1068" i="1" s="1"/>
  <c r="F1069" i="1"/>
  <c r="F1070" i="1"/>
  <c r="G1070" i="1" s="1"/>
  <c r="F1071" i="1"/>
  <c r="G1071" i="1" s="1"/>
  <c r="F1072" i="1"/>
  <c r="G1072" i="1" s="1"/>
  <c r="F1073" i="1"/>
  <c r="G1073" i="1" s="1"/>
  <c r="F1074" i="1"/>
  <c r="G1074" i="1" s="1"/>
  <c r="F1075" i="1"/>
  <c r="G1075" i="1" s="1"/>
  <c r="F1076" i="1"/>
  <c r="G1076" i="1" s="1"/>
  <c r="F1077" i="1"/>
  <c r="G1077" i="1" s="1"/>
  <c r="F1078" i="1"/>
  <c r="G1078" i="1"/>
  <c r="F1079" i="1"/>
  <c r="G1079" i="1" s="1"/>
  <c r="F1080" i="1"/>
  <c r="G1080" i="1" s="1"/>
  <c r="F1081" i="1"/>
  <c r="G1081" i="1" s="1"/>
  <c r="F1082" i="1"/>
  <c r="G1082" i="1" s="1"/>
  <c r="F1083" i="1"/>
  <c r="F1084" i="1"/>
  <c r="G1084" i="1"/>
  <c r="F1085" i="1"/>
  <c r="F1086" i="1"/>
  <c r="G1086" i="1" s="1"/>
  <c r="F1087" i="1"/>
  <c r="G1087" i="1" s="1"/>
  <c r="F1088" i="1"/>
  <c r="G1088" i="1" s="1"/>
  <c r="F1089" i="1"/>
  <c r="G1089" i="1" s="1"/>
  <c r="F1090" i="1"/>
  <c r="G1090" i="1" s="1"/>
  <c r="F1091" i="1"/>
  <c r="G1091" i="1" s="1"/>
  <c r="F1092" i="1"/>
  <c r="G1092" i="1" s="1"/>
  <c r="F1093" i="1"/>
  <c r="G1093" i="1" s="1"/>
  <c r="F1094" i="1"/>
  <c r="G1094" i="1" s="1"/>
  <c r="F1095" i="1"/>
  <c r="G1095" i="1" s="1"/>
  <c r="F1096" i="1"/>
  <c r="G1096" i="1" s="1"/>
  <c r="F1097" i="1"/>
  <c r="G1097" i="1" s="1"/>
  <c r="F1098" i="1"/>
  <c r="G1098" i="1" s="1"/>
  <c r="F1099" i="1"/>
  <c r="G1099" i="1" s="1"/>
  <c r="F1100" i="1"/>
  <c r="G1100" i="1" s="1"/>
  <c r="F1101" i="1"/>
  <c r="G1101" i="1" s="1"/>
  <c r="F1102" i="1"/>
  <c r="G1102" i="1" s="1"/>
  <c r="F1103" i="1"/>
  <c r="G1103" i="1" s="1"/>
  <c r="F1104" i="1"/>
  <c r="G1104" i="1" s="1"/>
  <c r="F1105" i="1"/>
  <c r="G1105" i="1" s="1"/>
  <c r="F1106" i="1"/>
  <c r="G1106" i="1" s="1"/>
  <c r="F1107" i="1"/>
  <c r="F1108" i="1"/>
  <c r="G1108" i="1" s="1"/>
  <c r="F1109" i="1"/>
  <c r="G1109" i="1" s="1"/>
  <c r="F1110" i="1"/>
  <c r="G1110" i="1" s="1"/>
  <c r="F1111" i="1"/>
  <c r="G1111" i="1" s="1"/>
  <c r="F1112" i="1"/>
  <c r="G1112" i="1" s="1"/>
  <c r="F1113" i="1"/>
  <c r="G1113" i="1" s="1"/>
  <c r="F1114" i="1"/>
  <c r="G1114" i="1" s="1"/>
  <c r="F1115" i="1"/>
  <c r="G1115" i="1" s="1"/>
  <c r="F1116" i="1"/>
  <c r="F1117" i="1"/>
  <c r="G1117" i="1" s="1"/>
  <c r="F1118" i="1"/>
  <c r="G1118" i="1" s="1"/>
  <c r="F1119" i="1"/>
  <c r="G1119" i="1" s="1"/>
  <c r="F1120" i="1"/>
  <c r="G1120" i="1" s="1"/>
  <c r="F1121" i="1"/>
  <c r="G1121" i="1" s="1"/>
  <c r="F1122" i="1"/>
  <c r="G1122" i="1" s="1"/>
  <c r="F1123" i="1"/>
  <c r="G1123" i="1" s="1"/>
  <c r="F1124" i="1"/>
  <c r="G1124" i="1" s="1"/>
  <c r="F1125" i="1"/>
  <c r="G1125" i="1" s="1"/>
  <c r="F1126" i="1"/>
  <c r="G1126" i="1" s="1"/>
  <c r="F1127" i="1"/>
  <c r="G1127" i="1" s="1"/>
  <c r="F1128" i="1"/>
  <c r="G1128" i="1" s="1"/>
  <c r="F1129" i="1"/>
  <c r="G1129" i="1" s="1"/>
  <c r="F1130" i="1"/>
  <c r="G1130" i="1"/>
  <c r="F1131" i="1"/>
  <c r="G1131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37" i="1"/>
  <c r="G1137" i="1" s="1"/>
  <c r="F1138" i="1"/>
  <c r="G1138" i="1" s="1"/>
  <c r="F1139" i="1"/>
  <c r="G1139" i="1" s="1"/>
  <c r="F1140" i="1"/>
  <c r="F1141" i="1"/>
  <c r="G1141" i="1" s="1"/>
  <c r="F1142" i="1"/>
  <c r="G1142" i="1" s="1"/>
  <c r="F1143" i="1"/>
  <c r="G1143" i="1"/>
  <c r="F1144" i="1"/>
  <c r="G1144" i="1" s="1"/>
  <c r="F1145" i="1"/>
  <c r="G1145" i="1" s="1"/>
  <c r="F1146" i="1"/>
  <c r="G1146" i="1"/>
  <c r="F1147" i="1"/>
  <c r="G1147" i="1" s="1"/>
  <c r="F1148" i="1"/>
  <c r="G1148" i="1" s="1"/>
  <c r="F1149" i="1"/>
  <c r="G1149" i="1" s="1"/>
  <c r="F1150" i="1"/>
  <c r="G1150" i="1" s="1"/>
  <c r="F1151" i="1"/>
  <c r="G1151" i="1" s="1"/>
  <c r="F1152" i="1"/>
  <c r="G1152" i="1" s="1"/>
  <c r="F1153" i="1"/>
  <c r="G1153" i="1" s="1"/>
  <c r="F1154" i="1"/>
  <c r="G1154" i="1" s="1"/>
  <c r="F1155" i="1"/>
  <c r="G1155" i="1" s="1"/>
  <c r="F1156" i="1"/>
  <c r="G1156" i="1" s="1"/>
  <c r="F1157" i="1"/>
  <c r="G1157" i="1" s="1"/>
  <c r="F1158" i="1"/>
  <c r="G1158" i="1" s="1"/>
  <c r="F1159" i="1"/>
  <c r="G1159" i="1" s="1"/>
  <c r="F1160" i="1"/>
  <c r="F1161" i="1"/>
  <c r="G1161" i="1" s="1"/>
  <c r="F1162" i="1"/>
  <c r="F1163" i="1"/>
  <c r="G1163" i="1"/>
  <c r="F1164" i="1"/>
  <c r="G1164" i="1" s="1"/>
  <c r="F1165" i="1"/>
  <c r="G1165" i="1" s="1"/>
  <c r="F1166" i="1"/>
  <c r="G1166" i="1" s="1"/>
  <c r="F1167" i="1"/>
  <c r="G1167" i="1" s="1"/>
  <c r="F1168" i="1"/>
  <c r="G1168" i="1" s="1"/>
  <c r="F1169" i="1"/>
  <c r="G1169" i="1" s="1"/>
  <c r="F1170" i="1"/>
  <c r="G1170" i="1" s="1"/>
  <c r="F1171" i="1"/>
  <c r="G1171" i="1" s="1"/>
  <c r="F1172" i="1"/>
  <c r="G1172" i="1" s="1"/>
  <c r="F1173" i="1"/>
  <c r="G1173" i="1" s="1"/>
  <c r="F1174" i="1"/>
  <c r="G1174" i="1" s="1"/>
  <c r="F1175" i="1"/>
  <c r="G1175" i="1" s="1"/>
  <c r="F1176" i="1"/>
  <c r="G1176" i="1" s="1"/>
  <c r="F1177" i="1"/>
  <c r="G1177" i="1" s="1"/>
  <c r="F1178" i="1"/>
  <c r="G1178" i="1" s="1"/>
  <c r="F1179" i="1"/>
  <c r="G1179" i="1" s="1"/>
  <c r="F1180" i="1"/>
  <c r="G1180" i="1" s="1"/>
  <c r="F1181" i="1"/>
  <c r="G1181" i="1" s="1"/>
  <c r="F1182" i="1"/>
  <c r="G1182" i="1" s="1"/>
  <c r="F1183" i="1"/>
  <c r="G1183" i="1" s="1"/>
  <c r="F1184" i="1"/>
  <c r="G1184" i="1" s="1"/>
  <c r="F1185" i="1"/>
  <c r="G1185" i="1" s="1"/>
  <c r="F1186" i="1"/>
  <c r="G1186" i="1" s="1"/>
  <c r="F1187" i="1"/>
  <c r="G1187" i="1" s="1"/>
  <c r="F1188" i="1"/>
  <c r="G1188" i="1" s="1"/>
  <c r="F1189" i="1"/>
  <c r="G1189" i="1" s="1"/>
  <c r="F1190" i="1"/>
  <c r="G1190" i="1" s="1"/>
  <c r="F1191" i="1"/>
  <c r="G1191" i="1" s="1"/>
  <c r="F1192" i="1"/>
  <c r="G1192" i="1" s="1"/>
  <c r="F1193" i="1"/>
  <c r="G1193" i="1" s="1"/>
  <c r="F1194" i="1"/>
  <c r="G1194" i="1" s="1"/>
  <c r="F1195" i="1"/>
  <c r="G1195" i="1" s="1"/>
  <c r="F1196" i="1"/>
  <c r="G1196" i="1" s="1"/>
  <c r="F1197" i="1"/>
  <c r="G1197" i="1" s="1"/>
  <c r="F1198" i="1"/>
  <c r="G1198" i="1" s="1"/>
  <c r="F1199" i="1"/>
  <c r="G1199" i="1" s="1"/>
  <c r="F1200" i="1"/>
  <c r="G1200" i="1" s="1"/>
  <c r="F1201" i="1"/>
  <c r="G1201" i="1" s="1"/>
  <c r="F1202" i="1"/>
  <c r="G1202" i="1" s="1"/>
  <c r="F1203" i="1"/>
  <c r="G1203" i="1" s="1"/>
  <c r="F1204" i="1"/>
  <c r="G1204" i="1" s="1"/>
  <c r="F1205" i="1"/>
  <c r="G1205" i="1" s="1"/>
  <c r="F1206" i="1"/>
  <c r="G1206" i="1" s="1"/>
  <c r="F1207" i="1"/>
  <c r="G1207" i="1" s="1"/>
  <c r="F1208" i="1"/>
  <c r="G1208" i="1"/>
  <c r="F1209" i="1"/>
  <c r="G1209" i="1" s="1"/>
  <c r="F1210" i="1"/>
  <c r="G1210" i="1" s="1"/>
  <c r="F1211" i="1"/>
  <c r="G1211" i="1" s="1"/>
  <c r="F1212" i="1"/>
  <c r="G1212" i="1" s="1"/>
  <c r="F1213" i="1"/>
  <c r="G1213" i="1" s="1"/>
  <c r="F1214" i="1"/>
  <c r="G1214" i="1" s="1"/>
  <c r="F1215" i="1"/>
  <c r="G1215" i="1" s="1"/>
  <c r="F1216" i="1"/>
  <c r="G1216" i="1" s="1"/>
  <c r="F1217" i="1"/>
  <c r="G1217" i="1" s="1"/>
  <c r="F1218" i="1"/>
  <c r="G1218" i="1" s="1"/>
  <c r="F1219" i="1"/>
  <c r="G1219" i="1" s="1"/>
  <c r="F1220" i="1"/>
  <c r="G1220" i="1" s="1"/>
  <c r="F1221" i="1"/>
  <c r="G1221" i="1" s="1"/>
  <c r="F1222" i="1"/>
  <c r="G1222" i="1" s="1"/>
  <c r="F1223" i="1"/>
  <c r="G1223" i="1" s="1"/>
  <c r="F1224" i="1"/>
  <c r="G1224" i="1"/>
  <c r="F1225" i="1"/>
  <c r="G1225" i="1" s="1"/>
  <c r="F1226" i="1"/>
  <c r="G1226" i="1" s="1"/>
  <c r="F1227" i="1"/>
  <c r="G1227" i="1" s="1"/>
  <c r="F1228" i="1"/>
  <c r="G1228" i="1" s="1"/>
  <c r="F1229" i="1"/>
  <c r="G1229" i="1" s="1"/>
  <c r="F1230" i="1"/>
  <c r="G1230" i="1" s="1"/>
  <c r="F1231" i="1"/>
  <c r="G1231" i="1" s="1"/>
  <c r="F1232" i="1"/>
  <c r="G1232" i="1" s="1"/>
  <c r="F1233" i="1"/>
  <c r="G1233" i="1" s="1"/>
  <c r="F1234" i="1"/>
  <c r="G1234" i="1" s="1"/>
  <c r="F1235" i="1"/>
  <c r="F1236" i="1"/>
  <c r="G1236" i="1" s="1"/>
  <c r="F1237" i="1"/>
  <c r="G1237" i="1" s="1"/>
  <c r="F1238" i="1"/>
  <c r="G1238" i="1" s="1"/>
  <c r="F1239" i="1"/>
  <c r="G1239" i="1" s="1"/>
  <c r="F1240" i="1"/>
  <c r="G1240" i="1" s="1"/>
  <c r="F1241" i="1"/>
  <c r="G1241" i="1" s="1"/>
  <c r="F1242" i="1"/>
  <c r="G1242" i="1"/>
  <c r="F1243" i="1"/>
  <c r="G1243" i="1" s="1"/>
  <c r="F1244" i="1"/>
  <c r="G1244" i="1" s="1"/>
  <c r="F1245" i="1"/>
  <c r="G1245" i="1" s="1"/>
  <c r="F1246" i="1"/>
  <c r="G1246" i="1" s="1"/>
  <c r="F1247" i="1"/>
  <c r="G1247" i="1" s="1"/>
  <c r="F1248" i="1"/>
  <c r="G1248" i="1" s="1"/>
  <c r="F1249" i="1"/>
  <c r="G1249" i="1" s="1"/>
  <c r="F1250" i="1"/>
  <c r="G1250" i="1" s="1"/>
  <c r="F1251" i="1"/>
  <c r="G1251" i="1" s="1"/>
  <c r="F1252" i="1"/>
  <c r="G1252" i="1" s="1"/>
  <c r="F1253" i="1"/>
  <c r="G1253" i="1" s="1"/>
  <c r="F1254" i="1"/>
  <c r="G1254" i="1" s="1"/>
  <c r="F1255" i="1"/>
  <c r="G1255" i="1" s="1"/>
  <c r="F1256" i="1"/>
  <c r="G1256" i="1" s="1"/>
  <c r="F1257" i="1"/>
  <c r="G1257" i="1" s="1"/>
  <c r="F1258" i="1"/>
  <c r="G1258" i="1" s="1"/>
  <c r="F1259" i="1"/>
  <c r="G1259" i="1" s="1"/>
  <c r="F1260" i="1"/>
  <c r="G1260" i="1"/>
  <c r="F1261" i="1"/>
  <c r="G1261" i="1" s="1"/>
  <c r="F1262" i="1"/>
  <c r="G1262" i="1" s="1"/>
  <c r="F1263" i="1"/>
  <c r="G1263" i="1" s="1"/>
  <c r="F1264" i="1"/>
  <c r="G1264" i="1" s="1"/>
  <c r="F1265" i="1"/>
  <c r="G1265" i="1" s="1"/>
  <c r="F1266" i="1"/>
  <c r="G1266" i="1" s="1"/>
  <c r="F1267" i="1"/>
  <c r="G1267" i="1" s="1"/>
  <c r="F1268" i="1"/>
  <c r="G1268" i="1" s="1"/>
  <c r="F1269" i="1"/>
  <c r="G1269" i="1" s="1"/>
  <c r="F757" i="1"/>
  <c r="G757" i="1" s="1"/>
  <c r="F408" i="1"/>
  <c r="G408" i="1" s="1"/>
  <c r="F409" i="1"/>
  <c r="G409" i="1"/>
  <c r="F410" i="1"/>
  <c r="G410" i="1" s="1"/>
  <c r="F411" i="1"/>
  <c r="G411" i="1"/>
  <c r="F412" i="1"/>
  <c r="G412" i="1" s="1"/>
  <c r="F413" i="1"/>
  <c r="G413" i="1" s="1"/>
  <c r="F414" i="1"/>
  <c r="G414" i="1" s="1"/>
  <c r="F415" i="1"/>
  <c r="F416" i="1"/>
  <c r="F417" i="1"/>
  <c r="G417" i="1"/>
  <c r="F418" i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F496" i="1"/>
  <c r="G496" i="1" s="1"/>
  <c r="F497" i="1"/>
  <c r="G497" i="1"/>
  <c r="F498" i="1"/>
  <c r="G498" i="1" s="1"/>
  <c r="F499" i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/>
  <c r="F515" i="1"/>
  <c r="G515" i="1" s="1"/>
  <c r="F516" i="1"/>
  <c r="G516" i="1" s="1"/>
  <c r="F517" i="1"/>
  <c r="G517" i="1"/>
  <c r="F518" i="1"/>
  <c r="G518" i="1" s="1"/>
  <c r="F519" i="1"/>
  <c r="G519" i="1" s="1"/>
  <c r="F520" i="1"/>
  <c r="G520" i="1" s="1"/>
  <c r="F521" i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 s="1"/>
  <c r="F533" i="1"/>
  <c r="G533" i="1"/>
  <c r="F534" i="1"/>
  <c r="G534" i="1" s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 s="1"/>
  <c r="F544" i="1"/>
  <c r="F545" i="1"/>
  <c r="G545" i="1"/>
  <c r="F546" i="1"/>
  <c r="G546" i="1" s="1"/>
  <c r="F547" i="1"/>
  <c r="G547" i="1" s="1"/>
  <c r="F548" i="1"/>
  <c r="G548" i="1" s="1"/>
  <c r="F549" i="1"/>
  <c r="G549" i="1" s="1"/>
  <c r="F550" i="1"/>
  <c r="G550" i="1" s="1"/>
  <c r="F551" i="1"/>
  <c r="G551" i="1" s="1"/>
  <c r="F552" i="1"/>
  <c r="G552" i="1" s="1"/>
  <c r="F553" i="1"/>
  <c r="G553" i="1" s="1"/>
  <c r="F554" i="1"/>
  <c r="F555" i="1"/>
  <c r="G555" i="1"/>
  <c r="F556" i="1"/>
  <c r="G556" i="1" s="1"/>
  <c r="F557" i="1"/>
  <c r="G557" i="1" s="1"/>
  <c r="F558" i="1"/>
  <c r="G558" i="1" s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G564" i="1" s="1"/>
  <c r="F565" i="1"/>
  <c r="G565" i="1" s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/>
  <c r="F573" i="1"/>
  <c r="G573" i="1" s="1"/>
  <c r="F574" i="1"/>
  <c r="G574" i="1" s="1"/>
  <c r="F575" i="1"/>
  <c r="G575" i="1" s="1"/>
  <c r="F576" i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589" i="1"/>
  <c r="G589" i="1"/>
  <c r="F590" i="1"/>
  <c r="G590" i="1" s="1"/>
  <c r="F591" i="1"/>
  <c r="G591" i="1"/>
  <c r="F592" i="1"/>
  <c r="G592" i="1" s="1"/>
  <c r="F593" i="1"/>
  <c r="G593" i="1"/>
  <c r="F594" i="1"/>
  <c r="F595" i="1"/>
  <c r="G595" i="1" s="1"/>
  <c r="F596" i="1"/>
  <c r="G596" i="1" s="1"/>
  <c r="F597" i="1"/>
  <c r="G597" i="1" s="1"/>
  <c r="F598" i="1"/>
  <c r="G598" i="1" s="1"/>
  <c r="F599" i="1"/>
  <c r="G599" i="1"/>
  <c r="F600" i="1"/>
  <c r="G600" i="1" s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G613" i="1" s="1"/>
  <c r="F614" i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/>
  <c r="F621" i="1"/>
  <c r="G621" i="1" s="1"/>
  <c r="F622" i="1"/>
  <c r="G622" i="1" s="1"/>
  <c r="F623" i="1"/>
  <c r="G623" i="1" s="1"/>
  <c r="F624" i="1"/>
  <c r="G624" i="1" s="1"/>
  <c r="F625" i="1"/>
  <c r="G625" i="1" s="1"/>
  <c r="F626" i="1"/>
  <c r="F627" i="1"/>
  <c r="G627" i="1" s="1"/>
  <c r="F628" i="1"/>
  <c r="G628" i="1" s="1"/>
  <c r="F629" i="1"/>
  <c r="G629" i="1" s="1"/>
  <c r="F630" i="1"/>
  <c r="G630" i="1" s="1"/>
  <c r="F631" i="1"/>
  <c r="G631" i="1"/>
  <c r="F632" i="1"/>
  <c r="G632" i="1" s="1"/>
  <c r="F633" i="1"/>
  <c r="G633" i="1" s="1"/>
  <c r="F634" i="1"/>
  <c r="G634" i="1" s="1"/>
  <c r="F635" i="1"/>
  <c r="G635" i="1" s="1"/>
  <c r="F636" i="1"/>
  <c r="F637" i="1"/>
  <c r="G637" i="1" s="1"/>
  <c r="F638" i="1"/>
  <c r="G638" i="1" s="1"/>
  <c r="F639" i="1"/>
  <c r="G639" i="1" s="1"/>
  <c r="F640" i="1"/>
  <c r="G640" i="1" s="1"/>
  <c r="F641" i="1"/>
  <c r="G641" i="1"/>
  <c r="F642" i="1"/>
  <c r="G642" i="1" s="1"/>
  <c r="F643" i="1"/>
  <c r="G643" i="1" s="1"/>
  <c r="F644" i="1"/>
  <c r="G644" i="1" s="1"/>
  <c r="F645" i="1"/>
  <c r="G645" i="1" s="1"/>
  <c r="F646" i="1"/>
  <c r="G646" i="1" s="1"/>
  <c r="F647" i="1"/>
  <c r="G647" i="1"/>
  <c r="F648" i="1"/>
  <c r="F649" i="1"/>
  <c r="G649" i="1" s="1"/>
  <c r="F650" i="1"/>
  <c r="G650" i="1" s="1"/>
  <c r="F651" i="1"/>
  <c r="G651" i="1" s="1"/>
  <c r="F652" i="1"/>
  <c r="G652" i="1" s="1"/>
  <c r="F653" i="1"/>
  <c r="G653" i="1" s="1"/>
  <c r="F654" i="1"/>
  <c r="G654" i="1"/>
  <c r="F655" i="1"/>
  <c r="G655" i="1" s="1"/>
  <c r="F656" i="1"/>
  <c r="G656" i="1" s="1"/>
  <c r="F657" i="1"/>
  <c r="G657" i="1"/>
  <c r="F658" i="1"/>
  <c r="F659" i="1"/>
  <c r="F660" i="1"/>
  <c r="G660" i="1" s="1"/>
  <c r="F661" i="1"/>
  <c r="G661" i="1" s="1"/>
  <c r="F662" i="1"/>
  <c r="G662" i="1" s="1"/>
  <c r="F663" i="1"/>
  <c r="G663" i="1"/>
  <c r="F664" i="1"/>
  <c r="G664" i="1" s="1"/>
  <c r="F665" i="1"/>
  <c r="G665" i="1" s="1"/>
  <c r="F666" i="1"/>
  <c r="G666" i="1" s="1"/>
  <c r="F667" i="1"/>
  <c r="G667" i="1" s="1"/>
  <c r="F668" i="1"/>
  <c r="G668" i="1"/>
  <c r="F669" i="1"/>
  <c r="G669" i="1" s="1"/>
  <c r="F670" i="1"/>
  <c r="G670" i="1" s="1"/>
  <c r="F671" i="1"/>
  <c r="G671" i="1" s="1"/>
  <c r="F672" i="1"/>
  <c r="G672" i="1" s="1"/>
  <c r="F673" i="1"/>
  <c r="G673" i="1" s="1"/>
  <c r="F674" i="1"/>
  <c r="G674" i="1" s="1"/>
  <c r="F675" i="1"/>
  <c r="G675" i="1" s="1"/>
  <c r="F676" i="1"/>
  <c r="G676" i="1" s="1"/>
  <c r="F677" i="1"/>
  <c r="G677" i="1" s="1"/>
  <c r="F678" i="1"/>
  <c r="G678" i="1" s="1"/>
  <c r="F679" i="1"/>
  <c r="G679" i="1" s="1"/>
  <c r="F680" i="1"/>
  <c r="G680" i="1" s="1"/>
  <c r="F681" i="1"/>
  <c r="G681" i="1" s="1"/>
  <c r="F682" i="1"/>
  <c r="G682" i="1" s="1"/>
  <c r="F683" i="1"/>
  <c r="G683" i="1" s="1"/>
  <c r="F684" i="1"/>
  <c r="G684" i="1"/>
  <c r="F685" i="1"/>
  <c r="G685" i="1" s="1"/>
  <c r="F686" i="1"/>
  <c r="G686" i="1" s="1"/>
  <c r="F687" i="1"/>
  <c r="G687" i="1" s="1"/>
  <c r="F688" i="1"/>
  <c r="G688" i="1" s="1"/>
  <c r="F689" i="1"/>
  <c r="G689" i="1" s="1"/>
  <c r="F690" i="1"/>
  <c r="G690" i="1"/>
  <c r="F691" i="1"/>
  <c r="G691" i="1" s="1"/>
  <c r="F692" i="1"/>
  <c r="G692" i="1" s="1"/>
  <c r="F693" i="1"/>
  <c r="G693" i="1" s="1"/>
  <c r="F694" i="1"/>
  <c r="G694" i="1" s="1"/>
  <c r="F695" i="1"/>
  <c r="G695" i="1" s="1"/>
  <c r="F696" i="1"/>
  <c r="G696" i="1" s="1"/>
  <c r="F697" i="1"/>
  <c r="G697" i="1" s="1"/>
  <c r="F698" i="1"/>
  <c r="F699" i="1"/>
  <c r="F700" i="1"/>
  <c r="G700" i="1" s="1"/>
  <c r="F701" i="1"/>
  <c r="F702" i="1"/>
  <c r="F703" i="1"/>
  <c r="G703" i="1" s="1"/>
  <c r="F704" i="1"/>
  <c r="G704" i="1" s="1"/>
  <c r="F705" i="1"/>
  <c r="G705" i="1" s="1"/>
  <c r="F706" i="1"/>
  <c r="G706" i="1" s="1"/>
  <c r="F707" i="1"/>
  <c r="G707" i="1" s="1"/>
  <c r="F708" i="1"/>
  <c r="G708" i="1" s="1"/>
  <c r="F709" i="1"/>
  <c r="G709" i="1" s="1"/>
  <c r="F710" i="1"/>
  <c r="G710" i="1" s="1"/>
  <c r="F711" i="1"/>
  <c r="G711" i="1" s="1"/>
  <c r="F712" i="1"/>
  <c r="G712" i="1" s="1"/>
  <c r="F713" i="1"/>
  <c r="G713" i="1" s="1"/>
  <c r="F714" i="1"/>
  <c r="G714" i="1" s="1"/>
  <c r="F715" i="1"/>
  <c r="G715" i="1" s="1"/>
  <c r="F716" i="1"/>
  <c r="G716" i="1" s="1"/>
  <c r="F717" i="1"/>
  <c r="G717" i="1" s="1"/>
  <c r="F718" i="1"/>
  <c r="G718" i="1" s="1"/>
  <c r="F719" i="1"/>
  <c r="G719" i="1" s="1"/>
  <c r="F720" i="1"/>
  <c r="G720" i="1" s="1"/>
  <c r="F721" i="1"/>
  <c r="G721" i="1" s="1"/>
  <c r="F722" i="1"/>
  <c r="F723" i="1"/>
  <c r="F724" i="1"/>
  <c r="F725" i="1"/>
  <c r="G725" i="1"/>
  <c r="F726" i="1"/>
  <c r="G726" i="1"/>
  <c r="F727" i="1"/>
  <c r="G727" i="1" s="1"/>
  <c r="F728" i="1"/>
  <c r="G728" i="1" s="1"/>
  <c r="F729" i="1"/>
  <c r="G729" i="1" s="1"/>
  <c r="F730" i="1"/>
  <c r="F731" i="1"/>
  <c r="G731" i="1" s="1"/>
  <c r="F732" i="1"/>
  <c r="G732" i="1" s="1"/>
  <c r="F733" i="1"/>
  <c r="G733" i="1" s="1"/>
  <c r="F734" i="1"/>
  <c r="G734" i="1" s="1"/>
  <c r="F735" i="1"/>
  <c r="G735" i="1" s="1"/>
  <c r="F736" i="1"/>
  <c r="G736" i="1" s="1"/>
  <c r="F737" i="1"/>
  <c r="G737" i="1" s="1"/>
  <c r="F738" i="1"/>
  <c r="G738" i="1" s="1"/>
  <c r="F739" i="1"/>
  <c r="G739" i="1" s="1"/>
  <c r="F740" i="1"/>
  <c r="G740" i="1" s="1"/>
  <c r="F741" i="1"/>
  <c r="G741" i="1" s="1"/>
  <c r="F742" i="1"/>
  <c r="G742" i="1" s="1"/>
  <c r="F743" i="1"/>
  <c r="G743" i="1" s="1"/>
  <c r="F744" i="1"/>
  <c r="G744" i="1" s="1"/>
  <c r="F745" i="1"/>
  <c r="G745" i="1" s="1"/>
  <c r="F746" i="1"/>
  <c r="G746" i="1" s="1"/>
  <c r="F747" i="1"/>
  <c r="G747" i="1" s="1"/>
  <c r="F748" i="1"/>
  <c r="G748" i="1" s="1"/>
  <c r="F749" i="1"/>
  <c r="G749" i="1" s="1"/>
  <c r="F750" i="1"/>
  <c r="G750" i="1" s="1"/>
  <c r="F751" i="1"/>
  <c r="G751" i="1" s="1"/>
  <c r="F752" i="1"/>
  <c r="F753" i="1"/>
  <c r="G753" i="1" s="1"/>
  <c r="F754" i="1"/>
  <c r="G754" i="1" s="1"/>
  <c r="F755" i="1"/>
  <c r="G755" i="1" s="1"/>
  <c r="F756" i="1"/>
  <c r="G756" i="1" s="1"/>
  <c r="F407" i="1"/>
  <c r="G40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167" i="1"/>
  <c r="G167" i="1" s="1"/>
  <c r="G163" i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F165" i="1"/>
  <c r="G165" i="1" s="1"/>
  <c r="F166" i="1"/>
  <c r="G166" i="1" s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24" i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0" i="1"/>
  <c r="G40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2" i="1"/>
  <c r="M2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877" i="1"/>
  <c r="M1876" i="1"/>
  <c r="N1876" i="1" s="1"/>
  <c r="M1874" i="1"/>
  <c r="M1875" i="1"/>
  <c r="M1873" i="1"/>
  <c r="M1870" i="1"/>
  <c r="M1871" i="1"/>
  <c r="M1872" i="1"/>
  <c r="K1869" i="1"/>
  <c r="M1869" i="1" s="1"/>
  <c r="K1868" i="1"/>
  <c r="M1868" i="1" s="1"/>
  <c r="K1867" i="1"/>
  <c r="M1867" i="1" s="1"/>
  <c r="K1866" i="1"/>
  <c r="M1866" i="1" s="1"/>
  <c r="K1865" i="1"/>
  <c r="M1865" i="1" s="1"/>
  <c r="K1864" i="1"/>
  <c r="M1864" i="1" s="1"/>
  <c r="K1863" i="1"/>
  <c r="M1863" i="1" s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K1841" i="1"/>
  <c r="M1841" i="1" s="1"/>
  <c r="K1840" i="1"/>
  <c r="M1840" i="1" s="1"/>
  <c r="K1839" i="1"/>
  <c r="M1839" i="1" s="1"/>
  <c r="K1838" i="1"/>
  <c r="M1838" i="1" s="1"/>
  <c r="K1837" i="1"/>
  <c r="M1837" i="1" s="1"/>
  <c r="K1836" i="1"/>
  <c r="M1836" i="1" s="1"/>
  <c r="K1835" i="1"/>
  <c r="M1835" i="1" s="1"/>
  <c r="K1834" i="1"/>
  <c r="M1834" i="1" s="1"/>
  <c r="K1833" i="1"/>
  <c r="M1833" i="1" s="1"/>
  <c r="K1832" i="1"/>
  <c r="M1832" i="1" s="1"/>
  <c r="K1831" i="1"/>
  <c r="M1831" i="1" s="1"/>
  <c r="K1830" i="1"/>
  <c r="M1830" i="1" s="1"/>
  <c r="K1829" i="1"/>
  <c r="M1829" i="1" s="1"/>
  <c r="K1828" i="1"/>
  <c r="M1828" i="1" s="1"/>
  <c r="K1827" i="1"/>
  <c r="M1827" i="1" s="1"/>
  <c r="K1826" i="1"/>
  <c r="M1826" i="1" s="1"/>
  <c r="K1825" i="1"/>
  <c r="M1825" i="1" s="1"/>
  <c r="K1824" i="1"/>
  <c r="M1824" i="1" s="1"/>
  <c r="K1823" i="1"/>
  <c r="M1823" i="1" s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726" i="1"/>
  <c r="K1725" i="1"/>
  <c r="M1725" i="1" s="1"/>
  <c r="K1724" i="1"/>
  <c r="M1724" i="1" s="1"/>
  <c r="K1723" i="1"/>
  <c r="M1723" i="1" s="1"/>
  <c r="K1722" i="1"/>
  <c r="M1722" i="1" s="1"/>
  <c r="K1721" i="1"/>
  <c r="M1721" i="1" s="1"/>
  <c r="M1720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48" i="1"/>
  <c r="K1657" i="1"/>
  <c r="M1657" i="1" s="1"/>
  <c r="K1656" i="1"/>
  <c r="M1656" i="1" s="1"/>
  <c r="K1655" i="1"/>
  <c r="M1655" i="1" s="1"/>
  <c r="K1654" i="1"/>
  <c r="M1654" i="1" s="1"/>
  <c r="K1653" i="1"/>
  <c r="M1653" i="1" s="1"/>
  <c r="K1652" i="1"/>
  <c r="M1652" i="1" s="1"/>
  <c r="K1651" i="1"/>
  <c r="M1651" i="1" s="1"/>
  <c r="K1650" i="1"/>
  <c r="M1650" i="1" s="1"/>
  <c r="K1649" i="1"/>
  <c r="M1649" i="1" s="1"/>
  <c r="M1643" i="1"/>
  <c r="M1644" i="1"/>
  <c r="M1645" i="1"/>
  <c r="M1646" i="1"/>
  <c r="M1647" i="1"/>
  <c r="M1641" i="1"/>
  <c r="M164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11" i="1"/>
  <c r="M1612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5" i="1"/>
  <c r="N1551" i="1" l="1"/>
  <c r="N1369" i="1"/>
  <c r="N1728" i="1"/>
  <c r="N1860" i="1"/>
  <c r="N1861" i="1"/>
  <c r="N1856" i="1"/>
  <c r="N1354" i="1"/>
  <c r="N1582" i="1"/>
  <c r="N1857" i="1"/>
  <c r="N1858" i="1"/>
  <c r="N1859" i="1"/>
  <c r="N1862" i="1"/>
  <c r="N1562" i="1"/>
  <c r="N1541" i="1"/>
  <c r="N1729" i="1"/>
  <c r="N1873" i="1"/>
  <c r="N1605" i="1"/>
  <c r="N1388" i="1"/>
  <c r="N1424" i="1"/>
  <c r="N1795" i="1"/>
  <c r="N1472" i="1"/>
  <c r="N1824" i="1"/>
  <c r="N1851" i="1"/>
  <c r="N1561" i="1"/>
  <c r="N1540" i="1"/>
  <c r="N1826" i="1"/>
  <c r="N1665" i="1"/>
  <c r="N1661" i="1"/>
  <c r="N1368" i="1"/>
  <c r="N1660" i="1"/>
  <c r="N1850" i="1"/>
  <c r="N1659" i="1"/>
  <c r="N1689" i="1"/>
  <c r="N1711" i="1"/>
  <c r="N1849" i="1"/>
  <c r="N1624" i="1"/>
  <c r="N1710" i="1"/>
  <c r="N1623" i="1"/>
  <c r="N1828" i="1"/>
  <c r="N1622" i="1"/>
  <c r="N1656" i="1"/>
  <c r="N1436" i="1"/>
  <c r="N1657" i="1"/>
  <c r="N1648" i="1"/>
  <c r="N1460" i="1"/>
  <c r="N1526" i="1"/>
  <c r="N1366" i="1"/>
  <c r="N1658" i="1"/>
  <c r="N1688" i="1"/>
  <c r="N1412" i="1"/>
  <c r="N1567" i="1"/>
  <c r="N1367" i="1"/>
  <c r="N1453" i="1"/>
  <c r="N1827" i="1"/>
  <c r="N1411" i="1"/>
  <c r="N1421" i="1"/>
  <c r="N1375" i="1"/>
  <c r="N1351" i="1"/>
  <c r="N1352" i="1"/>
  <c r="N1353" i="1"/>
  <c r="N1355" i="1"/>
  <c r="N1877" i="1"/>
  <c r="N1647" i="1"/>
  <c r="N1428" i="1"/>
  <c r="N1450" i="1"/>
  <c r="N1516" i="1"/>
  <c r="N1429" i="1"/>
  <c r="N1517" i="1"/>
  <c r="N1825" i="1"/>
  <c r="N1553" i="1"/>
  <c r="N1773" i="1"/>
  <c r="N1751" i="1"/>
  <c r="N1750" i="1"/>
  <c r="N1448" i="1"/>
  <c r="N1625" i="1"/>
  <c r="N1585" i="1"/>
  <c r="N1422" i="1"/>
  <c r="N1777" i="1"/>
  <c r="N1389" i="1"/>
  <c r="N1645" i="1"/>
  <c r="N1772" i="1"/>
  <c r="N1387" i="1"/>
  <c r="N1409" i="1"/>
  <c r="N1475" i="1"/>
  <c r="N1719" i="1"/>
  <c r="N1361" i="1"/>
  <c r="N1783" i="1"/>
  <c r="N1360" i="1"/>
  <c r="N1437" i="1"/>
  <c r="N1817" i="1"/>
  <c r="N1794" i="1"/>
  <c r="N1538" i="1"/>
  <c r="N1604" i="1"/>
  <c r="N1495" i="1"/>
  <c r="N1539" i="1"/>
  <c r="N1496" i="1"/>
  <c r="N1651" i="1"/>
  <c r="N1497" i="1"/>
  <c r="N1563" i="1"/>
  <c r="N1652" i="1"/>
  <c r="N1364" i="1"/>
  <c r="N1720" i="1"/>
  <c r="N1844" i="1"/>
  <c r="N1356" i="1"/>
  <c r="N1415" i="1"/>
  <c r="N1459" i="1"/>
  <c r="N1503" i="1"/>
  <c r="N1525" i="1"/>
  <c r="N1504" i="1"/>
  <c r="N1639" i="1"/>
  <c r="N1724" i="1"/>
  <c r="N1834" i="1"/>
  <c r="N1863" i="1"/>
  <c r="N1778" i="1"/>
  <c r="N1549" i="1"/>
  <c r="N1838" i="1"/>
  <c r="N1399" i="1"/>
  <c r="N1650" i="1"/>
  <c r="N1430" i="1"/>
  <c r="N1518" i="1"/>
  <c r="N1584" i="1"/>
  <c r="N1481" i="1"/>
  <c r="N1640" i="1"/>
  <c r="N1618" i="1"/>
  <c r="N1796" i="1"/>
  <c r="N1630" i="1"/>
  <c r="N1816" i="1"/>
  <c r="N1494" i="1"/>
  <c r="N1649" i="1"/>
  <c r="N1431" i="1"/>
  <c r="N1519" i="1"/>
  <c r="N1607" i="1"/>
  <c r="N1726" i="1"/>
  <c r="N1848" i="1"/>
  <c r="N1900" i="1"/>
  <c r="N1365" i="1"/>
  <c r="N1410" i="1"/>
  <c r="N1653" i="1"/>
  <c r="N1709" i="1"/>
  <c r="N1687" i="1"/>
  <c r="N1847" i="1"/>
  <c r="N1654" i="1"/>
  <c r="N1708" i="1"/>
  <c r="N1686" i="1"/>
  <c r="N1846" i="1"/>
  <c r="N1390" i="1"/>
  <c r="N1621" i="1"/>
  <c r="N1655" i="1"/>
  <c r="N1807" i="1"/>
  <c r="N1785" i="1"/>
  <c r="N1763" i="1"/>
  <c r="N1741" i="1"/>
  <c r="N1845" i="1"/>
  <c r="N1362" i="1"/>
  <c r="N1391" i="1"/>
  <c r="N1413" i="1"/>
  <c r="N1435" i="1"/>
  <c r="N1457" i="1"/>
  <c r="N1479" i="1"/>
  <c r="N1501" i="1"/>
  <c r="N1589" i="1"/>
  <c r="N1620" i="1"/>
  <c r="N1721" i="1"/>
  <c r="N1806" i="1"/>
  <c r="N1784" i="1"/>
  <c r="N1762" i="1"/>
  <c r="N1740" i="1"/>
  <c r="N1392" i="1"/>
  <c r="N1414" i="1"/>
  <c r="N1458" i="1"/>
  <c r="N1480" i="1"/>
  <c r="N1502" i="1"/>
  <c r="N1590" i="1"/>
  <c r="N1611" i="1"/>
  <c r="N1619" i="1"/>
  <c r="N1805" i="1"/>
  <c r="N1761" i="1"/>
  <c r="N1739" i="1"/>
  <c r="N1842" i="1"/>
  <c r="N1482" i="1"/>
  <c r="N1617" i="1"/>
  <c r="N1703" i="1"/>
  <c r="N1358" i="1"/>
  <c r="N1483" i="1"/>
  <c r="N1505" i="1"/>
  <c r="N1527" i="1"/>
  <c r="N1725" i="1"/>
  <c r="N1835" i="1"/>
  <c r="N1357" i="1"/>
  <c r="N1615" i="1"/>
  <c r="N1677" i="1"/>
  <c r="N1701" i="1"/>
  <c r="N1865" i="1"/>
  <c r="N1529" i="1"/>
  <c r="N1614" i="1"/>
  <c r="N1676" i="1"/>
  <c r="N1700" i="1"/>
  <c r="N1866" i="1"/>
  <c r="N1890" i="1"/>
  <c r="N1552" i="1"/>
  <c r="N1867" i="1"/>
  <c r="N1377" i="1"/>
  <c r="N1868" i="1"/>
  <c r="N1667" i="1"/>
  <c r="N1666" i="1"/>
  <c r="N1818" i="1"/>
  <c r="N1774" i="1"/>
  <c r="N1752" i="1"/>
  <c r="N1730" i="1"/>
  <c r="N1889" i="1"/>
  <c r="N1878" i="1"/>
  <c r="N1888" i="1"/>
  <c r="N1891" i="1"/>
  <c r="N1880" i="1"/>
  <c r="N1879" i="1"/>
  <c r="N1899" i="1"/>
  <c r="N1869" i="1"/>
  <c r="N1887" i="1"/>
  <c r="N1872" i="1"/>
  <c r="N1886" i="1"/>
  <c r="N1871" i="1"/>
  <c r="N1885" i="1"/>
  <c r="N1870" i="1"/>
  <c r="N1884" i="1"/>
  <c r="N1883" i="1"/>
  <c r="N1875" i="1"/>
  <c r="N1882" i="1"/>
  <c r="N1874" i="1"/>
  <c r="N1881" i="1"/>
  <c r="N1898" i="1"/>
  <c r="N1897" i="1"/>
  <c r="N1896" i="1"/>
  <c r="N1895" i="1"/>
  <c r="N1894" i="1"/>
  <c r="N1893" i="1"/>
  <c r="N1892" i="1"/>
  <c r="N1864" i="1"/>
  <c r="N1451" i="1"/>
  <c r="N1583" i="1"/>
  <c r="N1606" i="1"/>
  <c r="G1474" i="1"/>
  <c r="N1474" i="1" s="1"/>
  <c r="N1759" i="1"/>
  <c r="N1546" i="1"/>
  <c r="N1568" i="1"/>
  <c r="N1569" i="1"/>
  <c r="N1394" i="1"/>
  <c r="N1416" i="1"/>
  <c r="N1570" i="1"/>
  <c r="N1822" i="1"/>
  <c r="N1461" i="1"/>
  <c r="N1571" i="1"/>
  <c r="G1463" i="1"/>
  <c r="N1463" i="1" s="1"/>
  <c r="N1793" i="1"/>
  <c r="N1782" i="1"/>
  <c r="N1771" i="1"/>
  <c r="N1449" i="1"/>
  <c r="N1560" i="1"/>
  <c r="N1473" i="1"/>
  <c r="N1523" i="1"/>
  <c r="N1545" i="1"/>
  <c r="N1382" i="1"/>
  <c r="N1603" i="1"/>
  <c r="N1524" i="1"/>
  <c r="N1722" i="1"/>
  <c r="N1393" i="1"/>
  <c r="N1547" i="1"/>
  <c r="N1591" i="1"/>
  <c r="N1612" i="1"/>
  <c r="N1438" i="1"/>
  <c r="N1548" i="1"/>
  <c r="N1592" i="1"/>
  <c r="N1439" i="1"/>
  <c r="N1593" i="1"/>
  <c r="N1801" i="1"/>
  <c r="N1779" i="1"/>
  <c r="N1757" i="1"/>
  <c r="N1735" i="1"/>
  <c r="N1800" i="1"/>
  <c r="N1756" i="1"/>
  <c r="N1734" i="1"/>
  <c r="N1837" i="1"/>
  <c r="N1530" i="1"/>
  <c r="N1613" i="1"/>
  <c r="N1675" i="1"/>
  <c r="N1821" i="1"/>
  <c r="N1799" i="1"/>
  <c r="N1755" i="1"/>
  <c r="N1733" i="1"/>
  <c r="N1642" i="1"/>
  <c r="N1674" i="1"/>
  <c r="N1820" i="1"/>
  <c r="N1798" i="1"/>
  <c r="N1776" i="1"/>
  <c r="N1754" i="1"/>
  <c r="N1732" i="1"/>
  <c r="G1376" i="1"/>
  <c r="N1376" i="1" s="1"/>
  <c r="G1515" i="1"/>
  <c r="N1515" i="1"/>
  <c r="N1359" i="1"/>
  <c r="G1441" i="1"/>
  <c r="N1441" i="1" s="1"/>
  <c r="G1452" i="1"/>
  <c r="N1452" i="1" s="1"/>
  <c r="N1670" i="1"/>
  <c r="N1378" i="1"/>
  <c r="N1400" i="1"/>
  <c r="N1641" i="1"/>
  <c r="N1819" i="1"/>
  <c r="N1797" i="1"/>
  <c r="N1775" i="1"/>
  <c r="N1753" i="1"/>
  <c r="N1731" i="1"/>
  <c r="N1669" i="1"/>
  <c r="N1379" i="1"/>
  <c r="N1401" i="1"/>
  <c r="N1841" i="1"/>
  <c r="N1668" i="1"/>
  <c r="N1446" i="1"/>
  <c r="N1468" i="1"/>
  <c r="N1490" i="1"/>
  <c r="N1512" i="1"/>
  <c r="N1534" i="1"/>
  <c r="N1556" i="1"/>
  <c r="N1578" i="1"/>
  <c r="N1600" i="1"/>
  <c r="N1646" i="1"/>
  <c r="N1420" i="1"/>
  <c r="N1664" i="1"/>
  <c r="N1705" i="1"/>
  <c r="N1386" i="1"/>
  <c r="N1704" i="1"/>
  <c r="N1635" i="1"/>
  <c r="N1508" i="1"/>
  <c r="N1629" i="1"/>
  <c r="N1644" i="1"/>
  <c r="N1663" i="1"/>
  <c r="N1727" i="1"/>
  <c r="N1574" i="1"/>
  <c r="N1486" i="1"/>
  <c r="N1442" i="1"/>
  <c r="N1370" i="1"/>
  <c r="N1427" i="1"/>
  <c r="N1471" i="1"/>
  <c r="N1493" i="1"/>
  <c r="N1537" i="1"/>
  <c r="N1559" i="1"/>
  <c r="N1581" i="1"/>
  <c r="N1628" i="1"/>
  <c r="N1643" i="1"/>
  <c r="N1662" i="1"/>
  <c r="N1823" i="1"/>
  <c r="N1843" i="1"/>
  <c r="N1855" i="1"/>
  <c r="N1854" i="1"/>
  <c r="N1853" i="1"/>
  <c r="N1852" i="1"/>
  <c r="N1832" i="1"/>
  <c r="N1829" i="1"/>
  <c r="N1830" i="1"/>
  <c r="N1831" i="1"/>
  <c r="N1833" i="1"/>
  <c r="N1836" i="1"/>
  <c r="N1839" i="1"/>
  <c r="N1840" i="1"/>
  <c r="N1767" i="1"/>
  <c r="N1810" i="1"/>
  <c r="N1809" i="1"/>
  <c r="N1787" i="1"/>
  <c r="N1765" i="1"/>
  <c r="N1743" i="1"/>
  <c r="N1804" i="1"/>
  <c r="N1760" i="1"/>
  <c r="N1738" i="1"/>
  <c r="N1803" i="1"/>
  <c r="N1781" i="1"/>
  <c r="N1737" i="1"/>
  <c r="N1802" i="1"/>
  <c r="N1780" i="1"/>
  <c r="N1758" i="1"/>
  <c r="N1736" i="1"/>
  <c r="N1815" i="1"/>
  <c r="N1749" i="1"/>
  <c r="N1814" i="1"/>
  <c r="N1792" i="1"/>
  <c r="N1770" i="1"/>
  <c r="N1748" i="1"/>
  <c r="N1813" i="1"/>
  <c r="N1791" i="1"/>
  <c r="N1769" i="1"/>
  <c r="N1747" i="1"/>
  <c r="N1812" i="1"/>
  <c r="N1790" i="1"/>
  <c r="N1768" i="1"/>
  <c r="N1746" i="1"/>
  <c r="N1811" i="1"/>
  <c r="N1789" i="1"/>
  <c r="N1745" i="1"/>
  <c r="N1788" i="1"/>
  <c r="N1766" i="1"/>
  <c r="N1744" i="1"/>
  <c r="N1808" i="1"/>
  <c r="N1786" i="1"/>
  <c r="N1764" i="1"/>
  <c r="N1742" i="1"/>
  <c r="N1723" i="1"/>
  <c r="N1715" i="1"/>
  <c r="N1693" i="1"/>
  <c r="N1707" i="1"/>
  <c r="N1706" i="1"/>
  <c r="N1702" i="1"/>
  <c r="N1699" i="1"/>
  <c r="N1698" i="1"/>
  <c r="N1697" i="1"/>
  <c r="N1718" i="1"/>
  <c r="N1696" i="1"/>
  <c r="N1717" i="1"/>
  <c r="N1695" i="1"/>
  <c r="N1716" i="1"/>
  <c r="N1694" i="1"/>
  <c r="N1714" i="1"/>
  <c r="N1692" i="1"/>
  <c r="N1713" i="1"/>
  <c r="N1691" i="1"/>
  <c r="N1712" i="1"/>
  <c r="N1690" i="1"/>
  <c r="N1683" i="1"/>
  <c r="N1679" i="1"/>
  <c r="N1685" i="1"/>
  <c r="N1684" i="1"/>
  <c r="N1682" i="1"/>
  <c r="N1681" i="1"/>
  <c r="N1680" i="1"/>
  <c r="N1678" i="1"/>
  <c r="N1673" i="1"/>
  <c r="N1672" i="1"/>
  <c r="N1671" i="1"/>
  <c r="N1627" i="1"/>
  <c r="N1626" i="1"/>
  <c r="N1638" i="1"/>
  <c r="N1637" i="1"/>
  <c r="N1636" i="1"/>
  <c r="N1634" i="1"/>
  <c r="N1633" i="1"/>
  <c r="N1632" i="1"/>
  <c r="N1631" i="1"/>
  <c r="N1616" i="1"/>
  <c r="N1554" i="1"/>
  <c r="N1488" i="1"/>
  <c r="N1597" i="1"/>
  <c r="N1432" i="1"/>
  <c r="N1454" i="1"/>
  <c r="N1476" i="1"/>
  <c r="N1498" i="1"/>
  <c r="N1520" i="1"/>
  <c r="N1542" i="1"/>
  <c r="N1564" i="1"/>
  <c r="N1586" i="1"/>
  <c r="N1608" i="1"/>
  <c r="N1433" i="1"/>
  <c r="N1455" i="1"/>
  <c r="N1477" i="1"/>
  <c r="N1499" i="1"/>
  <c r="N1521" i="1"/>
  <c r="N1543" i="1"/>
  <c r="N1565" i="1"/>
  <c r="N1587" i="1"/>
  <c r="N1609" i="1"/>
  <c r="N1434" i="1"/>
  <c r="N1456" i="1"/>
  <c r="N1478" i="1"/>
  <c r="N1500" i="1"/>
  <c r="N1522" i="1"/>
  <c r="N1544" i="1"/>
  <c r="N1566" i="1"/>
  <c r="N1588" i="1"/>
  <c r="N1610" i="1"/>
  <c r="N1440" i="1"/>
  <c r="N1462" i="1"/>
  <c r="N1484" i="1"/>
  <c r="N1506" i="1"/>
  <c r="N1528" i="1"/>
  <c r="N1550" i="1"/>
  <c r="N1572" i="1"/>
  <c r="N1594" i="1"/>
  <c r="N1485" i="1"/>
  <c r="N1507" i="1"/>
  <c r="N1573" i="1"/>
  <c r="N1595" i="1"/>
  <c r="N1464" i="1"/>
  <c r="N1596" i="1"/>
  <c r="N1443" i="1"/>
  <c r="N1465" i="1"/>
  <c r="N1487" i="1"/>
  <c r="N1509" i="1"/>
  <c r="N1531" i="1"/>
  <c r="N1575" i="1"/>
  <c r="N1444" i="1"/>
  <c r="N1466" i="1"/>
  <c r="N1510" i="1"/>
  <c r="N1532" i="1"/>
  <c r="N1576" i="1"/>
  <c r="N1598" i="1"/>
  <c r="N1445" i="1"/>
  <c r="N1467" i="1"/>
  <c r="N1489" i="1"/>
  <c r="N1511" i="1"/>
  <c r="N1533" i="1"/>
  <c r="N1555" i="1"/>
  <c r="N1577" i="1"/>
  <c r="N1599" i="1"/>
  <c r="N1425" i="1"/>
  <c r="N1447" i="1"/>
  <c r="N1469" i="1"/>
  <c r="N1491" i="1"/>
  <c r="N1513" i="1"/>
  <c r="N1535" i="1"/>
  <c r="N1557" i="1"/>
  <c r="N1579" i="1"/>
  <c r="N1601" i="1"/>
  <c r="N1426" i="1"/>
  <c r="N1470" i="1"/>
  <c r="N1492" i="1"/>
  <c r="N1514" i="1"/>
  <c r="N1536" i="1"/>
  <c r="N1558" i="1"/>
  <c r="N1580" i="1"/>
  <c r="N1602" i="1"/>
  <c r="N1423" i="1"/>
  <c r="N1395" i="1"/>
  <c r="N1417" i="1"/>
  <c r="N1396" i="1"/>
  <c r="N1418" i="1"/>
  <c r="N1397" i="1"/>
  <c r="N1419" i="1"/>
  <c r="N1398" i="1"/>
  <c r="N1380" i="1"/>
  <c r="N1402" i="1"/>
  <c r="N1381" i="1"/>
  <c r="N1403" i="1"/>
  <c r="N1404" i="1"/>
  <c r="N1383" i="1"/>
  <c r="N1405" i="1"/>
  <c r="N1384" i="1"/>
  <c r="N1406" i="1"/>
  <c r="N1385" i="1"/>
  <c r="N1407" i="1"/>
  <c r="N1408" i="1"/>
  <c r="N1363" i="1"/>
  <c r="N2" i="1"/>
  <c r="G418" i="1"/>
  <c r="G698" i="1"/>
  <c r="G1116" i="1"/>
  <c r="G1030" i="1"/>
  <c r="G724" i="1"/>
  <c r="G960" i="1"/>
  <c r="G723" i="1"/>
  <c r="G959" i="1"/>
  <c r="G594" i="1"/>
  <c r="G823" i="1"/>
  <c r="G865" i="1"/>
  <c r="G850" i="1"/>
  <c r="G752" i="1"/>
  <c r="G722" i="1"/>
  <c r="G1028" i="1"/>
  <c r="G1039" i="1"/>
  <c r="G438" i="1"/>
  <c r="G495" i="1"/>
  <c r="G1160" i="1"/>
  <c r="G658" i="1"/>
  <c r="G659" i="1"/>
  <c r="G614" i="1"/>
  <c r="G730" i="1"/>
  <c r="G699" i="1"/>
  <c r="G999" i="1"/>
  <c r="G942" i="1"/>
  <c r="G521" i="1"/>
  <c r="G416" i="1"/>
  <c r="G1061" i="1"/>
  <c r="G636" i="1"/>
  <c r="G429" i="1"/>
  <c r="G648" i="1"/>
  <c r="G1235" i="1"/>
  <c r="G898" i="1"/>
  <c r="G883" i="1"/>
  <c r="G773" i="1"/>
  <c r="G472" i="1"/>
  <c r="G1140" i="1"/>
  <c r="G544" i="1"/>
  <c r="G896" i="1"/>
  <c r="G701" i="1"/>
  <c r="G1085" i="1"/>
  <c r="G554" i="1"/>
  <c r="F1271" i="1"/>
  <c r="G576" i="1"/>
  <c r="G1063" i="1"/>
  <c r="G827" i="1"/>
  <c r="G1162" i="1"/>
  <c r="G983" i="1"/>
  <c r="G786" i="1"/>
  <c r="G499" i="1"/>
  <c r="G415" i="1"/>
  <c r="G993" i="1"/>
  <c r="G953" i="1"/>
  <c r="G821" i="1"/>
  <c r="G788" i="1"/>
  <c r="G626" i="1"/>
  <c r="G1083" i="1"/>
  <c r="G1107" i="1"/>
  <c r="G1069" i="1"/>
  <c r="G920" i="1"/>
  <c r="G702" i="1"/>
  <c r="G819" i="1"/>
  <c r="G951" i="1"/>
  <c r="K1350" i="1"/>
  <c r="M1350" i="1" s="1"/>
  <c r="N1350" i="1" s="1"/>
  <c r="K1349" i="1"/>
  <c r="M1349" i="1" s="1"/>
  <c r="N1349" i="1" s="1"/>
  <c r="K1348" i="1"/>
  <c r="M1348" i="1" s="1"/>
  <c r="N1348" i="1" s="1"/>
  <c r="K1347" i="1"/>
  <c r="M1347" i="1" s="1"/>
  <c r="N1347" i="1" s="1"/>
  <c r="K1346" i="1"/>
  <c r="M1346" i="1" s="1"/>
  <c r="N1346" i="1" s="1"/>
  <c r="K1345" i="1"/>
  <c r="M1345" i="1" s="1"/>
  <c r="N1345" i="1" s="1"/>
  <c r="K1344" i="1"/>
  <c r="M1344" i="1" s="1"/>
  <c r="N1344" i="1" s="1"/>
  <c r="K1343" i="1"/>
  <c r="M1343" i="1" s="1"/>
  <c r="N1343" i="1" s="1"/>
  <c r="K1342" i="1"/>
  <c r="M1342" i="1" s="1"/>
  <c r="N1342" i="1" s="1"/>
  <c r="K1341" i="1"/>
  <c r="M1341" i="1" s="1"/>
  <c r="N1341" i="1" s="1"/>
  <c r="K1340" i="1"/>
  <c r="M1340" i="1" s="1"/>
  <c r="N1340" i="1" s="1"/>
  <c r="K1339" i="1"/>
  <c r="M1339" i="1" s="1"/>
  <c r="N1339" i="1" s="1"/>
  <c r="K1338" i="1"/>
  <c r="M1338" i="1" s="1"/>
  <c r="N1338" i="1" s="1"/>
  <c r="K1337" i="1"/>
  <c r="M1337" i="1" s="1"/>
  <c r="N1337" i="1" s="1"/>
  <c r="K1336" i="1"/>
  <c r="M1336" i="1" s="1"/>
  <c r="N1336" i="1" s="1"/>
  <c r="K1335" i="1"/>
  <c r="M1335" i="1" s="1"/>
  <c r="N1335" i="1" s="1"/>
  <c r="K1334" i="1"/>
  <c r="M1334" i="1" s="1"/>
  <c r="N1334" i="1" s="1"/>
  <c r="K1333" i="1"/>
  <c r="M1333" i="1" s="1"/>
  <c r="N1333" i="1" s="1"/>
  <c r="K1332" i="1"/>
  <c r="M1332" i="1" s="1"/>
  <c r="N1332" i="1" s="1"/>
  <c r="K1331" i="1"/>
  <c r="M1331" i="1" s="1"/>
  <c r="N1331" i="1" s="1"/>
  <c r="K1330" i="1"/>
  <c r="M1330" i="1" s="1"/>
  <c r="N1330" i="1" s="1"/>
  <c r="K1329" i="1"/>
  <c r="M1329" i="1" s="1"/>
  <c r="N1329" i="1" s="1"/>
  <c r="K1328" i="1"/>
  <c r="M1328" i="1" s="1"/>
  <c r="N1328" i="1" s="1"/>
  <c r="K1327" i="1"/>
  <c r="M1327" i="1" s="1"/>
  <c r="N1327" i="1" s="1"/>
  <c r="K1326" i="1"/>
  <c r="M1326" i="1" s="1"/>
  <c r="N1326" i="1" s="1"/>
  <c r="M1304" i="1"/>
  <c r="N1304" i="1" s="1"/>
  <c r="M1305" i="1"/>
  <c r="N1305" i="1" s="1"/>
  <c r="M1306" i="1"/>
  <c r="N1306" i="1" s="1"/>
  <c r="M1307" i="1"/>
  <c r="N1307" i="1" s="1"/>
  <c r="M1308" i="1"/>
  <c r="N1308" i="1" s="1"/>
  <c r="M1309" i="1"/>
  <c r="N1309" i="1" s="1"/>
  <c r="M1310" i="1"/>
  <c r="N1310" i="1" s="1"/>
  <c r="M1311" i="1"/>
  <c r="N1311" i="1" s="1"/>
  <c r="M1312" i="1"/>
  <c r="N1312" i="1" s="1"/>
  <c r="M1313" i="1"/>
  <c r="N1313" i="1" s="1"/>
  <c r="M1314" i="1"/>
  <c r="N1314" i="1" s="1"/>
  <c r="M1315" i="1"/>
  <c r="N1315" i="1" s="1"/>
  <c r="M1316" i="1"/>
  <c r="N1316" i="1" s="1"/>
  <c r="M1317" i="1"/>
  <c r="N1317" i="1" s="1"/>
  <c r="M1318" i="1"/>
  <c r="N1318" i="1" s="1"/>
  <c r="M1319" i="1"/>
  <c r="N1319" i="1" s="1"/>
  <c r="M1320" i="1"/>
  <c r="N1320" i="1" s="1"/>
  <c r="M1321" i="1"/>
  <c r="N1321" i="1" s="1"/>
  <c r="M1322" i="1"/>
  <c r="N1322" i="1" s="1"/>
  <c r="M1323" i="1"/>
  <c r="N1323" i="1" s="1"/>
  <c r="M1324" i="1"/>
  <c r="N1324" i="1" s="1"/>
  <c r="M1325" i="1"/>
  <c r="N1325" i="1" s="1"/>
  <c r="M1298" i="1" l="1"/>
  <c r="N1298" i="1" s="1"/>
  <c r="M1299" i="1"/>
  <c r="N1299" i="1" s="1"/>
  <c r="M1300" i="1"/>
  <c r="N1300" i="1" s="1"/>
  <c r="M1301" i="1"/>
  <c r="N1301" i="1" s="1"/>
  <c r="M1302" i="1"/>
  <c r="N1302" i="1" s="1"/>
  <c r="M1303" i="1"/>
  <c r="N1303" i="1" s="1"/>
  <c r="M1293" i="1"/>
  <c r="N1293" i="1" s="1"/>
  <c r="M1294" i="1"/>
  <c r="N1294" i="1" s="1"/>
  <c r="M1295" i="1"/>
  <c r="N1295" i="1" s="1"/>
  <c r="M1296" i="1"/>
  <c r="N1296" i="1" s="1"/>
  <c r="M1297" i="1"/>
  <c r="N1297" i="1" s="1"/>
  <c r="M1278" i="1"/>
  <c r="N1278" i="1" s="1"/>
  <c r="M1279" i="1"/>
  <c r="N1279" i="1" s="1"/>
  <c r="M1280" i="1"/>
  <c r="N1280" i="1" s="1"/>
  <c r="M1281" i="1"/>
  <c r="N1281" i="1" s="1"/>
  <c r="M1282" i="1"/>
  <c r="N1282" i="1" s="1"/>
  <c r="M1283" i="1"/>
  <c r="N1283" i="1" s="1"/>
  <c r="M1284" i="1"/>
  <c r="N1284" i="1" s="1"/>
  <c r="M1285" i="1"/>
  <c r="N1285" i="1" s="1"/>
  <c r="M1286" i="1"/>
  <c r="N1286" i="1" s="1"/>
  <c r="M1287" i="1"/>
  <c r="N1287" i="1" s="1"/>
  <c r="M1288" i="1"/>
  <c r="N1288" i="1" s="1"/>
  <c r="M1289" i="1"/>
  <c r="N1289" i="1" s="1"/>
  <c r="M1290" i="1"/>
  <c r="N1290" i="1" s="1"/>
  <c r="M1291" i="1"/>
  <c r="N1291" i="1" s="1"/>
  <c r="M1292" i="1"/>
  <c r="N1292" i="1" s="1"/>
  <c r="M1277" i="1"/>
  <c r="N1277" i="1" s="1"/>
  <c r="M1272" i="1"/>
  <c r="N1272" i="1" s="1"/>
  <c r="M1273" i="1"/>
  <c r="N1273" i="1" s="1"/>
  <c r="M1274" i="1"/>
  <c r="N1274" i="1" s="1"/>
  <c r="M1275" i="1"/>
  <c r="N1275" i="1" s="1"/>
  <c r="M1276" i="1"/>
  <c r="N1276" i="1" s="1"/>
  <c r="M1270" i="1"/>
  <c r="N1270" i="1" s="1"/>
  <c r="M1271" i="1"/>
  <c r="N1271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N422" i="1" s="1"/>
  <c r="M423" i="1"/>
  <c r="N423" i="1" s="1"/>
  <c r="M424" i="1"/>
  <c r="N424" i="1" s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3" i="1"/>
  <c r="N493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502" i="1"/>
  <c r="N502" i="1" s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4" i="1"/>
  <c r="N524" i="1" s="1"/>
  <c r="M525" i="1"/>
  <c r="N525" i="1" s="1"/>
  <c r="M526" i="1"/>
  <c r="N526" i="1" s="1"/>
  <c r="M527" i="1"/>
  <c r="N527" i="1" s="1"/>
  <c r="M528" i="1"/>
  <c r="N528" i="1" s="1"/>
  <c r="M529" i="1"/>
  <c r="N529" i="1" s="1"/>
  <c r="M530" i="1"/>
  <c r="N530" i="1" s="1"/>
  <c r="M531" i="1"/>
  <c r="N531" i="1" s="1"/>
  <c r="M532" i="1"/>
  <c r="N532" i="1" s="1"/>
  <c r="M533" i="1"/>
  <c r="N533" i="1" s="1"/>
  <c r="M534" i="1"/>
  <c r="N534" i="1" s="1"/>
  <c r="M535" i="1"/>
  <c r="N535" i="1" s="1"/>
  <c r="M536" i="1"/>
  <c r="N536" i="1" s="1"/>
  <c r="M537" i="1"/>
  <c r="N537" i="1" s="1"/>
  <c r="M538" i="1"/>
  <c r="N538" i="1" s="1"/>
  <c r="M539" i="1"/>
  <c r="N539" i="1" s="1"/>
  <c r="M540" i="1"/>
  <c r="N540" i="1" s="1"/>
  <c r="M541" i="1"/>
  <c r="N541" i="1" s="1"/>
  <c r="M542" i="1"/>
  <c r="N542" i="1" s="1"/>
  <c r="M543" i="1"/>
  <c r="N543" i="1" s="1"/>
  <c r="M544" i="1"/>
  <c r="N544" i="1" s="1"/>
  <c r="M545" i="1"/>
  <c r="N545" i="1" s="1"/>
  <c r="M546" i="1"/>
  <c r="N546" i="1" s="1"/>
  <c r="M547" i="1"/>
  <c r="N547" i="1" s="1"/>
  <c r="M548" i="1"/>
  <c r="N548" i="1" s="1"/>
  <c r="M549" i="1"/>
  <c r="N549" i="1" s="1"/>
  <c r="M550" i="1"/>
  <c r="N550" i="1" s="1"/>
  <c r="M551" i="1"/>
  <c r="N551" i="1" s="1"/>
  <c r="M552" i="1"/>
  <c r="N552" i="1" s="1"/>
  <c r="M553" i="1"/>
  <c r="N553" i="1" s="1"/>
  <c r="M554" i="1"/>
  <c r="N554" i="1" s="1"/>
  <c r="M555" i="1"/>
  <c r="N555" i="1" s="1"/>
  <c r="M556" i="1"/>
  <c r="N556" i="1" s="1"/>
  <c r="M557" i="1"/>
  <c r="N557" i="1" s="1"/>
  <c r="M558" i="1"/>
  <c r="N558" i="1" s="1"/>
  <c r="M559" i="1"/>
  <c r="N559" i="1" s="1"/>
  <c r="M560" i="1"/>
  <c r="N560" i="1" s="1"/>
  <c r="M561" i="1"/>
  <c r="N561" i="1" s="1"/>
  <c r="M562" i="1"/>
  <c r="N562" i="1" s="1"/>
  <c r="M563" i="1"/>
  <c r="N563" i="1" s="1"/>
  <c r="M564" i="1"/>
  <c r="N564" i="1" s="1"/>
  <c r="M565" i="1"/>
  <c r="N565" i="1" s="1"/>
  <c r="M566" i="1"/>
  <c r="N566" i="1" s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 s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1" i="1"/>
  <c r="N581" i="1" s="1"/>
  <c r="M582" i="1"/>
  <c r="N582" i="1" s="1"/>
  <c r="M583" i="1"/>
  <c r="N583" i="1" s="1"/>
  <c r="M584" i="1"/>
  <c r="N584" i="1" s="1"/>
  <c r="M585" i="1"/>
  <c r="N585" i="1" s="1"/>
  <c r="M586" i="1"/>
  <c r="N586" i="1" s="1"/>
  <c r="M587" i="1"/>
  <c r="N587" i="1" s="1"/>
  <c r="M588" i="1"/>
  <c r="N588" i="1" s="1"/>
  <c r="M589" i="1"/>
  <c r="N589" i="1" s="1"/>
  <c r="M590" i="1"/>
  <c r="N590" i="1" s="1"/>
  <c r="M591" i="1"/>
  <c r="N591" i="1" s="1"/>
  <c r="M592" i="1"/>
  <c r="N592" i="1" s="1"/>
  <c r="M593" i="1"/>
  <c r="N593" i="1" s="1"/>
  <c r="M594" i="1"/>
  <c r="N594" i="1" s="1"/>
  <c r="M595" i="1"/>
  <c r="N595" i="1" s="1"/>
  <c r="M596" i="1"/>
  <c r="N596" i="1" s="1"/>
  <c r="M597" i="1"/>
  <c r="N597" i="1" s="1"/>
  <c r="M598" i="1"/>
  <c r="N598" i="1" s="1"/>
  <c r="M599" i="1"/>
  <c r="N599" i="1" s="1"/>
  <c r="M600" i="1"/>
  <c r="N600" i="1" s="1"/>
  <c r="M601" i="1"/>
  <c r="N601" i="1" s="1"/>
  <c r="M602" i="1"/>
  <c r="N602" i="1" s="1"/>
  <c r="M603" i="1"/>
  <c r="N603" i="1" s="1"/>
  <c r="M604" i="1"/>
  <c r="N604" i="1" s="1"/>
  <c r="M605" i="1"/>
  <c r="N605" i="1" s="1"/>
  <c r="M606" i="1"/>
  <c r="N606" i="1" s="1"/>
  <c r="M607" i="1"/>
  <c r="N607" i="1" s="1"/>
  <c r="M608" i="1"/>
  <c r="N608" i="1" s="1"/>
  <c r="M609" i="1"/>
  <c r="N609" i="1" s="1"/>
  <c r="M610" i="1"/>
  <c r="N610" i="1" s="1"/>
  <c r="M611" i="1"/>
  <c r="N611" i="1" s="1"/>
  <c r="M612" i="1"/>
  <c r="N612" i="1" s="1"/>
  <c r="M613" i="1"/>
  <c r="N613" i="1" s="1"/>
  <c r="M614" i="1"/>
  <c r="N614" i="1" s="1"/>
  <c r="M615" i="1"/>
  <c r="N615" i="1" s="1"/>
  <c r="M616" i="1"/>
  <c r="N616" i="1" s="1"/>
  <c r="M617" i="1"/>
  <c r="N617" i="1" s="1"/>
  <c r="M618" i="1"/>
  <c r="N618" i="1" s="1"/>
  <c r="M619" i="1"/>
  <c r="N619" i="1" s="1"/>
  <c r="M620" i="1"/>
  <c r="N620" i="1" s="1"/>
  <c r="M621" i="1"/>
  <c r="N621" i="1" s="1"/>
  <c r="M622" i="1"/>
  <c r="N622" i="1" s="1"/>
  <c r="M623" i="1"/>
  <c r="N623" i="1" s="1"/>
  <c r="M624" i="1"/>
  <c r="N624" i="1" s="1"/>
  <c r="M625" i="1"/>
  <c r="N625" i="1" s="1"/>
  <c r="M626" i="1"/>
  <c r="N626" i="1" s="1"/>
  <c r="M627" i="1"/>
  <c r="N627" i="1" s="1"/>
  <c r="M628" i="1"/>
  <c r="N628" i="1" s="1"/>
  <c r="M629" i="1"/>
  <c r="N629" i="1" s="1"/>
  <c r="M630" i="1"/>
  <c r="N630" i="1" s="1"/>
  <c r="M631" i="1"/>
  <c r="N631" i="1" s="1"/>
  <c r="M632" i="1"/>
  <c r="N632" i="1" s="1"/>
  <c r="M633" i="1"/>
  <c r="N633" i="1" s="1"/>
  <c r="M634" i="1"/>
  <c r="N634" i="1" s="1"/>
  <c r="M635" i="1"/>
  <c r="N635" i="1" s="1"/>
  <c r="M636" i="1"/>
  <c r="N636" i="1" s="1"/>
  <c r="M637" i="1"/>
  <c r="N637" i="1" s="1"/>
  <c r="M638" i="1"/>
  <c r="N638" i="1" s="1"/>
  <c r="M639" i="1"/>
  <c r="N639" i="1" s="1"/>
  <c r="M640" i="1"/>
  <c r="N640" i="1" s="1"/>
  <c r="M641" i="1"/>
  <c r="N641" i="1" s="1"/>
  <c r="M642" i="1"/>
  <c r="N642" i="1" s="1"/>
  <c r="M643" i="1"/>
  <c r="N643" i="1" s="1"/>
  <c r="M644" i="1"/>
  <c r="N644" i="1" s="1"/>
  <c r="M645" i="1"/>
  <c r="N645" i="1" s="1"/>
  <c r="M646" i="1"/>
  <c r="N646" i="1" s="1"/>
  <c r="M647" i="1"/>
  <c r="N647" i="1" s="1"/>
  <c r="M648" i="1"/>
  <c r="N648" i="1" s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57" i="1"/>
  <c r="N657" i="1" s="1"/>
  <c r="M658" i="1"/>
  <c r="N658" i="1" s="1"/>
  <c r="M659" i="1"/>
  <c r="N659" i="1" s="1"/>
  <c r="M660" i="1"/>
  <c r="N660" i="1" s="1"/>
  <c r="M661" i="1"/>
  <c r="N661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N677" i="1" s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N683" i="1" s="1"/>
  <c r="M684" i="1"/>
  <c r="N684" i="1" s="1"/>
  <c r="M685" i="1"/>
  <c r="N685" i="1" s="1"/>
  <c r="M686" i="1"/>
  <c r="N686" i="1" s="1"/>
  <c r="M687" i="1"/>
  <c r="N687" i="1" s="1"/>
  <c r="M688" i="1"/>
  <c r="N688" i="1" s="1"/>
  <c r="M689" i="1"/>
  <c r="N689" i="1" s="1"/>
  <c r="M690" i="1"/>
  <c r="N690" i="1" s="1"/>
  <c r="M691" i="1"/>
  <c r="N691" i="1" s="1"/>
  <c r="M692" i="1"/>
  <c r="N692" i="1" s="1"/>
  <c r="M693" i="1"/>
  <c r="N693" i="1" s="1"/>
  <c r="M694" i="1"/>
  <c r="N694" i="1" s="1"/>
  <c r="M695" i="1"/>
  <c r="N695" i="1" s="1"/>
  <c r="M696" i="1"/>
  <c r="N696" i="1" s="1"/>
  <c r="M697" i="1"/>
  <c r="N697" i="1" s="1"/>
  <c r="M698" i="1"/>
  <c r="N698" i="1" s="1"/>
  <c r="M699" i="1"/>
  <c r="N699" i="1" s="1"/>
  <c r="M700" i="1"/>
  <c r="N700" i="1" s="1"/>
  <c r="M701" i="1"/>
  <c r="N701" i="1" s="1"/>
  <c r="M702" i="1"/>
  <c r="N702" i="1" s="1"/>
  <c r="M703" i="1"/>
  <c r="N703" i="1" s="1"/>
  <c r="M704" i="1"/>
  <c r="N704" i="1" s="1"/>
  <c r="M705" i="1"/>
  <c r="N705" i="1" s="1"/>
  <c r="M706" i="1"/>
  <c r="N706" i="1" s="1"/>
  <c r="M707" i="1"/>
  <c r="N707" i="1" s="1"/>
  <c r="M708" i="1"/>
  <c r="N708" i="1" s="1"/>
  <c r="M709" i="1"/>
  <c r="N709" i="1" s="1"/>
  <c r="M710" i="1"/>
  <c r="N710" i="1" s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17" i="1"/>
  <c r="N717" i="1" s="1"/>
  <c r="M718" i="1"/>
  <c r="N718" i="1" s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N726" i="1" s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41" i="1"/>
  <c r="N741" i="1" s="1"/>
  <c r="M742" i="1"/>
  <c r="N742" i="1" s="1"/>
  <c r="M743" i="1"/>
  <c r="N743" i="1" s="1"/>
  <c r="M744" i="1"/>
  <c r="N744" i="1" s="1"/>
  <c r="M745" i="1"/>
  <c r="N745" i="1" s="1"/>
  <c r="M746" i="1"/>
  <c r="N746" i="1" s="1"/>
  <c r="M747" i="1"/>
  <c r="N747" i="1" s="1"/>
  <c r="M748" i="1"/>
  <c r="N748" i="1" s="1"/>
  <c r="M749" i="1"/>
  <c r="N749" i="1" s="1"/>
  <c r="M750" i="1"/>
  <c r="N750" i="1" s="1"/>
  <c r="M751" i="1"/>
  <c r="N751" i="1" s="1"/>
  <c r="M752" i="1"/>
  <c r="N752" i="1" s="1"/>
  <c r="M753" i="1"/>
  <c r="N753" i="1" s="1"/>
  <c r="M754" i="1"/>
  <c r="N754" i="1" s="1"/>
  <c r="M755" i="1"/>
  <c r="N755" i="1" s="1"/>
  <c r="M756" i="1"/>
  <c r="N756" i="1" s="1"/>
  <c r="M757" i="1"/>
  <c r="N757" i="1" s="1"/>
  <c r="M758" i="1"/>
  <c r="N758" i="1" s="1"/>
  <c r="M759" i="1"/>
  <c r="N759" i="1" s="1"/>
  <c r="M760" i="1"/>
  <c r="N760" i="1" s="1"/>
  <c r="M761" i="1"/>
  <c r="N761" i="1" s="1"/>
  <c r="M762" i="1"/>
  <c r="N762" i="1" s="1"/>
  <c r="M763" i="1"/>
  <c r="N763" i="1" s="1"/>
  <c r="M764" i="1"/>
  <c r="N764" i="1" s="1"/>
  <c r="M765" i="1"/>
  <c r="N765" i="1" s="1"/>
  <c r="M766" i="1"/>
  <c r="N766" i="1" s="1"/>
  <c r="M767" i="1"/>
  <c r="N767" i="1" s="1"/>
  <c r="M768" i="1"/>
  <c r="N768" i="1" s="1"/>
  <c r="M769" i="1"/>
  <c r="N769" i="1" s="1"/>
  <c r="M770" i="1"/>
  <c r="N770" i="1" s="1"/>
  <c r="M771" i="1"/>
  <c r="N771" i="1" s="1"/>
  <c r="M772" i="1"/>
  <c r="N772" i="1" s="1"/>
  <c r="M773" i="1"/>
  <c r="N773" i="1" s="1"/>
  <c r="M774" i="1"/>
  <c r="N774" i="1" s="1"/>
  <c r="M775" i="1"/>
  <c r="N775" i="1" s="1"/>
  <c r="M776" i="1"/>
  <c r="N776" i="1" s="1"/>
  <c r="M777" i="1"/>
  <c r="N777" i="1" s="1"/>
  <c r="M778" i="1"/>
  <c r="N778" i="1" s="1"/>
  <c r="M779" i="1"/>
  <c r="N779" i="1" s="1"/>
  <c r="M780" i="1"/>
  <c r="N780" i="1" s="1"/>
  <c r="M781" i="1"/>
  <c r="N781" i="1" s="1"/>
  <c r="M782" i="1"/>
  <c r="N782" i="1" s="1"/>
  <c r="M783" i="1"/>
  <c r="N783" i="1" s="1"/>
  <c r="M784" i="1"/>
  <c r="N784" i="1" s="1"/>
  <c r="M785" i="1"/>
  <c r="N785" i="1" s="1"/>
  <c r="M786" i="1"/>
  <c r="N786" i="1" s="1"/>
  <c r="M787" i="1"/>
  <c r="N787" i="1" s="1"/>
  <c r="M788" i="1"/>
  <c r="N788" i="1" s="1"/>
  <c r="M789" i="1"/>
  <c r="N789" i="1" s="1"/>
  <c r="M790" i="1"/>
  <c r="N790" i="1" s="1"/>
  <c r="M791" i="1"/>
  <c r="N791" i="1" s="1"/>
  <c r="M792" i="1"/>
  <c r="N792" i="1" s="1"/>
  <c r="M793" i="1"/>
  <c r="N793" i="1" s="1"/>
  <c r="M794" i="1"/>
  <c r="N794" i="1" s="1"/>
  <c r="M795" i="1"/>
  <c r="N795" i="1" s="1"/>
  <c r="M796" i="1"/>
  <c r="N796" i="1" s="1"/>
  <c r="M797" i="1"/>
  <c r="N797" i="1" s="1"/>
  <c r="M798" i="1"/>
  <c r="N798" i="1" s="1"/>
  <c r="M799" i="1"/>
  <c r="N799" i="1" s="1"/>
  <c r="M800" i="1"/>
  <c r="N800" i="1" s="1"/>
  <c r="M801" i="1"/>
  <c r="N801" i="1" s="1"/>
  <c r="M802" i="1"/>
  <c r="N802" i="1" s="1"/>
  <c r="M803" i="1"/>
  <c r="N803" i="1" s="1"/>
  <c r="M804" i="1"/>
  <c r="N804" i="1" s="1"/>
  <c r="M805" i="1"/>
  <c r="N805" i="1" s="1"/>
  <c r="M806" i="1"/>
  <c r="N806" i="1" s="1"/>
  <c r="M807" i="1"/>
  <c r="N807" i="1" s="1"/>
  <c r="M808" i="1"/>
  <c r="N808" i="1" s="1"/>
  <c r="M809" i="1"/>
  <c r="N809" i="1" s="1"/>
  <c r="M810" i="1"/>
  <c r="N810" i="1" s="1"/>
  <c r="M811" i="1"/>
  <c r="N811" i="1" s="1"/>
  <c r="M812" i="1"/>
  <c r="N812" i="1" s="1"/>
  <c r="M813" i="1"/>
  <c r="N813" i="1" s="1"/>
  <c r="M814" i="1"/>
  <c r="N814" i="1" s="1"/>
  <c r="M815" i="1"/>
  <c r="N815" i="1" s="1"/>
  <c r="M816" i="1"/>
  <c r="N816" i="1" s="1"/>
  <c r="M817" i="1"/>
  <c r="N817" i="1" s="1"/>
  <c r="M818" i="1"/>
  <c r="N818" i="1" s="1"/>
  <c r="M819" i="1"/>
  <c r="N819" i="1" s="1"/>
  <c r="M820" i="1"/>
  <c r="N820" i="1" s="1"/>
  <c r="M821" i="1"/>
  <c r="N821" i="1" s="1"/>
  <c r="M822" i="1"/>
  <c r="N822" i="1" s="1"/>
  <c r="M823" i="1"/>
  <c r="N823" i="1" s="1"/>
  <c r="M824" i="1"/>
  <c r="N824" i="1" s="1"/>
  <c r="M825" i="1"/>
  <c r="N825" i="1" s="1"/>
  <c r="M826" i="1"/>
  <c r="N826" i="1" s="1"/>
  <c r="M827" i="1"/>
  <c r="N827" i="1" s="1"/>
  <c r="M828" i="1"/>
  <c r="N828" i="1" s="1"/>
  <c r="M829" i="1"/>
  <c r="N829" i="1" s="1"/>
  <c r="M830" i="1"/>
  <c r="N830" i="1" s="1"/>
  <c r="M831" i="1"/>
  <c r="N831" i="1" s="1"/>
  <c r="M832" i="1"/>
  <c r="N832" i="1" s="1"/>
  <c r="M833" i="1"/>
  <c r="N833" i="1" s="1"/>
  <c r="M834" i="1"/>
  <c r="N834" i="1" s="1"/>
  <c r="M835" i="1"/>
  <c r="N835" i="1" s="1"/>
  <c r="M836" i="1"/>
  <c r="N836" i="1" s="1"/>
  <c r="M837" i="1"/>
  <c r="N837" i="1" s="1"/>
  <c r="M838" i="1"/>
  <c r="N838" i="1" s="1"/>
  <c r="M839" i="1"/>
  <c r="N839" i="1" s="1"/>
  <c r="M840" i="1"/>
  <c r="N840" i="1" s="1"/>
  <c r="M841" i="1"/>
  <c r="N841" i="1" s="1"/>
  <c r="M842" i="1"/>
  <c r="N842" i="1" s="1"/>
  <c r="M843" i="1"/>
  <c r="N843" i="1" s="1"/>
  <c r="M844" i="1"/>
  <c r="N844" i="1" s="1"/>
  <c r="M845" i="1"/>
  <c r="N845" i="1" s="1"/>
  <c r="M846" i="1"/>
  <c r="N846" i="1" s="1"/>
  <c r="M847" i="1"/>
  <c r="N847" i="1" s="1"/>
  <c r="M848" i="1"/>
  <c r="N848" i="1" s="1"/>
  <c r="M849" i="1"/>
  <c r="N849" i="1" s="1"/>
  <c r="M850" i="1"/>
  <c r="N850" i="1" s="1"/>
  <c r="M851" i="1"/>
  <c r="N851" i="1" s="1"/>
  <c r="M852" i="1"/>
  <c r="N852" i="1" s="1"/>
  <c r="M853" i="1"/>
  <c r="N853" i="1" s="1"/>
  <c r="M854" i="1"/>
  <c r="N854" i="1" s="1"/>
  <c r="M855" i="1"/>
  <c r="N855" i="1" s="1"/>
  <c r="M856" i="1"/>
  <c r="N856" i="1" s="1"/>
  <c r="M857" i="1"/>
  <c r="N857" i="1" s="1"/>
  <c r="M858" i="1"/>
  <c r="N858" i="1" s="1"/>
  <c r="M859" i="1"/>
  <c r="N859" i="1" s="1"/>
  <c r="M860" i="1"/>
  <c r="N860" i="1" s="1"/>
  <c r="M861" i="1"/>
  <c r="N861" i="1" s="1"/>
  <c r="M862" i="1"/>
  <c r="N862" i="1" s="1"/>
  <c r="M863" i="1"/>
  <c r="N863" i="1" s="1"/>
  <c r="M864" i="1"/>
  <c r="N864" i="1" s="1"/>
  <c r="M865" i="1"/>
  <c r="N865" i="1" s="1"/>
  <c r="M866" i="1"/>
  <c r="N866" i="1" s="1"/>
  <c r="M867" i="1"/>
  <c r="N867" i="1" s="1"/>
  <c r="M868" i="1"/>
  <c r="N868" i="1" s="1"/>
  <c r="M869" i="1"/>
  <c r="N869" i="1" s="1"/>
  <c r="M870" i="1"/>
  <c r="N870" i="1" s="1"/>
  <c r="M871" i="1"/>
  <c r="N871" i="1" s="1"/>
  <c r="M872" i="1"/>
  <c r="N872" i="1" s="1"/>
  <c r="M873" i="1"/>
  <c r="N873" i="1" s="1"/>
  <c r="M874" i="1"/>
  <c r="N874" i="1" s="1"/>
  <c r="M875" i="1"/>
  <c r="N875" i="1" s="1"/>
  <c r="M876" i="1"/>
  <c r="N876" i="1" s="1"/>
  <c r="M877" i="1"/>
  <c r="N877" i="1" s="1"/>
  <c r="M878" i="1"/>
  <c r="N878" i="1" s="1"/>
  <c r="M879" i="1"/>
  <c r="N879" i="1" s="1"/>
  <c r="M880" i="1"/>
  <c r="N880" i="1" s="1"/>
  <c r="M881" i="1"/>
  <c r="N881" i="1" s="1"/>
  <c r="M882" i="1"/>
  <c r="N882" i="1" s="1"/>
  <c r="M883" i="1"/>
  <c r="N883" i="1" s="1"/>
  <c r="M884" i="1"/>
  <c r="N884" i="1" s="1"/>
  <c r="M885" i="1"/>
  <c r="N885" i="1" s="1"/>
  <c r="M886" i="1"/>
  <c r="N886" i="1" s="1"/>
  <c r="M887" i="1"/>
  <c r="N887" i="1" s="1"/>
  <c r="M888" i="1"/>
  <c r="N888" i="1" s="1"/>
  <c r="M889" i="1"/>
  <c r="N889" i="1" s="1"/>
  <c r="M890" i="1"/>
  <c r="N890" i="1" s="1"/>
  <c r="M891" i="1"/>
  <c r="N891" i="1" s="1"/>
  <c r="M892" i="1"/>
  <c r="N892" i="1" s="1"/>
  <c r="M893" i="1"/>
  <c r="N893" i="1" s="1"/>
  <c r="M894" i="1"/>
  <c r="N894" i="1" s="1"/>
  <c r="M895" i="1"/>
  <c r="N895" i="1" s="1"/>
  <c r="M896" i="1"/>
  <c r="N896" i="1" s="1"/>
  <c r="M897" i="1"/>
  <c r="N897" i="1" s="1"/>
  <c r="M898" i="1"/>
  <c r="N898" i="1" s="1"/>
  <c r="M899" i="1"/>
  <c r="N899" i="1" s="1"/>
  <c r="M900" i="1"/>
  <c r="N900" i="1" s="1"/>
  <c r="M901" i="1"/>
  <c r="N901" i="1" s="1"/>
  <c r="M902" i="1"/>
  <c r="N902" i="1" s="1"/>
  <c r="M903" i="1"/>
  <c r="N903" i="1" s="1"/>
  <c r="M904" i="1"/>
  <c r="N904" i="1" s="1"/>
  <c r="M905" i="1"/>
  <c r="N905" i="1" s="1"/>
  <c r="M906" i="1"/>
  <c r="N906" i="1" s="1"/>
  <c r="M907" i="1"/>
  <c r="N907" i="1" s="1"/>
  <c r="M908" i="1"/>
  <c r="N908" i="1" s="1"/>
  <c r="M909" i="1"/>
  <c r="N909" i="1" s="1"/>
  <c r="M910" i="1"/>
  <c r="N910" i="1" s="1"/>
  <c r="M911" i="1"/>
  <c r="N911" i="1" s="1"/>
  <c r="M912" i="1"/>
  <c r="N912" i="1" s="1"/>
  <c r="M913" i="1"/>
  <c r="N913" i="1" s="1"/>
  <c r="M914" i="1"/>
  <c r="N914" i="1" s="1"/>
  <c r="M915" i="1"/>
  <c r="N915" i="1" s="1"/>
  <c r="M916" i="1"/>
  <c r="N916" i="1" s="1"/>
  <c r="M917" i="1"/>
  <c r="N917" i="1" s="1"/>
  <c r="M918" i="1"/>
  <c r="N918" i="1" s="1"/>
  <c r="M919" i="1"/>
  <c r="N919" i="1" s="1"/>
  <c r="M920" i="1"/>
  <c r="N920" i="1" s="1"/>
  <c r="M921" i="1"/>
  <c r="N921" i="1" s="1"/>
  <c r="M922" i="1"/>
  <c r="N922" i="1" s="1"/>
  <c r="M923" i="1"/>
  <c r="N923" i="1" s="1"/>
  <c r="M924" i="1"/>
  <c r="N924" i="1" s="1"/>
  <c r="M925" i="1"/>
  <c r="N925" i="1" s="1"/>
  <c r="M926" i="1"/>
  <c r="N926" i="1" s="1"/>
  <c r="M927" i="1"/>
  <c r="N927" i="1" s="1"/>
  <c r="M928" i="1"/>
  <c r="N928" i="1" s="1"/>
  <c r="M929" i="1"/>
  <c r="N929" i="1" s="1"/>
  <c r="M930" i="1"/>
  <c r="N930" i="1" s="1"/>
  <c r="M931" i="1"/>
  <c r="N931" i="1" s="1"/>
  <c r="M932" i="1"/>
  <c r="N932" i="1" s="1"/>
  <c r="M933" i="1"/>
  <c r="N933" i="1" s="1"/>
  <c r="M934" i="1"/>
  <c r="N934" i="1" s="1"/>
  <c r="M935" i="1"/>
  <c r="N935" i="1" s="1"/>
  <c r="M936" i="1"/>
  <c r="N936" i="1" s="1"/>
  <c r="M937" i="1"/>
  <c r="N937" i="1" s="1"/>
  <c r="M938" i="1"/>
  <c r="N938" i="1" s="1"/>
  <c r="M939" i="1"/>
  <c r="N939" i="1" s="1"/>
  <c r="M940" i="1"/>
  <c r="N940" i="1" s="1"/>
  <c r="M941" i="1"/>
  <c r="N941" i="1" s="1"/>
  <c r="M942" i="1"/>
  <c r="N942" i="1" s="1"/>
  <c r="M943" i="1"/>
  <c r="N943" i="1" s="1"/>
  <c r="M944" i="1"/>
  <c r="N944" i="1" s="1"/>
  <c r="M945" i="1"/>
  <c r="N945" i="1" s="1"/>
  <c r="M946" i="1"/>
  <c r="N946" i="1" s="1"/>
  <c r="M947" i="1"/>
  <c r="N947" i="1" s="1"/>
  <c r="M948" i="1"/>
  <c r="N948" i="1" s="1"/>
  <c r="M949" i="1"/>
  <c r="N949" i="1" s="1"/>
  <c r="M950" i="1"/>
  <c r="N950" i="1" s="1"/>
  <c r="M951" i="1"/>
  <c r="N951" i="1" s="1"/>
  <c r="M952" i="1"/>
  <c r="N952" i="1" s="1"/>
  <c r="M953" i="1"/>
  <c r="N953" i="1" s="1"/>
  <c r="M954" i="1"/>
  <c r="N954" i="1" s="1"/>
  <c r="M955" i="1"/>
  <c r="N955" i="1" s="1"/>
  <c r="M956" i="1"/>
  <c r="N956" i="1" s="1"/>
  <c r="M957" i="1"/>
  <c r="N957" i="1" s="1"/>
  <c r="M958" i="1"/>
  <c r="N958" i="1" s="1"/>
  <c r="M959" i="1"/>
  <c r="N959" i="1" s="1"/>
  <c r="M960" i="1"/>
  <c r="N960" i="1" s="1"/>
  <c r="M961" i="1"/>
  <c r="N961" i="1" s="1"/>
  <c r="M962" i="1"/>
  <c r="N962" i="1" s="1"/>
  <c r="M963" i="1"/>
  <c r="N963" i="1" s="1"/>
  <c r="M964" i="1"/>
  <c r="N964" i="1" s="1"/>
  <c r="M965" i="1"/>
  <c r="N965" i="1" s="1"/>
  <c r="M966" i="1"/>
  <c r="N966" i="1" s="1"/>
  <c r="M967" i="1"/>
  <c r="N967" i="1" s="1"/>
  <c r="M968" i="1"/>
  <c r="N968" i="1" s="1"/>
  <c r="M969" i="1"/>
  <c r="N969" i="1" s="1"/>
  <c r="M970" i="1"/>
  <c r="N970" i="1" s="1"/>
  <c r="M971" i="1"/>
  <c r="N971" i="1" s="1"/>
  <c r="M972" i="1"/>
  <c r="N972" i="1" s="1"/>
  <c r="M973" i="1"/>
  <c r="N973" i="1" s="1"/>
  <c r="M974" i="1"/>
  <c r="N974" i="1" s="1"/>
  <c r="M975" i="1"/>
  <c r="N975" i="1" s="1"/>
  <c r="M976" i="1"/>
  <c r="N976" i="1" s="1"/>
  <c r="M977" i="1"/>
  <c r="N977" i="1" s="1"/>
  <c r="M978" i="1"/>
  <c r="N978" i="1" s="1"/>
  <c r="M979" i="1"/>
  <c r="N979" i="1" s="1"/>
  <c r="M980" i="1"/>
  <c r="N980" i="1" s="1"/>
  <c r="M981" i="1"/>
  <c r="N981" i="1" s="1"/>
  <c r="M982" i="1"/>
  <c r="N982" i="1" s="1"/>
  <c r="M983" i="1"/>
  <c r="N983" i="1" s="1"/>
  <c r="M984" i="1"/>
  <c r="N984" i="1" s="1"/>
  <c r="M985" i="1"/>
  <c r="N985" i="1" s="1"/>
  <c r="M986" i="1"/>
  <c r="N986" i="1" s="1"/>
  <c r="M987" i="1"/>
  <c r="N987" i="1" s="1"/>
  <c r="M988" i="1"/>
  <c r="N988" i="1" s="1"/>
  <c r="M989" i="1"/>
  <c r="N989" i="1" s="1"/>
  <c r="M990" i="1"/>
  <c r="N990" i="1" s="1"/>
  <c r="M991" i="1"/>
  <c r="N991" i="1" s="1"/>
  <c r="M992" i="1"/>
  <c r="N992" i="1" s="1"/>
  <c r="M993" i="1"/>
  <c r="N993" i="1" s="1"/>
  <c r="M994" i="1"/>
  <c r="N994" i="1" s="1"/>
  <c r="M995" i="1"/>
  <c r="N995" i="1" s="1"/>
  <c r="M996" i="1"/>
  <c r="N996" i="1" s="1"/>
  <c r="M997" i="1"/>
  <c r="N997" i="1" s="1"/>
  <c r="M998" i="1"/>
  <c r="N998" i="1" s="1"/>
  <c r="M999" i="1"/>
  <c r="N999" i="1" s="1"/>
  <c r="M1000" i="1"/>
  <c r="N1000" i="1" s="1"/>
  <c r="M1001" i="1"/>
  <c r="N1001" i="1" s="1"/>
  <c r="M1002" i="1"/>
  <c r="N1002" i="1" s="1"/>
  <c r="M1003" i="1"/>
  <c r="N1003" i="1" s="1"/>
  <c r="M1004" i="1"/>
  <c r="N1004" i="1" s="1"/>
  <c r="M1005" i="1"/>
  <c r="N1005" i="1" s="1"/>
  <c r="M1006" i="1"/>
  <c r="N1006" i="1" s="1"/>
  <c r="M1007" i="1"/>
  <c r="N1007" i="1" s="1"/>
  <c r="M1008" i="1"/>
  <c r="N1008" i="1" s="1"/>
  <c r="M1009" i="1"/>
  <c r="N1009" i="1" s="1"/>
  <c r="M1010" i="1"/>
  <c r="N1010" i="1" s="1"/>
  <c r="M1011" i="1"/>
  <c r="N1011" i="1" s="1"/>
  <c r="M1012" i="1"/>
  <c r="N1012" i="1" s="1"/>
  <c r="M1013" i="1"/>
  <c r="N1013" i="1" s="1"/>
  <c r="M1014" i="1"/>
  <c r="N1014" i="1" s="1"/>
  <c r="M1015" i="1"/>
  <c r="N1015" i="1" s="1"/>
  <c r="M1016" i="1"/>
  <c r="N1016" i="1" s="1"/>
  <c r="M1017" i="1"/>
  <c r="N1017" i="1" s="1"/>
  <c r="M1018" i="1"/>
  <c r="N1018" i="1" s="1"/>
  <c r="M1019" i="1"/>
  <c r="N1019" i="1" s="1"/>
  <c r="M1020" i="1"/>
  <c r="N1020" i="1" s="1"/>
  <c r="M1021" i="1"/>
  <c r="N1021" i="1" s="1"/>
  <c r="M1022" i="1"/>
  <c r="N1022" i="1" s="1"/>
  <c r="M1023" i="1"/>
  <c r="N1023" i="1" s="1"/>
  <c r="M1024" i="1"/>
  <c r="N1024" i="1" s="1"/>
  <c r="M1025" i="1"/>
  <c r="N1025" i="1" s="1"/>
  <c r="M1026" i="1"/>
  <c r="N1026" i="1" s="1"/>
  <c r="M1027" i="1"/>
  <c r="N1027" i="1" s="1"/>
  <c r="M1028" i="1"/>
  <c r="N1028" i="1" s="1"/>
  <c r="M1029" i="1"/>
  <c r="N1029" i="1" s="1"/>
  <c r="M1030" i="1"/>
  <c r="N1030" i="1" s="1"/>
  <c r="M1031" i="1"/>
  <c r="N1031" i="1" s="1"/>
  <c r="M1032" i="1"/>
  <c r="N1032" i="1" s="1"/>
  <c r="M1033" i="1"/>
  <c r="N1033" i="1" s="1"/>
  <c r="M1034" i="1"/>
  <c r="N1034" i="1" s="1"/>
  <c r="M1035" i="1"/>
  <c r="N1035" i="1" s="1"/>
  <c r="M1036" i="1"/>
  <c r="N1036" i="1" s="1"/>
  <c r="M1037" i="1"/>
  <c r="N1037" i="1" s="1"/>
  <c r="M1038" i="1"/>
  <c r="N1038" i="1" s="1"/>
  <c r="M1039" i="1"/>
  <c r="N1039" i="1" s="1"/>
  <c r="M1040" i="1"/>
  <c r="N1040" i="1" s="1"/>
  <c r="M1041" i="1"/>
  <c r="N1041" i="1" s="1"/>
  <c r="M1042" i="1"/>
  <c r="N1042" i="1" s="1"/>
  <c r="M1043" i="1"/>
  <c r="N1043" i="1" s="1"/>
  <c r="M1044" i="1"/>
  <c r="N1044" i="1" s="1"/>
  <c r="M1045" i="1"/>
  <c r="N1045" i="1" s="1"/>
  <c r="M1046" i="1"/>
  <c r="N1046" i="1" s="1"/>
  <c r="M1047" i="1"/>
  <c r="N1047" i="1" s="1"/>
  <c r="M1048" i="1"/>
  <c r="N1048" i="1" s="1"/>
  <c r="M1049" i="1"/>
  <c r="N1049" i="1" s="1"/>
  <c r="M1050" i="1"/>
  <c r="N1050" i="1" s="1"/>
  <c r="M1051" i="1"/>
  <c r="N1051" i="1" s="1"/>
  <c r="M1052" i="1"/>
  <c r="N1052" i="1" s="1"/>
  <c r="M1053" i="1"/>
  <c r="N1053" i="1" s="1"/>
  <c r="M1054" i="1"/>
  <c r="N1054" i="1" s="1"/>
  <c r="M1055" i="1"/>
  <c r="N1055" i="1" s="1"/>
  <c r="M1056" i="1"/>
  <c r="N1056" i="1" s="1"/>
  <c r="M1057" i="1"/>
  <c r="N1057" i="1" s="1"/>
  <c r="M1058" i="1"/>
  <c r="N1058" i="1" s="1"/>
  <c r="M1059" i="1"/>
  <c r="N1059" i="1" s="1"/>
  <c r="M1060" i="1"/>
  <c r="N1060" i="1" s="1"/>
  <c r="M1061" i="1"/>
  <c r="N1061" i="1" s="1"/>
  <c r="M1062" i="1"/>
  <c r="N1062" i="1" s="1"/>
  <c r="M1063" i="1"/>
  <c r="N1063" i="1" s="1"/>
  <c r="M1064" i="1"/>
  <c r="N1064" i="1" s="1"/>
  <c r="M1065" i="1"/>
  <c r="N1065" i="1" s="1"/>
  <c r="M1066" i="1"/>
  <c r="N1066" i="1" s="1"/>
  <c r="M1067" i="1"/>
  <c r="N1067" i="1" s="1"/>
  <c r="M1068" i="1"/>
  <c r="N1068" i="1" s="1"/>
  <c r="M1069" i="1"/>
  <c r="N1069" i="1" s="1"/>
  <c r="M1070" i="1"/>
  <c r="N1070" i="1" s="1"/>
  <c r="M1071" i="1"/>
  <c r="N1071" i="1" s="1"/>
  <c r="M1072" i="1"/>
  <c r="N1072" i="1" s="1"/>
  <c r="M1073" i="1"/>
  <c r="N1073" i="1" s="1"/>
  <c r="M1074" i="1"/>
  <c r="N1074" i="1" s="1"/>
  <c r="M1075" i="1"/>
  <c r="N1075" i="1" s="1"/>
  <c r="M1076" i="1"/>
  <c r="N1076" i="1" s="1"/>
  <c r="M1077" i="1"/>
  <c r="N1077" i="1" s="1"/>
  <c r="M1078" i="1"/>
  <c r="N1078" i="1" s="1"/>
  <c r="M1079" i="1"/>
  <c r="N1079" i="1" s="1"/>
  <c r="M1080" i="1"/>
  <c r="N1080" i="1" s="1"/>
  <c r="M1081" i="1"/>
  <c r="N1081" i="1" s="1"/>
  <c r="M1082" i="1"/>
  <c r="N1082" i="1" s="1"/>
  <c r="M1083" i="1"/>
  <c r="N1083" i="1" s="1"/>
  <c r="M1084" i="1"/>
  <c r="N1084" i="1" s="1"/>
  <c r="M1085" i="1"/>
  <c r="N1085" i="1" s="1"/>
  <c r="M1086" i="1"/>
  <c r="N1086" i="1" s="1"/>
  <c r="M1087" i="1"/>
  <c r="N1087" i="1" s="1"/>
  <c r="M1088" i="1"/>
  <c r="N1088" i="1" s="1"/>
  <c r="M1089" i="1"/>
  <c r="N1089" i="1" s="1"/>
  <c r="M1090" i="1"/>
  <c r="N1090" i="1" s="1"/>
  <c r="M1091" i="1"/>
  <c r="N1091" i="1" s="1"/>
  <c r="M1092" i="1"/>
  <c r="N1092" i="1" s="1"/>
  <c r="M1093" i="1"/>
  <c r="N1093" i="1" s="1"/>
  <c r="M1094" i="1"/>
  <c r="N1094" i="1" s="1"/>
  <c r="M1095" i="1"/>
  <c r="N1095" i="1" s="1"/>
  <c r="M1096" i="1"/>
  <c r="N1096" i="1" s="1"/>
  <c r="M1097" i="1"/>
  <c r="N1097" i="1" s="1"/>
  <c r="M1098" i="1"/>
  <c r="N1098" i="1" s="1"/>
  <c r="M1099" i="1"/>
  <c r="N1099" i="1" s="1"/>
  <c r="M1100" i="1"/>
  <c r="N1100" i="1" s="1"/>
  <c r="M1101" i="1"/>
  <c r="N1101" i="1" s="1"/>
  <c r="M1102" i="1"/>
  <c r="N1102" i="1" s="1"/>
  <c r="M1103" i="1"/>
  <c r="N1103" i="1" s="1"/>
  <c r="M1104" i="1"/>
  <c r="N1104" i="1" s="1"/>
  <c r="M1105" i="1"/>
  <c r="N1105" i="1" s="1"/>
  <c r="M1106" i="1"/>
  <c r="N1106" i="1" s="1"/>
  <c r="M1107" i="1"/>
  <c r="N1107" i="1" s="1"/>
  <c r="M1108" i="1"/>
  <c r="N1108" i="1" s="1"/>
  <c r="M1109" i="1"/>
  <c r="N1109" i="1" s="1"/>
  <c r="M1110" i="1"/>
  <c r="N1110" i="1" s="1"/>
  <c r="M1111" i="1"/>
  <c r="N1111" i="1" s="1"/>
  <c r="M1112" i="1"/>
  <c r="N1112" i="1" s="1"/>
  <c r="M1113" i="1"/>
  <c r="N1113" i="1" s="1"/>
  <c r="M1114" i="1"/>
  <c r="N1114" i="1" s="1"/>
  <c r="M1115" i="1"/>
  <c r="N1115" i="1" s="1"/>
  <c r="M1116" i="1"/>
  <c r="N1116" i="1" s="1"/>
  <c r="M1117" i="1"/>
  <c r="N1117" i="1" s="1"/>
  <c r="M1118" i="1"/>
  <c r="N1118" i="1" s="1"/>
  <c r="M1119" i="1"/>
  <c r="N1119" i="1" s="1"/>
  <c r="M1120" i="1"/>
  <c r="N1120" i="1" s="1"/>
  <c r="M1121" i="1"/>
  <c r="N1121" i="1" s="1"/>
  <c r="M1122" i="1"/>
  <c r="N1122" i="1" s="1"/>
  <c r="M1123" i="1"/>
  <c r="N1123" i="1" s="1"/>
  <c r="M1124" i="1"/>
  <c r="N1124" i="1" s="1"/>
  <c r="M1125" i="1"/>
  <c r="N1125" i="1" s="1"/>
  <c r="M1126" i="1"/>
  <c r="N1126" i="1" s="1"/>
  <c r="M1127" i="1"/>
  <c r="N1127" i="1" s="1"/>
  <c r="M1128" i="1"/>
  <c r="N1128" i="1" s="1"/>
  <c r="M1129" i="1"/>
  <c r="N1129" i="1" s="1"/>
  <c r="M1130" i="1"/>
  <c r="N1130" i="1" s="1"/>
  <c r="M1131" i="1"/>
  <c r="N1131" i="1" s="1"/>
  <c r="M1132" i="1"/>
  <c r="N1132" i="1" s="1"/>
  <c r="M1133" i="1"/>
  <c r="N1133" i="1" s="1"/>
  <c r="M1134" i="1"/>
  <c r="N1134" i="1" s="1"/>
  <c r="M1135" i="1"/>
  <c r="N1135" i="1" s="1"/>
  <c r="M1136" i="1"/>
  <c r="N1136" i="1" s="1"/>
  <c r="M1137" i="1"/>
  <c r="N1137" i="1" s="1"/>
  <c r="M1138" i="1"/>
  <c r="N1138" i="1" s="1"/>
  <c r="M1139" i="1"/>
  <c r="N1139" i="1" s="1"/>
  <c r="M1140" i="1"/>
  <c r="N1140" i="1" s="1"/>
  <c r="M1141" i="1"/>
  <c r="N1141" i="1" s="1"/>
  <c r="M1142" i="1"/>
  <c r="N1142" i="1" s="1"/>
  <c r="M1143" i="1"/>
  <c r="N1143" i="1" s="1"/>
  <c r="M1144" i="1"/>
  <c r="N1144" i="1" s="1"/>
  <c r="M1145" i="1"/>
  <c r="N1145" i="1" s="1"/>
  <c r="M1146" i="1"/>
  <c r="N1146" i="1" s="1"/>
  <c r="M1147" i="1"/>
  <c r="N1147" i="1" s="1"/>
  <c r="M1148" i="1"/>
  <c r="N1148" i="1" s="1"/>
  <c r="M1149" i="1"/>
  <c r="N1149" i="1" s="1"/>
  <c r="M1150" i="1"/>
  <c r="N1150" i="1" s="1"/>
  <c r="M1151" i="1"/>
  <c r="N1151" i="1" s="1"/>
  <c r="M1152" i="1"/>
  <c r="N1152" i="1" s="1"/>
  <c r="M1153" i="1"/>
  <c r="N1153" i="1" s="1"/>
  <c r="M1154" i="1"/>
  <c r="N1154" i="1" s="1"/>
  <c r="M1155" i="1"/>
  <c r="N1155" i="1" s="1"/>
  <c r="M1156" i="1"/>
  <c r="N1156" i="1" s="1"/>
  <c r="M1157" i="1"/>
  <c r="N1157" i="1" s="1"/>
  <c r="M1158" i="1"/>
  <c r="N1158" i="1" s="1"/>
  <c r="M1159" i="1"/>
  <c r="N1159" i="1" s="1"/>
  <c r="M1160" i="1"/>
  <c r="N1160" i="1" s="1"/>
  <c r="M1161" i="1"/>
  <c r="N1161" i="1" s="1"/>
  <c r="M1162" i="1"/>
  <c r="N1162" i="1" s="1"/>
  <c r="M1163" i="1"/>
  <c r="N1163" i="1" s="1"/>
  <c r="M1164" i="1"/>
  <c r="N1164" i="1" s="1"/>
  <c r="M1165" i="1"/>
  <c r="N1165" i="1" s="1"/>
  <c r="M1166" i="1"/>
  <c r="N1166" i="1" s="1"/>
  <c r="M1167" i="1"/>
  <c r="N1167" i="1" s="1"/>
  <c r="M1168" i="1"/>
  <c r="N1168" i="1" s="1"/>
  <c r="M1169" i="1"/>
  <c r="N1169" i="1" s="1"/>
  <c r="M1170" i="1"/>
  <c r="N1170" i="1" s="1"/>
  <c r="M1171" i="1"/>
  <c r="N1171" i="1" s="1"/>
  <c r="M1172" i="1"/>
  <c r="N1172" i="1" s="1"/>
  <c r="M1173" i="1"/>
  <c r="N1173" i="1" s="1"/>
  <c r="M1174" i="1"/>
  <c r="N1174" i="1" s="1"/>
  <c r="M1175" i="1"/>
  <c r="N1175" i="1" s="1"/>
  <c r="M1176" i="1"/>
  <c r="N1176" i="1" s="1"/>
  <c r="M1177" i="1"/>
  <c r="N1177" i="1" s="1"/>
  <c r="M1178" i="1"/>
  <c r="N1178" i="1" s="1"/>
  <c r="M1179" i="1"/>
  <c r="N1179" i="1" s="1"/>
  <c r="M1180" i="1"/>
  <c r="N1180" i="1" s="1"/>
  <c r="M1181" i="1"/>
  <c r="N1181" i="1" s="1"/>
  <c r="M1182" i="1"/>
  <c r="N1182" i="1" s="1"/>
  <c r="M1183" i="1"/>
  <c r="N1183" i="1" s="1"/>
  <c r="M1184" i="1"/>
  <c r="N1184" i="1" s="1"/>
  <c r="M1185" i="1"/>
  <c r="N1185" i="1" s="1"/>
  <c r="M1186" i="1"/>
  <c r="N1186" i="1" s="1"/>
  <c r="M1187" i="1"/>
  <c r="N1187" i="1" s="1"/>
  <c r="M1188" i="1"/>
  <c r="N1188" i="1" s="1"/>
  <c r="M1189" i="1"/>
  <c r="N1189" i="1" s="1"/>
  <c r="M1190" i="1"/>
  <c r="N1190" i="1" s="1"/>
  <c r="M1191" i="1"/>
  <c r="N1191" i="1" s="1"/>
  <c r="M1192" i="1"/>
  <c r="N1192" i="1" s="1"/>
  <c r="M1193" i="1"/>
  <c r="N1193" i="1" s="1"/>
  <c r="M1194" i="1"/>
  <c r="N1194" i="1" s="1"/>
  <c r="M1195" i="1"/>
  <c r="N1195" i="1" s="1"/>
  <c r="M1196" i="1"/>
  <c r="N1196" i="1" s="1"/>
  <c r="M1197" i="1"/>
  <c r="N1197" i="1" s="1"/>
  <c r="M1198" i="1"/>
  <c r="N1198" i="1" s="1"/>
  <c r="M1199" i="1"/>
  <c r="N1199" i="1" s="1"/>
  <c r="M1200" i="1"/>
  <c r="N1200" i="1" s="1"/>
  <c r="M1201" i="1"/>
  <c r="N1201" i="1" s="1"/>
  <c r="M1202" i="1"/>
  <c r="N1202" i="1" s="1"/>
  <c r="M1203" i="1"/>
  <c r="N1203" i="1" s="1"/>
  <c r="M1204" i="1"/>
  <c r="N1204" i="1" s="1"/>
  <c r="M1205" i="1"/>
  <c r="N1205" i="1" s="1"/>
  <c r="M1206" i="1"/>
  <c r="N1206" i="1" s="1"/>
  <c r="M1207" i="1"/>
  <c r="N1207" i="1" s="1"/>
  <c r="M1208" i="1"/>
  <c r="N1208" i="1" s="1"/>
  <c r="M1209" i="1"/>
  <c r="N1209" i="1" s="1"/>
  <c r="M1210" i="1"/>
  <c r="N1210" i="1" s="1"/>
  <c r="M1211" i="1"/>
  <c r="N1211" i="1" s="1"/>
  <c r="M1212" i="1"/>
  <c r="N1212" i="1" s="1"/>
  <c r="M1213" i="1"/>
  <c r="N1213" i="1" s="1"/>
  <c r="M1214" i="1"/>
  <c r="N1214" i="1" s="1"/>
  <c r="M1215" i="1"/>
  <c r="N1215" i="1" s="1"/>
  <c r="M1216" i="1"/>
  <c r="N1216" i="1" s="1"/>
  <c r="M1217" i="1"/>
  <c r="N1217" i="1" s="1"/>
  <c r="M1218" i="1"/>
  <c r="N1218" i="1" s="1"/>
  <c r="M1219" i="1"/>
  <c r="N1219" i="1" s="1"/>
  <c r="M1220" i="1"/>
  <c r="N1220" i="1" s="1"/>
  <c r="M1221" i="1"/>
  <c r="N1221" i="1" s="1"/>
  <c r="M1222" i="1"/>
  <c r="N1222" i="1" s="1"/>
  <c r="M1223" i="1"/>
  <c r="N1223" i="1" s="1"/>
  <c r="M1224" i="1"/>
  <c r="N1224" i="1" s="1"/>
  <c r="M1225" i="1"/>
  <c r="N1225" i="1" s="1"/>
  <c r="M1226" i="1"/>
  <c r="N1226" i="1" s="1"/>
  <c r="M1227" i="1"/>
  <c r="N1227" i="1" s="1"/>
  <c r="M1228" i="1"/>
  <c r="N1228" i="1" s="1"/>
  <c r="M1229" i="1"/>
  <c r="N1229" i="1" s="1"/>
  <c r="M1230" i="1"/>
  <c r="N1230" i="1" s="1"/>
  <c r="M1231" i="1"/>
  <c r="N1231" i="1" s="1"/>
  <c r="M1232" i="1"/>
  <c r="N1232" i="1" s="1"/>
  <c r="M1233" i="1"/>
  <c r="N1233" i="1" s="1"/>
  <c r="M1234" i="1"/>
  <c r="N1234" i="1" s="1"/>
  <c r="M1235" i="1"/>
  <c r="N1235" i="1" s="1"/>
  <c r="M1236" i="1"/>
  <c r="N1236" i="1" s="1"/>
  <c r="M1237" i="1"/>
  <c r="N1237" i="1" s="1"/>
  <c r="M1238" i="1"/>
  <c r="N1238" i="1" s="1"/>
  <c r="M1239" i="1"/>
  <c r="N1239" i="1" s="1"/>
  <c r="M1240" i="1"/>
  <c r="N1240" i="1" s="1"/>
  <c r="M1241" i="1"/>
  <c r="N1241" i="1" s="1"/>
  <c r="M1242" i="1"/>
  <c r="N1242" i="1" s="1"/>
  <c r="M1243" i="1"/>
  <c r="N1243" i="1" s="1"/>
  <c r="M1244" i="1"/>
  <c r="N1244" i="1" s="1"/>
  <c r="M1245" i="1"/>
  <c r="N1245" i="1" s="1"/>
  <c r="M1246" i="1"/>
  <c r="N1246" i="1" s="1"/>
  <c r="M1247" i="1"/>
  <c r="N1247" i="1" s="1"/>
  <c r="M1248" i="1"/>
  <c r="N1248" i="1" s="1"/>
  <c r="M1249" i="1"/>
  <c r="N1249" i="1" s="1"/>
  <c r="M1250" i="1"/>
  <c r="N1250" i="1" s="1"/>
  <c r="M1251" i="1"/>
  <c r="N1251" i="1" s="1"/>
  <c r="M1252" i="1"/>
  <c r="N1252" i="1" s="1"/>
  <c r="M1253" i="1"/>
  <c r="N1253" i="1" s="1"/>
  <c r="M1254" i="1"/>
  <c r="N1254" i="1" s="1"/>
  <c r="M1255" i="1"/>
  <c r="N1255" i="1" s="1"/>
  <c r="M1256" i="1"/>
  <c r="N1256" i="1" s="1"/>
  <c r="M1257" i="1"/>
  <c r="N1257" i="1" s="1"/>
  <c r="M1258" i="1"/>
  <c r="N1258" i="1" s="1"/>
  <c r="M1259" i="1"/>
  <c r="N1259" i="1" s="1"/>
  <c r="M1260" i="1"/>
  <c r="N1260" i="1" s="1"/>
  <c r="M1261" i="1"/>
  <c r="N1261" i="1" s="1"/>
  <c r="M1262" i="1"/>
  <c r="N1262" i="1" s="1"/>
  <c r="M1263" i="1"/>
  <c r="N1263" i="1" s="1"/>
  <c r="M1264" i="1"/>
  <c r="N1264" i="1" s="1"/>
  <c r="M1265" i="1"/>
  <c r="N1265" i="1" s="1"/>
  <c r="M1266" i="1"/>
  <c r="N1266" i="1" s="1"/>
  <c r="M1267" i="1"/>
  <c r="N1267" i="1" s="1"/>
  <c r="M1268" i="1"/>
  <c r="N1268" i="1" s="1"/>
  <c r="M1269" i="1"/>
  <c r="N1269" i="1" s="1"/>
  <c r="M406" i="1"/>
  <c r="N406" i="1" s="1"/>
  <c r="M405" i="1"/>
  <c r="N405" i="1" s="1"/>
  <c r="M404" i="1"/>
  <c r="N404" i="1" s="1"/>
  <c r="M403" i="1"/>
  <c r="N403" i="1" s="1"/>
  <c r="M402" i="1"/>
  <c r="N402" i="1" s="1"/>
  <c r="M401" i="1"/>
  <c r="N401" i="1" s="1"/>
  <c r="M400" i="1"/>
  <c r="N400" i="1" s="1"/>
  <c r="M399" i="1"/>
  <c r="N399" i="1" s="1"/>
  <c r="M398" i="1"/>
  <c r="N398" i="1" s="1"/>
  <c r="M397" i="1"/>
  <c r="N397" i="1" s="1"/>
  <c r="M396" i="1"/>
  <c r="N396" i="1" s="1"/>
  <c r="M395" i="1"/>
  <c r="N395" i="1" s="1"/>
  <c r="M394" i="1"/>
  <c r="N394" i="1" s="1"/>
  <c r="M393" i="1"/>
  <c r="N393" i="1" s="1"/>
  <c r="M392" i="1"/>
  <c r="N392" i="1" s="1"/>
  <c r="M391" i="1"/>
  <c r="N391" i="1" s="1"/>
  <c r="M390" i="1"/>
  <c r="N390" i="1" s="1"/>
  <c r="M389" i="1"/>
  <c r="N389" i="1" s="1"/>
  <c r="M388" i="1"/>
  <c r="N388" i="1" s="1"/>
  <c r="M387" i="1"/>
  <c r="N387" i="1" s="1"/>
  <c r="M386" i="1"/>
  <c r="N386" i="1" s="1"/>
  <c r="M385" i="1"/>
  <c r="N385" i="1" s="1"/>
  <c r="M384" i="1"/>
  <c r="N384" i="1" s="1"/>
  <c r="M383" i="1"/>
  <c r="N383" i="1" s="1"/>
  <c r="M382" i="1"/>
  <c r="N382" i="1" s="1"/>
  <c r="M381" i="1"/>
  <c r="N381" i="1" s="1"/>
  <c r="M380" i="1"/>
  <c r="N380" i="1" s="1"/>
  <c r="M379" i="1"/>
  <c r="N379" i="1" s="1"/>
  <c r="M378" i="1"/>
  <c r="N378" i="1" s="1"/>
  <c r="M377" i="1"/>
  <c r="N377" i="1" s="1"/>
  <c r="M376" i="1"/>
  <c r="N376" i="1" s="1"/>
  <c r="M375" i="1"/>
  <c r="N375" i="1" s="1"/>
  <c r="M374" i="1"/>
  <c r="N374" i="1" s="1"/>
  <c r="M373" i="1"/>
  <c r="N373" i="1" s="1"/>
  <c r="M372" i="1"/>
  <c r="N372" i="1" s="1"/>
  <c r="M371" i="1"/>
  <c r="N371" i="1" s="1"/>
  <c r="M370" i="1"/>
  <c r="N370" i="1" s="1"/>
  <c r="M369" i="1"/>
  <c r="N369" i="1" s="1"/>
  <c r="M368" i="1"/>
  <c r="N368" i="1" s="1"/>
  <c r="M367" i="1"/>
  <c r="N367" i="1" s="1"/>
  <c r="M366" i="1"/>
  <c r="N366" i="1" s="1"/>
  <c r="M365" i="1"/>
  <c r="N365" i="1" s="1"/>
  <c r="M364" i="1"/>
  <c r="N364" i="1" s="1"/>
  <c r="M363" i="1"/>
  <c r="N363" i="1" s="1"/>
  <c r="M362" i="1"/>
  <c r="N362" i="1" s="1"/>
  <c r="M361" i="1"/>
  <c r="N361" i="1" s="1"/>
  <c r="M360" i="1"/>
  <c r="N360" i="1" s="1"/>
  <c r="M359" i="1"/>
  <c r="N359" i="1" s="1"/>
  <c r="M358" i="1"/>
  <c r="N358" i="1" s="1"/>
  <c r="M357" i="1"/>
  <c r="N357" i="1" s="1"/>
  <c r="M356" i="1"/>
  <c r="N356" i="1" s="1"/>
  <c r="M355" i="1"/>
  <c r="N355" i="1" s="1"/>
  <c r="M354" i="1"/>
  <c r="N354" i="1" s="1"/>
  <c r="M353" i="1"/>
  <c r="N353" i="1" s="1"/>
  <c r="M352" i="1"/>
  <c r="N352" i="1" s="1"/>
  <c r="M351" i="1"/>
  <c r="N351" i="1" s="1"/>
  <c r="M350" i="1"/>
  <c r="N350" i="1" s="1"/>
  <c r="M349" i="1"/>
  <c r="N349" i="1" s="1"/>
  <c r="M348" i="1"/>
  <c r="N348" i="1" s="1"/>
  <c r="M347" i="1"/>
  <c r="N347" i="1" s="1"/>
  <c r="M346" i="1"/>
  <c r="N346" i="1" s="1"/>
  <c r="M345" i="1"/>
  <c r="N345" i="1" s="1"/>
  <c r="M344" i="1"/>
  <c r="N344" i="1" s="1"/>
  <c r="M343" i="1"/>
  <c r="N343" i="1" s="1"/>
  <c r="M342" i="1"/>
  <c r="N342" i="1" s="1"/>
  <c r="M341" i="1"/>
  <c r="N341" i="1" s="1"/>
  <c r="M340" i="1"/>
  <c r="N340" i="1" s="1"/>
  <c r="M339" i="1"/>
  <c r="N339" i="1" s="1"/>
  <c r="M338" i="1"/>
  <c r="N338" i="1" s="1"/>
  <c r="M337" i="1"/>
  <c r="N337" i="1" s="1"/>
  <c r="M336" i="1"/>
  <c r="N336" i="1" s="1"/>
  <c r="M335" i="1"/>
  <c r="N335" i="1" s="1"/>
  <c r="M334" i="1"/>
  <c r="N334" i="1" s="1"/>
  <c r="M333" i="1"/>
  <c r="N333" i="1" s="1"/>
  <c r="M332" i="1"/>
  <c r="N332" i="1" s="1"/>
  <c r="M331" i="1"/>
  <c r="N331" i="1" s="1"/>
  <c r="M330" i="1"/>
  <c r="N330" i="1" s="1"/>
  <c r="M329" i="1"/>
  <c r="N329" i="1" s="1"/>
  <c r="M328" i="1"/>
  <c r="N328" i="1" s="1"/>
  <c r="M327" i="1"/>
  <c r="N327" i="1" s="1"/>
  <c r="M326" i="1"/>
  <c r="N326" i="1" s="1"/>
  <c r="M325" i="1"/>
  <c r="N325" i="1" s="1"/>
  <c r="M324" i="1"/>
  <c r="N324" i="1" s="1"/>
  <c r="M323" i="1"/>
  <c r="N323" i="1" s="1"/>
  <c r="M322" i="1"/>
  <c r="N322" i="1" s="1"/>
  <c r="M321" i="1"/>
  <c r="N321" i="1" s="1"/>
  <c r="M320" i="1"/>
  <c r="N320" i="1" s="1"/>
  <c r="M319" i="1"/>
  <c r="N319" i="1" s="1"/>
  <c r="M318" i="1"/>
  <c r="N318" i="1" s="1"/>
  <c r="M317" i="1"/>
  <c r="N317" i="1" s="1"/>
  <c r="M316" i="1"/>
  <c r="N316" i="1" s="1"/>
  <c r="M315" i="1"/>
  <c r="N315" i="1" s="1"/>
  <c r="M314" i="1"/>
  <c r="N314" i="1" s="1"/>
  <c r="M313" i="1"/>
  <c r="N313" i="1" s="1"/>
  <c r="M312" i="1"/>
  <c r="N312" i="1" s="1"/>
  <c r="M311" i="1"/>
  <c r="N311" i="1" s="1"/>
  <c r="M310" i="1"/>
  <c r="N310" i="1" s="1"/>
  <c r="M309" i="1"/>
  <c r="N309" i="1" s="1"/>
  <c r="M308" i="1"/>
  <c r="N308" i="1" s="1"/>
  <c r="M307" i="1"/>
  <c r="N307" i="1" s="1"/>
  <c r="M306" i="1"/>
  <c r="N306" i="1" s="1"/>
  <c r="M305" i="1"/>
  <c r="N305" i="1" s="1"/>
  <c r="M304" i="1"/>
  <c r="N304" i="1" s="1"/>
  <c r="M303" i="1"/>
  <c r="N303" i="1" s="1"/>
  <c r="M302" i="1"/>
  <c r="N302" i="1" s="1"/>
  <c r="M301" i="1"/>
  <c r="N301" i="1" s="1"/>
  <c r="M300" i="1"/>
  <c r="N300" i="1" s="1"/>
  <c r="M299" i="1"/>
  <c r="N299" i="1" s="1"/>
  <c r="M298" i="1"/>
  <c r="N298" i="1" s="1"/>
  <c r="M297" i="1"/>
  <c r="N297" i="1" s="1"/>
  <c r="M296" i="1"/>
  <c r="N296" i="1" s="1"/>
  <c r="M295" i="1"/>
  <c r="N295" i="1" s="1"/>
  <c r="M294" i="1"/>
  <c r="N294" i="1" s="1"/>
  <c r="M293" i="1"/>
  <c r="N293" i="1" s="1"/>
  <c r="M292" i="1"/>
  <c r="N292" i="1" s="1"/>
  <c r="M291" i="1"/>
  <c r="N291" i="1" s="1"/>
  <c r="M290" i="1"/>
  <c r="N290" i="1" s="1"/>
  <c r="M289" i="1"/>
  <c r="N289" i="1" s="1"/>
  <c r="M288" i="1"/>
  <c r="N288" i="1" s="1"/>
  <c r="M287" i="1"/>
  <c r="N287" i="1" s="1"/>
  <c r="M286" i="1"/>
  <c r="N286" i="1" s="1"/>
  <c r="M285" i="1"/>
  <c r="N285" i="1" s="1"/>
  <c r="M284" i="1"/>
  <c r="N284" i="1" s="1"/>
  <c r="M283" i="1"/>
  <c r="N283" i="1" s="1"/>
  <c r="M282" i="1"/>
  <c r="N282" i="1" s="1"/>
  <c r="M281" i="1"/>
  <c r="N281" i="1" s="1"/>
  <c r="M280" i="1"/>
  <c r="N280" i="1" s="1"/>
  <c r="M279" i="1"/>
  <c r="N279" i="1" s="1"/>
  <c r="M278" i="1"/>
  <c r="N278" i="1" s="1"/>
  <c r="M277" i="1"/>
  <c r="N277" i="1" s="1"/>
  <c r="M276" i="1"/>
  <c r="N276" i="1" s="1"/>
  <c r="M275" i="1"/>
  <c r="N275" i="1" s="1"/>
  <c r="M274" i="1"/>
  <c r="N274" i="1" s="1"/>
  <c r="M273" i="1"/>
  <c r="N273" i="1" s="1"/>
  <c r="M272" i="1"/>
  <c r="N272" i="1" s="1"/>
  <c r="M271" i="1"/>
  <c r="N271" i="1" s="1"/>
  <c r="M270" i="1"/>
  <c r="N270" i="1" s="1"/>
  <c r="M269" i="1"/>
  <c r="N269" i="1" s="1"/>
  <c r="M268" i="1"/>
  <c r="N268" i="1" s="1"/>
  <c r="M267" i="1"/>
  <c r="N267" i="1" s="1"/>
  <c r="M266" i="1"/>
  <c r="N266" i="1" s="1"/>
  <c r="M265" i="1"/>
  <c r="N265" i="1" s="1"/>
  <c r="M264" i="1"/>
  <c r="N264" i="1" s="1"/>
  <c r="M263" i="1"/>
  <c r="N263" i="1" s="1"/>
  <c r="M262" i="1"/>
  <c r="N262" i="1" s="1"/>
  <c r="M261" i="1"/>
  <c r="N261" i="1" s="1"/>
  <c r="M260" i="1"/>
  <c r="N260" i="1" s="1"/>
  <c r="M259" i="1"/>
  <c r="N259" i="1" s="1"/>
  <c r="M258" i="1"/>
  <c r="N258" i="1" s="1"/>
  <c r="M257" i="1"/>
  <c r="N257" i="1" s="1"/>
  <c r="M256" i="1"/>
  <c r="N256" i="1" s="1"/>
  <c r="M255" i="1"/>
  <c r="N255" i="1" s="1"/>
  <c r="M254" i="1"/>
  <c r="N254" i="1" s="1"/>
  <c r="M253" i="1"/>
  <c r="N253" i="1" s="1"/>
  <c r="M252" i="1"/>
  <c r="N252" i="1" s="1"/>
  <c r="M251" i="1"/>
  <c r="N251" i="1" s="1"/>
  <c r="M250" i="1"/>
  <c r="N250" i="1" s="1"/>
  <c r="M249" i="1"/>
  <c r="N249" i="1" s="1"/>
  <c r="M248" i="1"/>
  <c r="N248" i="1" s="1"/>
  <c r="M247" i="1"/>
  <c r="N247" i="1" s="1"/>
  <c r="M246" i="1"/>
  <c r="N246" i="1" s="1"/>
  <c r="M245" i="1"/>
  <c r="N245" i="1" s="1"/>
  <c r="M244" i="1"/>
  <c r="N244" i="1" s="1"/>
  <c r="M243" i="1"/>
  <c r="N243" i="1" s="1"/>
  <c r="M242" i="1"/>
  <c r="N242" i="1" s="1"/>
  <c r="M241" i="1"/>
  <c r="N241" i="1" s="1"/>
  <c r="M240" i="1"/>
  <c r="N240" i="1" s="1"/>
  <c r="M239" i="1"/>
  <c r="N239" i="1" s="1"/>
  <c r="M238" i="1"/>
  <c r="N238" i="1" s="1"/>
  <c r="M237" i="1"/>
  <c r="N237" i="1" s="1"/>
  <c r="M236" i="1"/>
  <c r="N236" i="1" s="1"/>
  <c r="M235" i="1"/>
  <c r="N235" i="1" s="1"/>
  <c r="M234" i="1"/>
  <c r="N234" i="1" s="1"/>
  <c r="M233" i="1"/>
  <c r="N233" i="1" s="1"/>
  <c r="M232" i="1"/>
  <c r="N232" i="1" s="1"/>
  <c r="M231" i="1"/>
  <c r="N231" i="1" s="1"/>
  <c r="M230" i="1"/>
  <c r="N230" i="1" s="1"/>
  <c r="M229" i="1"/>
  <c r="N229" i="1" s="1"/>
  <c r="M228" i="1"/>
  <c r="N228" i="1" s="1"/>
  <c r="M227" i="1"/>
  <c r="N227" i="1" s="1"/>
  <c r="M226" i="1"/>
  <c r="N226" i="1" s="1"/>
  <c r="M225" i="1"/>
  <c r="N225" i="1" s="1"/>
  <c r="M224" i="1"/>
  <c r="N224" i="1" s="1"/>
  <c r="M223" i="1"/>
  <c r="N223" i="1" s="1"/>
  <c r="M222" i="1"/>
  <c r="N222" i="1" s="1"/>
  <c r="M221" i="1"/>
  <c r="N221" i="1" s="1"/>
  <c r="M220" i="1"/>
  <c r="N220" i="1" s="1"/>
  <c r="M219" i="1"/>
  <c r="N219" i="1" s="1"/>
  <c r="M218" i="1"/>
  <c r="N218" i="1" s="1"/>
  <c r="M217" i="1"/>
  <c r="N217" i="1" s="1"/>
  <c r="M216" i="1"/>
  <c r="N216" i="1" s="1"/>
  <c r="M215" i="1"/>
  <c r="N215" i="1" s="1"/>
  <c r="M214" i="1"/>
  <c r="N214" i="1" s="1"/>
  <c r="M213" i="1"/>
  <c r="N213" i="1" s="1"/>
  <c r="M212" i="1"/>
  <c r="N212" i="1" s="1"/>
  <c r="M211" i="1"/>
  <c r="N211" i="1" s="1"/>
  <c r="M210" i="1"/>
  <c r="N210" i="1" s="1"/>
  <c r="M209" i="1"/>
  <c r="N209" i="1" s="1"/>
  <c r="M208" i="1"/>
  <c r="N208" i="1" s="1"/>
  <c r="M207" i="1"/>
  <c r="N207" i="1" s="1"/>
  <c r="M206" i="1"/>
  <c r="N206" i="1" s="1"/>
  <c r="M205" i="1"/>
  <c r="N205" i="1" s="1"/>
  <c r="M204" i="1"/>
  <c r="N204" i="1" s="1"/>
  <c r="M203" i="1"/>
  <c r="N203" i="1" s="1"/>
  <c r="M202" i="1"/>
  <c r="N202" i="1" s="1"/>
  <c r="M201" i="1"/>
  <c r="N201" i="1" s="1"/>
  <c r="M200" i="1"/>
  <c r="N200" i="1" s="1"/>
  <c r="M199" i="1"/>
  <c r="N199" i="1" s="1"/>
  <c r="M198" i="1"/>
  <c r="N198" i="1" s="1"/>
  <c r="M197" i="1"/>
  <c r="N197" i="1" s="1"/>
  <c r="M196" i="1"/>
  <c r="N196" i="1" s="1"/>
  <c r="M195" i="1"/>
  <c r="N195" i="1" s="1"/>
  <c r="M194" i="1"/>
  <c r="N194" i="1" s="1"/>
  <c r="M193" i="1"/>
  <c r="N193" i="1" s="1"/>
  <c r="M192" i="1"/>
  <c r="N192" i="1" s="1"/>
  <c r="M191" i="1"/>
  <c r="N191" i="1" s="1"/>
  <c r="M190" i="1"/>
  <c r="N190" i="1" s="1"/>
  <c r="M189" i="1"/>
  <c r="N189" i="1" s="1"/>
  <c r="M188" i="1"/>
  <c r="N188" i="1" s="1"/>
  <c r="M187" i="1"/>
  <c r="N187" i="1" s="1"/>
  <c r="M186" i="1"/>
  <c r="N186" i="1" s="1"/>
  <c r="M185" i="1"/>
  <c r="N185" i="1" s="1"/>
  <c r="M184" i="1"/>
  <c r="N184" i="1" s="1"/>
  <c r="M183" i="1"/>
  <c r="N183" i="1" s="1"/>
  <c r="M182" i="1"/>
  <c r="N182" i="1" s="1"/>
  <c r="M181" i="1"/>
  <c r="N181" i="1" s="1"/>
  <c r="M180" i="1"/>
  <c r="N180" i="1" s="1"/>
  <c r="M179" i="1"/>
  <c r="N179" i="1" s="1"/>
  <c r="M178" i="1"/>
  <c r="N178" i="1" s="1"/>
  <c r="M177" i="1"/>
  <c r="N177" i="1" s="1"/>
  <c r="M176" i="1"/>
  <c r="N176" i="1" s="1"/>
  <c r="M175" i="1"/>
  <c r="N175" i="1" s="1"/>
  <c r="M174" i="1"/>
  <c r="N174" i="1" s="1"/>
  <c r="M173" i="1"/>
  <c r="N173" i="1" s="1"/>
  <c r="M172" i="1"/>
  <c r="N172" i="1" s="1"/>
  <c r="M171" i="1"/>
  <c r="N171" i="1" s="1"/>
  <c r="M170" i="1"/>
  <c r="N170" i="1" s="1"/>
  <c r="M169" i="1"/>
  <c r="N169" i="1" s="1"/>
  <c r="M168" i="1"/>
  <c r="N168" i="1" s="1"/>
  <c r="M167" i="1"/>
  <c r="N167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41" i="1"/>
  <c r="N141" i="1" s="1"/>
  <c r="K144" i="1"/>
  <c r="M144" i="1" s="1"/>
  <c r="N144" i="1" s="1"/>
  <c r="K143" i="1"/>
  <c r="M143" i="1" s="1"/>
  <c r="N143" i="1" s="1"/>
  <c r="K142" i="1"/>
  <c r="M142" i="1" s="1"/>
  <c r="N142" i="1" s="1"/>
  <c r="K140" i="1"/>
  <c r="M140" i="1" s="1"/>
  <c r="N140" i="1" s="1"/>
  <c r="K139" i="1"/>
  <c r="M139" i="1" s="1"/>
  <c r="N139" i="1" s="1"/>
  <c r="K138" i="1"/>
  <c r="M138" i="1" s="1"/>
  <c r="N138" i="1" s="1"/>
  <c r="K137" i="1"/>
  <c r="M137" i="1" s="1"/>
  <c r="N137" i="1" s="1"/>
  <c r="K136" i="1"/>
  <c r="M136" i="1" s="1"/>
  <c r="N136" i="1" s="1"/>
  <c r="K135" i="1"/>
  <c r="M135" i="1" s="1"/>
  <c r="N135" i="1" s="1"/>
  <c r="K134" i="1"/>
  <c r="M134" i="1" s="1"/>
  <c r="N134" i="1" s="1"/>
  <c r="K133" i="1"/>
  <c r="M133" i="1" s="1"/>
  <c r="N133" i="1" s="1"/>
  <c r="K132" i="1"/>
  <c r="M132" i="1" s="1"/>
  <c r="N132" i="1" s="1"/>
  <c r="K131" i="1"/>
  <c r="M131" i="1" s="1"/>
  <c r="N131" i="1" s="1"/>
  <c r="K130" i="1"/>
  <c r="M130" i="1" s="1"/>
  <c r="N130" i="1" s="1"/>
  <c r="K129" i="1"/>
  <c r="M129" i="1" s="1"/>
  <c r="N129" i="1" s="1"/>
  <c r="K128" i="1"/>
  <c r="M128" i="1" s="1"/>
  <c r="N128" i="1" s="1"/>
  <c r="K127" i="1"/>
  <c r="M127" i="1" s="1"/>
  <c r="N127" i="1" s="1"/>
  <c r="K126" i="1"/>
  <c r="M126" i="1" s="1"/>
  <c r="N126" i="1" s="1"/>
  <c r="K125" i="1"/>
  <c r="M125" i="1" s="1"/>
  <c r="N125" i="1" s="1"/>
  <c r="K124" i="1"/>
  <c r="M124" i="1" s="1"/>
  <c r="N124" i="1" s="1"/>
  <c r="M123" i="1"/>
  <c r="N123" i="1" s="1"/>
  <c r="M122" i="1"/>
  <c r="N122" i="1" s="1"/>
  <c r="M121" i="1"/>
  <c r="N121" i="1" s="1"/>
  <c r="M120" i="1"/>
  <c r="N120" i="1" s="1"/>
  <c r="M119" i="1"/>
  <c r="N119" i="1" s="1"/>
  <c r="M118" i="1"/>
  <c r="N118" i="1" s="1"/>
  <c r="M117" i="1"/>
  <c r="N117" i="1" s="1"/>
  <c r="M116" i="1"/>
  <c r="N116" i="1" s="1"/>
  <c r="M115" i="1"/>
  <c r="N115" i="1" s="1"/>
  <c r="M114" i="1"/>
  <c r="N114" i="1" s="1"/>
  <c r="M113" i="1"/>
  <c r="N113" i="1" s="1"/>
  <c r="M112" i="1"/>
  <c r="N112" i="1" s="1"/>
  <c r="M111" i="1"/>
  <c r="N111" i="1" s="1"/>
  <c r="M110" i="1"/>
  <c r="N110" i="1" s="1"/>
  <c r="M109" i="1"/>
  <c r="N109" i="1" s="1"/>
  <c r="M108" i="1"/>
  <c r="N108" i="1" s="1"/>
  <c r="M107" i="1"/>
  <c r="N107" i="1" s="1"/>
  <c r="M106" i="1"/>
  <c r="N106" i="1" s="1"/>
  <c r="M105" i="1"/>
  <c r="N105" i="1" s="1"/>
  <c r="M104" i="1"/>
  <c r="N104" i="1" s="1"/>
  <c r="M103" i="1"/>
  <c r="N103" i="1" s="1"/>
  <c r="M102" i="1"/>
  <c r="N102" i="1" s="1"/>
  <c r="M101" i="1"/>
  <c r="N101" i="1" s="1"/>
  <c r="M100" i="1"/>
  <c r="N100" i="1" s="1"/>
  <c r="M99" i="1"/>
  <c r="N99" i="1" s="1"/>
  <c r="M98" i="1"/>
  <c r="N98" i="1" s="1"/>
  <c r="M97" i="1"/>
  <c r="N97" i="1" s="1"/>
  <c r="M96" i="1"/>
  <c r="N96" i="1" s="1"/>
  <c r="M95" i="1"/>
  <c r="N95" i="1" s="1"/>
  <c r="M94" i="1"/>
  <c r="N94" i="1" s="1"/>
  <c r="M93" i="1"/>
  <c r="N93" i="1" s="1"/>
  <c r="M92" i="1"/>
  <c r="N92" i="1" s="1"/>
  <c r="M91" i="1"/>
  <c r="N91" i="1" s="1"/>
  <c r="M90" i="1"/>
  <c r="N90" i="1" s="1"/>
  <c r="M89" i="1"/>
  <c r="N89" i="1" s="1"/>
  <c r="M88" i="1"/>
  <c r="N88" i="1" s="1"/>
  <c r="M87" i="1"/>
  <c r="N87" i="1" s="1"/>
  <c r="M86" i="1"/>
  <c r="N86" i="1" s="1"/>
  <c r="M85" i="1"/>
  <c r="N85" i="1" s="1"/>
  <c r="M84" i="1"/>
  <c r="N84" i="1" s="1"/>
  <c r="M83" i="1"/>
  <c r="N83" i="1" s="1"/>
  <c r="M82" i="1"/>
  <c r="N82" i="1" s="1"/>
  <c r="M81" i="1"/>
  <c r="N81" i="1" s="1"/>
  <c r="M80" i="1"/>
  <c r="N80" i="1" s="1"/>
  <c r="M79" i="1"/>
  <c r="N79" i="1" s="1"/>
  <c r="M78" i="1"/>
  <c r="N78" i="1" s="1"/>
  <c r="M77" i="1"/>
  <c r="N77" i="1" s="1"/>
  <c r="M76" i="1"/>
  <c r="N76" i="1" s="1"/>
  <c r="M75" i="1"/>
  <c r="N75" i="1" s="1"/>
  <c r="M74" i="1"/>
  <c r="N74" i="1" s="1"/>
  <c r="M73" i="1"/>
  <c r="N73" i="1" s="1"/>
  <c r="M72" i="1"/>
  <c r="N72" i="1" s="1"/>
  <c r="M71" i="1"/>
  <c r="N71" i="1" s="1"/>
  <c r="M70" i="1"/>
  <c r="N70" i="1" s="1"/>
  <c r="M69" i="1"/>
  <c r="N69" i="1" s="1"/>
  <c r="M68" i="1"/>
  <c r="N68" i="1" s="1"/>
  <c r="M67" i="1"/>
  <c r="N67" i="1" s="1"/>
  <c r="M66" i="1"/>
  <c r="N66" i="1" s="1"/>
  <c r="M65" i="1"/>
  <c r="N65" i="1" s="1"/>
  <c r="M64" i="1"/>
  <c r="N64" i="1" s="1"/>
  <c r="M63" i="1"/>
  <c r="N63" i="1" s="1"/>
  <c r="M62" i="1"/>
  <c r="N62" i="1" s="1"/>
  <c r="M61" i="1"/>
  <c r="N61" i="1" s="1"/>
  <c r="M60" i="1"/>
  <c r="N60" i="1" s="1"/>
  <c r="M59" i="1"/>
  <c r="N59" i="1" s="1"/>
  <c r="M58" i="1"/>
  <c r="N58" i="1" s="1"/>
  <c r="M57" i="1"/>
  <c r="N57" i="1" s="1"/>
  <c r="M56" i="1"/>
  <c r="N56" i="1" s="1"/>
  <c r="M55" i="1"/>
  <c r="N55" i="1" s="1"/>
  <c r="M54" i="1"/>
  <c r="N54" i="1" s="1"/>
  <c r="M53" i="1"/>
  <c r="N53" i="1" s="1"/>
  <c r="M52" i="1"/>
  <c r="N52" i="1" s="1"/>
  <c r="M51" i="1"/>
  <c r="N51" i="1" s="1"/>
  <c r="M50" i="1"/>
  <c r="N50" i="1" s="1"/>
  <c r="M49" i="1"/>
  <c r="N49" i="1" s="1"/>
  <c r="M48" i="1"/>
  <c r="N48" i="1" s="1"/>
  <c r="M47" i="1"/>
  <c r="N47" i="1" s="1"/>
  <c r="M46" i="1"/>
  <c r="N46" i="1" s="1"/>
  <c r="M45" i="1"/>
  <c r="N45" i="1" s="1"/>
  <c r="M44" i="1"/>
  <c r="N44" i="1" s="1"/>
  <c r="M43" i="1"/>
  <c r="N43" i="1" s="1"/>
  <c r="M42" i="1"/>
  <c r="N42" i="1" s="1"/>
  <c r="M41" i="1"/>
  <c r="N41" i="1" s="1"/>
  <c r="M40" i="1"/>
  <c r="N40" i="1" s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</calcChain>
</file>

<file path=xl/sharedStrings.xml><?xml version="1.0" encoding="utf-8"?>
<sst xmlns="http://schemas.openxmlformats.org/spreadsheetml/2006/main" count="11420" uniqueCount="267">
  <si>
    <t>Pharmaceutical</t>
  </si>
  <si>
    <t>A</t>
  </si>
  <si>
    <t>Apr - Jun 2019</t>
  </si>
  <si>
    <t>B</t>
  </si>
  <si>
    <t>Codeine</t>
  </si>
  <si>
    <t>Morphine</t>
  </si>
  <si>
    <t>Hydrocodone</t>
  </si>
  <si>
    <t>Hydromorphone</t>
  </si>
  <si>
    <t>Oxycodone</t>
  </si>
  <si>
    <t>Tramadol</t>
  </si>
  <si>
    <t>Buprenorphine</t>
  </si>
  <si>
    <t>Alprazolam</t>
  </si>
  <si>
    <t>Diazepam</t>
  </si>
  <si>
    <t>Temazepam</t>
  </si>
  <si>
    <t>Cyclobenzaprine</t>
  </si>
  <si>
    <t>Nortriptyline</t>
  </si>
  <si>
    <t>Naltrexone</t>
  </si>
  <si>
    <t>Amphetamine</t>
  </si>
  <si>
    <t>Zolpidem</t>
  </si>
  <si>
    <t>Fluoxetine</t>
  </si>
  <si>
    <t>ND</t>
  </si>
  <si>
    <t>ng/L</t>
  </si>
  <si>
    <t>Aug-Dec 2017, Jun-Jul 2018</t>
  </si>
  <si>
    <t>Acetaminophen</t>
  </si>
  <si>
    <t>Amitriptyline</t>
  </si>
  <si>
    <t>Azithromycin</t>
  </si>
  <si>
    <t>Bupropion</t>
  </si>
  <si>
    <t>Carbamazepine</t>
  </si>
  <si>
    <t>Ciprofloxacin</t>
  </si>
  <si>
    <t>Citalopram</t>
  </si>
  <si>
    <t>Clarithromycin</t>
  </si>
  <si>
    <t>Diclofenac</t>
  </si>
  <si>
    <t>Erythromycin</t>
  </si>
  <si>
    <t>Haloperidol</t>
  </si>
  <si>
    <t>Lamotrigine</t>
  </si>
  <si>
    <t>Naproxen</t>
  </si>
  <si>
    <t>Paroxetine</t>
  </si>
  <si>
    <t>Primidone</t>
  </si>
  <si>
    <t>Risperidone</t>
  </si>
  <si>
    <t>Sertraline</t>
  </si>
  <si>
    <t>Sulfamethoxazole</t>
  </si>
  <si>
    <t>Trimethoprim</t>
  </si>
  <si>
    <t>Venlafaxine</t>
  </si>
  <si>
    <t>Sept 1 2022</t>
  </si>
  <si>
    <t>Diphenhydramine</t>
  </si>
  <si>
    <t>Sept 2 2022</t>
  </si>
  <si>
    <t>Diltiazem</t>
  </si>
  <si>
    <t>Lisinopril</t>
  </si>
  <si>
    <t>Simvastatin</t>
  </si>
  <si>
    <t>Ofloxacin</t>
  </si>
  <si>
    <t>Jun 2014 - July 2015</t>
  </si>
  <si>
    <t>Plant 1</t>
  </si>
  <si>
    <t>Plant 2</t>
  </si>
  <si>
    <t>Atenolol</t>
  </si>
  <si>
    <t>Fenofibrate</t>
  </si>
  <si>
    <t>Ketoprofen</t>
  </si>
  <si>
    <t>Metoprolol</t>
  </si>
  <si>
    <t>Propranolol</t>
  </si>
  <si>
    <t>Ranitidine</t>
  </si>
  <si>
    <t>Albuterol</t>
  </si>
  <si>
    <t>Warfarin</t>
  </si>
  <si>
    <t>M1</t>
  </si>
  <si>
    <t>M2</t>
  </si>
  <si>
    <t>M3</t>
  </si>
  <si>
    <t>M4</t>
  </si>
  <si>
    <t xml:space="preserve">ND </t>
  </si>
  <si>
    <t>M5</t>
  </si>
  <si>
    <t>M6</t>
  </si>
  <si>
    <t>Ampicillin</t>
  </si>
  <si>
    <t>Doxycycline</t>
  </si>
  <si>
    <t>Hydroxychloroquine</t>
  </si>
  <si>
    <t>Penn State</t>
  </si>
  <si>
    <t>May 2020-May 2021</t>
  </si>
  <si>
    <t>Dexamethasone</t>
  </si>
  <si>
    <t>UAJA</t>
  </si>
  <si>
    <t>11.56</t>
  </si>
  <si>
    <t>7.31</t>
  </si>
  <si>
    <t>7.23</t>
  </si>
  <si>
    <t>6.91</t>
  </si>
  <si>
    <t>16.97</t>
  </si>
  <si>
    <t>16.11</t>
  </si>
  <si>
    <t>10.72</t>
  </si>
  <si>
    <t>13.53</t>
  </si>
  <si>
    <t>13.79</t>
  </si>
  <si>
    <t>2.64</t>
  </si>
  <si>
    <t>1.34</t>
  </si>
  <si>
    <t>4.71</t>
  </si>
  <si>
    <t>1.08</t>
  </si>
  <si>
    <t>11.97</t>
  </si>
  <si>
    <t>City 1</t>
  </si>
  <si>
    <t>City 2</t>
  </si>
  <si>
    <t>Mar 2015 - Mar 2017</t>
  </si>
  <si>
    <t>Cookeville</t>
  </si>
  <si>
    <t>n.d.</t>
  </si>
  <si>
    <t>July - Oct 2020</t>
  </si>
  <si>
    <t>Clonazepam</t>
  </si>
  <si>
    <t>Lorazepam</t>
  </si>
  <si>
    <t>Oregon</t>
  </si>
  <si>
    <t>New York</t>
  </si>
  <si>
    <t>Boulder</t>
  </si>
  <si>
    <t>Atlanta</t>
  </si>
  <si>
    <t>Tuscaloosa, AL</t>
  </si>
  <si>
    <t>Albany, NY</t>
  </si>
  <si>
    <t>Niagara, NY</t>
  </si>
  <si>
    <t>2012 (assumed since pub year)</t>
  </si>
  <si>
    <t>2013 (assumed since pub year)</t>
  </si>
  <si>
    <t>Around July &amp; Oct 2015 (inferred)</t>
  </si>
  <si>
    <t>Oct 2016 - Dec 2017</t>
  </si>
  <si>
    <t>WS-1</t>
  </si>
  <si>
    <t>WS-3</t>
  </si>
  <si>
    <t>WS-4</t>
  </si>
  <si>
    <t>WWTP_A</t>
  </si>
  <si>
    <t>WWTP_B</t>
  </si>
  <si>
    <t>WWTP</t>
  </si>
  <si>
    <t>July - Nov 2013</t>
  </si>
  <si>
    <t>Summer 2018</t>
  </si>
  <si>
    <t>Jan-Feb 2020</t>
  </si>
  <si>
    <t>Manhole</t>
  </si>
  <si>
    <t>Quetiapine</t>
  </si>
  <si>
    <t>Aripiprazole</t>
  </si>
  <si>
    <t>Acyclovir</t>
  </si>
  <si>
    <t>Desvenlafaxine</t>
  </si>
  <si>
    <t>Dextromethorphan</t>
  </si>
  <si>
    <t>Famotidine</t>
  </si>
  <si>
    <t>Fexofenadine</t>
  </si>
  <si>
    <t>Fluconazole</t>
  </si>
  <si>
    <t>Glyburide</t>
  </si>
  <si>
    <t>Hydroxyzine</t>
  </si>
  <si>
    <t>Metaxalone</t>
  </si>
  <si>
    <t>Metformin</t>
  </si>
  <si>
    <t>Methocarbamol</t>
  </si>
  <si>
    <t>Nadolol</t>
  </si>
  <si>
    <t>Phenytoin</t>
  </si>
  <si>
    <t>Pseudoephedrine + ephedrine</t>
  </si>
  <si>
    <t>Ketoconazole</t>
  </si>
  <si>
    <t>Triamterene</t>
  </si>
  <si>
    <t>Valacyclovir</t>
  </si>
  <si>
    <t>Verapamil</t>
  </si>
  <si>
    <t>Lidocaine</t>
  </si>
  <si>
    <t>Sitagliptin</t>
  </si>
  <si>
    <t>C</t>
  </si>
  <si>
    <t>D</t>
  </si>
  <si>
    <t>E</t>
  </si>
  <si>
    <t>Atorvastatin</t>
  </si>
  <si>
    <t>May 2009 - March 2010</t>
  </si>
  <si>
    <t>Jan - March 2019</t>
  </si>
  <si>
    <t>CC Williams</t>
  </si>
  <si>
    <t>Copeland</t>
  </si>
  <si>
    <t>Snow</t>
  </si>
  <si>
    <t>Hutchens</t>
  </si>
  <si>
    <t>Back River WWTP</t>
  </si>
  <si>
    <t>Terbinafine</t>
  </si>
  <si>
    <t>Ciclopirox</t>
  </si>
  <si>
    <t>Stony Brook STP</t>
  </si>
  <si>
    <t>Sotalol</t>
  </si>
  <si>
    <t>Suffolk County WWTP</t>
  </si>
  <si>
    <t>June 2020-January 2022</t>
  </si>
  <si>
    <t>S Nevada Sewershed</t>
  </si>
  <si>
    <t>May 2022 - April 2023</t>
  </si>
  <si>
    <t>Gemfibrozil</t>
  </si>
  <si>
    <t>Ibuprofen</t>
  </si>
  <si>
    <t>USA1-P1 &amp; USA1-P2</t>
  </si>
  <si>
    <t>Methylphenidate</t>
  </si>
  <si>
    <t>2016-2017</t>
  </si>
  <si>
    <t>WS-1 through WS-4</t>
  </si>
  <si>
    <t>MIDO WWTP</t>
  </si>
  <si>
    <t>NORO WWTP</t>
  </si>
  <si>
    <t>Cedar WWTP</t>
  </si>
  <si>
    <t>Fall 2017</t>
  </si>
  <si>
    <t>Winter 2018</t>
  </si>
  <si>
    <t>Spring 2018</t>
  </si>
  <si>
    <t>Amoxicillin</t>
  </si>
  <si>
    <t xml:space="preserve">Penicillin V potassium </t>
  </si>
  <si>
    <t>NE &amp; SW plants</t>
  </si>
  <si>
    <t>July &amp; Nov 2016</t>
  </si>
  <si>
    <t>Cephalexin</t>
  </si>
  <si>
    <t>Flecainide</t>
  </si>
  <si>
    <t>Gabapentin</t>
  </si>
  <si>
    <t>Losartan</t>
  </si>
  <si>
    <t>Metronidazole</t>
  </si>
  <si>
    <t>Oxcarbazepine</t>
  </si>
  <si>
    <t>Valsartan</t>
  </si>
  <si>
    <t>Summer 2013</t>
  </si>
  <si>
    <t>Spring 2014</t>
  </si>
  <si>
    <t>Fall 2014</t>
  </si>
  <si>
    <t>Summer 2015</t>
  </si>
  <si>
    <t>Fall 2015</t>
  </si>
  <si>
    <t>Winter 2016</t>
  </si>
  <si>
    <t>Spring 2016</t>
  </si>
  <si>
    <t>4 midwestern plants</t>
  </si>
  <si>
    <t>Around 2008</t>
  </si>
  <si>
    <t>Plant E</t>
  </si>
  <si>
    <t>Plant F</t>
  </si>
  <si>
    <t>Plant G</t>
  </si>
  <si>
    <t>Plant H</t>
  </si>
  <si>
    <t>26th Ward WWTP</t>
  </si>
  <si>
    <t>WWTP A, B, C</t>
  </si>
  <si>
    <t>Nov 2011 - Sep 2012</t>
  </si>
  <si>
    <t>small Illinois plant</t>
  </si>
  <si>
    <t>Sep &amp; Nov 2011</t>
  </si>
  <si>
    <t>Aug 2010 &amp; Feb 2011</t>
  </si>
  <si>
    <t>WWTP A-E</t>
  </si>
  <si>
    <t>ng/person/d</t>
  </si>
  <si>
    <t>Sep 2018 - Jan 2019</t>
  </si>
  <si>
    <t>Ray Stoyer Water Recycling Facility</t>
  </si>
  <si>
    <t>WWTP 2</t>
  </si>
  <si>
    <t>WWTP 1</t>
  </si>
  <si>
    <t>WWTP 3a</t>
  </si>
  <si>
    <t>WWTP 3b</t>
  </si>
  <si>
    <t>Sep 2018 - Aug 2020</t>
  </si>
  <si>
    <t>10 states</t>
  </si>
  <si>
    <t>Sampling_date</t>
  </si>
  <si>
    <t>Concentration_reported</t>
  </si>
  <si>
    <t>Sampling_location</t>
  </si>
  <si>
    <t>Sampling_type</t>
  </si>
  <si>
    <t>Intermountain western US state</t>
  </si>
  <si>
    <t>24h composite</t>
  </si>
  <si>
    <t>30d passive POCIS</t>
  </si>
  <si>
    <t>Eastern US</t>
  </si>
  <si>
    <t>Ohio</t>
  </si>
  <si>
    <t>grab sample</t>
  </si>
  <si>
    <t>Wisconsin</t>
  </si>
  <si>
    <t>14month composite</t>
  </si>
  <si>
    <t>Massachusetts</t>
  </si>
  <si>
    <t>Pennsylvania</t>
  </si>
  <si>
    <t>Midwestern US city</t>
  </si>
  <si>
    <t>Alaska, Arizona, Florida, Illinois, New Mexico, New Jersey, Kansas, Kentucky, Texas, Washington</t>
  </si>
  <si>
    <t>grab &amp; composite avg</t>
  </si>
  <si>
    <t>2h composite</t>
  </si>
  <si>
    <t>Kentucky</t>
  </si>
  <si>
    <t>3.5h composite</t>
  </si>
  <si>
    <t>Florida</t>
  </si>
  <si>
    <t>Albany, New York</t>
  </si>
  <si>
    <t>Niagara, New York</t>
  </si>
  <si>
    <t>Tuscaloosa, Alabama</t>
  </si>
  <si>
    <t>Atlanta, Georgia</t>
  </si>
  <si>
    <t>Boulder, Colorado</t>
  </si>
  <si>
    <t>Cookeville, Tennessee</t>
  </si>
  <si>
    <t>Southeastern US</t>
  </si>
  <si>
    <t>Mobile County, Alabama</t>
  </si>
  <si>
    <t>Baltimore, Maryland</t>
  </si>
  <si>
    <t>Long Island, New York</t>
  </si>
  <si>
    <t>12.5h composite sample</t>
  </si>
  <si>
    <t>Suffolk County, New York</t>
  </si>
  <si>
    <t>Las Vegas, Nevada</t>
  </si>
  <si>
    <t>US</t>
  </si>
  <si>
    <t>Athens, Georgia</t>
  </si>
  <si>
    <t>unspecified</t>
  </si>
  <si>
    <t>Urbana-Champaign, IL</t>
  </si>
  <si>
    <t>midwestern US state</t>
  </si>
  <si>
    <t>Mississippi</t>
  </si>
  <si>
    <t>Illinois</t>
  </si>
  <si>
    <t>Riverside, CA</t>
  </si>
  <si>
    <t>Santee, CA</t>
  </si>
  <si>
    <t>US Northeast</t>
  </si>
  <si>
    <t>Concentration_ug_per_liter</t>
  </si>
  <si>
    <t>Mass_load_ug_per_capita_per_day</t>
  </si>
  <si>
    <t>WRRF_capacity_liters_per_day</t>
  </si>
  <si>
    <t>No ID</t>
  </si>
  <si>
    <t>Putnam County Fair serving WRRF (Cookeville - only 1 WRRF in Cookeville, so same as previous Cookeville WRRF)</t>
  </si>
  <si>
    <t>Long Island, NY</t>
  </si>
  <si>
    <t>Reference Number</t>
  </si>
  <si>
    <t>WRRF_ID</t>
  </si>
  <si>
    <t>WRRF_reference_ID</t>
  </si>
  <si>
    <t>Reported_WRRF_capacity</t>
  </si>
  <si>
    <t>Population_served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</si>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</sst>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2" fontId="0" fillId="0" borderId="0" xfId="0" applyNumberFormat="1"/>
    <xf numFmtId="17" fontId="0" fillId="0" borderId="0" xfId="0" applyNumberFormat="1"/>
    <xf numFmtId="15" fontId="0" fillId="0" borderId="0" xfId="0" applyNumberFormat="1"/>
    <xf numFmtId="14" fontId="0" fillId="0" borderId="0" xfId="0" applyNumberFormat="1"/>
    <xf numFmtId="2" fontId="0" fillId="0" borderId="0" xfId="0" applyNumberFormat="1" applyAlignment="1">
      <alignment horizontal="left" wrapText="1"/>
    </xf>
    <xf numFmtId="2" fontId="2" fillId="0" borderId="0" xfId="0" applyNumberFormat="1" applyFon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2" fontId="2" fillId="0" borderId="0" xfId="0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2" fontId="3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D01FA-8DDC-4839-95CC-E1A764FF3EB7}">
  <dimension ref="A1:X1909"/>
  <sheetViews>
    <sheetView tabSelected="1" topLeftCell="I1" workbookViewId="0">
      <selection activeCell="N2" sqref="N2"/>
    </sheetView>
  </sheetViews>
  <sheetFormatPr defaultRowHeight="14.4" x14ac:dyDescent="0.3"/>
  <cols>
    <col min="1" max="1" width="25.21875" bestFit="1" customWidth="1"/>
    <col min="2" max="2" width="17.6640625" bestFit="1" customWidth="1"/>
    <col min="3" max="3" width="9.44140625" bestFit="1" customWidth="1"/>
    <col min="4" max="4" width="38.6640625" bestFit="1" customWidth="1"/>
    <col min="5" max="5" width="38.77734375" bestFit="1" customWidth="1"/>
    <col min="6" max="7" width="38" bestFit="1" customWidth="1"/>
    <col min="8" max="8" width="27.33203125" bestFit="1" customWidth="1"/>
    <col min="9" max="9" width="78.44140625" bestFit="1" customWidth="1"/>
    <col min="10" max="10" width="20.77734375" bestFit="1" customWidth="1"/>
    <col min="11" max="11" width="21.5546875" bestFit="1" customWidth="1"/>
    <col min="12" max="12" width="10.77734375" bestFit="1" customWidth="1"/>
    <col min="13" max="13" width="24.109375" bestFit="1" customWidth="1"/>
    <col min="14" max="14" width="31.21875" bestFit="1" customWidth="1"/>
  </cols>
  <sheetData>
    <row r="1" spans="1:24" ht="16.2" x14ac:dyDescent="0.3">
      <c r="A1" t="s">
        <v>0</v>
      </c>
      <c r="B1" t="s">
        <v>261</v>
      </c>
      <c r="C1" t="s">
        <v>262</v>
      </c>
      <c r="D1" t="s">
        <v>263</v>
      </c>
      <c r="E1" t="s">
        <v>264</v>
      </c>
      <c r="F1" t="s">
        <v>257</v>
      </c>
      <c r="G1" t="s">
        <v>265</v>
      </c>
      <c r="H1" t="s">
        <v>211</v>
      </c>
      <c r="I1" t="s">
        <v>213</v>
      </c>
      <c r="J1" t="s">
        <v>214</v>
      </c>
      <c r="K1" t="s">
        <v>212</v>
      </c>
      <c r="L1" t="s">
        <v>266</v>
      </c>
      <c r="M1" t="s">
        <v>255</v>
      </c>
      <c r="N1" t="s">
        <v>256</v>
      </c>
    </row>
    <row r="2" spans="1:24" x14ac:dyDescent="0.3">
      <c r="A2" s="1" t="s">
        <v>4</v>
      </c>
      <c r="B2">
        <v>1</v>
      </c>
      <c r="C2">
        <v>1</v>
      </c>
      <c r="D2" s="1" t="s">
        <v>1</v>
      </c>
      <c r="E2">
        <v>27000000</v>
      </c>
      <c r="F2">
        <f>E2</f>
        <v>27000000</v>
      </c>
      <c r="G2">
        <v>45000</v>
      </c>
      <c r="H2" t="s">
        <v>2</v>
      </c>
      <c r="I2" s="1" t="s">
        <v>215</v>
      </c>
      <c r="J2" s="1" t="s">
        <v>216</v>
      </c>
      <c r="K2" s="9">
        <v>178</v>
      </c>
      <c r="L2" t="s">
        <v>21</v>
      </c>
      <c r="M2">
        <f>IFERROR(K2/1000,"ND")</f>
        <v>0.17799999999999999</v>
      </c>
      <c r="N2">
        <f t="shared" ref="N2:N65" si="0">IFERROR((M2*F2)/G2,"ND")</f>
        <v>106.8</v>
      </c>
    </row>
    <row r="3" spans="1:24" x14ac:dyDescent="0.3">
      <c r="A3" s="1" t="s">
        <v>4</v>
      </c>
      <c r="B3">
        <v>1</v>
      </c>
      <c r="C3">
        <v>2</v>
      </c>
      <c r="D3" s="1" t="s">
        <v>3</v>
      </c>
      <c r="E3">
        <v>2000000</v>
      </c>
      <c r="F3">
        <f t="shared" ref="F3:F39" si="1">E3</f>
        <v>2000000</v>
      </c>
      <c r="G3">
        <v>4000</v>
      </c>
      <c r="H3" t="s">
        <v>2</v>
      </c>
      <c r="I3" s="1" t="s">
        <v>215</v>
      </c>
      <c r="J3" s="1" t="s">
        <v>216</v>
      </c>
      <c r="K3" s="9">
        <v>193</v>
      </c>
      <c r="L3" t="s">
        <v>21</v>
      </c>
      <c r="M3">
        <f t="shared" ref="M3:M39" si="2">IFERROR(K3/1000,"ND")</f>
        <v>0.193</v>
      </c>
      <c r="N3">
        <f t="shared" si="0"/>
        <v>96.5</v>
      </c>
      <c r="Q3" s="14"/>
      <c r="R3" s="14"/>
      <c r="S3" s="15"/>
      <c r="T3" s="15"/>
      <c r="U3" s="15"/>
      <c r="V3" s="15"/>
      <c r="W3" s="15"/>
      <c r="X3" s="15"/>
    </row>
    <row r="4" spans="1:24" x14ac:dyDescent="0.3">
      <c r="A4" s="1" t="s">
        <v>5</v>
      </c>
      <c r="B4">
        <v>1</v>
      </c>
      <c r="C4">
        <v>2</v>
      </c>
      <c r="D4" s="1" t="s">
        <v>3</v>
      </c>
      <c r="E4">
        <v>2000000</v>
      </c>
      <c r="F4">
        <f t="shared" si="1"/>
        <v>2000000</v>
      </c>
      <c r="G4">
        <v>4000</v>
      </c>
      <c r="H4" t="s">
        <v>2</v>
      </c>
      <c r="I4" s="1" t="s">
        <v>215</v>
      </c>
      <c r="J4" s="1" t="s">
        <v>216</v>
      </c>
      <c r="K4" s="9">
        <v>320</v>
      </c>
      <c r="L4" t="s">
        <v>21</v>
      </c>
      <c r="M4">
        <f t="shared" si="2"/>
        <v>0.32</v>
      </c>
      <c r="N4">
        <f t="shared" si="0"/>
        <v>160</v>
      </c>
      <c r="Q4" s="1"/>
      <c r="R4" s="1"/>
    </row>
    <row r="5" spans="1:24" x14ac:dyDescent="0.3">
      <c r="A5" s="1" t="s">
        <v>5</v>
      </c>
      <c r="B5">
        <v>1</v>
      </c>
      <c r="C5">
        <v>1</v>
      </c>
      <c r="D5" s="1" t="s">
        <v>1</v>
      </c>
      <c r="E5">
        <v>27000000</v>
      </c>
      <c r="F5">
        <f t="shared" si="1"/>
        <v>27000000</v>
      </c>
      <c r="G5">
        <v>45000</v>
      </c>
      <c r="H5" t="s">
        <v>2</v>
      </c>
      <c r="I5" s="1" t="s">
        <v>215</v>
      </c>
      <c r="J5" s="1" t="s">
        <v>216</v>
      </c>
      <c r="K5" s="9">
        <v>529</v>
      </c>
      <c r="L5" t="s">
        <v>21</v>
      </c>
      <c r="M5">
        <f t="shared" si="2"/>
        <v>0.52900000000000003</v>
      </c>
      <c r="N5">
        <f t="shared" si="0"/>
        <v>317.39999999999998</v>
      </c>
    </row>
    <row r="6" spans="1:24" x14ac:dyDescent="0.3">
      <c r="A6" s="1" t="s">
        <v>6</v>
      </c>
      <c r="B6">
        <v>1</v>
      </c>
      <c r="C6">
        <v>2</v>
      </c>
      <c r="D6" s="1" t="s">
        <v>3</v>
      </c>
      <c r="E6">
        <v>2000000</v>
      </c>
      <c r="F6">
        <f t="shared" si="1"/>
        <v>2000000</v>
      </c>
      <c r="G6">
        <v>4000</v>
      </c>
      <c r="H6" t="s">
        <v>2</v>
      </c>
      <c r="I6" s="1" t="s">
        <v>215</v>
      </c>
      <c r="J6" s="1" t="s">
        <v>216</v>
      </c>
      <c r="K6" s="9">
        <v>114</v>
      </c>
      <c r="L6" t="s">
        <v>21</v>
      </c>
      <c r="M6">
        <f t="shared" si="2"/>
        <v>0.114</v>
      </c>
      <c r="N6">
        <f t="shared" si="0"/>
        <v>57</v>
      </c>
    </row>
    <row r="7" spans="1:24" x14ac:dyDescent="0.3">
      <c r="A7" s="1" t="s">
        <v>6</v>
      </c>
      <c r="B7">
        <v>1</v>
      </c>
      <c r="C7">
        <v>1</v>
      </c>
      <c r="D7" s="1" t="s">
        <v>1</v>
      </c>
      <c r="E7">
        <v>27000000</v>
      </c>
      <c r="F7">
        <f t="shared" si="1"/>
        <v>27000000</v>
      </c>
      <c r="G7">
        <v>45000</v>
      </c>
      <c r="H7" t="s">
        <v>2</v>
      </c>
      <c r="I7" s="1" t="s">
        <v>215</v>
      </c>
      <c r="J7" s="1" t="s">
        <v>216</v>
      </c>
      <c r="K7" s="9">
        <v>29</v>
      </c>
      <c r="L7" t="s">
        <v>21</v>
      </c>
      <c r="M7">
        <f t="shared" si="2"/>
        <v>2.9000000000000001E-2</v>
      </c>
      <c r="N7">
        <f t="shared" si="0"/>
        <v>17.399999999999999</v>
      </c>
    </row>
    <row r="8" spans="1:24" x14ac:dyDescent="0.3">
      <c r="A8" s="1" t="s">
        <v>7</v>
      </c>
      <c r="B8">
        <v>1</v>
      </c>
      <c r="C8">
        <v>2</v>
      </c>
      <c r="D8" s="1" t="s">
        <v>3</v>
      </c>
      <c r="E8">
        <v>2000000</v>
      </c>
      <c r="F8">
        <f t="shared" si="1"/>
        <v>2000000</v>
      </c>
      <c r="G8">
        <v>4000</v>
      </c>
      <c r="H8" t="s">
        <v>2</v>
      </c>
      <c r="I8" s="1" t="s">
        <v>215</v>
      </c>
      <c r="J8" s="1" t="s">
        <v>216</v>
      </c>
      <c r="K8" s="9">
        <v>49</v>
      </c>
      <c r="L8" t="s">
        <v>21</v>
      </c>
      <c r="M8">
        <f t="shared" si="2"/>
        <v>4.9000000000000002E-2</v>
      </c>
      <c r="N8">
        <f t="shared" si="0"/>
        <v>24.5</v>
      </c>
    </row>
    <row r="9" spans="1:24" x14ac:dyDescent="0.3">
      <c r="A9" s="1" t="s">
        <v>7</v>
      </c>
      <c r="B9">
        <v>1</v>
      </c>
      <c r="C9">
        <v>1</v>
      </c>
      <c r="D9" s="1" t="s">
        <v>1</v>
      </c>
      <c r="E9">
        <v>27000000</v>
      </c>
      <c r="F9">
        <f t="shared" si="1"/>
        <v>27000000</v>
      </c>
      <c r="G9">
        <v>45000</v>
      </c>
      <c r="H9" t="s">
        <v>2</v>
      </c>
      <c r="I9" s="1" t="s">
        <v>215</v>
      </c>
      <c r="J9" s="1" t="s">
        <v>216</v>
      </c>
      <c r="K9" s="9">
        <v>36.200000000000003</v>
      </c>
      <c r="L9" t="s">
        <v>21</v>
      </c>
      <c r="M9">
        <f t="shared" si="2"/>
        <v>3.6200000000000003E-2</v>
      </c>
      <c r="N9">
        <f t="shared" si="0"/>
        <v>21.720000000000002</v>
      </c>
    </row>
    <row r="10" spans="1:24" x14ac:dyDescent="0.3">
      <c r="A10" s="1" t="s">
        <v>8</v>
      </c>
      <c r="B10">
        <v>1</v>
      </c>
      <c r="C10">
        <v>2</v>
      </c>
      <c r="D10" s="1" t="s">
        <v>3</v>
      </c>
      <c r="E10">
        <v>2000000</v>
      </c>
      <c r="F10">
        <f t="shared" si="1"/>
        <v>2000000</v>
      </c>
      <c r="G10">
        <v>4000</v>
      </c>
      <c r="H10" t="s">
        <v>2</v>
      </c>
      <c r="I10" s="1" t="s">
        <v>215</v>
      </c>
      <c r="J10" s="1" t="s">
        <v>216</v>
      </c>
      <c r="K10" s="9">
        <v>86</v>
      </c>
      <c r="L10" t="s">
        <v>21</v>
      </c>
      <c r="M10">
        <f t="shared" si="2"/>
        <v>8.5999999999999993E-2</v>
      </c>
      <c r="N10">
        <f t="shared" si="0"/>
        <v>43</v>
      </c>
    </row>
    <row r="11" spans="1:24" x14ac:dyDescent="0.3">
      <c r="A11" s="1" t="s">
        <v>8</v>
      </c>
      <c r="B11">
        <v>1</v>
      </c>
      <c r="C11">
        <v>1</v>
      </c>
      <c r="D11" s="1" t="s">
        <v>1</v>
      </c>
      <c r="E11">
        <v>27000000</v>
      </c>
      <c r="F11">
        <f t="shared" si="1"/>
        <v>27000000</v>
      </c>
      <c r="G11">
        <v>45000</v>
      </c>
      <c r="H11" t="s">
        <v>2</v>
      </c>
      <c r="I11" s="1" t="s">
        <v>215</v>
      </c>
      <c r="J11" s="1" t="s">
        <v>216</v>
      </c>
      <c r="K11" s="9">
        <v>47</v>
      </c>
      <c r="L11" t="s">
        <v>21</v>
      </c>
      <c r="M11">
        <f t="shared" si="2"/>
        <v>4.7E-2</v>
      </c>
      <c r="N11">
        <f t="shared" si="0"/>
        <v>28.2</v>
      </c>
    </row>
    <row r="12" spans="1:24" x14ac:dyDescent="0.3">
      <c r="A12" s="1" t="s">
        <v>9</v>
      </c>
      <c r="B12">
        <v>1</v>
      </c>
      <c r="C12">
        <v>2</v>
      </c>
      <c r="D12" s="1" t="s">
        <v>3</v>
      </c>
      <c r="E12">
        <v>2000000</v>
      </c>
      <c r="F12">
        <f t="shared" si="1"/>
        <v>2000000</v>
      </c>
      <c r="G12">
        <v>4000</v>
      </c>
      <c r="H12" t="s">
        <v>2</v>
      </c>
      <c r="I12" s="1" t="s">
        <v>215</v>
      </c>
      <c r="J12" s="1" t="s">
        <v>216</v>
      </c>
      <c r="K12" s="9">
        <v>1357</v>
      </c>
      <c r="L12" t="s">
        <v>21</v>
      </c>
      <c r="M12">
        <f t="shared" si="2"/>
        <v>1.357</v>
      </c>
      <c r="N12">
        <f t="shared" si="0"/>
        <v>678.5</v>
      </c>
    </row>
    <row r="13" spans="1:24" x14ac:dyDescent="0.3">
      <c r="A13" s="1" t="s">
        <v>9</v>
      </c>
      <c r="B13">
        <v>1</v>
      </c>
      <c r="C13">
        <v>1</v>
      </c>
      <c r="D13" s="1" t="s">
        <v>1</v>
      </c>
      <c r="E13">
        <v>27000000</v>
      </c>
      <c r="F13">
        <f t="shared" si="1"/>
        <v>27000000</v>
      </c>
      <c r="G13">
        <v>45000</v>
      </c>
      <c r="H13" t="s">
        <v>2</v>
      </c>
      <c r="I13" s="1" t="s">
        <v>215</v>
      </c>
      <c r="J13" s="1" t="s">
        <v>216</v>
      </c>
      <c r="K13" s="9">
        <v>674</v>
      </c>
      <c r="L13" t="s">
        <v>21</v>
      </c>
      <c r="M13">
        <f t="shared" si="2"/>
        <v>0.67400000000000004</v>
      </c>
      <c r="N13">
        <f t="shared" si="0"/>
        <v>404.4</v>
      </c>
    </row>
    <row r="14" spans="1:24" x14ac:dyDescent="0.3">
      <c r="A14" s="1" t="s">
        <v>10</v>
      </c>
      <c r="B14">
        <v>1</v>
      </c>
      <c r="C14">
        <v>2</v>
      </c>
      <c r="D14" s="1" t="s">
        <v>3</v>
      </c>
      <c r="E14">
        <v>2000000</v>
      </c>
      <c r="F14">
        <f t="shared" si="1"/>
        <v>2000000</v>
      </c>
      <c r="G14">
        <v>4000</v>
      </c>
      <c r="H14" t="s">
        <v>2</v>
      </c>
      <c r="I14" s="1" t="s">
        <v>215</v>
      </c>
      <c r="J14" s="1" t="s">
        <v>216</v>
      </c>
      <c r="K14" s="9">
        <v>66</v>
      </c>
      <c r="L14" t="s">
        <v>21</v>
      </c>
      <c r="M14">
        <f t="shared" si="2"/>
        <v>6.6000000000000003E-2</v>
      </c>
      <c r="N14">
        <f t="shared" si="0"/>
        <v>33</v>
      </c>
    </row>
    <row r="15" spans="1:24" x14ac:dyDescent="0.3">
      <c r="A15" s="1" t="s">
        <v>10</v>
      </c>
      <c r="B15">
        <v>1</v>
      </c>
      <c r="C15">
        <v>1</v>
      </c>
      <c r="D15" s="1" t="s">
        <v>1</v>
      </c>
      <c r="E15">
        <v>27000000</v>
      </c>
      <c r="F15">
        <f t="shared" si="1"/>
        <v>27000000</v>
      </c>
      <c r="G15">
        <v>45000</v>
      </c>
      <c r="H15" t="s">
        <v>2</v>
      </c>
      <c r="I15" s="1" t="s">
        <v>215</v>
      </c>
      <c r="J15" s="1" t="s">
        <v>216</v>
      </c>
      <c r="K15" s="9">
        <v>15.2</v>
      </c>
      <c r="L15" t="s">
        <v>21</v>
      </c>
      <c r="M15">
        <f t="shared" si="2"/>
        <v>1.52E-2</v>
      </c>
      <c r="N15">
        <f t="shared" si="0"/>
        <v>9.1199999999999992</v>
      </c>
    </row>
    <row r="16" spans="1:24" x14ac:dyDescent="0.3">
      <c r="A16" s="1" t="s">
        <v>11</v>
      </c>
      <c r="B16">
        <v>1</v>
      </c>
      <c r="C16">
        <v>2</v>
      </c>
      <c r="D16" s="1" t="s">
        <v>3</v>
      </c>
      <c r="E16">
        <v>2000000</v>
      </c>
      <c r="F16">
        <f t="shared" si="1"/>
        <v>2000000</v>
      </c>
      <c r="G16">
        <v>4000</v>
      </c>
      <c r="H16" t="s">
        <v>2</v>
      </c>
      <c r="I16" s="1" t="s">
        <v>215</v>
      </c>
      <c r="J16" s="1" t="s">
        <v>216</v>
      </c>
      <c r="K16" s="9" t="s">
        <v>20</v>
      </c>
      <c r="L16" t="s">
        <v>21</v>
      </c>
      <c r="M16" t="str">
        <f t="shared" si="2"/>
        <v>ND</v>
      </c>
      <c r="N16" t="str">
        <f t="shared" si="0"/>
        <v>ND</v>
      </c>
    </row>
    <row r="17" spans="1:14" x14ac:dyDescent="0.3">
      <c r="A17" s="1" t="s">
        <v>11</v>
      </c>
      <c r="B17">
        <v>1</v>
      </c>
      <c r="C17">
        <v>1</v>
      </c>
      <c r="D17" s="1" t="s">
        <v>1</v>
      </c>
      <c r="E17">
        <v>27000000</v>
      </c>
      <c r="F17">
        <f t="shared" si="1"/>
        <v>27000000</v>
      </c>
      <c r="G17">
        <v>45000</v>
      </c>
      <c r="H17" t="s">
        <v>2</v>
      </c>
      <c r="I17" s="1" t="s">
        <v>215</v>
      </c>
      <c r="J17" s="1" t="s">
        <v>216</v>
      </c>
      <c r="K17" s="9" t="s">
        <v>20</v>
      </c>
      <c r="L17" t="s">
        <v>21</v>
      </c>
      <c r="M17" t="str">
        <f t="shared" si="2"/>
        <v>ND</v>
      </c>
      <c r="N17" t="str">
        <f t="shared" si="0"/>
        <v>ND</v>
      </c>
    </row>
    <row r="18" spans="1:14" x14ac:dyDescent="0.3">
      <c r="A18" s="1" t="s">
        <v>12</v>
      </c>
      <c r="B18">
        <v>1</v>
      </c>
      <c r="C18">
        <v>2</v>
      </c>
      <c r="D18" s="1" t="s">
        <v>3</v>
      </c>
      <c r="E18">
        <v>2000000</v>
      </c>
      <c r="F18">
        <f t="shared" si="1"/>
        <v>2000000</v>
      </c>
      <c r="G18">
        <v>4000</v>
      </c>
      <c r="H18" t="s">
        <v>2</v>
      </c>
      <c r="I18" s="1" t="s">
        <v>215</v>
      </c>
      <c r="J18" s="1" t="s">
        <v>216</v>
      </c>
      <c r="K18" s="9" t="s">
        <v>20</v>
      </c>
      <c r="L18" t="s">
        <v>21</v>
      </c>
      <c r="M18" t="str">
        <f t="shared" si="2"/>
        <v>ND</v>
      </c>
      <c r="N18" t="str">
        <f t="shared" si="0"/>
        <v>ND</v>
      </c>
    </row>
    <row r="19" spans="1:14" x14ac:dyDescent="0.3">
      <c r="A19" s="1" t="s">
        <v>12</v>
      </c>
      <c r="B19">
        <v>1</v>
      </c>
      <c r="C19">
        <v>1</v>
      </c>
      <c r="D19" s="1" t="s">
        <v>1</v>
      </c>
      <c r="E19">
        <v>27000000</v>
      </c>
      <c r="F19">
        <f t="shared" si="1"/>
        <v>27000000</v>
      </c>
      <c r="G19">
        <v>45000</v>
      </c>
      <c r="H19" t="s">
        <v>2</v>
      </c>
      <c r="I19" s="1" t="s">
        <v>215</v>
      </c>
      <c r="J19" s="1" t="s">
        <v>216</v>
      </c>
      <c r="K19" s="9" t="s">
        <v>20</v>
      </c>
      <c r="L19" t="s">
        <v>21</v>
      </c>
      <c r="M19" t="str">
        <f t="shared" si="2"/>
        <v>ND</v>
      </c>
      <c r="N19" t="str">
        <f t="shared" si="0"/>
        <v>ND</v>
      </c>
    </row>
    <row r="20" spans="1:14" x14ac:dyDescent="0.3">
      <c r="A20" s="1" t="s">
        <v>13</v>
      </c>
      <c r="B20">
        <v>1</v>
      </c>
      <c r="C20">
        <v>2</v>
      </c>
      <c r="D20" s="1" t="s">
        <v>3</v>
      </c>
      <c r="E20">
        <v>2000000</v>
      </c>
      <c r="F20">
        <f t="shared" si="1"/>
        <v>2000000</v>
      </c>
      <c r="G20">
        <v>4000</v>
      </c>
      <c r="H20" t="s">
        <v>2</v>
      </c>
      <c r="I20" s="1" t="s">
        <v>215</v>
      </c>
      <c r="J20" s="1" t="s">
        <v>216</v>
      </c>
      <c r="K20" s="9">
        <v>32</v>
      </c>
      <c r="L20" t="s">
        <v>21</v>
      </c>
      <c r="M20">
        <f t="shared" si="2"/>
        <v>3.2000000000000001E-2</v>
      </c>
      <c r="N20">
        <f t="shared" si="0"/>
        <v>16</v>
      </c>
    </row>
    <row r="21" spans="1:14" x14ac:dyDescent="0.3">
      <c r="A21" s="1" t="s">
        <v>13</v>
      </c>
      <c r="B21">
        <v>1</v>
      </c>
      <c r="C21">
        <v>1</v>
      </c>
      <c r="D21" s="1" t="s">
        <v>1</v>
      </c>
      <c r="E21">
        <v>27000000</v>
      </c>
      <c r="F21">
        <f t="shared" si="1"/>
        <v>27000000</v>
      </c>
      <c r="G21">
        <v>45000</v>
      </c>
      <c r="H21" t="s">
        <v>2</v>
      </c>
      <c r="I21" s="1" t="s">
        <v>215</v>
      </c>
      <c r="J21" s="1" t="s">
        <v>216</v>
      </c>
      <c r="K21" s="9">
        <v>34.1</v>
      </c>
      <c r="L21" t="s">
        <v>21</v>
      </c>
      <c r="M21">
        <f t="shared" si="2"/>
        <v>3.4099999999999998E-2</v>
      </c>
      <c r="N21">
        <f t="shared" si="0"/>
        <v>20.46</v>
      </c>
    </row>
    <row r="22" spans="1:14" x14ac:dyDescent="0.3">
      <c r="A22" s="1" t="s">
        <v>14</v>
      </c>
      <c r="B22">
        <v>1</v>
      </c>
      <c r="C22">
        <v>2</v>
      </c>
      <c r="D22" s="1" t="s">
        <v>3</v>
      </c>
      <c r="E22">
        <v>2000000</v>
      </c>
      <c r="F22">
        <f t="shared" si="1"/>
        <v>2000000</v>
      </c>
      <c r="G22">
        <v>4000</v>
      </c>
      <c r="H22" t="s">
        <v>2</v>
      </c>
      <c r="I22" s="1" t="s">
        <v>215</v>
      </c>
      <c r="J22" s="1" t="s">
        <v>216</v>
      </c>
      <c r="K22" s="9">
        <v>36</v>
      </c>
      <c r="L22" t="s">
        <v>21</v>
      </c>
      <c r="M22">
        <f t="shared" si="2"/>
        <v>3.5999999999999997E-2</v>
      </c>
      <c r="N22">
        <f t="shared" si="0"/>
        <v>18</v>
      </c>
    </row>
    <row r="23" spans="1:14" x14ac:dyDescent="0.3">
      <c r="A23" s="1" t="s">
        <v>14</v>
      </c>
      <c r="B23">
        <v>1</v>
      </c>
      <c r="C23">
        <v>1</v>
      </c>
      <c r="D23" s="1" t="s">
        <v>1</v>
      </c>
      <c r="E23">
        <v>27000000</v>
      </c>
      <c r="F23">
        <f t="shared" si="1"/>
        <v>27000000</v>
      </c>
      <c r="G23">
        <v>45000</v>
      </c>
      <c r="H23" t="s">
        <v>2</v>
      </c>
      <c r="I23" s="1" t="s">
        <v>215</v>
      </c>
      <c r="J23" s="1" t="s">
        <v>216</v>
      </c>
      <c r="K23" s="9">
        <v>15.6</v>
      </c>
      <c r="L23" t="s">
        <v>21</v>
      </c>
      <c r="M23">
        <f t="shared" si="2"/>
        <v>1.5599999999999999E-2</v>
      </c>
      <c r="N23">
        <f t="shared" si="0"/>
        <v>9.36</v>
      </c>
    </row>
    <row r="24" spans="1:14" x14ac:dyDescent="0.3">
      <c r="A24" s="1" t="s">
        <v>15</v>
      </c>
      <c r="B24">
        <v>1</v>
      </c>
      <c r="C24">
        <v>2</v>
      </c>
      <c r="D24" s="1" t="s">
        <v>3</v>
      </c>
      <c r="E24">
        <v>2000000</v>
      </c>
      <c r="F24">
        <f t="shared" si="1"/>
        <v>2000000</v>
      </c>
      <c r="G24">
        <v>4000</v>
      </c>
      <c r="H24" t="s">
        <v>2</v>
      </c>
      <c r="I24" s="1" t="s">
        <v>215</v>
      </c>
      <c r="J24" s="1" t="s">
        <v>216</v>
      </c>
      <c r="K24" s="9">
        <v>30</v>
      </c>
      <c r="L24" t="s">
        <v>21</v>
      </c>
      <c r="M24">
        <f t="shared" si="2"/>
        <v>0.03</v>
      </c>
      <c r="N24">
        <f t="shared" si="0"/>
        <v>15</v>
      </c>
    </row>
    <row r="25" spans="1:14" x14ac:dyDescent="0.3">
      <c r="A25" s="1" t="s">
        <v>15</v>
      </c>
      <c r="B25">
        <v>1</v>
      </c>
      <c r="C25">
        <v>1</v>
      </c>
      <c r="D25" s="1" t="s">
        <v>1</v>
      </c>
      <c r="E25">
        <v>27000000</v>
      </c>
      <c r="F25">
        <f t="shared" si="1"/>
        <v>27000000</v>
      </c>
      <c r="G25">
        <v>45000</v>
      </c>
      <c r="H25" t="s">
        <v>2</v>
      </c>
      <c r="I25" s="1" t="s">
        <v>215</v>
      </c>
      <c r="J25" s="1" t="s">
        <v>216</v>
      </c>
      <c r="K25" s="9">
        <v>12</v>
      </c>
      <c r="L25" t="s">
        <v>21</v>
      </c>
      <c r="M25">
        <f t="shared" si="2"/>
        <v>1.2E-2</v>
      </c>
      <c r="N25">
        <f t="shared" si="0"/>
        <v>7.2</v>
      </c>
    </row>
    <row r="26" spans="1:14" x14ac:dyDescent="0.3">
      <c r="A26" s="1" t="s">
        <v>16</v>
      </c>
      <c r="B26">
        <v>1</v>
      </c>
      <c r="C26">
        <v>2</v>
      </c>
      <c r="D26" s="1" t="s">
        <v>3</v>
      </c>
      <c r="E26">
        <v>2000000</v>
      </c>
      <c r="F26">
        <f t="shared" si="1"/>
        <v>2000000</v>
      </c>
      <c r="G26">
        <v>4000</v>
      </c>
      <c r="H26" t="s">
        <v>2</v>
      </c>
      <c r="I26" s="1" t="s">
        <v>215</v>
      </c>
      <c r="J26" s="1" t="s">
        <v>216</v>
      </c>
      <c r="K26" s="9" t="s">
        <v>20</v>
      </c>
      <c r="L26" t="s">
        <v>21</v>
      </c>
      <c r="M26" t="str">
        <f t="shared" si="2"/>
        <v>ND</v>
      </c>
      <c r="N26" t="str">
        <f t="shared" si="0"/>
        <v>ND</v>
      </c>
    </row>
    <row r="27" spans="1:14" x14ac:dyDescent="0.3">
      <c r="A27" s="1" t="s">
        <v>16</v>
      </c>
      <c r="B27">
        <v>1</v>
      </c>
      <c r="C27">
        <v>1</v>
      </c>
      <c r="D27" s="1" t="s">
        <v>1</v>
      </c>
      <c r="E27">
        <v>27000000</v>
      </c>
      <c r="F27">
        <f t="shared" si="1"/>
        <v>27000000</v>
      </c>
      <c r="G27">
        <v>45000</v>
      </c>
      <c r="H27" t="s">
        <v>2</v>
      </c>
      <c r="I27" s="1" t="s">
        <v>215</v>
      </c>
      <c r="J27" s="1" t="s">
        <v>216</v>
      </c>
      <c r="K27" s="9" t="s">
        <v>20</v>
      </c>
      <c r="L27" t="s">
        <v>21</v>
      </c>
      <c r="M27" t="str">
        <f t="shared" si="2"/>
        <v>ND</v>
      </c>
      <c r="N27" t="str">
        <f t="shared" si="0"/>
        <v>ND</v>
      </c>
    </row>
    <row r="28" spans="1:14" x14ac:dyDescent="0.3">
      <c r="A28" s="1" t="s">
        <v>17</v>
      </c>
      <c r="B28">
        <v>1</v>
      </c>
      <c r="C28">
        <v>2</v>
      </c>
      <c r="D28" s="1" t="s">
        <v>3</v>
      </c>
      <c r="E28">
        <v>2000000</v>
      </c>
      <c r="F28">
        <f t="shared" si="1"/>
        <v>2000000</v>
      </c>
      <c r="G28">
        <v>4000</v>
      </c>
      <c r="H28" t="s">
        <v>2</v>
      </c>
      <c r="I28" s="1" t="s">
        <v>215</v>
      </c>
      <c r="J28" s="1" t="s">
        <v>216</v>
      </c>
      <c r="K28" s="9">
        <v>991</v>
      </c>
      <c r="L28" t="s">
        <v>21</v>
      </c>
      <c r="M28">
        <f t="shared" si="2"/>
        <v>0.99099999999999999</v>
      </c>
      <c r="N28">
        <f t="shared" si="0"/>
        <v>495.5</v>
      </c>
    </row>
    <row r="29" spans="1:14" x14ac:dyDescent="0.3">
      <c r="A29" s="1" t="s">
        <v>17</v>
      </c>
      <c r="B29">
        <v>1</v>
      </c>
      <c r="C29">
        <v>1</v>
      </c>
      <c r="D29" s="1" t="s">
        <v>1</v>
      </c>
      <c r="E29">
        <v>27000000</v>
      </c>
      <c r="F29">
        <f t="shared" si="1"/>
        <v>27000000</v>
      </c>
      <c r="G29">
        <v>45000</v>
      </c>
      <c r="H29" t="s">
        <v>2</v>
      </c>
      <c r="I29" s="1" t="s">
        <v>215</v>
      </c>
      <c r="J29" s="1" t="s">
        <v>216</v>
      </c>
      <c r="K29" s="9">
        <v>530</v>
      </c>
      <c r="L29" t="s">
        <v>21</v>
      </c>
      <c r="M29">
        <f t="shared" si="2"/>
        <v>0.53</v>
      </c>
      <c r="N29">
        <f t="shared" si="0"/>
        <v>318</v>
      </c>
    </row>
    <row r="30" spans="1:14" x14ac:dyDescent="0.3">
      <c r="A30" s="1" t="s">
        <v>18</v>
      </c>
      <c r="B30">
        <v>1</v>
      </c>
      <c r="C30">
        <v>2</v>
      </c>
      <c r="D30" s="1" t="s">
        <v>3</v>
      </c>
      <c r="E30">
        <v>2000000</v>
      </c>
      <c r="F30">
        <f t="shared" si="1"/>
        <v>2000000</v>
      </c>
      <c r="G30">
        <v>4000</v>
      </c>
      <c r="H30" t="s">
        <v>2</v>
      </c>
      <c r="I30" s="1" t="s">
        <v>215</v>
      </c>
      <c r="J30" s="1" t="s">
        <v>216</v>
      </c>
      <c r="K30" s="9" t="s">
        <v>20</v>
      </c>
      <c r="L30" t="s">
        <v>21</v>
      </c>
      <c r="M30" t="str">
        <f t="shared" si="2"/>
        <v>ND</v>
      </c>
      <c r="N30" t="str">
        <f t="shared" si="0"/>
        <v>ND</v>
      </c>
    </row>
    <row r="31" spans="1:14" x14ac:dyDescent="0.3">
      <c r="A31" s="1" t="s">
        <v>18</v>
      </c>
      <c r="B31">
        <v>1</v>
      </c>
      <c r="C31">
        <v>1</v>
      </c>
      <c r="D31" s="1" t="s">
        <v>1</v>
      </c>
      <c r="E31">
        <v>27000000</v>
      </c>
      <c r="F31">
        <f t="shared" si="1"/>
        <v>27000000</v>
      </c>
      <c r="G31">
        <v>45000</v>
      </c>
      <c r="H31" t="s">
        <v>2</v>
      </c>
      <c r="I31" s="1" t="s">
        <v>215</v>
      </c>
      <c r="J31" s="1" t="s">
        <v>216</v>
      </c>
      <c r="K31" s="9" t="s">
        <v>20</v>
      </c>
      <c r="L31" t="s">
        <v>21</v>
      </c>
      <c r="M31" t="str">
        <f t="shared" si="2"/>
        <v>ND</v>
      </c>
      <c r="N31" t="str">
        <f t="shared" si="0"/>
        <v>ND</v>
      </c>
    </row>
    <row r="32" spans="1:14" x14ac:dyDescent="0.3">
      <c r="A32" s="1" t="s">
        <v>19</v>
      </c>
      <c r="B32">
        <v>1</v>
      </c>
      <c r="C32">
        <v>2</v>
      </c>
      <c r="D32" s="1" t="s">
        <v>3</v>
      </c>
      <c r="E32">
        <v>2000000</v>
      </c>
      <c r="F32">
        <f t="shared" si="1"/>
        <v>2000000</v>
      </c>
      <c r="G32">
        <v>4000</v>
      </c>
      <c r="H32" t="s">
        <v>2</v>
      </c>
      <c r="I32" s="1" t="s">
        <v>215</v>
      </c>
      <c r="J32" s="1" t="s">
        <v>216</v>
      </c>
      <c r="K32" s="9">
        <v>159</v>
      </c>
      <c r="L32" t="s">
        <v>21</v>
      </c>
      <c r="M32">
        <f t="shared" si="2"/>
        <v>0.159</v>
      </c>
      <c r="N32">
        <f t="shared" si="0"/>
        <v>79.5</v>
      </c>
    </row>
    <row r="33" spans="1:14" x14ac:dyDescent="0.3">
      <c r="A33" s="1" t="s">
        <v>19</v>
      </c>
      <c r="B33">
        <v>1</v>
      </c>
      <c r="C33">
        <v>1</v>
      </c>
      <c r="D33" s="1" t="s">
        <v>1</v>
      </c>
      <c r="E33">
        <v>27000000</v>
      </c>
      <c r="F33">
        <f t="shared" si="1"/>
        <v>27000000</v>
      </c>
      <c r="G33">
        <v>45000</v>
      </c>
      <c r="H33" t="s">
        <v>2</v>
      </c>
      <c r="I33" s="1" t="s">
        <v>215</v>
      </c>
      <c r="J33" s="1" t="s">
        <v>216</v>
      </c>
      <c r="K33" s="9">
        <v>114</v>
      </c>
      <c r="L33" t="s">
        <v>21</v>
      </c>
      <c r="M33">
        <f t="shared" si="2"/>
        <v>0.114</v>
      </c>
      <c r="N33">
        <f t="shared" si="0"/>
        <v>68.400000000000006</v>
      </c>
    </row>
    <row r="34" spans="1:14" x14ac:dyDescent="0.3">
      <c r="A34" s="1" t="s">
        <v>17</v>
      </c>
      <c r="B34">
        <v>1</v>
      </c>
      <c r="C34">
        <v>1</v>
      </c>
      <c r="D34" s="1" t="s">
        <v>1</v>
      </c>
      <c r="E34">
        <v>27000000</v>
      </c>
      <c r="F34">
        <f t="shared" si="1"/>
        <v>27000000</v>
      </c>
      <c r="G34">
        <v>45000</v>
      </c>
      <c r="H34" t="s">
        <v>2</v>
      </c>
      <c r="I34" s="1" t="s">
        <v>215</v>
      </c>
      <c r="J34" s="1" t="s">
        <v>217</v>
      </c>
      <c r="K34" s="9">
        <v>103</v>
      </c>
      <c r="L34" t="s">
        <v>21</v>
      </c>
      <c r="M34">
        <f t="shared" si="2"/>
        <v>0.10299999999999999</v>
      </c>
      <c r="N34">
        <f t="shared" si="0"/>
        <v>61.8</v>
      </c>
    </row>
    <row r="35" spans="1:14" x14ac:dyDescent="0.3">
      <c r="A35" s="1" t="s">
        <v>4</v>
      </c>
      <c r="B35">
        <v>1</v>
      </c>
      <c r="C35">
        <v>1</v>
      </c>
      <c r="D35" s="1" t="s">
        <v>1</v>
      </c>
      <c r="E35">
        <v>27000000</v>
      </c>
      <c r="F35">
        <f t="shared" si="1"/>
        <v>27000000</v>
      </c>
      <c r="G35">
        <v>45000</v>
      </c>
      <c r="H35" t="s">
        <v>2</v>
      </c>
      <c r="I35" s="1" t="s">
        <v>215</v>
      </c>
      <c r="J35" s="1" t="s">
        <v>217</v>
      </c>
      <c r="K35" s="9">
        <v>35.299999999999997</v>
      </c>
      <c r="L35" t="s">
        <v>21</v>
      </c>
      <c r="M35">
        <f t="shared" si="2"/>
        <v>3.5299999999999998E-2</v>
      </c>
      <c r="N35">
        <f t="shared" si="0"/>
        <v>21.18</v>
      </c>
    </row>
    <row r="36" spans="1:14" x14ac:dyDescent="0.3">
      <c r="A36" s="1" t="s">
        <v>5</v>
      </c>
      <c r="B36">
        <v>1</v>
      </c>
      <c r="C36">
        <v>1</v>
      </c>
      <c r="D36" s="1" t="s">
        <v>1</v>
      </c>
      <c r="E36">
        <v>27000000</v>
      </c>
      <c r="F36">
        <f t="shared" si="1"/>
        <v>27000000</v>
      </c>
      <c r="G36">
        <v>45000</v>
      </c>
      <c r="H36" t="s">
        <v>2</v>
      </c>
      <c r="I36" s="1" t="s">
        <v>215</v>
      </c>
      <c r="J36" s="1" t="s">
        <v>217</v>
      </c>
      <c r="K36" s="9">
        <v>19</v>
      </c>
      <c r="L36" t="s">
        <v>21</v>
      </c>
      <c r="M36">
        <f t="shared" si="2"/>
        <v>1.9E-2</v>
      </c>
      <c r="N36">
        <f t="shared" si="0"/>
        <v>11.4</v>
      </c>
    </row>
    <row r="37" spans="1:14" x14ac:dyDescent="0.3">
      <c r="A37" s="1" t="s">
        <v>8</v>
      </c>
      <c r="B37">
        <v>1</v>
      </c>
      <c r="C37">
        <v>1</v>
      </c>
      <c r="D37" s="1" t="s">
        <v>1</v>
      </c>
      <c r="E37">
        <v>27000000</v>
      </c>
      <c r="F37">
        <f t="shared" si="1"/>
        <v>27000000</v>
      </c>
      <c r="G37">
        <v>45000</v>
      </c>
      <c r="H37" t="s">
        <v>2</v>
      </c>
      <c r="I37" s="1" t="s">
        <v>215</v>
      </c>
      <c r="J37" s="1" t="s">
        <v>217</v>
      </c>
      <c r="K37" s="9">
        <v>9.9</v>
      </c>
      <c r="L37" t="s">
        <v>21</v>
      </c>
      <c r="M37">
        <f t="shared" si="2"/>
        <v>9.9000000000000008E-3</v>
      </c>
      <c r="N37">
        <f t="shared" si="0"/>
        <v>5.94</v>
      </c>
    </row>
    <row r="38" spans="1:14" x14ac:dyDescent="0.3">
      <c r="A38" s="1" t="s">
        <v>13</v>
      </c>
      <c r="B38">
        <v>1</v>
      </c>
      <c r="C38">
        <v>1</v>
      </c>
      <c r="D38" s="1" t="s">
        <v>1</v>
      </c>
      <c r="E38">
        <v>27000000</v>
      </c>
      <c r="F38">
        <f t="shared" si="1"/>
        <v>27000000</v>
      </c>
      <c r="G38">
        <v>45000</v>
      </c>
      <c r="H38" t="s">
        <v>2</v>
      </c>
      <c r="I38" s="1" t="s">
        <v>215</v>
      </c>
      <c r="J38" s="1" t="s">
        <v>217</v>
      </c>
      <c r="K38" s="9" t="s">
        <v>20</v>
      </c>
      <c r="L38" t="s">
        <v>21</v>
      </c>
      <c r="M38" t="str">
        <f t="shared" si="2"/>
        <v>ND</v>
      </c>
      <c r="N38" t="str">
        <f t="shared" si="0"/>
        <v>ND</v>
      </c>
    </row>
    <row r="39" spans="1:14" x14ac:dyDescent="0.3">
      <c r="A39" s="1" t="s">
        <v>9</v>
      </c>
      <c r="B39">
        <v>1</v>
      </c>
      <c r="C39">
        <v>1</v>
      </c>
      <c r="D39" s="1" t="s">
        <v>1</v>
      </c>
      <c r="E39">
        <v>27000000</v>
      </c>
      <c r="F39">
        <f t="shared" si="1"/>
        <v>27000000</v>
      </c>
      <c r="G39">
        <v>45000</v>
      </c>
      <c r="H39" t="s">
        <v>2</v>
      </c>
      <c r="I39" s="1" t="s">
        <v>215</v>
      </c>
      <c r="J39" s="1" t="s">
        <v>217</v>
      </c>
      <c r="K39" s="9">
        <v>303</v>
      </c>
      <c r="L39" t="s">
        <v>21</v>
      </c>
      <c r="M39">
        <f t="shared" si="2"/>
        <v>0.30299999999999999</v>
      </c>
      <c r="N39">
        <f t="shared" si="0"/>
        <v>181.8</v>
      </c>
    </row>
    <row r="40" spans="1:14" x14ac:dyDescent="0.3">
      <c r="A40" t="s">
        <v>23</v>
      </c>
      <c r="B40">
        <v>2</v>
      </c>
      <c r="C40">
        <v>3</v>
      </c>
      <c r="D40">
        <v>4</v>
      </c>
      <c r="E40">
        <v>3350000</v>
      </c>
      <c r="F40">
        <f>E40*3.78541</f>
        <v>12681123.5</v>
      </c>
      <c r="G40">
        <f>F40/310.404</f>
        <v>40853.608523086041</v>
      </c>
      <c r="H40" t="s">
        <v>22</v>
      </c>
      <c r="I40" s="1" t="s">
        <v>218</v>
      </c>
      <c r="J40" s="1" t="s">
        <v>216</v>
      </c>
      <c r="K40">
        <v>25662</v>
      </c>
      <c r="L40" t="s">
        <v>21</v>
      </c>
      <c r="M40">
        <f>IFERROR(K40/1000,"ND")</f>
        <v>25.661999999999999</v>
      </c>
      <c r="N40">
        <f t="shared" si="0"/>
        <v>7965.5874479999993</v>
      </c>
    </row>
    <row r="41" spans="1:14" x14ac:dyDescent="0.3">
      <c r="A41" t="s">
        <v>24</v>
      </c>
      <c r="B41">
        <v>2</v>
      </c>
      <c r="C41">
        <v>3</v>
      </c>
      <c r="D41">
        <v>4</v>
      </c>
      <c r="E41">
        <v>3350000</v>
      </c>
      <c r="F41">
        <f t="shared" ref="F41:F104" si="3">E41*3.78541</f>
        <v>12681123.5</v>
      </c>
      <c r="G41">
        <f t="shared" ref="G41:G104" si="4">F41/310.404</f>
        <v>40853.608523086041</v>
      </c>
      <c r="H41" t="s">
        <v>22</v>
      </c>
      <c r="I41" s="1" t="s">
        <v>218</v>
      </c>
      <c r="J41" s="1" t="s">
        <v>216</v>
      </c>
      <c r="K41">
        <v>24</v>
      </c>
      <c r="L41" t="s">
        <v>21</v>
      </c>
      <c r="M41">
        <f t="shared" ref="M41:M104" si="5">IFERROR(K41/1000,"ND")</f>
        <v>2.4E-2</v>
      </c>
      <c r="N41">
        <f t="shared" si="0"/>
        <v>7.4496959999999994</v>
      </c>
    </row>
    <row r="42" spans="1:14" x14ac:dyDescent="0.3">
      <c r="A42" t="s">
        <v>25</v>
      </c>
      <c r="B42">
        <v>2</v>
      </c>
      <c r="C42">
        <v>3</v>
      </c>
      <c r="D42">
        <v>4</v>
      </c>
      <c r="E42">
        <v>3350000</v>
      </c>
      <c r="F42">
        <f t="shared" si="3"/>
        <v>12681123.5</v>
      </c>
      <c r="G42">
        <f t="shared" si="4"/>
        <v>40853.608523086041</v>
      </c>
      <c r="H42" t="s">
        <v>22</v>
      </c>
      <c r="I42" s="1" t="s">
        <v>218</v>
      </c>
      <c r="J42" s="1" t="s">
        <v>216</v>
      </c>
      <c r="K42" t="s">
        <v>20</v>
      </c>
      <c r="L42" t="s">
        <v>21</v>
      </c>
      <c r="M42" t="str">
        <f t="shared" si="5"/>
        <v>ND</v>
      </c>
      <c r="N42" t="str">
        <f t="shared" si="0"/>
        <v>ND</v>
      </c>
    </row>
    <row r="43" spans="1:14" x14ac:dyDescent="0.3">
      <c r="A43" t="s">
        <v>26</v>
      </c>
      <c r="B43">
        <v>2</v>
      </c>
      <c r="C43">
        <v>3</v>
      </c>
      <c r="D43">
        <v>4</v>
      </c>
      <c r="E43">
        <v>3350000</v>
      </c>
      <c r="F43">
        <f t="shared" si="3"/>
        <v>12681123.5</v>
      </c>
      <c r="G43">
        <f t="shared" si="4"/>
        <v>40853.608523086041</v>
      </c>
      <c r="H43" t="s">
        <v>22</v>
      </c>
      <c r="I43" s="1" t="s">
        <v>218</v>
      </c>
      <c r="J43" s="1" t="s">
        <v>216</v>
      </c>
      <c r="K43">
        <v>93</v>
      </c>
      <c r="L43" t="s">
        <v>21</v>
      </c>
      <c r="M43">
        <f t="shared" si="5"/>
        <v>9.2999999999999999E-2</v>
      </c>
      <c r="N43">
        <f t="shared" si="0"/>
        <v>28.867571999999999</v>
      </c>
    </row>
    <row r="44" spans="1:14" x14ac:dyDescent="0.3">
      <c r="A44" t="s">
        <v>27</v>
      </c>
      <c r="B44">
        <v>2</v>
      </c>
      <c r="C44">
        <v>3</v>
      </c>
      <c r="D44">
        <v>4</v>
      </c>
      <c r="E44">
        <v>3350000</v>
      </c>
      <c r="F44">
        <f t="shared" si="3"/>
        <v>12681123.5</v>
      </c>
      <c r="G44">
        <f t="shared" si="4"/>
        <v>40853.608523086041</v>
      </c>
      <c r="H44" t="s">
        <v>22</v>
      </c>
      <c r="I44" s="1" t="s">
        <v>218</v>
      </c>
      <c r="J44" s="1" t="s">
        <v>216</v>
      </c>
      <c r="K44">
        <v>97</v>
      </c>
      <c r="L44" t="s">
        <v>21</v>
      </c>
      <c r="M44">
        <f t="shared" si="5"/>
        <v>9.7000000000000003E-2</v>
      </c>
      <c r="N44">
        <f t="shared" si="0"/>
        <v>30.109188000000003</v>
      </c>
    </row>
    <row r="45" spans="1:14" x14ac:dyDescent="0.3">
      <c r="A45" t="s">
        <v>28</v>
      </c>
      <c r="B45">
        <v>2</v>
      </c>
      <c r="C45">
        <v>3</v>
      </c>
      <c r="D45">
        <v>4</v>
      </c>
      <c r="E45">
        <v>3350000</v>
      </c>
      <c r="F45">
        <f t="shared" si="3"/>
        <v>12681123.5</v>
      </c>
      <c r="G45">
        <f t="shared" si="4"/>
        <v>40853.608523086041</v>
      </c>
      <c r="H45" t="s">
        <v>22</v>
      </c>
      <c r="I45" s="1" t="s">
        <v>218</v>
      </c>
      <c r="J45" s="1" t="s">
        <v>216</v>
      </c>
      <c r="K45">
        <v>1226</v>
      </c>
      <c r="L45" t="s">
        <v>21</v>
      </c>
      <c r="M45">
        <f t="shared" si="5"/>
        <v>1.226</v>
      </c>
      <c r="N45">
        <f t="shared" si="0"/>
        <v>380.55530400000004</v>
      </c>
    </row>
    <row r="46" spans="1:14" x14ac:dyDescent="0.3">
      <c r="A46" t="s">
        <v>29</v>
      </c>
      <c r="B46">
        <v>2</v>
      </c>
      <c r="C46">
        <v>3</v>
      </c>
      <c r="D46">
        <v>4</v>
      </c>
      <c r="E46">
        <v>3350000</v>
      </c>
      <c r="F46">
        <f t="shared" si="3"/>
        <v>12681123.5</v>
      </c>
      <c r="G46">
        <f t="shared" si="4"/>
        <v>40853.608523086041</v>
      </c>
      <c r="H46" t="s">
        <v>22</v>
      </c>
      <c r="I46" s="1" t="s">
        <v>218</v>
      </c>
      <c r="J46" s="1" t="s">
        <v>216</v>
      </c>
      <c r="K46">
        <v>146</v>
      </c>
      <c r="L46" t="s">
        <v>21</v>
      </c>
      <c r="M46">
        <f t="shared" si="5"/>
        <v>0.14599999999999999</v>
      </c>
      <c r="N46">
        <f t="shared" si="0"/>
        <v>45.318984</v>
      </c>
    </row>
    <row r="47" spans="1:14" x14ac:dyDescent="0.3">
      <c r="A47" t="s">
        <v>30</v>
      </c>
      <c r="B47">
        <v>2</v>
      </c>
      <c r="C47">
        <v>3</v>
      </c>
      <c r="D47">
        <v>4</v>
      </c>
      <c r="E47">
        <v>3350000</v>
      </c>
      <c r="F47">
        <f t="shared" si="3"/>
        <v>12681123.5</v>
      </c>
      <c r="G47">
        <f t="shared" si="4"/>
        <v>40853.608523086041</v>
      </c>
      <c r="H47" t="s">
        <v>22</v>
      </c>
      <c r="I47" s="1" t="s">
        <v>218</v>
      </c>
      <c r="J47" s="1" t="s">
        <v>216</v>
      </c>
      <c r="K47">
        <v>13</v>
      </c>
      <c r="L47" t="s">
        <v>21</v>
      </c>
      <c r="M47">
        <f t="shared" si="5"/>
        <v>1.2999999999999999E-2</v>
      </c>
      <c r="N47">
        <f t="shared" si="0"/>
        <v>4.0352520000000007</v>
      </c>
    </row>
    <row r="48" spans="1:14" x14ac:dyDescent="0.3">
      <c r="A48" t="s">
        <v>31</v>
      </c>
      <c r="B48">
        <v>2</v>
      </c>
      <c r="C48">
        <v>3</v>
      </c>
      <c r="D48">
        <v>4</v>
      </c>
      <c r="E48">
        <v>3350000</v>
      </c>
      <c r="F48">
        <f t="shared" si="3"/>
        <v>12681123.5</v>
      </c>
      <c r="G48">
        <f t="shared" si="4"/>
        <v>40853.608523086041</v>
      </c>
      <c r="H48" t="s">
        <v>22</v>
      </c>
      <c r="I48" s="1" t="s">
        <v>218</v>
      </c>
      <c r="J48" s="1" t="s">
        <v>216</v>
      </c>
      <c r="K48">
        <v>74</v>
      </c>
      <c r="L48" t="s">
        <v>21</v>
      </c>
      <c r="M48">
        <f t="shared" si="5"/>
        <v>7.3999999999999996E-2</v>
      </c>
      <c r="N48">
        <f t="shared" si="0"/>
        <v>22.969895999999999</v>
      </c>
    </row>
    <row r="49" spans="1:14" x14ac:dyDescent="0.3">
      <c r="A49" t="s">
        <v>32</v>
      </c>
      <c r="B49">
        <v>2</v>
      </c>
      <c r="C49">
        <v>3</v>
      </c>
      <c r="D49">
        <v>4</v>
      </c>
      <c r="E49">
        <v>3350000</v>
      </c>
      <c r="F49">
        <f t="shared" si="3"/>
        <v>12681123.5</v>
      </c>
      <c r="G49">
        <f t="shared" si="4"/>
        <v>40853.608523086041</v>
      </c>
      <c r="H49" t="s">
        <v>22</v>
      </c>
      <c r="I49" s="1" t="s">
        <v>218</v>
      </c>
      <c r="J49" s="1" t="s">
        <v>216</v>
      </c>
      <c r="K49" t="s">
        <v>20</v>
      </c>
      <c r="L49" t="s">
        <v>21</v>
      </c>
      <c r="M49" t="str">
        <f t="shared" si="5"/>
        <v>ND</v>
      </c>
      <c r="N49" t="str">
        <f t="shared" si="0"/>
        <v>ND</v>
      </c>
    </row>
    <row r="50" spans="1:14" x14ac:dyDescent="0.3">
      <c r="A50" t="s">
        <v>19</v>
      </c>
      <c r="B50">
        <v>2</v>
      </c>
      <c r="C50">
        <v>3</v>
      </c>
      <c r="D50">
        <v>4</v>
      </c>
      <c r="E50">
        <v>3350000</v>
      </c>
      <c r="F50">
        <f t="shared" si="3"/>
        <v>12681123.5</v>
      </c>
      <c r="G50">
        <f t="shared" si="4"/>
        <v>40853.608523086041</v>
      </c>
      <c r="H50" t="s">
        <v>22</v>
      </c>
      <c r="I50" s="1" t="s">
        <v>218</v>
      </c>
      <c r="J50" s="1" t="s">
        <v>216</v>
      </c>
      <c r="K50" t="s">
        <v>20</v>
      </c>
      <c r="L50" t="s">
        <v>21</v>
      </c>
      <c r="M50" t="str">
        <f t="shared" si="5"/>
        <v>ND</v>
      </c>
      <c r="N50" t="str">
        <f t="shared" si="0"/>
        <v>ND</v>
      </c>
    </row>
    <row r="51" spans="1:14" x14ac:dyDescent="0.3">
      <c r="A51" t="s">
        <v>33</v>
      </c>
      <c r="B51">
        <v>2</v>
      </c>
      <c r="C51">
        <v>3</v>
      </c>
      <c r="D51">
        <v>4</v>
      </c>
      <c r="E51">
        <v>3350000</v>
      </c>
      <c r="F51">
        <f t="shared" si="3"/>
        <v>12681123.5</v>
      </c>
      <c r="G51">
        <f t="shared" si="4"/>
        <v>40853.608523086041</v>
      </c>
      <c r="H51" t="s">
        <v>22</v>
      </c>
      <c r="I51" s="1" t="s">
        <v>218</v>
      </c>
      <c r="J51" s="1" t="s">
        <v>216</v>
      </c>
      <c r="K51" t="s">
        <v>20</v>
      </c>
      <c r="L51" t="s">
        <v>21</v>
      </c>
      <c r="M51" t="str">
        <f t="shared" si="5"/>
        <v>ND</v>
      </c>
      <c r="N51" t="str">
        <f t="shared" si="0"/>
        <v>ND</v>
      </c>
    </row>
    <row r="52" spans="1:14" x14ac:dyDescent="0.3">
      <c r="A52" t="s">
        <v>34</v>
      </c>
      <c r="B52">
        <v>2</v>
      </c>
      <c r="C52">
        <v>3</v>
      </c>
      <c r="D52">
        <v>4</v>
      </c>
      <c r="E52">
        <v>3350000</v>
      </c>
      <c r="F52">
        <f t="shared" si="3"/>
        <v>12681123.5</v>
      </c>
      <c r="G52">
        <f t="shared" si="4"/>
        <v>40853.608523086041</v>
      </c>
      <c r="H52" t="s">
        <v>22</v>
      </c>
      <c r="I52" s="1" t="s">
        <v>218</v>
      </c>
      <c r="J52" s="1" t="s">
        <v>216</v>
      </c>
      <c r="K52" t="s">
        <v>20</v>
      </c>
      <c r="L52" t="s">
        <v>21</v>
      </c>
      <c r="M52" t="str">
        <f t="shared" si="5"/>
        <v>ND</v>
      </c>
      <c r="N52" t="str">
        <f t="shared" si="0"/>
        <v>ND</v>
      </c>
    </row>
    <row r="53" spans="1:14" x14ac:dyDescent="0.3">
      <c r="A53" t="s">
        <v>35</v>
      </c>
      <c r="B53">
        <v>2</v>
      </c>
      <c r="C53">
        <v>3</v>
      </c>
      <c r="D53">
        <v>4</v>
      </c>
      <c r="E53">
        <v>3350000</v>
      </c>
      <c r="F53">
        <f t="shared" si="3"/>
        <v>12681123.5</v>
      </c>
      <c r="G53">
        <f t="shared" si="4"/>
        <v>40853.608523086041</v>
      </c>
      <c r="H53" t="s">
        <v>22</v>
      </c>
      <c r="I53" s="1" t="s">
        <v>218</v>
      </c>
      <c r="J53" s="1" t="s">
        <v>216</v>
      </c>
      <c r="K53" t="s">
        <v>20</v>
      </c>
      <c r="L53" t="s">
        <v>21</v>
      </c>
      <c r="M53" t="str">
        <f t="shared" si="5"/>
        <v>ND</v>
      </c>
      <c r="N53" t="str">
        <f t="shared" si="0"/>
        <v>ND</v>
      </c>
    </row>
    <row r="54" spans="1:14" x14ac:dyDescent="0.3">
      <c r="A54" t="s">
        <v>36</v>
      </c>
      <c r="B54">
        <v>2</v>
      </c>
      <c r="C54">
        <v>3</v>
      </c>
      <c r="D54">
        <v>4</v>
      </c>
      <c r="E54">
        <v>3350000</v>
      </c>
      <c r="F54">
        <f t="shared" si="3"/>
        <v>12681123.5</v>
      </c>
      <c r="G54">
        <f t="shared" si="4"/>
        <v>40853.608523086041</v>
      </c>
      <c r="H54" t="s">
        <v>22</v>
      </c>
      <c r="I54" s="1" t="s">
        <v>218</v>
      </c>
      <c r="J54" s="1" t="s">
        <v>216</v>
      </c>
      <c r="K54" t="s">
        <v>20</v>
      </c>
      <c r="L54" t="s">
        <v>21</v>
      </c>
      <c r="M54" t="str">
        <f t="shared" si="5"/>
        <v>ND</v>
      </c>
      <c r="N54" t="str">
        <f t="shared" si="0"/>
        <v>ND</v>
      </c>
    </row>
    <row r="55" spans="1:14" x14ac:dyDescent="0.3">
      <c r="A55" t="s">
        <v>37</v>
      </c>
      <c r="B55">
        <v>2</v>
      </c>
      <c r="C55">
        <v>3</v>
      </c>
      <c r="D55">
        <v>4</v>
      </c>
      <c r="E55">
        <v>3350000</v>
      </c>
      <c r="F55">
        <f t="shared" si="3"/>
        <v>12681123.5</v>
      </c>
      <c r="G55">
        <f t="shared" si="4"/>
        <v>40853.608523086041</v>
      </c>
      <c r="H55" t="s">
        <v>22</v>
      </c>
      <c r="I55" s="1" t="s">
        <v>218</v>
      </c>
      <c r="J55" s="1" t="s">
        <v>216</v>
      </c>
      <c r="K55" t="s">
        <v>20</v>
      </c>
      <c r="L55" t="s">
        <v>21</v>
      </c>
      <c r="M55" t="str">
        <f t="shared" si="5"/>
        <v>ND</v>
      </c>
      <c r="N55" t="str">
        <f t="shared" si="0"/>
        <v>ND</v>
      </c>
    </row>
    <row r="56" spans="1:14" x14ac:dyDescent="0.3">
      <c r="A56" t="s">
        <v>38</v>
      </c>
      <c r="B56">
        <v>2</v>
      </c>
      <c r="C56">
        <v>3</v>
      </c>
      <c r="D56">
        <v>4</v>
      </c>
      <c r="E56">
        <v>3350000</v>
      </c>
      <c r="F56">
        <f t="shared" si="3"/>
        <v>12681123.5</v>
      </c>
      <c r="G56">
        <f t="shared" si="4"/>
        <v>40853.608523086041</v>
      </c>
      <c r="H56" t="s">
        <v>22</v>
      </c>
      <c r="I56" s="1" t="s">
        <v>218</v>
      </c>
      <c r="J56" s="1" t="s">
        <v>216</v>
      </c>
      <c r="K56" t="s">
        <v>20</v>
      </c>
      <c r="L56" t="s">
        <v>21</v>
      </c>
      <c r="M56" t="str">
        <f t="shared" si="5"/>
        <v>ND</v>
      </c>
      <c r="N56" t="str">
        <f t="shared" si="0"/>
        <v>ND</v>
      </c>
    </row>
    <row r="57" spans="1:14" x14ac:dyDescent="0.3">
      <c r="A57" t="s">
        <v>39</v>
      </c>
      <c r="B57">
        <v>2</v>
      </c>
      <c r="C57">
        <v>3</v>
      </c>
      <c r="D57">
        <v>4</v>
      </c>
      <c r="E57">
        <v>3350000</v>
      </c>
      <c r="F57">
        <f t="shared" si="3"/>
        <v>12681123.5</v>
      </c>
      <c r="G57">
        <f t="shared" si="4"/>
        <v>40853.608523086041</v>
      </c>
      <c r="H57" t="s">
        <v>22</v>
      </c>
      <c r="I57" s="1" t="s">
        <v>218</v>
      </c>
      <c r="J57" s="1" t="s">
        <v>216</v>
      </c>
      <c r="K57" t="s">
        <v>20</v>
      </c>
      <c r="L57" t="s">
        <v>21</v>
      </c>
      <c r="M57" t="str">
        <f t="shared" si="5"/>
        <v>ND</v>
      </c>
      <c r="N57" t="str">
        <f t="shared" si="0"/>
        <v>ND</v>
      </c>
    </row>
    <row r="58" spans="1:14" x14ac:dyDescent="0.3">
      <c r="A58" t="s">
        <v>40</v>
      </c>
      <c r="B58">
        <v>2</v>
      </c>
      <c r="C58">
        <v>3</v>
      </c>
      <c r="D58">
        <v>4</v>
      </c>
      <c r="E58">
        <v>3350000</v>
      </c>
      <c r="F58">
        <f t="shared" si="3"/>
        <v>12681123.5</v>
      </c>
      <c r="G58">
        <f t="shared" si="4"/>
        <v>40853.608523086041</v>
      </c>
      <c r="H58" t="s">
        <v>22</v>
      </c>
      <c r="I58" s="1" t="s">
        <v>218</v>
      </c>
      <c r="J58" s="1" t="s">
        <v>216</v>
      </c>
      <c r="K58">
        <v>75</v>
      </c>
      <c r="L58" t="s">
        <v>21</v>
      </c>
      <c r="M58">
        <f t="shared" si="5"/>
        <v>7.4999999999999997E-2</v>
      </c>
      <c r="N58">
        <f t="shared" si="0"/>
        <v>23.2803</v>
      </c>
    </row>
    <row r="59" spans="1:14" x14ac:dyDescent="0.3">
      <c r="A59" t="s">
        <v>41</v>
      </c>
      <c r="B59">
        <v>2</v>
      </c>
      <c r="C59">
        <v>3</v>
      </c>
      <c r="D59">
        <v>4</v>
      </c>
      <c r="E59">
        <v>3350000</v>
      </c>
      <c r="F59">
        <f t="shared" si="3"/>
        <v>12681123.5</v>
      </c>
      <c r="G59">
        <f t="shared" si="4"/>
        <v>40853.608523086041</v>
      </c>
      <c r="H59" t="s">
        <v>22</v>
      </c>
      <c r="I59" s="1" t="s">
        <v>218</v>
      </c>
      <c r="J59" s="1" t="s">
        <v>216</v>
      </c>
      <c r="K59">
        <v>146</v>
      </c>
      <c r="L59" t="s">
        <v>21</v>
      </c>
      <c r="M59">
        <f t="shared" si="5"/>
        <v>0.14599999999999999</v>
      </c>
      <c r="N59">
        <f t="shared" si="0"/>
        <v>45.318984</v>
      </c>
    </row>
    <row r="60" spans="1:14" x14ac:dyDescent="0.3">
      <c r="A60" t="s">
        <v>42</v>
      </c>
      <c r="B60">
        <v>2</v>
      </c>
      <c r="C60">
        <v>3</v>
      </c>
      <c r="D60">
        <v>4</v>
      </c>
      <c r="E60">
        <v>3350000</v>
      </c>
      <c r="F60">
        <f t="shared" si="3"/>
        <v>12681123.5</v>
      </c>
      <c r="G60">
        <f t="shared" si="4"/>
        <v>40853.608523086041</v>
      </c>
      <c r="H60" t="s">
        <v>22</v>
      </c>
      <c r="I60" s="1" t="s">
        <v>218</v>
      </c>
      <c r="J60" s="1" t="s">
        <v>216</v>
      </c>
      <c r="K60">
        <v>358</v>
      </c>
      <c r="L60" t="s">
        <v>21</v>
      </c>
      <c r="M60">
        <f t="shared" si="5"/>
        <v>0.35799999999999998</v>
      </c>
      <c r="N60">
        <f t="shared" si="0"/>
        <v>111.12463199999999</v>
      </c>
    </row>
    <row r="61" spans="1:14" x14ac:dyDescent="0.3">
      <c r="A61" t="s">
        <v>23</v>
      </c>
      <c r="B61">
        <v>2</v>
      </c>
      <c r="C61">
        <v>4</v>
      </c>
      <c r="D61">
        <v>5</v>
      </c>
      <c r="E61">
        <v>3350000</v>
      </c>
      <c r="F61">
        <f t="shared" si="3"/>
        <v>12681123.5</v>
      </c>
      <c r="G61">
        <f t="shared" si="4"/>
        <v>40853.608523086041</v>
      </c>
      <c r="H61" t="s">
        <v>22</v>
      </c>
      <c r="I61" s="1" t="s">
        <v>218</v>
      </c>
      <c r="J61" s="1" t="s">
        <v>216</v>
      </c>
      <c r="K61">
        <v>38144</v>
      </c>
      <c r="L61" t="s">
        <v>21</v>
      </c>
      <c r="M61">
        <f t="shared" si="5"/>
        <v>38.143999999999998</v>
      </c>
      <c r="N61">
        <f t="shared" si="0"/>
        <v>11840.050176000001</v>
      </c>
    </row>
    <row r="62" spans="1:14" x14ac:dyDescent="0.3">
      <c r="A62" t="s">
        <v>24</v>
      </c>
      <c r="B62">
        <v>2</v>
      </c>
      <c r="C62">
        <v>4</v>
      </c>
      <c r="D62">
        <v>5</v>
      </c>
      <c r="E62">
        <v>3350000</v>
      </c>
      <c r="F62">
        <f t="shared" si="3"/>
        <v>12681123.5</v>
      </c>
      <c r="G62">
        <f t="shared" si="4"/>
        <v>40853.608523086041</v>
      </c>
      <c r="H62" t="s">
        <v>22</v>
      </c>
      <c r="I62" s="1" t="s">
        <v>218</v>
      </c>
      <c r="J62" s="1" t="s">
        <v>216</v>
      </c>
      <c r="K62">
        <v>13</v>
      </c>
      <c r="L62" t="s">
        <v>21</v>
      </c>
      <c r="M62">
        <f t="shared" si="5"/>
        <v>1.2999999999999999E-2</v>
      </c>
      <c r="N62">
        <f t="shared" si="0"/>
        <v>4.0352520000000007</v>
      </c>
    </row>
    <row r="63" spans="1:14" x14ac:dyDescent="0.3">
      <c r="A63" t="s">
        <v>25</v>
      </c>
      <c r="B63">
        <v>2</v>
      </c>
      <c r="C63">
        <v>4</v>
      </c>
      <c r="D63">
        <v>5</v>
      </c>
      <c r="E63">
        <v>3350000</v>
      </c>
      <c r="F63">
        <f t="shared" si="3"/>
        <v>12681123.5</v>
      </c>
      <c r="G63">
        <f t="shared" si="4"/>
        <v>40853.608523086041</v>
      </c>
      <c r="H63" t="s">
        <v>22</v>
      </c>
      <c r="I63" s="1" t="s">
        <v>218</v>
      </c>
      <c r="J63" s="1" t="s">
        <v>216</v>
      </c>
      <c r="K63" t="s">
        <v>20</v>
      </c>
      <c r="L63" t="s">
        <v>21</v>
      </c>
      <c r="M63" t="str">
        <f t="shared" si="5"/>
        <v>ND</v>
      </c>
      <c r="N63" t="str">
        <f t="shared" si="0"/>
        <v>ND</v>
      </c>
    </row>
    <row r="64" spans="1:14" x14ac:dyDescent="0.3">
      <c r="A64" t="s">
        <v>26</v>
      </c>
      <c r="B64">
        <v>2</v>
      </c>
      <c r="C64">
        <v>4</v>
      </c>
      <c r="D64">
        <v>5</v>
      </c>
      <c r="E64">
        <v>3350000</v>
      </c>
      <c r="F64">
        <f t="shared" si="3"/>
        <v>12681123.5</v>
      </c>
      <c r="G64">
        <f t="shared" si="4"/>
        <v>40853.608523086041</v>
      </c>
      <c r="H64" t="s">
        <v>22</v>
      </c>
      <c r="I64" s="1" t="s">
        <v>218</v>
      </c>
      <c r="J64" s="1" t="s">
        <v>216</v>
      </c>
      <c r="K64">
        <v>129</v>
      </c>
      <c r="L64" t="s">
        <v>21</v>
      </c>
      <c r="M64">
        <f t="shared" si="5"/>
        <v>0.129</v>
      </c>
      <c r="N64">
        <f t="shared" si="0"/>
        <v>40.042116</v>
      </c>
    </row>
    <row r="65" spans="1:14" x14ac:dyDescent="0.3">
      <c r="A65" t="s">
        <v>27</v>
      </c>
      <c r="B65">
        <v>2</v>
      </c>
      <c r="C65">
        <v>4</v>
      </c>
      <c r="D65">
        <v>5</v>
      </c>
      <c r="E65">
        <v>3350000</v>
      </c>
      <c r="F65">
        <f t="shared" si="3"/>
        <v>12681123.5</v>
      </c>
      <c r="G65">
        <f t="shared" si="4"/>
        <v>40853.608523086041</v>
      </c>
      <c r="H65" t="s">
        <v>22</v>
      </c>
      <c r="I65" s="1" t="s">
        <v>218</v>
      </c>
      <c r="J65" s="1" t="s">
        <v>216</v>
      </c>
      <c r="K65">
        <v>96</v>
      </c>
      <c r="L65" t="s">
        <v>21</v>
      </c>
      <c r="M65">
        <f t="shared" si="5"/>
        <v>9.6000000000000002E-2</v>
      </c>
      <c r="N65">
        <f t="shared" si="0"/>
        <v>29.798783999999998</v>
      </c>
    </row>
    <row r="66" spans="1:14" x14ac:dyDescent="0.3">
      <c r="A66" t="s">
        <v>28</v>
      </c>
      <c r="B66">
        <v>2</v>
      </c>
      <c r="C66">
        <v>4</v>
      </c>
      <c r="D66">
        <v>5</v>
      </c>
      <c r="E66">
        <v>3350000</v>
      </c>
      <c r="F66">
        <f t="shared" si="3"/>
        <v>12681123.5</v>
      </c>
      <c r="G66">
        <f t="shared" si="4"/>
        <v>40853.608523086041</v>
      </c>
      <c r="H66" t="s">
        <v>22</v>
      </c>
      <c r="I66" s="1" t="s">
        <v>218</v>
      </c>
      <c r="J66" s="1" t="s">
        <v>216</v>
      </c>
      <c r="K66">
        <v>593</v>
      </c>
      <c r="L66" t="s">
        <v>21</v>
      </c>
      <c r="M66">
        <f t="shared" si="5"/>
        <v>0.59299999999999997</v>
      </c>
      <c r="N66">
        <f t="shared" ref="N66:N129" si="6">IFERROR((M66*F66)/G66,"ND")</f>
        <v>184.06957199999999</v>
      </c>
    </row>
    <row r="67" spans="1:14" x14ac:dyDescent="0.3">
      <c r="A67" t="s">
        <v>29</v>
      </c>
      <c r="B67">
        <v>2</v>
      </c>
      <c r="C67">
        <v>4</v>
      </c>
      <c r="D67">
        <v>5</v>
      </c>
      <c r="E67">
        <v>3350000</v>
      </c>
      <c r="F67">
        <f t="shared" si="3"/>
        <v>12681123.5</v>
      </c>
      <c r="G67">
        <f t="shared" si="4"/>
        <v>40853.608523086041</v>
      </c>
      <c r="H67" t="s">
        <v>22</v>
      </c>
      <c r="I67" s="1" t="s">
        <v>218</v>
      </c>
      <c r="J67" s="1" t="s">
        <v>216</v>
      </c>
      <c r="K67">
        <v>99</v>
      </c>
      <c r="L67" t="s">
        <v>21</v>
      </c>
      <c r="M67">
        <f t="shared" si="5"/>
        <v>9.9000000000000005E-2</v>
      </c>
      <c r="N67">
        <f t="shared" si="6"/>
        <v>30.729996000000003</v>
      </c>
    </row>
    <row r="68" spans="1:14" x14ac:dyDescent="0.3">
      <c r="A68" t="s">
        <v>30</v>
      </c>
      <c r="B68">
        <v>2</v>
      </c>
      <c r="C68">
        <v>4</v>
      </c>
      <c r="D68">
        <v>5</v>
      </c>
      <c r="E68">
        <v>3350000</v>
      </c>
      <c r="F68">
        <f t="shared" si="3"/>
        <v>12681123.5</v>
      </c>
      <c r="G68">
        <f t="shared" si="4"/>
        <v>40853.608523086041</v>
      </c>
      <c r="H68" t="s">
        <v>22</v>
      </c>
      <c r="I68" s="1" t="s">
        <v>218</v>
      </c>
      <c r="J68" s="1" t="s">
        <v>216</v>
      </c>
      <c r="K68">
        <v>115</v>
      </c>
      <c r="L68" t="s">
        <v>21</v>
      </c>
      <c r="M68">
        <f t="shared" si="5"/>
        <v>0.115</v>
      </c>
      <c r="N68">
        <f t="shared" si="6"/>
        <v>35.696460000000002</v>
      </c>
    </row>
    <row r="69" spans="1:14" x14ac:dyDescent="0.3">
      <c r="A69" t="s">
        <v>31</v>
      </c>
      <c r="B69">
        <v>2</v>
      </c>
      <c r="C69">
        <v>4</v>
      </c>
      <c r="D69">
        <v>5</v>
      </c>
      <c r="E69">
        <v>3350000</v>
      </c>
      <c r="F69">
        <f t="shared" si="3"/>
        <v>12681123.5</v>
      </c>
      <c r="G69">
        <f t="shared" si="4"/>
        <v>40853.608523086041</v>
      </c>
      <c r="H69" t="s">
        <v>22</v>
      </c>
      <c r="I69" s="1" t="s">
        <v>218</v>
      </c>
      <c r="J69" s="1" t="s">
        <v>216</v>
      </c>
      <c r="K69">
        <v>50</v>
      </c>
      <c r="L69" t="s">
        <v>21</v>
      </c>
      <c r="M69">
        <f t="shared" si="5"/>
        <v>0.05</v>
      </c>
      <c r="N69">
        <f t="shared" si="6"/>
        <v>15.520200000000003</v>
      </c>
    </row>
    <row r="70" spans="1:14" x14ac:dyDescent="0.3">
      <c r="A70" t="s">
        <v>32</v>
      </c>
      <c r="B70">
        <v>2</v>
      </c>
      <c r="C70">
        <v>4</v>
      </c>
      <c r="D70">
        <v>5</v>
      </c>
      <c r="E70">
        <v>3350000</v>
      </c>
      <c r="F70">
        <f t="shared" si="3"/>
        <v>12681123.5</v>
      </c>
      <c r="G70">
        <f t="shared" si="4"/>
        <v>40853.608523086041</v>
      </c>
      <c r="H70" t="s">
        <v>22</v>
      </c>
      <c r="I70" s="1" t="s">
        <v>218</v>
      </c>
      <c r="J70" s="1" t="s">
        <v>216</v>
      </c>
      <c r="K70" t="s">
        <v>20</v>
      </c>
      <c r="L70" t="s">
        <v>21</v>
      </c>
      <c r="M70" t="str">
        <f t="shared" si="5"/>
        <v>ND</v>
      </c>
      <c r="N70" t="str">
        <f t="shared" si="6"/>
        <v>ND</v>
      </c>
    </row>
    <row r="71" spans="1:14" x14ac:dyDescent="0.3">
      <c r="A71" t="s">
        <v>19</v>
      </c>
      <c r="B71">
        <v>2</v>
      </c>
      <c r="C71">
        <v>4</v>
      </c>
      <c r="D71">
        <v>5</v>
      </c>
      <c r="E71">
        <v>3350000</v>
      </c>
      <c r="F71">
        <f t="shared" si="3"/>
        <v>12681123.5</v>
      </c>
      <c r="G71">
        <f t="shared" si="4"/>
        <v>40853.608523086041</v>
      </c>
      <c r="H71" t="s">
        <v>22</v>
      </c>
      <c r="I71" s="1" t="s">
        <v>218</v>
      </c>
      <c r="J71" s="1" t="s">
        <v>216</v>
      </c>
      <c r="K71" t="s">
        <v>20</v>
      </c>
      <c r="L71" t="s">
        <v>21</v>
      </c>
      <c r="M71" t="str">
        <f t="shared" si="5"/>
        <v>ND</v>
      </c>
      <c r="N71" t="str">
        <f t="shared" si="6"/>
        <v>ND</v>
      </c>
    </row>
    <row r="72" spans="1:14" x14ac:dyDescent="0.3">
      <c r="A72" t="s">
        <v>33</v>
      </c>
      <c r="B72">
        <v>2</v>
      </c>
      <c r="C72">
        <v>4</v>
      </c>
      <c r="D72">
        <v>5</v>
      </c>
      <c r="E72">
        <v>3350000</v>
      </c>
      <c r="F72">
        <f t="shared" si="3"/>
        <v>12681123.5</v>
      </c>
      <c r="G72">
        <f t="shared" si="4"/>
        <v>40853.608523086041</v>
      </c>
      <c r="H72" t="s">
        <v>22</v>
      </c>
      <c r="I72" s="1" t="s">
        <v>218</v>
      </c>
      <c r="J72" s="1" t="s">
        <v>216</v>
      </c>
      <c r="K72" t="s">
        <v>20</v>
      </c>
      <c r="L72" t="s">
        <v>21</v>
      </c>
      <c r="M72" t="str">
        <f t="shared" si="5"/>
        <v>ND</v>
      </c>
      <c r="N72" t="str">
        <f t="shared" si="6"/>
        <v>ND</v>
      </c>
    </row>
    <row r="73" spans="1:14" x14ac:dyDescent="0.3">
      <c r="A73" t="s">
        <v>34</v>
      </c>
      <c r="B73">
        <v>2</v>
      </c>
      <c r="C73">
        <v>4</v>
      </c>
      <c r="D73">
        <v>5</v>
      </c>
      <c r="E73">
        <v>3350000</v>
      </c>
      <c r="F73">
        <f t="shared" si="3"/>
        <v>12681123.5</v>
      </c>
      <c r="G73">
        <f t="shared" si="4"/>
        <v>40853.608523086041</v>
      </c>
      <c r="H73" t="s">
        <v>22</v>
      </c>
      <c r="I73" s="1" t="s">
        <v>218</v>
      </c>
      <c r="J73" s="1" t="s">
        <v>216</v>
      </c>
      <c r="K73" t="s">
        <v>20</v>
      </c>
      <c r="L73" t="s">
        <v>21</v>
      </c>
      <c r="M73" t="str">
        <f t="shared" si="5"/>
        <v>ND</v>
      </c>
      <c r="N73" t="str">
        <f t="shared" si="6"/>
        <v>ND</v>
      </c>
    </row>
    <row r="74" spans="1:14" x14ac:dyDescent="0.3">
      <c r="A74" t="s">
        <v>35</v>
      </c>
      <c r="B74">
        <v>2</v>
      </c>
      <c r="C74">
        <v>4</v>
      </c>
      <c r="D74">
        <v>5</v>
      </c>
      <c r="E74">
        <v>3350000</v>
      </c>
      <c r="F74">
        <f t="shared" si="3"/>
        <v>12681123.5</v>
      </c>
      <c r="G74">
        <f t="shared" si="4"/>
        <v>40853.608523086041</v>
      </c>
      <c r="H74" t="s">
        <v>22</v>
      </c>
      <c r="I74" s="1" t="s">
        <v>218</v>
      </c>
      <c r="J74" s="1" t="s">
        <v>216</v>
      </c>
      <c r="K74" t="s">
        <v>20</v>
      </c>
      <c r="L74" t="s">
        <v>21</v>
      </c>
      <c r="M74" t="str">
        <f t="shared" si="5"/>
        <v>ND</v>
      </c>
      <c r="N74" t="str">
        <f t="shared" si="6"/>
        <v>ND</v>
      </c>
    </row>
    <row r="75" spans="1:14" x14ac:dyDescent="0.3">
      <c r="A75" t="s">
        <v>36</v>
      </c>
      <c r="B75">
        <v>2</v>
      </c>
      <c r="C75">
        <v>4</v>
      </c>
      <c r="D75">
        <v>5</v>
      </c>
      <c r="E75">
        <v>3350000</v>
      </c>
      <c r="F75">
        <f t="shared" si="3"/>
        <v>12681123.5</v>
      </c>
      <c r="G75">
        <f t="shared" si="4"/>
        <v>40853.608523086041</v>
      </c>
      <c r="H75" t="s">
        <v>22</v>
      </c>
      <c r="I75" s="1" t="s">
        <v>218</v>
      </c>
      <c r="J75" s="1" t="s">
        <v>216</v>
      </c>
      <c r="K75" t="s">
        <v>20</v>
      </c>
      <c r="L75" t="s">
        <v>21</v>
      </c>
      <c r="M75" t="str">
        <f t="shared" si="5"/>
        <v>ND</v>
      </c>
      <c r="N75" t="str">
        <f t="shared" si="6"/>
        <v>ND</v>
      </c>
    </row>
    <row r="76" spans="1:14" x14ac:dyDescent="0.3">
      <c r="A76" t="s">
        <v>37</v>
      </c>
      <c r="B76">
        <v>2</v>
      </c>
      <c r="C76">
        <v>4</v>
      </c>
      <c r="D76">
        <v>5</v>
      </c>
      <c r="E76">
        <v>3350000</v>
      </c>
      <c r="F76">
        <f t="shared" si="3"/>
        <v>12681123.5</v>
      </c>
      <c r="G76">
        <f t="shared" si="4"/>
        <v>40853.608523086041</v>
      </c>
      <c r="H76" t="s">
        <v>22</v>
      </c>
      <c r="I76" s="1" t="s">
        <v>218</v>
      </c>
      <c r="J76" s="1" t="s">
        <v>216</v>
      </c>
      <c r="K76" t="s">
        <v>20</v>
      </c>
      <c r="L76" t="s">
        <v>21</v>
      </c>
      <c r="M76" t="str">
        <f t="shared" si="5"/>
        <v>ND</v>
      </c>
      <c r="N76" t="str">
        <f t="shared" si="6"/>
        <v>ND</v>
      </c>
    </row>
    <row r="77" spans="1:14" x14ac:dyDescent="0.3">
      <c r="A77" t="s">
        <v>38</v>
      </c>
      <c r="B77">
        <v>2</v>
      </c>
      <c r="C77">
        <v>4</v>
      </c>
      <c r="D77">
        <v>5</v>
      </c>
      <c r="E77">
        <v>3350000</v>
      </c>
      <c r="F77">
        <f t="shared" si="3"/>
        <v>12681123.5</v>
      </c>
      <c r="G77">
        <f t="shared" si="4"/>
        <v>40853.608523086041</v>
      </c>
      <c r="H77" t="s">
        <v>22</v>
      </c>
      <c r="I77" s="1" t="s">
        <v>218</v>
      </c>
      <c r="J77" s="1" t="s">
        <v>216</v>
      </c>
      <c r="K77" t="s">
        <v>20</v>
      </c>
      <c r="L77" t="s">
        <v>21</v>
      </c>
      <c r="M77" t="str">
        <f t="shared" si="5"/>
        <v>ND</v>
      </c>
      <c r="N77" t="str">
        <f t="shared" si="6"/>
        <v>ND</v>
      </c>
    </row>
    <row r="78" spans="1:14" x14ac:dyDescent="0.3">
      <c r="A78" t="s">
        <v>39</v>
      </c>
      <c r="B78">
        <v>2</v>
      </c>
      <c r="C78">
        <v>4</v>
      </c>
      <c r="D78">
        <v>5</v>
      </c>
      <c r="E78">
        <v>3350000</v>
      </c>
      <c r="F78">
        <f t="shared" si="3"/>
        <v>12681123.5</v>
      </c>
      <c r="G78">
        <f t="shared" si="4"/>
        <v>40853.608523086041</v>
      </c>
      <c r="H78" t="s">
        <v>22</v>
      </c>
      <c r="I78" s="1" t="s">
        <v>218</v>
      </c>
      <c r="J78" s="1" t="s">
        <v>216</v>
      </c>
      <c r="K78" t="s">
        <v>20</v>
      </c>
      <c r="L78" t="s">
        <v>21</v>
      </c>
      <c r="M78" t="str">
        <f t="shared" si="5"/>
        <v>ND</v>
      </c>
      <c r="N78" t="str">
        <f t="shared" si="6"/>
        <v>ND</v>
      </c>
    </row>
    <row r="79" spans="1:14" x14ac:dyDescent="0.3">
      <c r="A79" t="s">
        <v>40</v>
      </c>
      <c r="B79">
        <v>2</v>
      </c>
      <c r="C79">
        <v>4</v>
      </c>
      <c r="D79">
        <v>5</v>
      </c>
      <c r="E79">
        <v>3350000</v>
      </c>
      <c r="F79">
        <f t="shared" si="3"/>
        <v>12681123.5</v>
      </c>
      <c r="G79">
        <f t="shared" si="4"/>
        <v>40853.608523086041</v>
      </c>
      <c r="H79" t="s">
        <v>22</v>
      </c>
      <c r="I79" s="1" t="s">
        <v>218</v>
      </c>
      <c r="J79" s="1" t="s">
        <v>216</v>
      </c>
      <c r="K79" t="s">
        <v>20</v>
      </c>
      <c r="L79" t="s">
        <v>21</v>
      </c>
      <c r="M79" t="str">
        <f t="shared" si="5"/>
        <v>ND</v>
      </c>
      <c r="N79" t="str">
        <f t="shared" si="6"/>
        <v>ND</v>
      </c>
    </row>
    <row r="80" spans="1:14" x14ac:dyDescent="0.3">
      <c r="A80" t="s">
        <v>41</v>
      </c>
      <c r="B80">
        <v>2</v>
      </c>
      <c r="C80">
        <v>4</v>
      </c>
      <c r="D80">
        <v>5</v>
      </c>
      <c r="E80">
        <v>3350000</v>
      </c>
      <c r="F80">
        <f t="shared" si="3"/>
        <v>12681123.5</v>
      </c>
      <c r="G80">
        <f t="shared" si="4"/>
        <v>40853.608523086041</v>
      </c>
      <c r="H80" t="s">
        <v>22</v>
      </c>
      <c r="I80" s="1" t="s">
        <v>218</v>
      </c>
      <c r="J80" s="1" t="s">
        <v>216</v>
      </c>
      <c r="K80">
        <v>69</v>
      </c>
      <c r="L80" t="s">
        <v>21</v>
      </c>
      <c r="M80">
        <f t="shared" si="5"/>
        <v>6.9000000000000006E-2</v>
      </c>
      <c r="N80">
        <f t="shared" si="6"/>
        <v>21.417876000000003</v>
      </c>
    </row>
    <row r="81" spans="1:14" x14ac:dyDescent="0.3">
      <c r="A81" t="s">
        <v>42</v>
      </c>
      <c r="B81">
        <v>2</v>
      </c>
      <c r="C81">
        <v>4</v>
      </c>
      <c r="D81">
        <v>5</v>
      </c>
      <c r="E81">
        <v>3350000</v>
      </c>
      <c r="F81">
        <f t="shared" si="3"/>
        <v>12681123.5</v>
      </c>
      <c r="G81">
        <f t="shared" si="4"/>
        <v>40853.608523086041</v>
      </c>
      <c r="H81" t="s">
        <v>22</v>
      </c>
      <c r="I81" s="1" t="s">
        <v>218</v>
      </c>
      <c r="J81" s="1" t="s">
        <v>216</v>
      </c>
      <c r="K81">
        <v>388</v>
      </c>
      <c r="L81" t="s">
        <v>21</v>
      </c>
      <c r="M81">
        <f t="shared" si="5"/>
        <v>0.38800000000000001</v>
      </c>
      <c r="N81">
        <f t="shared" si="6"/>
        <v>120.43675200000001</v>
      </c>
    </row>
    <row r="82" spans="1:14" x14ac:dyDescent="0.3">
      <c r="A82" t="s">
        <v>23</v>
      </c>
      <c r="B82">
        <v>2</v>
      </c>
      <c r="C82">
        <v>5</v>
      </c>
      <c r="D82">
        <v>6</v>
      </c>
      <c r="E82">
        <v>3350000</v>
      </c>
      <c r="F82">
        <f t="shared" si="3"/>
        <v>12681123.5</v>
      </c>
      <c r="G82">
        <f t="shared" si="4"/>
        <v>40853.608523086041</v>
      </c>
      <c r="H82" t="s">
        <v>22</v>
      </c>
      <c r="I82" s="1" t="s">
        <v>218</v>
      </c>
      <c r="J82" s="1" t="s">
        <v>216</v>
      </c>
      <c r="K82">
        <v>23530</v>
      </c>
      <c r="L82" t="s">
        <v>21</v>
      </c>
      <c r="M82">
        <f t="shared" si="5"/>
        <v>23.53</v>
      </c>
      <c r="N82">
        <f t="shared" si="6"/>
        <v>7303.8061200000011</v>
      </c>
    </row>
    <row r="83" spans="1:14" x14ac:dyDescent="0.3">
      <c r="A83" t="s">
        <v>24</v>
      </c>
      <c r="B83">
        <v>2</v>
      </c>
      <c r="C83">
        <v>5</v>
      </c>
      <c r="D83">
        <v>6</v>
      </c>
      <c r="E83">
        <v>3350000</v>
      </c>
      <c r="F83">
        <f t="shared" si="3"/>
        <v>12681123.5</v>
      </c>
      <c r="G83">
        <f t="shared" si="4"/>
        <v>40853.608523086041</v>
      </c>
      <c r="H83" t="s">
        <v>22</v>
      </c>
      <c r="I83" s="1" t="s">
        <v>218</v>
      </c>
      <c r="J83" s="1" t="s">
        <v>216</v>
      </c>
      <c r="K83">
        <v>159</v>
      </c>
      <c r="L83" t="s">
        <v>21</v>
      </c>
      <c r="M83">
        <f t="shared" si="5"/>
        <v>0.159</v>
      </c>
      <c r="N83">
        <f t="shared" si="6"/>
        <v>49.354236</v>
      </c>
    </row>
    <row r="84" spans="1:14" x14ac:dyDescent="0.3">
      <c r="A84" t="s">
        <v>25</v>
      </c>
      <c r="B84">
        <v>2</v>
      </c>
      <c r="C84">
        <v>5</v>
      </c>
      <c r="D84">
        <v>6</v>
      </c>
      <c r="E84">
        <v>3350000</v>
      </c>
      <c r="F84">
        <f t="shared" si="3"/>
        <v>12681123.5</v>
      </c>
      <c r="G84">
        <f t="shared" si="4"/>
        <v>40853.608523086041</v>
      </c>
      <c r="H84" t="s">
        <v>22</v>
      </c>
      <c r="I84" s="1" t="s">
        <v>218</v>
      </c>
      <c r="J84" s="1" t="s">
        <v>216</v>
      </c>
      <c r="K84">
        <v>441</v>
      </c>
      <c r="L84" t="s">
        <v>21</v>
      </c>
      <c r="M84">
        <f t="shared" si="5"/>
        <v>0.441</v>
      </c>
      <c r="N84">
        <f t="shared" si="6"/>
        <v>136.88816399999999</v>
      </c>
    </row>
    <row r="85" spans="1:14" x14ac:dyDescent="0.3">
      <c r="A85" t="s">
        <v>26</v>
      </c>
      <c r="B85">
        <v>2</v>
      </c>
      <c r="C85">
        <v>5</v>
      </c>
      <c r="D85">
        <v>6</v>
      </c>
      <c r="E85">
        <v>3350000</v>
      </c>
      <c r="F85">
        <f t="shared" si="3"/>
        <v>12681123.5</v>
      </c>
      <c r="G85">
        <f t="shared" si="4"/>
        <v>40853.608523086041</v>
      </c>
      <c r="H85" t="s">
        <v>22</v>
      </c>
      <c r="I85" s="1" t="s">
        <v>218</v>
      </c>
      <c r="J85" s="1" t="s">
        <v>216</v>
      </c>
      <c r="K85">
        <v>363</v>
      </c>
      <c r="L85" t="s">
        <v>21</v>
      </c>
      <c r="M85">
        <f t="shared" si="5"/>
        <v>0.36299999999999999</v>
      </c>
      <c r="N85">
        <f t="shared" si="6"/>
        <v>112.676652</v>
      </c>
    </row>
    <row r="86" spans="1:14" x14ac:dyDescent="0.3">
      <c r="A86" t="s">
        <v>27</v>
      </c>
      <c r="B86">
        <v>2</v>
      </c>
      <c r="C86">
        <v>5</v>
      </c>
      <c r="D86">
        <v>6</v>
      </c>
      <c r="E86">
        <v>3350000</v>
      </c>
      <c r="F86">
        <f t="shared" si="3"/>
        <v>12681123.5</v>
      </c>
      <c r="G86">
        <f t="shared" si="4"/>
        <v>40853.608523086041</v>
      </c>
      <c r="H86" t="s">
        <v>22</v>
      </c>
      <c r="I86" s="1" t="s">
        <v>218</v>
      </c>
      <c r="J86" s="1" t="s">
        <v>216</v>
      </c>
      <c r="K86">
        <v>317</v>
      </c>
      <c r="L86" t="s">
        <v>21</v>
      </c>
      <c r="M86">
        <f t="shared" si="5"/>
        <v>0.317</v>
      </c>
      <c r="N86">
        <f t="shared" si="6"/>
        <v>98.398067999999995</v>
      </c>
    </row>
    <row r="87" spans="1:14" x14ac:dyDescent="0.3">
      <c r="A87" t="s">
        <v>28</v>
      </c>
      <c r="B87">
        <v>2</v>
      </c>
      <c r="C87">
        <v>5</v>
      </c>
      <c r="D87">
        <v>6</v>
      </c>
      <c r="E87">
        <v>3350000</v>
      </c>
      <c r="F87">
        <f t="shared" si="3"/>
        <v>12681123.5</v>
      </c>
      <c r="G87">
        <f t="shared" si="4"/>
        <v>40853.608523086041</v>
      </c>
      <c r="H87" t="s">
        <v>22</v>
      </c>
      <c r="I87" s="1" t="s">
        <v>218</v>
      </c>
      <c r="J87" s="1" t="s">
        <v>216</v>
      </c>
      <c r="K87">
        <v>2670</v>
      </c>
      <c r="L87" t="s">
        <v>21</v>
      </c>
      <c r="M87">
        <f t="shared" si="5"/>
        <v>2.67</v>
      </c>
      <c r="N87">
        <f t="shared" si="6"/>
        <v>828.77868000000001</v>
      </c>
    </row>
    <row r="88" spans="1:14" x14ac:dyDescent="0.3">
      <c r="A88" t="s">
        <v>29</v>
      </c>
      <c r="B88">
        <v>2</v>
      </c>
      <c r="C88">
        <v>5</v>
      </c>
      <c r="D88">
        <v>6</v>
      </c>
      <c r="E88">
        <v>3350000</v>
      </c>
      <c r="F88">
        <f t="shared" si="3"/>
        <v>12681123.5</v>
      </c>
      <c r="G88">
        <f t="shared" si="4"/>
        <v>40853.608523086041</v>
      </c>
      <c r="H88" t="s">
        <v>22</v>
      </c>
      <c r="I88" s="1" t="s">
        <v>218</v>
      </c>
      <c r="J88" s="1" t="s">
        <v>216</v>
      </c>
      <c r="K88">
        <v>241</v>
      </c>
      <c r="L88" t="s">
        <v>21</v>
      </c>
      <c r="M88">
        <f t="shared" si="5"/>
        <v>0.24099999999999999</v>
      </c>
      <c r="N88">
        <f t="shared" si="6"/>
        <v>74.807364000000007</v>
      </c>
    </row>
    <row r="89" spans="1:14" x14ac:dyDescent="0.3">
      <c r="A89" t="s">
        <v>30</v>
      </c>
      <c r="B89">
        <v>2</v>
      </c>
      <c r="C89">
        <v>5</v>
      </c>
      <c r="D89">
        <v>6</v>
      </c>
      <c r="E89">
        <v>3350000</v>
      </c>
      <c r="F89">
        <f t="shared" si="3"/>
        <v>12681123.5</v>
      </c>
      <c r="G89">
        <f t="shared" si="4"/>
        <v>40853.608523086041</v>
      </c>
      <c r="H89" t="s">
        <v>22</v>
      </c>
      <c r="I89" s="1" t="s">
        <v>218</v>
      </c>
      <c r="J89" s="1" t="s">
        <v>216</v>
      </c>
      <c r="K89">
        <v>57</v>
      </c>
      <c r="L89" t="s">
        <v>21</v>
      </c>
      <c r="M89">
        <f t="shared" si="5"/>
        <v>5.7000000000000002E-2</v>
      </c>
      <c r="N89">
        <f t="shared" si="6"/>
        <v>17.693028000000002</v>
      </c>
    </row>
    <row r="90" spans="1:14" x14ac:dyDescent="0.3">
      <c r="A90" t="s">
        <v>31</v>
      </c>
      <c r="B90">
        <v>2</v>
      </c>
      <c r="C90">
        <v>5</v>
      </c>
      <c r="D90">
        <v>6</v>
      </c>
      <c r="E90">
        <v>3350000</v>
      </c>
      <c r="F90">
        <f t="shared" si="3"/>
        <v>12681123.5</v>
      </c>
      <c r="G90">
        <f t="shared" si="4"/>
        <v>40853.608523086041</v>
      </c>
      <c r="H90" t="s">
        <v>22</v>
      </c>
      <c r="I90" s="1" t="s">
        <v>218</v>
      </c>
      <c r="J90" s="1" t="s">
        <v>216</v>
      </c>
      <c r="K90">
        <v>31</v>
      </c>
      <c r="L90" t="s">
        <v>21</v>
      </c>
      <c r="M90">
        <f t="shared" si="5"/>
        <v>3.1E-2</v>
      </c>
      <c r="N90">
        <f t="shared" si="6"/>
        <v>9.6225240000000003</v>
      </c>
    </row>
    <row r="91" spans="1:14" x14ac:dyDescent="0.3">
      <c r="A91" t="s">
        <v>32</v>
      </c>
      <c r="B91">
        <v>2</v>
      </c>
      <c r="C91">
        <v>5</v>
      </c>
      <c r="D91">
        <v>6</v>
      </c>
      <c r="E91">
        <v>3350000</v>
      </c>
      <c r="F91">
        <f t="shared" si="3"/>
        <v>12681123.5</v>
      </c>
      <c r="G91">
        <f t="shared" si="4"/>
        <v>40853.608523086041</v>
      </c>
      <c r="H91" t="s">
        <v>22</v>
      </c>
      <c r="I91" s="1" t="s">
        <v>218</v>
      </c>
      <c r="J91" s="1" t="s">
        <v>216</v>
      </c>
      <c r="K91" t="s">
        <v>20</v>
      </c>
      <c r="L91" t="s">
        <v>21</v>
      </c>
      <c r="M91" t="str">
        <f t="shared" si="5"/>
        <v>ND</v>
      </c>
      <c r="N91" t="str">
        <f t="shared" si="6"/>
        <v>ND</v>
      </c>
    </row>
    <row r="92" spans="1:14" x14ac:dyDescent="0.3">
      <c r="A92" t="s">
        <v>19</v>
      </c>
      <c r="B92">
        <v>2</v>
      </c>
      <c r="C92">
        <v>5</v>
      </c>
      <c r="D92">
        <v>6</v>
      </c>
      <c r="E92">
        <v>3350000</v>
      </c>
      <c r="F92">
        <f t="shared" si="3"/>
        <v>12681123.5</v>
      </c>
      <c r="G92">
        <f t="shared" si="4"/>
        <v>40853.608523086041</v>
      </c>
      <c r="H92" t="s">
        <v>22</v>
      </c>
      <c r="I92" s="1" t="s">
        <v>218</v>
      </c>
      <c r="J92" s="1" t="s">
        <v>216</v>
      </c>
      <c r="K92" t="s">
        <v>20</v>
      </c>
      <c r="L92" t="s">
        <v>21</v>
      </c>
      <c r="M92" t="str">
        <f t="shared" si="5"/>
        <v>ND</v>
      </c>
      <c r="N92" t="str">
        <f t="shared" si="6"/>
        <v>ND</v>
      </c>
    </row>
    <row r="93" spans="1:14" x14ac:dyDescent="0.3">
      <c r="A93" t="s">
        <v>33</v>
      </c>
      <c r="B93">
        <v>2</v>
      </c>
      <c r="C93">
        <v>5</v>
      </c>
      <c r="D93">
        <v>6</v>
      </c>
      <c r="E93">
        <v>3350000</v>
      </c>
      <c r="F93">
        <f t="shared" si="3"/>
        <v>12681123.5</v>
      </c>
      <c r="G93">
        <f t="shared" si="4"/>
        <v>40853.608523086041</v>
      </c>
      <c r="H93" t="s">
        <v>22</v>
      </c>
      <c r="I93" s="1" t="s">
        <v>218</v>
      </c>
      <c r="J93" s="1" t="s">
        <v>216</v>
      </c>
      <c r="K93">
        <v>7</v>
      </c>
      <c r="L93" t="s">
        <v>21</v>
      </c>
      <c r="M93">
        <f t="shared" si="5"/>
        <v>7.0000000000000001E-3</v>
      </c>
      <c r="N93">
        <f t="shared" si="6"/>
        <v>2.172828</v>
      </c>
    </row>
    <row r="94" spans="1:14" x14ac:dyDescent="0.3">
      <c r="A94" t="s">
        <v>34</v>
      </c>
      <c r="B94">
        <v>2</v>
      </c>
      <c r="C94">
        <v>5</v>
      </c>
      <c r="D94">
        <v>6</v>
      </c>
      <c r="E94">
        <v>3350000</v>
      </c>
      <c r="F94">
        <f t="shared" si="3"/>
        <v>12681123.5</v>
      </c>
      <c r="G94">
        <f t="shared" si="4"/>
        <v>40853.608523086041</v>
      </c>
      <c r="H94" t="s">
        <v>22</v>
      </c>
      <c r="I94" s="1" t="s">
        <v>218</v>
      </c>
      <c r="J94" s="1" t="s">
        <v>216</v>
      </c>
      <c r="K94">
        <v>2000</v>
      </c>
      <c r="L94" t="s">
        <v>21</v>
      </c>
      <c r="M94">
        <f t="shared" si="5"/>
        <v>2</v>
      </c>
      <c r="N94">
        <f t="shared" si="6"/>
        <v>620.80799999999999</v>
      </c>
    </row>
    <row r="95" spans="1:14" x14ac:dyDescent="0.3">
      <c r="A95" t="s">
        <v>35</v>
      </c>
      <c r="B95">
        <v>2</v>
      </c>
      <c r="C95">
        <v>5</v>
      </c>
      <c r="D95">
        <v>6</v>
      </c>
      <c r="E95">
        <v>3350000</v>
      </c>
      <c r="F95">
        <f t="shared" si="3"/>
        <v>12681123.5</v>
      </c>
      <c r="G95">
        <f t="shared" si="4"/>
        <v>40853.608523086041</v>
      </c>
      <c r="H95" t="s">
        <v>22</v>
      </c>
      <c r="I95" s="1" t="s">
        <v>218</v>
      </c>
      <c r="J95" s="1" t="s">
        <v>216</v>
      </c>
      <c r="K95" t="s">
        <v>20</v>
      </c>
      <c r="L95" t="s">
        <v>21</v>
      </c>
      <c r="M95" t="str">
        <f t="shared" si="5"/>
        <v>ND</v>
      </c>
      <c r="N95" t="str">
        <f t="shared" si="6"/>
        <v>ND</v>
      </c>
    </row>
    <row r="96" spans="1:14" x14ac:dyDescent="0.3">
      <c r="A96" t="s">
        <v>36</v>
      </c>
      <c r="B96">
        <v>2</v>
      </c>
      <c r="C96">
        <v>5</v>
      </c>
      <c r="D96">
        <v>6</v>
      </c>
      <c r="E96">
        <v>3350000</v>
      </c>
      <c r="F96">
        <f t="shared" si="3"/>
        <v>12681123.5</v>
      </c>
      <c r="G96">
        <f t="shared" si="4"/>
        <v>40853.608523086041</v>
      </c>
      <c r="H96" t="s">
        <v>22</v>
      </c>
      <c r="I96" s="1" t="s">
        <v>218</v>
      </c>
      <c r="J96" s="1" t="s">
        <v>216</v>
      </c>
      <c r="K96">
        <v>24</v>
      </c>
      <c r="L96" t="s">
        <v>21</v>
      </c>
      <c r="M96">
        <f t="shared" si="5"/>
        <v>2.4E-2</v>
      </c>
      <c r="N96">
        <f t="shared" si="6"/>
        <v>7.4496959999999994</v>
      </c>
    </row>
    <row r="97" spans="1:14" x14ac:dyDescent="0.3">
      <c r="A97" t="s">
        <v>37</v>
      </c>
      <c r="B97">
        <v>2</v>
      </c>
      <c r="C97">
        <v>5</v>
      </c>
      <c r="D97">
        <v>6</v>
      </c>
      <c r="E97">
        <v>3350000</v>
      </c>
      <c r="F97">
        <f t="shared" si="3"/>
        <v>12681123.5</v>
      </c>
      <c r="G97">
        <f t="shared" si="4"/>
        <v>40853.608523086041</v>
      </c>
      <c r="H97" t="s">
        <v>22</v>
      </c>
      <c r="I97" s="1" t="s">
        <v>218</v>
      </c>
      <c r="J97" s="1" t="s">
        <v>216</v>
      </c>
      <c r="K97" t="s">
        <v>20</v>
      </c>
      <c r="L97" t="s">
        <v>21</v>
      </c>
      <c r="M97" t="str">
        <f t="shared" si="5"/>
        <v>ND</v>
      </c>
      <c r="N97" t="str">
        <f t="shared" si="6"/>
        <v>ND</v>
      </c>
    </row>
    <row r="98" spans="1:14" x14ac:dyDescent="0.3">
      <c r="A98" t="s">
        <v>38</v>
      </c>
      <c r="B98">
        <v>2</v>
      </c>
      <c r="C98">
        <v>5</v>
      </c>
      <c r="D98">
        <v>6</v>
      </c>
      <c r="E98">
        <v>3350000</v>
      </c>
      <c r="F98">
        <f t="shared" si="3"/>
        <v>12681123.5</v>
      </c>
      <c r="G98">
        <f t="shared" si="4"/>
        <v>40853.608523086041</v>
      </c>
      <c r="H98" t="s">
        <v>22</v>
      </c>
      <c r="I98" s="1" t="s">
        <v>218</v>
      </c>
      <c r="J98" s="1" t="s">
        <v>216</v>
      </c>
      <c r="K98" t="s">
        <v>20</v>
      </c>
      <c r="L98" t="s">
        <v>21</v>
      </c>
      <c r="M98" t="str">
        <f t="shared" si="5"/>
        <v>ND</v>
      </c>
      <c r="N98" t="str">
        <f t="shared" si="6"/>
        <v>ND</v>
      </c>
    </row>
    <row r="99" spans="1:14" x14ac:dyDescent="0.3">
      <c r="A99" t="s">
        <v>39</v>
      </c>
      <c r="B99">
        <v>2</v>
      </c>
      <c r="C99">
        <v>5</v>
      </c>
      <c r="D99">
        <v>6</v>
      </c>
      <c r="E99">
        <v>3350000</v>
      </c>
      <c r="F99">
        <f t="shared" si="3"/>
        <v>12681123.5</v>
      </c>
      <c r="G99">
        <f t="shared" si="4"/>
        <v>40853.608523086041</v>
      </c>
      <c r="H99" t="s">
        <v>22</v>
      </c>
      <c r="I99" s="1" t="s">
        <v>218</v>
      </c>
      <c r="J99" s="1" t="s">
        <v>216</v>
      </c>
      <c r="K99" t="s">
        <v>20</v>
      </c>
      <c r="L99" t="s">
        <v>21</v>
      </c>
      <c r="M99" t="str">
        <f t="shared" si="5"/>
        <v>ND</v>
      </c>
      <c r="N99" t="str">
        <f t="shared" si="6"/>
        <v>ND</v>
      </c>
    </row>
    <row r="100" spans="1:14" x14ac:dyDescent="0.3">
      <c r="A100" t="s">
        <v>40</v>
      </c>
      <c r="B100">
        <v>2</v>
      </c>
      <c r="C100">
        <v>5</v>
      </c>
      <c r="D100">
        <v>6</v>
      </c>
      <c r="E100">
        <v>3350000</v>
      </c>
      <c r="F100">
        <f t="shared" si="3"/>
        <v>12681123.5</v>
      </c>
      <c r="G100">
        <f t="shared" si="4"/>
        <v>40853.608523086041</v>
      </c>
      <c r="H100" t="s">
        <v>22</v>
      </c>
      <c r="I100" s="1" t="s">
        <v>218</v>
      </c>
      <c r="J100" s="1" t="s">
        <v>216</v>
      </c>
      <c r="K100" t="s">
        <v>20</v>
      </c>
      <c r="L100" t="s">
        <v>21</v>
      </c>
      <c r="M100" t="str">
        <f t="shared" si="5"/>
        <v>ND</v>
      </c>
      <c r="N100" t="str">
        <f t="shared" si="6"/>
        <v>ND</v>
      </c>
    </row>
    <row r="101" spans="1:14" x14ac:dyDescent="0.3">
      <c r="A101" t="s">
        <v>41</v>
      </c>
      <c r="B101">
        <v>2</v>
      </c>
      <c r="C101">
        <v>5</v>
      </c>
      <c r="D101">
        <v>6</v>
      </c>
      <c r="E101">
        <v>3350000</v>
      </c>
      <c r="F101">
        <f t="shared" si="3"/>
        <v>12681123.5</v>
      </c>
      <c r="G101">
        <f t="shared" si="4"/>
        <v>40853.608523086041</v>
      </c>
      <c r="H101" t="s">
        <v>22</v>
      </c>
      <c r="I101" s="1" t="s">
        <v>218</v>
      </c>
      <c r="J101" s="1" t="s">
        <v>216</v>
      </c>
      <c r="K101">
        <v>548</v>
      </c>
      <c r="L101" t="s">
        <v>21</v>
      </c>
      <c r="M101">
        <f t="shared" si="5"/>
        <v>0.54800000000000004</v>
      </c>
      <c r="N101">
        <f t="shared" si="6"/>
        <v>170.101392</v>
      </c>
    </row>
    <row r="102" spans="1:14" x14ac:dyDescent="0.3">
      <c r="A102" t="s">
        <v>42</v>
      </c>
      <c r="B102">
        <v>2</v>
      </c>
      <c r="C102">
        <v>5</v>
      </c>
      <c r="D102">
        <v>6</v>
      </c>
      <c r="E102">
        <v>3350000</v>
      </c>
      <c r="F102">
        <f t="shared" si="3"/>
        <v>12681123.5</v>
      </c>
      <c r="G102">
        <f t="shared" si="4"/>
        <v>40853.608523086041</v>
      </c>
      <c r="H102" t="s">
        <v>22</v>
      </c>
      <c r="I102" s="1" t="s">
        <v>218</v>
      </c>
      <c r="J102" s="1" t="s">
        <v>216</v>
      </c>
      <c r="K102">
        <v>672</v>
      </c>
      <c r="L102" t="s">
        <v>21</v>
      </c>
      <c r="M102">
        <f t="shared" si="5"/>
        <v>0.67200000000000004</v>
      </c>
      <c r="N102">
        <f t="shared" si="6"/>
        <v>208.59148800000003</v>
      </c>
    </row>
    <row r="103" spans="1:14" x14ac:dyDescent="0.3">
      <c r="A103" t="s">
        <v>23</v>
      </c>
      <c r="B103">
        <v>2</v>
      </c>
      <c r="C103">
        <v>6</v>
      </c>
      <c r="D103">
        <v>7</v>
      </c>
      <c r="E103">
        <v>50000000</v>
      </c>
      <c r="F103">
        <f t="shared" si="3"/>
        <v>189270500</v>
      </c>
      <c r="G103">
        <f t="shared" si="4"/>
        <v>609755.35109083646</v>
      </c>
      <c r="H103" t="s">
        <v>22</v>
      </c>
      <c r="I103" s="1" t="s">
        <v>218</v>
      </c>
      <c r="J103" s="1" t="s">
        <v>216</v>
      </c>
      <c r="K103">
        <v>547</v>
      </c>
      <c r="L103" t="s">
        <v>21</v>
      </c>
      <c r="M103">
        <f t="shared" si="5"/>
        <v>0.54700000000000004</v>
      </c>
      <c r="N103">
        <f t="shared" si="6"/>
        <v>169.79098800000003</v>
      </c>
    </row>
    <row r="104" spans="1:14" x14ac:dyDescent="0.3">
      <c r="A104" t="s">
        <v>24</v>
      </c>
      <c r="B104">
        <v>2</v>
      </c>
      <c r="C104">
        <v>6</v>
      </c>
      <c r="D104">
        <v>7</v>
      </c>
      <c r="E104">
        <v>50000000</v>
      </c>
      <c r="F104">
        <f t="shared" si="3"/>
        <v>189270500</v>
      </c>
      <c r="G104">
        <f t="shared" si="4"/>
        <v>609755.35109083646</v>
      </c>
      <c r="H104" t="s">
        <v>22</v>
      </c>
      <c r="I104" s="1" t="s">
        <v>218</v>
      </c>
      <c r="J104" s="1" t="s">
        <v>216</v>
      </c>
      <c r="K104">
        <v>7</v>
      </c>
      <c r="L104" t="s">
        <v>21</v>
      </c>
      <c r="M104">
        <f t="shared" si="5"/>
        <v>7.0000000000000001E-3</v>
      </c>
      <c r="N104">
        <f t="shared" si="6"/>
        <v>2.172828</v>
      </c>
    </row>
    <row r="105" spans="1:14" x14ac:dyDescent="0.3">
      <c r="A105" t="s">
        <v>25</v>
      </c>
      <c r="B105">
        <v>2</v>
      </c>
      <c r="C105">
        <v>6</v>
      </c>
      <c r="D105">
        <v>7</v>
      </c>
      <c r="E105">
        <v>50000000</v>
      </c>
      <c r="F105">
        <f t="shared" ref="F105:F166" si="7">E105*3.78541</f>
        <v>189270500</v>
      </c>
      <c r="G105">
        <f t="shared" ref="G105:G123" si="8">F105/310.404</f>
        <v>609755.35109083646</v>
      </c>
      <c r="H105" t="s">
        <v>22</v>
      </c>
      <c r="I105" s="1" t="s">
        <v>218</v>
      </c>
      <c r="J105" s="1" t="s">
        <v>216</v>
      </c>
      <c r="K105">
        <v>14</v>
      </c>
      <c r="L105" t="s">
        <v>21</v>
      </c>
      <c r="M105">
        <f t="shared" ref="M105:M123" si="9">IFERROR(K105/1000,"ND")</f>
        <v>1.4E-2</v>
      </c>
      <c r="N105">
        <f t="shared" si="6"/>
        <v>4.345656</v>
      </c>
    </row>
    <row r="106" spans="1:14" x14ac:dyDescent="0.3">
      <c r="A106" t="s">
        <v>26</v>
      </c>
      <c r="B106">
        <v>2</v>
      </c>
      <c r="C106">
        <v>6</v>
      </c>
      <c r="D106">
        <v>7</v>
      </c>
      <c r="E106">
        <v>50000000</v>
      </c>
      <c r="F106">
        <f t="shared" si="7"/>
        <v>189270500</v>
      </c>
      <c r="G106">
        <f t="shared" si="8"/>
        <v>609755.35109083646</v>
      </c>
      <c r="H106" t="s">
        <v>22</v>
      </c>
      <c r="I106" s="1" t="s">
        <v>218</v>
      </c>
      <c r="J106" s="1" t="s">
        <v>216</v>
      </c>
      <c r="K106">
        <v>45</v>
      </c>
      <c r="L106" t="s">
        <v>21</v>
      </c>
      <c r="M106">
        <f t="shared" si="9"/>
        <v>4.4999999999999998E-2</v>
      </c>
      <c r="N106">
        <f t="shared" si="6"/>
        <v>13.96818</v>
      </c>
    </row>
    <row r="107" spans="1:14" x14ac:dyDescent="0.3">
      <c r="A107" t="s">
        <v>27</v>
      </c>
      <c r="B107">
        <v>2</v>
      </c>
      <c r="C107">
        <v>6</v>
      </c>
      <c r="D107">
        <v>7</v>
      </c>
      <c r="E107">
        <v>50000000</v>
      </c>
      <c r="F107">
        <f t="shared" si="7"/>
        <v>189270500</v>
      </c>
      <c r="G107">
        <f t="shared" si="8"/>
        <v>609755.35109083646</v>
      </c>
      <c r="H107" t="s">
        <v>22</v>
      </c>
      <c r="I107" s="1" t="s">
        <v>218</v>
      </c>
      <c r="J107" s="1" t="s">
        <v>216</v>
      </c>
      <c r="K107">
        <v>75</v>
      </c>
      <c r="L107" t="s">
        <v>21</v>
      </c>
      <c r="M107">
        <f t="shared" si="9"/>
        <v>7.4999999999999997E-2</v>
      </c>
      <c r="N107">
        <f t="shared" si="6"/>
        <v>23.2803</v>
      </c>
    </row>
    <row r="108" spans="1:14" x14ac:dyDescent="0.3">
      <c r="A108" t="s">
        <v>28</v>
      </c>
      <c r="B108">
        <v>2</v>
      </c>
      <c r="C108">
        <v>6</v>
      </c>
      <c r="D108">
        <v>7</v>
      </c>
      <c r="E108">
        <v>50000000</v>
      </c>
      <c r="F108">
        <f t="shared" si="7"/>
        <v>189270500</v>
      </c>
      <c r="G108">
        <f t="shared" si="8"/>
        <v>609755.35109083646</v>
      </c>
      <c r="H108" t="s">
        <v>22</v>
      </c>
      <c r="I108" s="1" t="s">
        <v>218</v>
      </c>
      <c r="J108" s="1" t="s">
        <v>216</v>
      </c>
      <c r="K108">
        <v>420</v>
      </c>
      <c r="L108" t="s">
        <v>21</v>
      </c>
      <c r="M108">
        <f t="shared" si="9"/>
        <v>0.42</v>
      </c>
      <c r="N108">
        <f t="shared" si="6"/>
        <v>130.36967999999999</v>
      </c>
    </row>
    <row r="109" spans="1:14" x14ac:dyDescent="0.3">
      <c r="A109" t="s">
        <v>29</v>
      </c>
      <c r="B109">
        <v>2</v>
      </c>
      <c r="C109">
        <v>6</v>
      </c>
      <c r="D109">
        <v>7</v>
      </c>
      <c r="E109">
        <v>50000000</v>
      </c>
      <c r="F109">
        <f t="shared" si="7"/>
        <v>189270500</v>
      </c>
      <c r="G109">
        <f t="shared" si="8"/>
        <v>609755.35109083646</v>
      </c>
      <c r="H109" t="s">
        <v>22</v>
      </c>
      <c r="I109" s="1" t="s">
        <v>218</v>
      </c>
      <c r="J109" s="1" t="s">
        <v>216</v>
      </c>
      <c r="K109">
        <v>53</v>
      </c>
      <c r="L109" t="s">
        <v>21</v>
      </c>
      <c r="M109">
        <f t="shared" si="9"/>
        <v>5.2999999999999999E-2</v>
      </c>
      <c r="N109">
        <f t="shared" si="6"/>
        <v>16.451412000000001</v>
      </c>
    </row>
    <row r="110" spans="1:14" x14ac:dyDescent="0.3">
      <c r="A110" t="s">
        <v>30</v>
      </c>
      <c r="B110">
        <v>2</v>
      </c>
      <c r="C110">
        <v>6</v>
      </c>
      <c r="D110">
        <v>7</v>
      </c>
      <c r="E110">
        <v>50000000</v>
      </c>
      <c r="F110">
        <f t="shared" si="7"/>
        <v>189270500</v>
      </c>
      <c r="G110">
        <f t="shared" si="8"/>
        <v>609755.35109083646</v>
      </c>
      <c r="H110" t="s">
        <v>22</v>
      </c>
      <c r="I110" s="1" t="s">
        <v>218</v>
      </c>
      <c r="J110" s="1" t="s">
        <v>216</v>
      </c>
      <c r="K110">
        <v>17</v>
      </c>
      <c r="L110" t="s">
        <v>21</v>
      </c>
      <c r="M110">
        <f t="shared" si="9"/>
        <v>1.7000000000000001E-2</v>
      </c>
      <c r="N110">
        <f t="shared" si="6"/>
        <v>5.2768680000000003</v>
      </c>
    </row>
    <row r="111" spans="1:14" x14ac:dyDescent="0.3">
      <c r="A111" t="s">
        <v>31</v>
      </c>
      <c r="B111">
        <v>2</v>
      </c>
      <c r="C111">
        <v>6</v>
      </c>
      <c r="D111">
        <v>7</v>
      </c>
      <c r="E111">
        <v>50000000</v>
      </c>
      <c r="F111">
        <f t="shared" si="7"/>
        <v>189270500</v>
      </c>
      <c r="G111">
        <f t="shared" si="8"/>
        <v>609755.35109083646</v>
      </c>
      <c r="H111" t="s">
        <v>22</v>
      </c>
      <c r="I111" s="1" t="s">
        <v>218</v>
      </c>
      <c r="J111" s="1" t="s">
        <v>216</v>
      </c>
      <c r="K111">
        <v>18</v>
      </c>
      <c r="L111" t="s">
        <v>21</v>
      </c>
      <c r="M111">
        <f t="shared" si="9"/>
        <v>1.7999999999999999E-2</v>
      </c>
      <c r="N111">
        <f t="shared" si="6"/>
        <v>5.5872719999999996</v>
      </c>
    </row>
    <row r="112" spans="1:14" x14ac:dyDescent="0.3">
      <c r="A112" t="s">
        <v>32</v>
      </c>
      <c r="B112">
        <v>2</v>
      </c>
      <c r="C112">
        <v>6</v>
      </c>
      <c r="D112">
        <v>7</v>
      </c>
      <c r="E112">
        <v>50000000</v>
      </c>
      <c r="F112">
        <f t="shared" si="7"/>
        <v>189270500</v>
      </c>
      <c r="G112">
        <f t="shared" si="8"/>
        <v>609755.35109083646</v>
      </c>
      <c r="H112" t="s">
        <v>22</v>
      </c>
      <c r="I112" s="1" t="s">
        <v>218</v>
      </c>
      <c r="J112" s="1" t="s">
        <v>216</v>
      </c>
      <c r="K112" t="s">
        <v>20</v>
      </c>
      <c r="L112" t="s">
        <v>21</v>
      </c>
      <c r="M112" t="str">
        <f t="shared" si="9"/>
        <v>ND</v>
      </c>
      <c r="N112" t="str">
        <f t="shared" si="6"/>
        <v>ND</v>
      </c>
    </row>
    <row r="113" spans="1:14" x14ac:dyDescent="0.3">
      <c r="A113" t="s">
        <v>19</v>
      </c>
      <c r="B113">
        <v>2</v>
      </c>
      <c r="C113">
        <v>6</v>
      </c>
      <c r="D113">
        <v>7</v>
      </c>
      <c r="E113">
        <v>50000000</v>
      </c>
      <c r="F113">
        <f t="shared" si="7"/>
        <v>189270500</v>
      </c>
      <c r="G113">
        <f t="shared" si="8"/>
        <v>609755.35109083646</v>
      </c>
      <c r="H113" t="s">
        <v>22</v>
      </c>
      <c r="I113" s="1" t="s">
        <v>218</v>
      </c>
      <c r="J113" s="1" t="s">
        <v>216</v>
      </c>
      <c r="K113" t="s">
        <v>20</v>
      </c>
      <c r="L113" t="s">
        <v>21</v>
      </c>
      <c r="M113" t="str">
        <f t="shared" si="9"/>
        <v>ND</v>
      </c>
      <c r="N113" t="str">
        <f t="shared" si="6"/>
        <v>ND</v>
      </c>
    </row>
    <row r="114" spans="1:14" x14ac:dyDescent="0.3">
      <c r="A114" t="s">
        <v>33</v>
      </c>
      <c r="B114">
        <v>2</v>
      </c>
      <c r="C114">
        <v>6</v>
      </c>
      <c r="D114">
        <v>7</v>
      </c>
      <c r="E114">
        <v>50000000</v>
      </c>
      <c r="F114">
        <f t="shared" si="7"/>
        <v>189270500</v>
      </c>
      <c r="G114">
        <f t="shared" si="8"/>
        <v>609755.35109083646</v>
      </c>
      <c r="H114" t="s">
        <v>22</v>
      </c>
      <c r="I114" s="1" t="s">
        <v>218</v>
      </c>
      <c r="J114" s="1" t="s">
        <v>216</v>
      </c>
      <c r="K114" t="s">
        <v>20</v>
      </c>
      <c r="L114" t="s">
        <v>21</v>
      </c>
      <c r="M114" t="str">
        <f t="shared" si="9"/>
        <v>ND</v>
      </c>
      <c r="N114" t="str">
        <f t="shared" si="6"/>
        <v>ND</v>
      </c>
    </row>
    <row r="115" spans="1:14" x14ac:dyDescent="0.3">
      <c r="A115" t="s">
        <v>34</v>
      </c>
      <c r="B115">
        <v>2</v>
      </c>
      <c r="C115">
        <v>6</v>
      </c>
      <c r="D115">
        <v>7</v>
      </c>
      <c r="E115">
        <v>50000000</v>
      </c>
      <c r="F115">
        <f t="shared" si="7"/>
        <v>189270500</v>
      </c>
      <c r="G115">
        <f t="shared" si="8"/>
        <v>609755.35109083646</v>
      </c>
      <c r="H115" t="s">
        <v>22</v>
      </c>
      <c r="I115" s="1" t="s">
        <v>218</v>
      </c>
      <c r="J115" s="1" t="s">
        <v>216</v>
      </c>
      <c r="K115">
        <v>433</v>
      </c>
      <c r="L115" t="s">
        <v>21</v>
      </c>
      <c r="M115">
        <f t="shared" si="9"/>
        <v>0.433</v>
      </c>
      <c r="N115">
        <f t="shared" si="6"/>
        <v>134.404932</v>
      </c>
    </row>
    <row r="116" spans="1:14" x14ac:dyDescent="0.3">
      <c r="A116" t="s">
        <v>35</v>
      </c>
      <c r="B116">
        <v>2</v>
      </c>
      <c r="C116">
        <v>6</v>
      </c>
      <c r="D116">
        <v>7</v>
      </c>
      <c r="E116">
        <v>50000000</v>
      </c>
      <c r="F116">
        <f t="shared" si="7"/>
        <v>189270500</v>
      </c>
      <c r="G116">
        <f t="shared" si="8"/>
        <v>609755.35109083646</v>
      </c>
      <c r="H116" t="s">
        <v>22</v>
      </c>
      <c r="I116" s="1" t="s">
        <v>218</v>
      </c>
      <c r="J116" s="1" t="s">
        <v>216</v>
      </c>
      <c r="K116" t="s">
        <v>20</v>
      </c>
      <c r="L116" t="s">
        <v>21</v>
      </c>
      <c r="M116" t="str">
        <f t="shared" si="9"/>
        <v>ND</v>
      </c>
      <c r="N116" t="str">
        <f t="shared" si="6"/>
        <v>ND</v>
      </c>
    </row>
    <row r="117" spans="1:14" x14ac:dyDescent="0.3">
      <c r="A117" t="s">
        <v>36</v>
      </c>
      <c r="B117">
        <v>2</v>
      </c>
      <c r="C117">
        <v>6</v>
      </c>
      <c r="D117">
        <v>7</v>
      </c>
      <c r="E117">
        <v>50000000</v>
      </c>
      <c r="F117">
        <f t="shared" si="7"/>
        <v>189270500</v>
      </c>
      <c r="G117">
        <f t="shared" si="8"/>
        <v>609755.35109083646</v>
      </c>
      <c r="H117" t="s">
        <v>22</v>
      </c>
      <c r="I117" s="1" t="s">
        <v>218</v>
      </c>
      <c r="J117" s="1" t="s">
        <v>216</v>
      </c>
      <c r="K117" t="s">
        <v>20</v>
      </c>
      <c r="L117" t="s">
        <v>21</v>
      </c>
      <c r="M117" t="str">
        <f t="shared" si="9"/>
        <v>ND</v>
      </c>
      <c r="N117" t="str">
        <f t="shared" si="6"/>
        <v>ND</v>
      </c>
    </row>
    <row r="118" spans="1:14" x14ac:dyDescent="0.3">
      <c r="A118" t="s">
        <v>37</v>
      </c>
      <c r="B118">
        <v>2</v>
      </c>
      <c r="C118">
        <v>6</v>
      </c>
      <c r="D118">
        <v>7</v>
      </c>
      <c r="E118">
        <v>50000000</v>
      </c>
      <c r="F118">
        <f t="shared" si="7"/>
        <v>189270500</v>
      </c>
      <c r="G118">
        <f t="shared" si="8"/>
        <v>609755.35109083646</v>
      </c>
      <c r="H118" t="s">
        <v>22</v>
      </c>
      <c r="I118" s="1" t="s">
        <v>218</v>
      </c>
      <c r="J118" s="1" t="s">
        <v>216</v>
      </c>
      <c r="K118" t="s">
        <v>20</v>
      </c>
      <c r="L118" t="s">
        <v>21</v>
      </c>
      <c r="M118" t="str">
        <f t="shared" si="9"/>
        <v>ND</v>
      </c>
      <c r="N118" t="str">
        <f t="shared" si="6"/>
        <v>ND</v>
      </c>
    </row>
    <row r="119" spans="1:14" x14ac:dyDescent="0.3">
      <c r="A119" t="s">
        <v>38</v>
      </c>
      <c r="B119">
        <v>2</v>
      </c>
      <c r="C119">
        <v>6</v>
      </c>
      <c r="D119">
        <v>7</v>
      </c>
      <c r="E119">
        <v>50000000</v>
      </c>
      <c r="F119">
        <f t="shared" si="7"/>
        <v>189270500</v>
      </c>
      <c r="G119">
        <f t="shared" si="8"/>
        <v>609755.35109083646</v>
      </c>
      <c r="H119" t="s">
        <v>22</v>
      </c>
      <c r="I119" s="1" t="s">
        <v>218</v>
      </c>
      <c r="J119" s="1" t="s">
        <v>216</v>
      </c>
      <c r="K119" t="s">
        <v>20</v>
      </c>
      <c r="L119" t="s">
        <v>21</v>
      </c>
      <c r="M119" t="str">
        <f t="shared" si="9"/>
        <v>ND</v>
      </c>
      <c r="N119" t="str">
        <f t="shared" si="6"/>
        <v>ND</v>
      </c>
    </row>
    <row r="120" spans="1:14" x14ac:dyDescent="0.3">
      <c r="A120" t="s">
        <v>39</v>
      </c>
      <c r="B120">
        <v>2</v>
      </c>
      <c r="C120">
        <v>6</v>
      </c>
      <c r="D120">
        <v>7</v>
      </c>
      <c r="E120">
        <v>50000000</v>
      </c>
      <c r="F120">
        <f t="shared" si="7"/>
        <v>189270500</v>
      </c>
      <c r="G120">
        <f t="shared" si="8"/>
        <v>609755.35109083646</v>
      </c>
      <c r="H120" t="s">
        <v>22</v>
      </c>
      <c r="I120" s="1" t="s">
        <v>218</v>
      </c>
      <c r="J120" s="1" t="s">
        <v>216</v>
      </c>
      <c r="K120">
        <v>24</v>
      </c>
      <c r="L120" t="s">
        <v>21</v>
      </c>
      <c r="M120">
        <f t="shared" si="9"/>
        <v>2.4E-2</v>
      </c>
      <c r="N120">
        <f t="shared" si="6"/>
        <v>7.4496960000000003</v>
      </c>
    </row>
    <row r="121" spans="1:14" x14ac:dyDescent="0.3">
      <c r="A121" t="s">
        <v>40</v>
      </c>
      <c r="B121">
        <v>2</v>
      </c>
      <c r="C121">
        <v>6</v>
      </c>
      <c r="D121">
        <v>7</v>
      </c>
      <c r="E121">
        <v>50000000</v>
      </c>
      <c r="F121">
        <f t="shared" si="7"/>
        <v>189270500</v>
      </c>
      <c r="G121">
        <f t="shared" si="8"/>
        <v>609755.35109083646</v>
      </c>
      <c r="H121" t="s">
        <v>22</v>
      </c>
      <c r="I121" s="1" t="s">
        <v>218</v>
      </c>
      <c r="J121" s="1" t="s">
        <v>216</v>
      </c>
      <c r="K121">
        <v>16</v>
      </c>
      <c r="L121" t="s">
        <v>21</v>
      </c>
      <c r="M121">
        <f t="shared" si="9"/>
        <v>1.6E-2</v>
      </c>
      <c r="N121">
        <f t="shared" si="6"/>
        <v>4.9664640000000002</v>
      </c>
    </row>
    <row r="122" spans="1:14" x14ac:dyDescent="0.3">
      <c r="A122" t="s">
        <v>41</v>
      </c>
      <c r="B122">
        <v>2</v>
      </c>
      <c r="C122">
        <v>6</v>
      </c>
      <c r="D122">
        <v>7</v>
      </c>
      <c r="E122">
        <v>50000000</v>
      </c>
      <c r="F122">
        <f t="shared" si="7"/>
        <v>189270500</v>
      </c>
      <c r="G122">
        <f t="shared" si="8"/>
        <v>609755.35109083646</v>
      </c>
      <c r="H122" t="s">
        <v>22</v>
      </c>
      <c r="I122" s="1" t="s">
        <v>218</v>
      </c>
      <c r="J122" s="1" t="s">
        <v>216</v>
      </c>
      <c r="K122">
        <v>108</v>
      </c>
      <c r="L122" t="s">
        <v>21</v>
      </c>
      <c r="M122">
        <f t="shared" si="9"/>
        <v>0.108</v>
      </c>
      <c r="N122">
        <f t="shared" si="6"/>
        <v>33.523631999999999</v>
      </c>
    </row>
    <row r="123" spans="1:14" x14ac:dyDescent="0.3">
      <c r="A123" t="s">
        <v>42</v>
      </c>
      <c r="B123">
        <v>2</v>
      </c>
      <c r="C123">
        <v>6</v>
      </c>
      <c r="D123">
        <v>7</v>
      </c>
      <c r="E123">
        <v>50000000</v>
      </c>
      <c r="F123">
        <f t="shared" si="7"/>
        <v>189270500</v>
      </c>
      <c r="G123">
        <f t="shared" si="8"/>
        <v>609755.35109083646</v>
      </c>
      <c r="H123" t="s">
        <v>22</v>
      </c>
      <c r="I123" s="1" t="s">
        <v>218</v>
      </c>
      <c r="J123" s="1" t="s">
        <v>216</v>
      </c>
      <c r="K123">
        <v>111</v>
      </c>
      <c r="L123" t="s">
        <v>21</v>
      </c>
      <c r="M123">
        <f t="shared" si="9"/>
        <v>0.111</v>
      </c>
      <c r="N123">
        <f t="shared" si="6"/>
        <v>34.454844000000001</v>
      </c>
    </row>
    <row r="124" spans="1:14" x14ac:dyDescent="0.3">
      <c r="A124" s="1" t="s">
        <v>11</v>
      </c>
      <c r="B124">
        <v>3</v>
      </c>
      <c r="C124">
        <v>7</v>
      </c>
      <c r="D124" t="s">
        <v>1</v>
      </c>
      <c r="E124">
        <v>3951000</v>
      </c>
      <c r="F124">
        <f t="shared" si="7"/>
        <v>14956154.91</v>
      </c>
      <c r="G124">
        <v>30000</v>
      </c>
      <c r="H124" t="s">
        <v>43</v>
      </c>
      <c r="I124" s="1" t="s">
        <v>219</v>
      </c>
      <c r="J124" s="1" t="s">
        <v>216</v>
      </c>
      <c r="K124" s="9">
        <f>0.438525*1000</f>
        <v>438.52499999999998</v>
      </c>
      <c r="L124" t="s">
        <v>21</v>
      </c>
      <c r="M124">
        <f t="shared" ref="M124:M144" si="10">IFERROR(K124/1000,"ND")</f>
        <v>0.438525</v>
      </c>
      <c r="N124">
        <f t="shared" si="6"/>
        <v>218.62159439692499</v>
      </c>
    </row>
    <row r="125" spans="1:14" x14ac:dyDescent="0.3">
      <c r="A125" s="1" t="s">
        <v>44</v>
      </c>
      <c r="B125">
        <v>3</v>
      </c>
      <c r="C125">
        <v>7</v>
      </c>
      <c r="D125" t="s">
        <v>1</v>
      </c>
      <c r="E125">
        <v>3951000</v>
      </c>
      <c r="F125">
        <f t="shared" si="7"/>
        <v>14956154.91</v>
      </c>
      <c r="G125">
        <v>30000</v>
      </c>
      <c r="H125" t="s">
        <v>43</v>
      </c>
      <c r="I125" s="1" t="s">
        <v>219</v>
      </c>
      <c r="J125" s="1" t="s">
        <v>216</v>
      </c>
      <c r="K125" s="9">
        <f>1000*6.1318375</f>
        <v>6131.8374999999996</v>
      </c>
      <c r="L125" t="s">
        <v>21</v>
      </c>
      <c r="M125">
        <f t="shared" si="10"/>
        <v>6.1318374999999996</v>
      </c>
      <c r="N125">
        <f t="shared" si="6"/>
        <v>3056.9570510982376</v>
      </c>
    </row>
    <row r="126" spans="1:14" x14ac:dyDescent="0.3">
      <c r="A126" s="1" t="s">
        <v>8</v>
      </c>
      <c r="B126">
        <v>3</v>
      </c>
      <c r="C126">
        <v>7</v>
      </c>
      <c r="D126" t="s">
        <v>1</v>
      </c>
      <c r="E126">
        <v>3951000</v>
      </c>
      <c r="F126">
        <f t="shared" si="7"/>
        <v>14956154.91</v>
      </c>
      <c r="G126">
        <v>30000</v>
      </c>
      <c r="H126" t="s">
        <v>43</v>
      </c>
      <c r="I126" s="1" t="s">
        <v>219</v>
      </c>
      <c r="J126" s="1" t="s">
        <v>216</v>
      </c>
      <c r="K126" s="9">
        <f>1000*0.3751375</f>
        <v>375.13749999999999</v>
      </c>
      <c r="L126" t="s">
        <v>21</v>
      </c>
      <c r="M126">
        <f t="shared" si="10"/>
        <v>0.37513750000000001</v>
      </c>
      <c r="N126">
        <f t="shared" si="6"/>
        <v>187.02048541833753</v>
      </c>
    </row>
    <row r="127" spans="1:14" x14ac:dyDescent="0.3">
      <c r="A127" s="1" t="s">
        <v>39</v>
      </c>
      <c r="B127">
        <v>3</v>
      </c>
      <c r="C127">
        <v>7</v>
      </c>
      <c r="D127" t="s">
        <v>1</v>
      </c>
      <c r="E127">
        <v>3951000</v>
      </c>
      <c r="F127">
        <f t="shared" si="7"/>
        <v>14956154.91</v>
      </c>
      <c r="G127">
        <v>30000</v>
      </c>
      <c r="H127" t="s">
        <v>43</v>
      </c>
      <c r="I127" s="1" t="s">
        <v>219</v>
      </c>
      <c r="J127" s="1" t="s">
        <v>216</v>
      </c>
      <c r="K127" s="9">
        <f>1000*1.4140875</f>
        <v>1414.0874999999999</v>
      </c>
      <c r="L127" t="s">
        <v>21</v>
      </c>
      <c r="M127">
        <f t="shared" si="10"/>
        <v>1.4140874999999999</v>
      </c>
      <c r="N127">
        <f t="shared" si="6"/>
        <v>704.9770568764875</v>
      </c>
    </row>
    <row r="128" spans="1:14" x14ac:dyDescent="0.3">
      <c r="A128" s="1" t="s">
        <v>11</v>
      </c>
      <c r="B128">
        <v>3</v>
      </c>
      <c r="C128">
        <v>7</v>
      </c>
      <c r="D128" t="s">
        <v>1</v>
      </c>
      <c r="E128">
        <v>3951000</v>
      </c>
      <c r="F128">
        <f t="shared" si="7"/>
        <v>14956154.91</v>
      </c>
      <c r="G128">
        <v>30000</v>
      </c>
      <c r="H128" t="s">
        <v>43</v>
      </c>
      <c r="I128" s="1" t="s">
        <v>219</v>
      </c>
      <c r="J128" s="1" t="s">
        <v>220</v>
      </c>
      <c r="K128" s="9">
        <f>1000*0.1021</f>
        <v>102.1</v>
      </c>
      <c r="L128" t="s">
        <v>21</v>
      </c>
      <c r="M128">
        <f t="shared" si="10"/>
        <v>0.1021</v>
      </c>
      <c r="N128">
        <f t="shared" si="6"/>
        <v>50.900780543700002</v>
      </c>
    </row>
    <row r="129" spans="1:14" x14ac:dyDescent="0.3">
      <c r="A129" s="1" t="s">
        <v>44</v>
      </c>
      <c r="B129">
        <v>3</v>
      </c>
      <c r="C129">
        <v>7</v>
      </c>
      <c r="D129" t="s">
        <v>1</v>
      </c>
      <c r="E129">
        <v>3951000</v>
      </c>
      <c r="F129">
        <f t="shared" si="7"/>
        <v>14956154.91</v>
      </c>
      <c r="G129">
        <v>30000</v>
      </c>
      <c r="H129" t="s">
        <v>43</v>
      </c>
      <c r="I129" s="1" t="s">
        <v>219</v>
      </c>
      <c r="J129" s="1" t="s">
        <v>220</v>
      </c>
      <c r="K129" s="9">
        <f>1000*7.3471</f>
        <v>7347.1</v>
      </c>
      <c r="L129" t="s">
        <v>21</v>
      </c>
      <c r="M129">
        <f t="shared" si="10"/>
        <v>7.3471000000000002</v>
      </c>
      <c r="N129">
        <f t="shared" si="6"/>
        <v>3662.8121913087002</v>
      </c>
    </row>
    <row r="130" spans="1:14" x14ac:dyDescent="0.3">
      <c r="A130" s="1" t="s">
        <v>8</v>
      </c>
      <c r="B130">
        <v>3</v>
      </c>
      <c r="C130">
        <v>7</v>
      </c>
      <c r="D130" t="s">
        <v>1</v>
      </c>
      <c r="E130">
        <v>3951000</v>
      </c>
      <c r="F130">
        <f t="shared" si="7"/>
        <v>14956154.91</v>
      </c>
      <c r="G130">
        <v>30000</v>
      </c>
      <c r="H130" t="s">
        <v>43</v>
      </c>
      <c r="I130" s="1" t="s">
        <v>219</v>
      </c>
      <c r="J130" s="1" t="s">
        <v>220</v>
      </c>
      <c r="K130" s="9">
        <f>1000*0.2065</f>
        <v>206.5</v>
      </c>
      <c r="L130" t="s">
        <v>21</v>
      </c>
      <c r="M130">
        <f t="shared" si="10"/>
        <v>0.20649999999999999</v>
      </c>
      <c r="N130">
        <f t="shared" ref="N130:N193" si="11">IFERROR((M130*F130)/G130,"ND")</f>
        <v>102.94819963049999</v>
      </c>
    </row>
    <row r="131" spans="1:14" x14ac:dyDescent="0.3">
      <c r="A131" s="1" t="s">
        <v>39</v>
      </c>
      <c r="B131">
        <v>3</v>
      </c>
      <c r="C131">
        <v>7</v>
      </c>
      <c r="D131" t="s">
        <v>1</v>
      </c>
      <c r="E131">
        <v>3951000</v>
      </c>
      <c r="F131">
        <f t="shared" si="7"/>
        <v>14956154.91</v>
      </c>
      <c r="G131">
        <v>30000</v>
      </c>
      <c r="H131" t="s">
        <v>43</v>
      </c>
      <c r="I131" s="1" t="s">
        <v>219</v>
      </c>
      <c r="J131" s="1" t="s">
        <v>220</v>
      </c>
      <c r="K131" s="9">
        <f>1000*4.0969</f>
        <v>4096.8999999999996</v>
      </c>
      <c r="L131" t="s">
        <v>21</v>
      </c>
      <c r="M131">
        <f t="shared" si="10"/>
        <v>4.0968999999999998</v>
      </c>
      <c r="N131">
        <f t="shared" si="11"/>
        <v>2042.4623683592999</v>
      </c>
    </row>
    <row r="132" spans="1:14" x14ac:dyDescent="0.3">
      <c r="A132" s="1" t="s">
        <v>11</v>
      </c>
      <c r="B132">
        <v>3</v>
      </c>
      <c r="C132">
        <v>7</v>
      </c>
      <c r="D132" t="s">
        <v>1</v>
      </c>
      <c r="E132">
        <v>3951000</v>
      </c>
      <c r="F132">
        <f t="shared" si="7"/>
        <v>14956154.91</v>
      </c>
      <c r="G132">
        <v>30000</v>
      </c>
      <c r="H132" t="s">
        <v>43</v>
      </c>
      <c r="I132" s="1" t="s">
        <v>219</v>
      </c>
      <c r="J132" s="1" t="s">
        <v>220</v>
      </c>
      <c r="K132" s="9">
        <f>1000*0.1915</f>
        <v>191.5</v>
      </c>
      <c r="L132" t="s">
        <v>21</v>
      </c>
      <c r="M132">
        <f t="shared" si="10"/>
        <v>0.1915</v>
      </c>
      <c r="N132">
        <f t="shared" si="11"/>
        <v>95.470122175499995</v>
      </c>
    </row>
    <row r="133" spans="1:14" x14ac:dyDescent="0.3">
      <c r="A133" s="1" t="s">
        <v>44</v>
      </c>
      <c r="B133">
        <v>3</v>
      </c>
      <c r="C133">
        <v>7</v>
      </c>
      <c r="D133" t="s">
        <v>1</v>
      </c>
      <c r="E133">
        <v>3951000</v>
      </c>
      <c r="F133">
        <f t="shared" si="7"/>
        <v>14956154.91</v>
      </c>
      <c r="G133">
        <v>30000</v>
      </c>
      <c r="H133" t="s">
        <v>43</v>
      </c>
      <c r="I133" s="1" t="s">
        <v>219</v>
      </c>
      <c r="J133" s="1" t="s">
        <v>220</v>
      </c>
      <c r="K133" s="9">
        <f>1000*7.2349</f>
        <v>7234.9</v>
      </c>
      <c r="L133" t="s">
        <v>21</v>
      </c>
      <c r="M133">
        <f t="shared" si="10"/>
        <v>7.2348999999999997</v>
      </c>
      <c r="N133">
        <f t="shared" si="11"/>
        <v>3606.8761719452996</v>
      </c>
    </row>
    <row r="134" spans="1:14" x14ac:dyDescent="0.3">
      <c r="A134" s="1" t="s">
        <v>8</v>
      </c>
      <c r="B134">
        <v>3</v>
      </c>
      <c r="C134">
        <v>7</v>
      </c>
      <c r="D134" t="s">
        <v>1</v>
      </c>
      <c r="E134">
        <v>3951000</v>
      </c>
      <c r="F134">
        <f t="shared" si="7"/>
        <v>14956154.91</v>
      </c>
      <c r="G134">
        <v>30000</v>
      </c>
      <c r="H134" t="s">
        <v>43</v>
      </c>
      <c r="I134" s="1" t="s">
        <v>219</v>
      </c>
      <c r="J134" s="1" t="s">
        <v>220</v>
      </c>
      <c r="K134" s="9">
        <f>1000*0.4779</f>
        <v>477.9</v>
      </c>
      <c r="L134" t="s">
        <v>21</v>
      </c>
      <c r="M134">
        <f t="shared" si="10"/>
        <v>0.47789999999999999</v>
      </c>
      <c r="N134">
        <f t="shared" si="11"/>
        <v>238.2515477163</v>
      </c>
    </row>
    <row r="135" spans="1:14" x14ac:dyDescent="0.3">
      <c r="A135" s="1" t="s">
        <v>39</v>
      </c>
      <c r="B135">
        <v>3</v>
      </c>
      <c r="C135">
        <v>7</v>
      </c>
      <c r="D135" t="s">
        <v>1</v>
      </c>
      <c r="E135">
        <v>3951000</v>
      </c>
      <c r="F135">
        <f t="shared" si="7"/>
        <v>14956154.91</v>
      </c>
      <c r="G135">
        <v>30000</v>
      </c>
      <c r="H135" t="s">
        <v>43</v>
      </c>
      <c r="I135" s="1" t="s">
        <v>219</v>
      </c>
      <c r="J135" s="1" t="s">
        <v>220</v>
      </c>
      <c r="K135" s="9">
        <f>1000*2.1648</f>
        <v>2164.8000000000002</v>
      </c>
      <c r="L135" t="s">
        <v>21</v>
      </c>
      <c r="M135">
        <f t="shared" si="10"/>
        <v>2.1648000000000001</v>
      </c>
      <c r="N135">
        <f t="shared" si="11"/>
        <v>1079.2361383056</v>
      </c>
    </row>
    <row r="136" spans="1:14" x14ac:dyDescent="0.3">
      <c r="A136" s="1" t="s">
        <v>11</v>
      </c>
      <c r="B136">
        <v>3</v>
      </c>
      <c r="C136">
        <v>7</v>
      </c>
      <c r="D136" t="s">
        <v>1</v>
      </c>
      <c r="E136">
        <v>3951000</v>
      </c>
      <c r="F136">
        <f t="shared" si="7"/>
        <v>14956154.91</v>
      </c>
      <c r="G136">
        <v>30000</v>
      </c>
      <c r="H136" t="s">
        <v>43</v>
      </c>
      <c r="I136" s="1" t="s">
        <v>219</v>
      </c>
      <c r="J136" s="1" t="s">
        <v>220</v>
      </c>
      <c r="K136" s="9">
        <f>1000*0.1097</f>
        <v>109.7</v>
      </c>
      <c r="L136" t="s">
        <v>21</v>
      </c>
      <c r="M136">
        <f t="shared" si="10"/>
        <v>0.10970000000000001</v>
      </c>
      <c r="N136">
        <f t="shared" si="11"/>
        <v>54.689673120900004</v>
      </c>
    </row>
    <row r="137" spans="1:14" x14ac:dyDescent="0.3">
      <c r="A137" s="1" t="s">
        <v>44</v>
      </c>
      <c r="B137">
        <v>3</v>
      </c>
      <c r="C137">
        <v>7</v>
      </c>
      <c r="D137" t="s">
        <v>1</v>
      </c>
      <c r="E137">
        <v>3951000</v>
      </c>
      <c r="F137">
        <f t="shared" si="7"/>
        <v>14956154.91</v>
      </c>
      <c r="G137">
        <v>30000</v>
      </c>
      <c r="H137" t="s">
        <v>43</v>
      </c>
      <c r="I137" s="1" t="s">
        <v>219</v>
      </c>
      <c r="J137" s="1" t="s">
        <v>220</v>
      </c>
      <c r="K137" s="9">
        <f>1000*8.3862</f>
        <v>8386.2000000000007</v>
      </c>
      <c r="L137" t="s">
        <v>21</v>
      </c>
      <c r="M137">
        <f t="shared" si="10"/>
        <v>8.3862000000000005</v>
      </c>
      <c r="N137">
        <f t="shared" si="11"/>
        <v>4180.8435435414003</v>
      </c>
    </row>
    <row r="138" spans="1:14" x14ac:dyDescent="0.3">
      <c r="A138" s="1" t="s">
        <v>39</v>
      </c>
      <c r="B138">
        <v>3</v>
      </c>
      <c r="C138">
        <v>7</v>
      </c>
      <c r="D138" t="s">
        <v>1</v>
      </c>
      <c r="E138">
        <v>3951000</v>
      </c>
      <c r="F138">
        <f t="shared" si="7"/>
        <v>14956154.91</v>
      </c>
      <c r="G138">
        <v>30000</v>
      </c>
      <c r="H138" t="s">
        <v>43</v>
      </c>
      <c r="I138" s="1" t="s">
        <v>219</v>
      </c>
      <c r="J138" s="1" t="s">
        <v>220</v>
      </c>
      <c r="K138" s="9">
        <f>1000*2.2283</f>
        <v>2228.2999999999997</v>
      </c>
      <c r="L138" t="s">
        <v>21</v>
      </c>
      <c r="M138">
        <f t="shared" si="10"/>
        <v>2.2282999999999999</v>
      </c>
      <c r="N138">
        <f t="shared" si="11"/>
        <v>1110.8933328651001</v>
      </c>
    </row>
    <row r="139" spans="1:14" x14ac:dyDescent="0.3">
      <c r="A139" s="1" t="s">
        <v>11</v>
      </c>
      <c r="B139">
        <v>3</v>
      </c>
      <c r="C139">
        <v>7</v>
      </c>
      <c r="D139" t="s">
        <v>1</v>
      </c>
      <c r="E139">
        <v>3951000</v>
      </c>
      <c r="F139">
        <f t="shared" si="7"/>
        <v>14956154.91</v>
      </c>
      <c r="G139">
        <v>30000</v>
      </c>
      <c r="H139" t="s">
        <v>43</v>
      </c>
      <c r="I139" s="1" t="s">
        <v>219</v>
      </c>
      <c r="J139" s="1" t="s">
        <v>220</v>
      </c>
      <c r="K139" s="9">
        <f>1000*0.2064</f>
        <v>206.4</v>
      </c>
      <c r="L139" t="s">
        <v>21</v>
      </c>
      <c r="M139">
        <f t="shared" si="10"/>
        <v>0.2064</v>
      </c>
      <c r="N139">
        <f t="shared" si="11"/>
        <v>102.8983457808</v>
      </c>
    </row>
    <row r="140" spans="1:14" x14ac:dyDescent="0.3">
      <c r="A140" s="1" t="s">
        <v>44</v>
      </c>
      <c r="B140">
        <v>3</v>
      </c>
      <c r="C140">
        <v>7</v>
      </c>
      <c r="D140" t="s">
        <v>1</v>
      </c>
      <c r="E140">
        <v>3951000</v>
      </c>
      <c r="F140">
        <f t="shared" si="7"/>
        <v>14956154.91</v>
      </c>
      <c r="G140">
        <v>30000</v>
      </c>
      <c r="H140" t="s">
        <v>43</v>
      </c>
      <c r="I140" s="1" t="s">
        <v>219</v>
      </c>
      <c r="J140" s="1" t="s">
        <v>220</v>
      </c>
      <c r="K140" s="9">
        <f>1000*7.203</f>
        <v>7203</v>
      </c>
      <c r="L140" t="s">
        <v>21</v>
      </c>
      <c r="M140">
        <f t="shared" si="10"/>
        <v>7.2030000000000003</v>
      </c>
      <c r="N140">
        <f t="shared" si="11"/>
        <v>3590.972793891</v>
      </c>
    </row>
    <row r="141" spans="1:14" x14ac:dyDescent="0.3">
      <c r="A141" s="1" t="s">
        <v>39</v>
      </c>
      <c r="B141">
        <v>3</v>
      </c>
      <c r="C141">
        <v>7</v>
      </c>
      <c r="D141" t="s">
        <v>1</v>
      </c>
      <c r="E141">
        <v>3951000</v>
      </c>
      <c r="F141">
        <f t="shared" si="7"/>
        <v>14956154.91</v>
      </c>
      <c r="G141">
        <v>30000</v>
      </c>
      <c r="H141" t="s">
        <v>43</v>
      </c>
      <c r="I141" s="1" t="s">
        <v>219</v>
      </c>
      <c r="J141" s="1" t="s">
        <v>220</v>
      </c>
      <c r="K141" s="9">
        <v>1518</v>
      </c>
      <c r="L141" t="s">
        <v>21</v>
      </c>
      <c r="M141">
        <f t="shared" si="10"/>
        <v>1.518</v>
      </c>
      <c r="N141">
        <f t="shared" si="11"/>
        <v>756.78143844599992</v>
      </c>
    </row>
    <row r="142" spans="1:14" x14ac:dyDescent="0.3">
      <c r="A142" s="1" t="s">
        <v>11</v>
      </c>
      <c r="B142">
        <v>3</v>
      </c>
      <c r="C142">
        <v>8</v>
      </c>
      <c r="D142" t="s">
        <v>1</v>
      </c>
      <c r="E142">
        <v>3598000</v>
      </c>
      <c r="F142">
        <f t="shared" si="7"/>
        <v>13619905.18</v>
      </c>
      <c r="G142">
        <v>30000</v>
      </c>
      <c r="H142" t="s">
        <v>45</v>
      </c>
      <c r="I142" s="1" t="s">
        <v>219</v>
      </c>
      <c r="J142" s="1" t="s">
        <v>216</v>
      </c>
      <c r="K142" s="9">
        <f>1000*0.1777</f>
        <v>177.7</v>
      </c>
      <c r="L142" t="s">
        <v>21</v>
      </c>
      <c r="M142">
        <f t="shared" si="10"/>
        <v>0.1777</v>
      </c>
      <c r="N142">
        <f t="shared" si="11"/>
        <v>80.675238349533331</v>
      </c>
    </row>
    <row r="143" spans="1:14" x14ac:dyDescent="0.3">
      <c r="A143" s="1" t="s">
        <v>44</v>
      </c>
      <c r="B143">
        <v>3</v>
      </c>
      <c r="C143">
        <v>8</v>
      </c>
      <c r="D143" t="s">
        <v>1</v>
      </c>
      <c r="E143">
        <v>3598000</v>
      </c>
      <c r="F143">
        <f t="shared" si="7"/>
        <v>13619905.18</v>
      </c>
      <c r="G143">
        <v>30000</v>
      </c>
      <c r="H143" t="s">
        <v>45</v>
      </c>
      <c r="I143" s="1" t="s">
        <v>219</v>
      </c>
      <c r="J143" s="1" t="s">
        <v>216</v>
      </c>
      <c r="K143" s="9">
        <f>1000*6.6949</f>
        <v>6694.9</v>
      </c>
      <c r="L143" t="s">
        <v>21</v>
      </c>
      <c r="M143">
        <f t="shared" si="10"/>
        <v>6.6948999999999996</v>
      </c>
      <c r="N143">
        <f t="shared" si="11"/>
        <v>3039.4634396527331</v>
      </c>
    </row>
    <row r="144" spans="1:14" x14ac:dyDescent="0.3">
      <c r="A144" s="1" t="s">
        <v>39</v>
      </c>
      <c r="B144">
        <v>3</v>
      </c>
      <c r="C144">
        <v>8</v>
      </c>
      <c r="D144" t="s">
        <v>1</v>
      </c>
      <c r="E144">
        <v>3598000</v>
      </c>
      <c r="F144">
        <f t="shared" si="7"/>
        <v>13619905.18</v>
      </c>
      <c r="G144">
        <v>30000</v>
      </c>
      <c r="H144" t="s">
        <v>45</v>
      </c>
      <c r="I144" s="1" t="s">
        <v>219</v>
      </c>
      <c r="J144" s="1" t="s">
        <v>216</v>
      </c>
      <c r="K144" s="9">
        <f>1000*1.8256</f>
        <v>1825.6</v>
      </c>
      <c r="L144" t="s">
        <v>21</v>
      </c>
      <c r="M144">
        <f t="shared" si="10"/>
        <v>1.8255999999999999</v>
      </c>
      <c r="N144">
        <f t="shared" si="11"/>
        <v>828.81662988693324</v>
      </c>
    </row>
    <row r="145" spans="1:14" x14ac:dyDescent="0.3">
      <c r="A145" s="1" t="s">
        <v>23</v>
      </c>
      <c r="B145">
        <v>4</v>
      </c>
      <c r="C145">
        <v>9</v>
      </c>
      <c r="D145" s="1" t="s">
        <v>51</v>
      </c>
      <c r="E145">
        <v>20000000</v>
      </c>
      <c r="F145">
        <f t="shared" si="7"/>
        <v>75708200</v>
      </c>
      <c r="G145">
        <f>F145/310.404</f>
        <v>243902.14043633459</v>
      </c>
      <c r="H145" t="s">
        <v>50</v>
      </c>
      <c r="I145" s="1" t="s">
        <v>221</v>
      </c>
      <c r="J145" s="1" t="s">
        <v>222</v>
      </c>
      <c r="K145" s="9">
        <v>34145.488738335771</v>
      </c>
      <c r="L145" t="s">
        <v>21</v>
      </c>
      <c r="M145">
        <f t="shared" ref="M145:M208" si="12">IFERROR(K145/1000,"ND")</f>
        <v>34.145488738335771</v>
      </c>
      <c r="N145">
        <f t="shared" si="11"/>
        <v>10598.896286334377</v>
      </c>
    </row>
    <row r="146" spans="1:14" x14ac:dyDescent="0.3">
      <c r="A146" s="1" t="s">
        <v>27</v>
      </c>
      <c r="B146">
        <v>4</v>
      </c>
      <c r="C146">
        <v>9</v>
      </c>
      <c r="D146" s="1" t="s">
        <v>51</v>
      </c>
      <c r="E146">
        <v>20000000</v>
      </c>
      <c r="F146">
        <f t="shared" si="7"/>
        <v>75708200</v>
      </c>
      <c r="G146">
        <f t="shared" ref="G146:G166" si="13">F146/310.404</f>
        <v>243902.14043633459</v>
      </c>
      <c r="H146" t="s">
        <v>50</v>
      </c>
      <c r="I146" s="1" t="s">
        <v>221</v>
      </c>
      <c r="J146" s="1" t="s">
        <v>222</v>
      </c>
      <c r="K146" s="9">
        <v>171.1328304161768</v>
      </c>
      <c r="L146" t="s">
        <v>21</v>
      </c>
      <c r="M146">
        <f t="shared" si="12"/>
        <v>0.1711328304161768</v>
      </c>
      <c r="N146">
        <f t="shared" si="11"/>
        <v>53.120315092502935</v>
      </c>
    </row>
    <row r="147" spans="1:14" x14ac:dyDescent="0.3">
      <c r="A147" s="1" t="s">
        <v>46</v>
      </c>
      <c r="B147">
        <v>4</v>
      </c>
      <c r="C147">
        <v>9</v>
      </c>
      <c r="D147" s="1" t="s">
        <v>51</v>
      </c>
      <c r="E147">
        <v>20000000</v>
      </c>
      <c r="F147">
        <f t="shared" si="7"/>
        <v>75708200</v>
      </c>
      <c r="G147">
        <f t="shared" si="13"/>
        <v>243902.14043633459</v>
      </c>
      <c r="H147" t="s">
        <v>50</v>
      </c>
      <c r="I147" s="1" t="s">
        <v>221</v>
      </c>
      <c r="J147" s="1" t="s">
        <v>222</v>
      </c>
      <c r="K147" s="9">
        <v>501.18723362726115</v>
      </c>
      <c r="L147" t="s">
        <v>21</v>
      </c>
      <c r="M147">
        <f t="shared" si="12"/>
        <v>0.50118723362726114</v>
      </c>
      <c r="N147">
        <f t="shared" si="11"/>
        <v>155.57052206683636</v>
      </c>
    </row>
    <row r="148" spans="1:14" x14ac:dyDescent="0.3">
      <c r="A148" s="1" t="s">
        <v>44</v>
      </c>
      <c r="B148">
        <v>4</v>
      </c>
      <c r="C148">
        <v>9</v>
      </c>
      <c r="D148" s="1" t="s">
        <v>51</v>
      </c>
      <c r="E148">
        <v>20000000</v>
      </c>
      <c r="F148">
        <f t="shared" si="7"/>
        <v>75708200</v>
      </c>
      <c r="G148">
        <f t="shared" si="13"/>
        <v>243902.14043633459</v>
      </c>
      <c r="H148" t="s">
        <v>50</v>
      </c>
      <c r="I148" s="1" t="s">
        <v>221</v>
      </c>
      <c r="J148" s="1" t="s">
        <v>222</v>
      </c>
      <c r="K148" s="9">
        <v>316.22776601683069</v>
      </c>
      <c r="L148" t="s">
        <v>21</v>
      </c>
      <c r="M148">
        <f t="shared" si="12"/>
        <v>0.31622776601683067</v>
      </c>
      <c r="N148">
        <f t="shared" si="11"/>
        <v>98.158363482688316</v>
      </c>
    </row>
    <row r="149" spans="1:14" x14ac:dyDescent="0.3">
      <c r="A149" s="1" t="s">
        <v>47</v>
      </c>
      <c r="B149">
        <v>4</v>
      </c>
      <c r="C149">
        <v>9</v>
      </c>
      <c r="D149" s="1" t="s">
        <v>51</v>
      </c>
      <c r="E149">
        <v>20000000</v>
      </c>
      <c r="F149">
        <f t="shared" si="7"/>
        <v>75708200</v>
      </c>
      <c r="G149">
        <f t="shared" si="13"/>
        <v>243902.14043633459</v>
      </c>
      <c r="H149" t="s">
        <v>50</v>
      </c>
      <c r="I149" s="1" t="s">
        <v>221</v>
      </c>
      <c r="J149" s="1" t="s">
        <v>222</v>
      </c>
      <c r="K149" s="9">
        <v>1308.1774742601754</v>
      </c>
      <c r="L149" t="s">
        <v>21</v>
      </c>
      <c r="M149">
        <f t="shared" si="12"/>
        <v>1.3081774742601753</v>
      </c>
      <c r="N149">
        <f t="shared" si="11"/>
        <v>406.06352072025538</v>
      </c>
    </row>
    <row r="150" spans="1:14" x14ac:dyDescent="0.3">
      <c r="A150" s="1" t="s">
        <v>48</v>
      </c>
      <c r="B150">
        <v>4</v>
      </c>
      <c r="C150">
        <v>9</v>
      </c>
      <c r="D150" s="1" t="s">
        <v>51</v>
      </c>
      <c r="E150">
        <v>20000000</v>
      </c>
      <c r="F150">
        <f t="shared" si="7"/>
        <v>75708200</v>
      </c>
      <c r="G150">
        <f t="shared" si="13"/>
        <v>243902.14043633459</v>
      </c>
      <c r="H150" t="s">
        <v>50</v>
      </c>
      <c r="I150" s="1" t="s">
        <v>221</v>
      </c>
      <c r="J150" s="1" t="s">
        <v>222</v>
      </c>
      <c r="K150" s="9">
        <v>8.5769589859089379</v>
      </c>
      <c r="L150" t="s">
        <v>21</v>
      </c>
      <c r="M150">
        <f t="shared" si="12"/>
        <v>8.5769589859089387E-3</v>
      </c>
      <c r="N150">
        <f t="shared" si="11"/>
        <v>2.6623223770620781</v>
      </c>
    </row>
    <row r="151" spans="1:14" x14ac:dyDescent="0.3">
      <c r="A151" s="1" t="s">
        <v>23</v>
      </c>
      <c r="B151">
        <v>4</v>
      </c>
      <c r="C151">
        <v>10</v>
      </c>
      <c r="D151" s="1" t="s">
        <v>52</v>
      </c>
      <c r="E151">
        <v>9000000</v>
      </c>
      <c r="F151">
        <f t="shared" si="7"/>
        <v>34068690</v>
      </c>
      <c r="G151">
        <f t="shared" si="13"/>
        <v>109755.96319635057</v>
      </c>
      <c r="H151" t="s">
        <v>50</v>
      </c>
      <c r="I151" s="1" t="s">
        <v>221</v>
      </c>
      <c r="J151" s="1" t="s">
        <v>222</v>
      </c>
      <c r="K151" s="9">
        <v>18478.497974222671</v>
      </c>
      <c r="L151" t="s">
        <v>21</v>
      </c>
      <c r="M151">
        <f t="shared" si="12"/>
        <v>18.478497974222673</v>
      </c>
      <c r="N151">
        <f t="shared" si="11"/>
        <v>5735.7996851906146</v>
      </c>
    </row>
    <row r="152" spans="1:14" x14ac:dyDescent="0.3">
      <c r="A152" s="1" t="s">
        <v>27</v>
      </c>
      <c r="B152">
        <v>4</v>
      </c>
      <c r="C152">
        <v>10</v>
      </c>
      <c r="D152" s="1" t="s">
        <v>52</v>
      </c>
      <c r="E152">
        <v>9000000</v>
      </c>
      <c r="F152">
        <f t="shared" si="7"/>
        <v>34068690</v>
      </c>
      <c r="G152">
        <f t="shared" si="13"/>
        <v>109755.96319635057</v>
      </c>
      <c r="H152" t="s">
        <v>50</v>
      </c>
      <c r="I152" s="1" t="s">
        <v>221</v>
      </c>
      <c r="J152" s="1" t="s">
        <v>222</v>
      </c>
      <c r="K152" s="9">
        <v>184.78497974222628</v>
      </c>
      <c r="L152" t="s">
        <v>21</v>
      </c>
      <c r="M152">
        <f t="shared" si="12"/>
        <v>0.1847849797422263</v>
      </c>
      <c r="N152">
        <f t="shared" si="11"/>
        <v>57.357996851906009</v>
      </c>
    </row>
    <row r="153" spans="1:14" x14ac:dyDescent="0.3">
      <c r="A153" s="1" t="s">
        <v>46</v>
      </c>
      <c r="B153">
        <v>4</v>
      </c>
      <c r="C153">
        <v>10</v>
      </c>
      <c r="D153" s="1" t="s">
        <v>52</v>
      </c>
      <c r="E153">
        <v>9000000</v>
      </c>
      <c r="F153">
        <f t="shared" si="7"/>
        <v>34068690</v>
      </c>
      <c r="G153">
        <f t="shared" si="13"/>
        <v>109755.96319635057</v>
      </c>
      <c r="H153" t="s">
        <v>50</v>
      </c>
      <c r="I153" s="1" t="s">
        <v>221</v>
      </c>
      <c r="J153" s="1" t="s">
        <v>222</v>
      </c>
      <c r="K153" s="9">
        <v>413.68204023884454</v>
      </c>
      <c r="L153" t="s">
        <v>21</v>
      </c>
      <c r="M153">
        <f t="shared" si="12"/>
        <v>0.41368204023884453</v>
      </c>
      <c r="N153">
        <f t="shared" si="11"/>
        <v>128.40856001829829</v>
      </c>
    </row>
    <row r="154" spans="1:14" x14ac:dyDescent="0.3">
      <c r="A154" s="1" t="s">
        <v>44</v>
      </c>
      <c r="B154">
        <v>4</v>
      </c>
      <c r="C154">
        <v>10</v>
      </c>
      <c r="D154" s="1" t="s">
        <v>52</v>
      </c>
      <c r="E154">
        <v>9000000</v>
      </c>
      <c r="F154">
        <f t="shared" si="7"/>
        <v>34068690</v>
      </c>
      <c r="G154">
        <f t="shared" si="13"/>
        <v>109755.96319635057</v>
      </c>
      <c r="H154" t="s">
        <v>50</v>
      </c>
      <c r="I154" s="1" t="s">
        <v>221</v>
      </c>
      <c r="J154" s="1" t="s">
        <v>222</v>
      </c>
      <c r="K154" s="9">
        <v>281.83829312643905</v>
      </c>
      <c r="L154" t="s">
        <v>21</v>
      </c>
      <c r="M154">
        <f t="shared" si="12"/>
        <v>0.28183829312643904</v>
      </c>
      <c r="N154">
        <f t="shared" si="11"/>
        <v>87.48373353961918</v>
      </c>
    </row>
    <row r="155" spans="1:14" x14ac:dyDescent="0.3">
      <c r="A155" s="1" t="s">
        <v>47</v>
      </c>
      <c r="B155">
        <v>4</v>
      </c>
      <c r="C155">
        <v>10</v>
      </c>
      <c r="D155" s="1" t="s">
        <v>52</v>
      </c>
      <c r="E155">
        <v>9000000</v>
      </c>
      <c r="F155">
        <f t="shared" si="7"/>
        <v>34068690</v>
      </c>
      <c r="G155">
        <f t="shared" si="13"/>
        <v>109755.96319635057</v>
      </c>
      <c r="H155" t="s">
        <v>50</v>
      </c>
      <c r="I155" s="1" t="s">
        <v>221</v>
      </c>
      <c r="J155" s="1" t="s">
        <v>222</v>
      </c>
      <c r="K155" s="9">
        <v>1584.8931924610777</v>
      </c>
      <c r="L155" t="s">
        <v>21</v>
      </c>
      <c r="M155">
        <f t="shared" si="12"/>
        <v>1.5848931924610776</v>
      </c>
      <c r="N155">
        <f t="shared" si="11"/>
        <v>491.95718651268828</v>
      </c>
    </row>
    <row r="156" spans="1:14" x14ac:dyDescent="0.3">
      <c r="A156" s="1" t="s">
        <v>48</v>
      </c>
      <c r="B156">
        <v>4</v>
      </c>
      <c r="C156">
        <v>10</v>
      </c>
      <c r="D156" s="1" t="s">
        <v>52</v>
      </c>
      <c r="E156">
        <v>9000000</v>
      </c>
      <c r="F156">
        <f t="shared" si="7"/>
        <v>34068690</v>
      </c>
      <c r="G156">
        <f t="shared" si="13"/>
        <v>109755.96319635057</v>
      </c>
      <c r="H156" t="s">
        <v>50</v>
      </c>
      <c r="I156" s="1" t="s">
        <v>221</v>
      </c>
      <c r="J156" s="1" t="s">
        <v>222</v>
      </c>
      <c r="K156" s="9" t="s">
        <v>20</v>
      </c>
      <c r="L156" t="s">
        <v>21</v>
      </c>
      <c r="M156" t="str">
        <f t="shared" si="12"/>
        <v>ND</v>
      </c>
      <c r="N156" t="str">
        <f t="shared" si="11"/>
        <v>ND</v>
      </c>
    </row>
    <row r="157" spans="1:14" x14ac:dyDescent="0.3">
      <c r="A157" s="1" t="s">
        <v>9</v>
      </c>
      <c r="B157">
        <v>4</v>
      </c>
      <c r="C157">
        <v>9</v>
      </c>
      <c r="D157" s="1" t="s">
        <v>51</v>
      </c>
      <c r="E157">
        <v>20000000</v>
      </c>
      <c r="F157">
        <f t="shared" si="7"/>
        <v>75708200</v>
      </c>
      <c r="G157">
        <f t="shared" si="13"/>
        <v>243902.14043633459</v>
      </c>
      <c r="H157" t="s">
        <v>50</v>
      </c>
      <c r="I157" s="1" t="s">
        <v>221</v>
      </c>
      <c r="J157" s="1" t="s">
        <v>222</v>
      </c>
      <c r="K157" s="9">
        <v>16.169465057924782</v>
      </c>
      <c r="L157" t="s">
        <v>21</v>
      </c>
      <c r="M157">
        <f t="shared" si="12"/>
        <v>1.616946505792478E-2</v>
      </c>
      <c r="N157">
        <f t="shared" si="11"/>
        <v>5.0190666318400829</v>
      </c>
    </row>
    <row r="158" spans="1:14" x14ac:dyDescent="0.3">
      <c r="A158" s="1" t="s">
        <v>9</v>
      </c>
      <c r="B158">
        <v>4</v>
      </c>
      <c r="C158">
        <v>10</v>
      </c>
      <c r="D158" s="1" t="s">
        <v>52</v>
      </c>
      <c r="E158">
        <v>9000000</v>
      </c>
      <c r="F158">
        <f t="shared" si="7"/>
        <v>34068690</v>
      </c>
      <c r="G158">
        <f t="shared" si="13"/>
        <v>109755.96319635057</v>
      </c>
      <c r="H158" t="s">
        <v>50</v>
      </c>
      <c r="I158" s="1" t="s">
        <v>221</v>
      </c>
      <c r="J158" s="1" t="s">
        <v>222</v>
      </c>
      <c r="K158" s="9">
        <v>30.078825180430496</v>
      </c>
      <c r="L158" t="s">
        <v>21</v>
      </c>
      <c r="M158">
        <f t="shared" si="12"/>
        <v>3.0078825180430497E-2</v>
      </c>
      <c r="N158">
        <f t="shared" si="11"/>
        <v>9.3365876513063473</v>
      </c>
    </row>
    <row r="159" spans="1:14" x14ac:dyDescent="0.3">
      <c r="A159" s="1" t="s">
        <v>28</v>
      </c>
      <c r="B159">
        <v>4</v>
      </c>
      <c r="C159">
        <v>9</v>
      </c>
      <c r="D159" s="1" t="s">
        <v>51</v>
      </c>
      <c r="E159">
        <v>20000000</v>
      </c>
      <c r="F159">
        <f t="shared" si="7"/>
        <v>75708200</v>
      </c>
      <c r="G159">
        <f t="shared" si="13"/>
        <v>243902.14043633459</v>
      </c>
      <c r="H159" t="s">
        <v>50</v>
      </c>
      <c r="I159" s="1" t="s">
        <v>221</v>
      </c>
      <c r="J159" s="1" t="s">
        <v>222</v>
      </c>
      <c r="K159" s="9">
        <v>5484.4165761209124</v>
      </c>
      <c r="L159" t="s">
        <v>21</v>
      </c>
      <c r="M159">
        <f t="shared" si="12"/>
        <v>5.4844165761209123</v>
      </c>
      <c r="N159">
        <f t="shared" si="11"/>
        <v>1702.3848428942356</v>
      </c>
    </row>
    <row r="160" spans="1:14" x14ac:dyDescent="0.3">
      <c r="A160" s="1" t="s">
        <v>40</v>
      </c>
      <c r="B160">
        <v>4</v>
      </c>
      <c r="C160">
        <v>9</v>
      </c>
      <c r="D160" s="1" t="s">
        <v>51</v>
      </c>
      <c r="E160">
        <v>20000000</v>
      </c>
      <c r="F160">
        <f t="shared" si="7"/>
        <v>75708200</v>
      </c>
      <c r="G160">
        <f t="shared" si="13"/>
        <v>243902.14043633459</v>
      </c>
      <c r="H160" t="s">
        <v>50</v>
      </c>
      <c r="I160" s="1" t="s">
        <v>221</v>
      </c>
      <c r="J160" s="1" t="s">
        <v>222</v>
      </c>
      <c r="K160" s="9">
        <v>238.12861947655423</v>
      </c>
      <c r="L160" t="s">
        <v>21</v>
      </c>
      <c r="M160">
        <f t="shared" si="12"/>
        <v>0.23812861947655423</v>
      </c>
      <c r="N160">
        <f t="shared" si="11"/>
        <v>73.916076000000331</v>
      </c>
    </row>
    <row r="161" spans="1:14" x14ac:dyDescent="0.3">
      <c r="A161" s="1" t="s">
        <v>41</v>
      </c>
      <c r="B161">
        <v>4</v>
      </c>
      <c r="C161">
        <v>9</v>
      </c>
      <c r="D161" s="1" t="s">
        <v>51</v>
      </c>
      <c r="E161">
        <v>20000000</v>
      </c>
      <c r="F161">
        <f t="shared" si="7"/>
        <v>75708200</v>
      </c>
      <c r="G161">
        <f t="shared" si="13"/>
        <v>243902.14043633459</v>
      </c>
      <c r="H161" t="s">
        <v>50</v>
      </c>
      <c r="I161" s="1" t="s">
        <v>221</v>
      </c>
      <c r="J161" s="1" t="s">
        <v>222</v>
      </c>
      <c r="K161" s="9">
        <v>159.55064004448022</v>
      </c>
      <c r="L161" t="s">
        <v>21</v>
      </c>
      <c r="M161">
        <f t="shared" si="12"/>
        <v>0.15955064004448022</v>
      </c>
      <c r="N161">
        <f t="shared" si="11"/>
        <v>49.525156872366836</v>
      </c>
    </row>
    <row r="162" spans="1:14" x14ac:dyDescent="0.3">
      <c r="A162" s="1" t="s">
        <v>28</v>
      </c>
      <c r="B162">
        <v>4</v>
      </c>
      <c r="C162">
        <v>10</v>
      </c>
      <c r="D162" s="1" t="s">
        <v>52</v>
      </c>
      <c r="E162">
        <v>9000000</v>
      </c>
      <c r="F162">
        <f t="shared" si="7"/>
        <v>34068690</v>
      </c>
      <c r="G162">
        <f t="shared" si="13"/>
        <v>109755.96319635057</v>
      </c>
      <c r="H162" t="s">
        <v>50</v>
      </c>
      <c r="I162" s="1" t="s">
        <v>221</v>
      </c>
      <c r="J162" s="1" t="s">
        <v>222</v>
      </c>
      <c r="K162" s="9">
        <v>5862.9466459163323</v>
      </c>
      <c r="L162" t="s">
        <v>21</v>
      </c>
      <c r="M162">
        <f t="shared" si="12"/>
        <v>5.862946645916332</v>
      </c>
      <c r="N162">
        <f t="shared" si="11"/>
        <v>1819.8820906790129</v>
      </c>
    </row>
    <row r="163" spans="1:14" x14ac:dyDescent="0.3">
      <c r="A163" s="1" t="s">
        <v>40</v>
      </c>
      <c r="B163">
        <v>4</v>
      </c>
      <c r="C163">
        <v>10</v>
      </c>
      <c r="D163" s="1" t="s">
        <v>52</v>
      </c>
      <c r="E163">
        <v>9000000</v>
      </c>
      <c r="F163">
        <f t="shared" si="7"/>
        <v>34068690</v>
      </c>
      <c r="G163">
        <f t="shared" si="13"/>
        <v>109755.96319635057</v>
      </c>
      <c r="H163" t="s">
        <v>50</v>
      </c>
      <c r="I163" s="1" t="s">
        <v>221</v>
      </c>
      <c r="J163" s="1" t="s">
        <v>222</v>
      </c>
      <c r="K163" s="9">
        <v>496.1947603002867</v>
      </c>
      <c r="L163" t="s">
        <v>21</v>
      </c>
      <c r="M163">
        <f t="shared" si="12"/>
        <v>0.4961947603002867</v>
      </c>
      <c r="N163">
        <f t="shared" si="11"/>
        <v>154.02083837625017</v>
      </c>
    </row>
    <row r="164" spans="1:14" x14ac:dyDescent="0.3">
      <c r="A164" s="1" t="s">
        <v>41</v>
      </c>
      <c r="B164">
        <v>4</v>
      </c>
      <c r="C164">
        <v>10</v>
      </c>
      <c r="D164" s="1" t="s">
        <v>52</v>
      </c>
      <c r="E164">
        <v>9000000</v>
      </c>
      <c r="F164">
        <f>E164*3.78541</f>
        <v>34068690</v>
      </c>
      <c r="G164">
        <f t="shared" si="13"/>
        <v>109755.96319635057</v>
      </c>
      <c r="H164" t="s">
        <v>50</v>
      </c>
      <c r="I164" s="1" t="s">
        <v>221</v>
      </c>
      <c r="J164" s="1" t="s">
        <v>222</v>
      </c>
      <c r="K164" s="9">
        <v>215.44346900318675</v>
      </c>
      <c r="L164" t="s">
        <v>21</v>
      </c>
      <c r="M164">
        <f t="shared" si="12"/>
        <v>0.21544346900318675</v>
      </c>
      <c r="N164">
        <f t="shared" si="11"/>
        <v>66.874514552465186</v>
      </c>
    </row>
    <row r="165" spans="1:14" x14ac:dyDescent="0.3">
      <c r="A165" s="1" t="s">
        <v>49</v>
      </c>
      <c r="B165">
        <v>4</v>
      </c>
      <c r="C165">
        <v>9</v>
      </c>
      <c r="D165" s="1" t="s">
        <v>51</v>
      </c>
      <c r="E165">
        <v>20000000</v>
      </c>
      <c r="F165">
        <f t="shared" si="7"/>
        <v>75708200</v>
      </c>
      <c r="G165">
        <f t="shared" si="13"/>
        <v>243902.14043633459</v>
      </c>
      <c r="H165" t="s">
        <v>50</v>
      </c>
      <c r="I165" s="1" t="s">
        <v>221</v>
      </c>
      <c r="J165" s="1" t="s">
        <v>222</v>
      </c>
      <c r="K165" s="9">
        <v>5862.9466459163323</v>
      </c>
      <c r="L165" t="s">
        <v>21</v>
      </c>
      <c r="M165">
        <f t="shared" si="12"/>
        <v>5.862946645916332</v>
      </c>
      <c r="N165">
        <f t="shared" si="11"/>
        <v>1819.8820906790129</v>
      </c>
    </row>
    <row r="166" spans="1:14" x14ac:dyDescent="0.3">
      <c r="A166" s="1" t="s">
        <v>49</v>
      </c>
      <c r="B166">
        <v>4</v>
      </c>
      <c r="C166">
        <v>10</v>
      </c>
      <c r="D166" s="1" t="s">
        <v>52</v>
      </c>
      <c r="E166">
        <v>9000000</v>
      </c>
      <c r="F166">
        <f t="shared" si="7"/>
        <v>34068690</v>
      </c>
      <c r="G166">
        <f t="shared" si="13"/>
        <v>109755.96319635057</v>
      </c>
      <c r="H166" t="s">
        <v>50</v>
      </c>
      <c r="I166" s="1" t="s">
        <v>221</v>
      </c>
      <c r="J166" s="1" t="s">
        <v>222</v>
      </c>
      <c r="K166" s="9">
        <v>6927.5506561292823</v>
      </c>
      <c r="L166" t="s">
        <v>21</v>
      </c>
      <c r="M166">
        <f t="shared" si="12"/>
        <v>6.9275506561292826</v>
      </c>
      <c r="N166">
        <f t="shared" si="11"/>
        <v>2150.3394338651538</v>
      </c>
    </row>
    <row r="167" spans="1:14" x14ac:dyDescent="0.3">
      <c r="A167" t="s">
        <v>23</v>
      </c>
      <c r="B167">
        <v>5</v>
      </c>
      <c r="C167">
        <v>11</v>
      </c>
      <c r="D167" t="s">
        <v>61</v>
      </c>
      <c r="E167">
        <v>302.83199999999999</v>
      </c>
      <c r="F167">
        <f>E167*1000</f>
        <v>302832</v>
      </c>
      <c r="G167">
        <f>F167/310.404</f>
        <v>975.60598445896312</v>
      </c>
      <c r="H167" s="2">
        <v>42979</v>
      </c>
      <c r="I167" s="1" t="s">
        <v>223</v>
      </c>
      <c r="J167" s="1" t="s">
        <v>220</v>
      </c>
      <c r="K167">
        <v>94372</v>
      </c>
      <c r="L167" t="s">
        <v>21</v>
      </c>
      <c r="M167">
        <f t="shared" si="12"/>
        <v>94.372</v>
      </c>
      <c r="N167">
        <f t="shared" si="11"/>
        <v>29293.446288000003</v>
      </c>
    </row>
    <row r="168" spans="1:14" x14ac:dyDescent="0.3">
      <c r="A168" t="s">
        <v>53</v>
      </c>
      <c r="B168">
        <v>5</v>
      </c>
      <c r="C168">
        <v>11</v>
      </c>
      <c r="D168" t="s">
        <v>61</v>
      </c>
      <c r="E168">
        <v>302.83199999999999</v>
      </c>
      <c r="F168">
        <f t="shared" ref="F168:F231" si="14">E168*1000</f>
        <v>302832</v>
      </c>
      <c r="G168">
        <f t="shared" ref="G168:G231" si="15">F168/310.404</f>
        <v>975.60598445896312</v>
      </c>
      <c r="H168" s="2">
        <v>42979</v>
      </c>
      <c r="I168" s="1" t="s">
        <v>223</v>
      </c>
      <c r="J168" s="1" t="s">
        <v>220</v>
      </c>
      <c r="K168">
        <v>588</v>
      </c>
      <c r="L168" t="s">
        <v>21</v>
      </c>
      <c r="M168">
        <f t="shared" si="12"/>
        <v>0.58799999999999997</v>
      </c>
      <c r="N168">
        <f t="shared" si="11"/>
        <v>182.51755199999999</v>
      </c>
    </row>
    <row r="169" spans="1:14" x14ac:dyDescent="0.3">
      <c r="A169" t="s">
        <v>27</v>
      </c>
      <c r="B169">
        <v>5</v>
      </c>
      <c r="C169">
        <v>11</v>
      </c>
      <c r="D169" t="s">
        <v>61</v>
      </c>
      <c r="E169">
        <v>302.83199999999999</v>
      </c>
      <c r="F169">
        <f t="shared" si="14"/>
        <v>302832</v>
      </c>
      <c r="G169">
        <f t="shared" si="15"/>
        <v>975.60598445896312</v>
      </c>
      <c r="H169" s="2">
        <v>42979</v>
      </c>
      <c r="I169" s="1" t="s">
        <v>223</v>
      </c>
      <c r="J169" s="1" t="s">
        <v>220</v>
      </c>
      <c r="K169">
        <v>145</v>
      </c>
      <c r="L169" t="s">
        <v>21</v>
      </c>
      <c r="M169">
        <f t="shared" si="12"/>
        <v>0.14499999999999999</v>
      </c>
      <c r="N169">
        <f t="shared" si="11"/>
        <v>45.008580000000002</v>
      </c>
    </row>
    <row r="170" spans="1:14" x14ac:dyDescent="0.3">
      <c r="A170" t="s">
        <v>28</v>
      </c>
      <c r="B170">
        <v>5</v>
      </c>
      <c r="C170">
        <v>11</v>
      </c>
      <c r="D170" t="s">
        <v>61</v>
      </c>
      <c r="E170">
        <v>302.83199999999999</v>
      </c>
      <c r="F170">
        <f t="shared" si="14"/>
        <v>302832</v>
      </c>
      <c r="G170">
        <f t="shared" si="15"/>
        <v>975.60598445896312</v>
      </c>
      <c r="H170" s="2">
        <v>42979</v>
      </c>
      <c r="I170" s="1" t="s">
        <v>223</v>
      </c>
      <c r="J170" s="1" t="s">
        <v>220</v>
      </c>
      <c r="K170" t="s">
        <v>20</v>
      </c>
      <c r="L170" t="s">
        <v>21</v>
      </c>
      <c r="M170" t="str">
        <f t="shared" si="12"/>
        <v>ND</v>
      </c>
      <c r="N170" t="str">
        <f t="shared" si="11"/>
        <v>ND</v>
      </c>
    </row>
    <row r="171" spans="1:14" x14ac:dyDescent="0.3">
      <c r="A171" t="s">
        <v>31</v>
      </c>
      <c r="B171">
        <v>5</v>
      </c>
      <c r="C171">
        <v>11</v>
      </c>
      <c r="D171" t="s">
        <v>61</v>
      </c>
      <c r="E171">
        <v>302.83199999999999</v>
      </c>
      <c r="F171">
        <f t="shared" si="14"/>
        <v>302832</v>
      </c>
      <c r="G171">
        <f t="shared" si="15"/>
        <v>975.60598445896312</v>
      </c>
      <c r="H171" s="2">
        <v>42979</v>
      </c>
      <c r="I171" s="1" t="s">
        <v>223</v>
      </c>
      <c r="J171" s="1" t="s">
        <v>220</v>
      </c>
      <c r="K171" t="s">
        <v>20</v>
      </c>
      <c r="L171" t="s">
        <v>21</v>
      </c>
      <c r="M171" t="str">
        <f t="shared" si="12"/>
        <v>ND</v>
      </c>
      <c r="N171" t="str">
        <f t="shared" si="11"/>
        <v>ND</v>
      </c>
    </row>
    <row r="172" spans="1:14" x14ac:dyDescent="0.3">
      <c r="A172" t="s">
        <v>46</v>
      </c>
      <c r="B172">
        <v>5</v>
      </c>
      <c r="C172">
        <v>11</v>
      </c>
      <c r="D172" t="s">
        <v>61</v>
      </c>
      <c r="E172">
        <v>302.83199999999999</v>
      </c>
      <c r="F172">
        <f t="shared" si="14"/>
        <v>302832</v>
      </c>
      <c r="G172">
        <f t="shared" si="15"/>
        <v>975.60598445896312</v>
      </c>
      <c r="H172" s="2">
        <v>42979</v>
      </c>
      <c r="I172" s="1" t="s">
        <v>223</v>
      </c>
      <c r="J172" s="1" t="s">
        <v>220</v>
      </c>
      <c r="K172">
        <v>66</v>
      </c>
      <c r="L172" t="s">
        <v>21</v>
      </c>
      <c r="M172">
        <f t="shared" si="12"/>
        <v>6.6000000000000003E-2</v>
      </c>
      <c r="N172">
        <f t="shared" si="11"/>
        <v>20.486664000000001</v>
      </c>
    </row>
    <row r="173" spans="1:14" x14ac:dyDescent="0.3">
      <c r="A173" t="s">
        <v>44</v>
      </c>
      <c r="B173">
        <v>5</v>
      </c>
      <c r="C173">
        <v>11</v>
      </c>
      <c r="D173" t="s">
        <v>61</v>
      </c>
      <c r="E173">
        <v>302.83199999999999</v>
      </c>
      <c r="F173">
        <f t="shared" si="14"/>
        <v>302832</v>
      </c>
      <c r="G173">
        <f t="shared" si="15"/>
        <v>975.60598445896312</v>
      </c>
      <c r="H173" s="2">
        <v>42979</v>
      </c>
      <c r="I173" s="1" t="s">
        <v>223</v>
      </c>
      <c r="J173" s="1" t="s">
        <v>220</v>
      </c>
      <c r="K173">
        <v>1969</v>
      </c>
      <c r="L173" t="s">
        <v>21</v>
      </c>
      <c r="M173">
        <f t="shared" si="12"/>
        <v>1.9690000000000001</v>
      </c>
      <c r="N173">
        <f t="shared" si="11"/>
        <v>611.18547599999999</v>
      </c>
    </row>
    <row r="174" spans="1:14" x14ac:dyDescent="0.3">
      <c r="A174" t="s">
        <v>54</v>
      </c>
      <c r="B174">
        <v>5</v>
      </c>
      <c r="C174">
        <v>11</v>
      </c>
      <c r="D174" t="s">
        <v>61</v>
      </c>
      <c r="E174">
        <v>302.83199999999999</v>
      </c>
      <c r="F174">
        <f t="shared" si="14"/>
        <v>302832</v>
      </c>
      <c r="G174">
        <f t="shared" si="15"/>
        <v>975.60598445896312</v>
      </c>
      <c r="H174" s="2">
        <v>42979</v>
      </c>
      <c r="I174" s="1" t="s">
        <v>223</v>
      </c>
      <c r="J174" s="1" t="s">
        <v>220</v>
      </c>
      <c r="K174" t="s">
        <v>20</v>
      </c>
      <c r="L174" t="s">
        <v>21</v>
      </c>
      <c r="M174" t="str">
        <f t="shared" si="12"/>
        <v>ND</v>
      </c>
      <c r="N174" t="str">
        <f t="shared" si="11"/>
        <v>ND</v>
      </c>
    </row>
    <row r="175" spans="1:14" x14ac:dyDescent="0.3">
      <c r="A175" t="s">
        <v>19</v>
      </c>
      <c r="B175">
        <v>5</v>
      </c>
      <c r="C175">
        <v>11</v>
      </c>
      <c r="D175" t="s">
        <v>61</v>
      </c>
      <c r="E175">
        <v>302.83199999999999</v>
      </c>
      <c r="F175">
        <f t="shared" si="14"/>
        <v>302832</v>
      </c>
      <c r="G175">
        <f t="shared" si="15"/>
        <v>975.60598445896312</v>
      </c>
      <c r="H175" s="2">
        <v>42979</v>
      </c>
      <c r="I175" s="1" t="s">
        <v>223</v>
      </c>
      <c r="J175" s="1" t="s">
        <v>220</v>
      </c>
      <c r="K175" t="s">
        <v>20</v>
      </c>
      <c r="L175" t="s">
        <v>21</v>
      </c>
      <c r="M175" t="str">
        <f t="shared" si="12"/>
        <v>ND</v>
      </c>
      <c r="N175" t="str">
        <f t="shared" si="11"/>
        <v>ND</v>
      </c>
    </row>
    <row r="176" spans="1:14" x14ac:dyDescent="0.3">
      <c r="A176" t="s">
        <v>55</v>
      </c>
      <c r="B176">
        <v>5</v>
      </c>
      <c r="C176">
        <v>11</v>
      </c>
      <c r="D176" t="s">
        <v>61</v>
      </c>
      <c r="E176">
        <v>302.83199999999999</v>
      </c>
      <c r="F176">
        <f t="shared" si="14"/>
        <v>302832</v>
      </c>
      <c r="G176">
        <f t="shared" si="15"/>
        <v>975.60598445896312</v>
      </c>
      <c r="H176" s="2">
        <v>42979</v>
      </c>
      <c r="I176" s="1" t="s">
        <v>223</v>
      </c>
      <c r="J176" s="1" t="s">
        <v>220</v>
      </c>
      <c r="K176" t="s">
        <v>20</v>
      </c>
      <c r="L176" t="s">
        <v>21</v>
      </c>
      <c r="M176" t="str">
        <f t="shared" si="12"/>
        <v>ND</v>
      </c>
      <c r="N176" t="str">
        <f t="shared" si="11"/>
        <v>ND</v>
      </c>
    </row>
    <row r="177" spans="1:14" x14ac:dyDescent="0.3">
      <c r="A177" t="s">
        <v>34</v>
      </c>
      <c r="B177">
        <v>5</v>
      </c>
      <c r="C177">
        <v>11</v>
      </c>
      <c r="D177" t="s">
        <v>61</v>
      </c>
      <c r="E177">
        <v>302.83199999999999</v>
      </c>
      <c r="F177">
        <f t="shared" si="14"/>
        <v>302832</v>
      </c>
      <c r="G177">
        <f t="shared" si="15"/>
        <v>975.60598445896312</v>
      </c>
      <c r="H177" s="2">
        <v>42979</v>
      </c>
      <c r="I177" s="1" t="s">
        <v>223</v>
      </c>
      <c r="J177" s="1" t="s">
        <v>220</v>
      </c>
      <c r="K177" t="s">
        <v>20</v>
      </c>
      <c r="L177" t="s">
        <v>21</v>
      </c>
      <c r="M177" t="str">
        <f t="shared" si="12"/>
        <v>ND</v>
      </c>
      <c r="N177" t="str">
        <f t="shared" si="11"/>
        <v>ND</v>
      </c>
    </row>
    <row r="178" spans="1:14" x14ac:dyDescent="0.3">
      <c r="A178" t="s">
        <v>56</v>
      </c>
      <c r="B178">
        <v>5</v>
      </c>
      <c r="C178">
        <v>11</v>
      </c>
      <c r="D178" t="s">
        <v>61</v>
      </c>
      <c r="E178">
        <v>302.83199999999999</v>
      </c>
      <c r="F178">
        <f t="shared" si="14"/>
        <v>302832</v>
      </c>
      <c r="G178">
        <f t="shared" si="15"/>
        <v>975.60598445896312</v>
      </c>
      <c r="H178" s="2">
        <v>42979</v>
      </c>
      <c r="I178" s="1" t="s">
        <v>223</v>
      </c>
      <c r="J178" s="1" t="s">
        <v>220</v>
      </c>
      <c r="K178">
        <v>730</v>
      </c>
      <c r="L178" t="s">
        <v>21</v>
      </c>
      <c r="M178">
        <f t="shared" si="12"/>
        <v>0.73</v>
      </c>
      <c r="N178">
        <f t="shared" si="11"/>
        <v>226.59492</v>
      </c>
    </row>
    <row r="179" spans="1:14" x14ac:dyDescent="0.3">
      <c r="A179" t="s">
        <v>37</v>
      </c>
      <c r="B179">
        <v>5</v>
      </c>
      <c r="C179">
        <v>11</v>
      </c>
      <c r="D179" t="s">
        <v>61</v>
      </c>
      <c r="E179">
        <v>302.83199999999999</v>
      </c>
      <c r="F179">
        <f t="shared" si="14"/>
        <v>302832</v>
      </c>
      <c r="G179">
        <f t="shared" si="15"/>
        <v>975.60598445896312</v>
      </c>
      <c r="H179" s="2">
        <v>42979</v>
      </c>
      <c r="I179" s="1" t="s">
        <v>223</v>
      </c>
      <c r="J179" s="1" t="s">
        <v>220</v>
      </c>
      <c r="K179" t="s">
        <v>20</v>
      </c>
      <c r="L179" t="s">
        <v>21</v>
      </c>
      <c r="M179" t="str">
        <f t="shared" si="12"/>
        <v>ND</v>
      </c>
      <c r="N179" t="str">
        <f t="shared" si="11"/>
        <v>ND</v>
      </c>
    </row>
    <row r="180" spans="1:14" x14ac:dyDescent="0.3">
      <c r="A180" t="s">
        <v>57</v>
      </c>
      <c r="B180">
        <v>5</v>
      </c>
      <c r="C180">
        <v>11</v>
      </c>
      <c r="D180" t="s">
        <v>61</v>
      </c>
      <c r="E180">
        <v>302.83199999999999</v>
      </c>
      <c r="F180">
        <f t="shared" si="14"/>
        <v>302832</v>
      </c>
      <c r="G180">
        <f t="shared" si="15"/>
        <v>975.60598445896312</v>
      </c>
      <c r="H180" s="2">
        <v>42979</v>
      </c>
      <c r="I180" s="1" t="s">
        <v>223</v>
      </c>
      <c r="J180" s="1" t="s">
        <v>220</v>
      </c>
      <c r="K180" t="s">
        <v>20</v>
      </c>
      <c r="L180" t="s">
        <v>21</v>
      </c>
      <c r="M180" t="str">
        <f t="shared" si="12"/>
        <v>ND</v>
      </c>
      <c r="N180" t="str">
        <f t="shared" si="11"/>
        <v>ND</v>
      </c>
    </row>
    <row r="181" spans="1:14" x14ac:dyDescent="0.3">
      <c r="A181" t="s">
        <v>58</v>
      </c>
      <c r="B181">
        <v>5</v>
      </c>
      <c r="C181">
        <v>11</v>
      </c>
      <c r="D181" t="s">
        <v>61</v>
      </c>
      <c r="E181">
        <v>302.83199999999999</v>
      </c>
      <c r="F181">
        <f t="shared" si="14"/>
        <v>302832</v>
      </c>
      <c r="G181">
        <f t="shared" si="15"/>
        <v>975.60598445896312</v>
      </c>
      <c r="H181" s="2">
        <v>42979</v>
      </c>
      <c r="I181" s="1" t="s">
        <v>223</v>
      </c>
      <c r="J181" s="1" t="s">
        <v>220</v>
      </c>
      <c r="K181" t="s">
        <v>20</v>
      </c>
      <c r="L181" t="s">
        <v>21</v>
      </c>
      <c r="M181" t="str">
        <f t="shared" si="12"/>
        <v>ND</v>
      </c>
      <c r="N181" t="str">
        <f t="shared" si="11"/>
        <v>ND</v>
      </c>
    </row>
    <row r="182" spans="1:14" x14ac:dyDescent="0.3">
      <c r="A182" t="s">
        <v>59</v>
      </c>
      <c r="B182">
        <v>5</v>
      </c>
      <c r="C182">
        <v>11</v>
      </c>
      <c r="D182" t="s">
        <v>61</v>
      </c>
      <c r="E182">
        <v>302.83199999999999</v>
      </c>
      <c r="F182">
        <f t="shared" si="14"/>
        <v>302832</v>
      </c>
      <c r="G182">
        <f t="shared" si="15"/>
        <v>975.60598445896312</v>
      </c>
      <c r="H182" s="2">
        <v>42979</v>
      </c>
      <c r="I182" s="1" t="s">
        <v>223</v>
      </c>
      <c r="J182" s="1" t="s">
        <v>220</v>
      </c>
      <c r="K182" t="s">
        <v>20</v>
      </c>
      <c r="L182" t="s">
        <v>21</v>
      </c>
      <c r="M182" t="str">
        <f t="shared" si="12"/>
        <v>ND</v>
      </c>
      <c r="N182" t="str">
        <f t="shared" si="11"/>
        <v>ND</v>
      </c>
    </row>
    <row r="183" spans="1:14" x14ac:dyDescent="0.3">
      <c r="A183" t="s">
        <v>40</v>
      </c>
      <c r="B183">
        <v>5</v>
      </c>
      <c r="C183">
        <v>11</v>
      </c>
      <c r="D183" t="s">
        <v>61</v>
      </c>
      <c r="E183">
        <v>302.83199999999999</v>
      </c>
      <c r="F183">
        <f t="shared" si="14"/>
        <v>302832</v>
      </c>
      <c r="G183">
        <f t="shared" si="15"/>
        <v>975.60598445896312</v>
      </c>
      <c r="H183" s="2">
        <v>42979</v>
      </c>
      <c r="I183" s="1" t="s">
        <v>223</v>
      </c>
      <c r="J183" s="1" t="s">
        <v>220</v>
      </c>
      <c r="K183">
        <v>165</v>
      </c>
      <c r="L183" t="s">
        <v>21</v>
      </c>
      <c r="M183">
        <f t="shared" si="12"/>
        <v>0.16500000000000001</v>
      </c>
      <c r="N183">
        <f t="shared" si="11"/>
        <v>51.216659999999997</v>
      </c>
    </row>
    <row r="184" spans="1:14" x14ac:dyDescent="0.3">
      <c r="A184" t="s">
        <v>41</v>
      </c>
      <c r="B184">
        <v>5</v>
      </c>
      <c r="C184">
        <v>11</v>
      </c>
      <c r="D184" t="s">
        <v>61</v>
      </c>
      <c r="E184">
        <v>302.83199999999999</v>
      </c>
      <c r="F184">
        <f t="shared" si="14"/>
        <v>302832</v>
      </c>
      <c r="G184">
        <f t="shared" si="15"/>
        <v>975.60598445896312</v>
      </c>
      <c r="H184" s="2">
        <v>42979</v>
      </c>
      <c r="I184" s="1" t="s">
        <v>223</v>
      </c>
      <c r="J184" s="1" t="s">
        <v>220</v>
      </c>
      <c r="K184">
        <v>1299</v>
      </c>
      <c r="L184" t="s">
        <v>21</v>
      </c>
      <c r="M184">
        <f t="shared" si="12"/>
        <v>1.2989999999999999</v>
      </c>
      <c r="N184">
        <f t="shared" si="11"/>
        <v>403.21479599999998</v>
      </c>
    </row>
    <row r="185" spans="1:14" x14ac:dyDescent="0.3">
      <c r="A185" t="s">
        <v>42</v>
      </c>
      <c r="B185">
        <v>5</v>
      </c>
      <c r="C185">
        <v>11</v>
      </c>
      <c r="D185" t="s">
        <v>61</v>
      </c>
      <c r="E185">
        <v>302.83199999999999</v>
      </c>
      <c r="F185">
        <f t="shared" si="14"/>
        <v>302832</v>
      </c>
      <c r="G185">
        <f t="shared" si="15"/>
        <v>975.60598445896312</v>
      </c>
      <c r="H185" s="2">
        <v>42979</v>
      </c>
      <c r="I185" s="1" t="s">
        <v>223</v>
      </c>
      <c r="J185" s="1" t="s">
        <v>220</v>
      </c>
      <c r="K185" t="s">
        <v>20</v>
      </c>
      <c r="L185" t="s">
        <v>21</v>
      </c>
      <c r="M185" t="str">
        <f t="shared" si="12"/>
        <v>ND</v>
      </c>
      <c r="N185" t="str">
        <f t="shared" si="11"/>
        <v>ND</v>
      </c>
    </row>
    <row r="186" spans="1:14" x14ac:dyDescent="0.3">
      <c r="A186" t="s">
        <v>60</v>
      </c>
      <c r="B186">
        <v>5</v>
      </c>
      <c r="C186">
        <v>11</v>
      </c>
      <c r="D186" t="s">
        <v>61</v>
      </c>
      <c r="E186">
        <v>302.83199999999999</v>
      </c>
      <c r="F186">
        <f t="shared" si="14"/>
        <v>302832</v>
      </c>
      <c r="G186">
        <f t="shared" si="15"/>
        <v>975.60598445896312</v>
      </c>
      <c r="H186" s="2">
        <v>42979</v>
      </c>
      <c r="I186" s="1" t="s">
        <v>223</v>
      </c>
      <c r="J186" s="1" t="s">
        <v>220</v>
      </c>
      <c r="K186" t="s">
        <v>20</v>
      </c>
      <c r="L186" t="s">
        <v>21</v>
      </c>
      <c r="M186" t="str">
        <f t="shared" si="12"/>
        <v>ND</v>
      </c>
      <c r="N186" t="str">
        <f t="shared" si="11"/>
        <v>ND</v>
      </c>
    </row>
    <row r="187" spans="1:14" x14ac:dyDescent="0.3">
      <c r="A187" t="s">
        <v>23</v>
      </c>
      <c r="B187">
        <v>5</v>
      </c>
      <c r="C187">
        <v>11</v>
      </c>
      <c r="D187" t="s">
        <v>61</v>
      </c>
      <c r="E187">
        <v>302.83199999999999</v>
      </c>
      <c r="F187">
        <f t="shared" si="14"/>
        <v>302832</v>
      </c>
      <c r="G187">
        <f t="shared" si="15"/>
        <v>975.60598445896312</v>
      </c>
      <c r="H187" s="2">
        <v>43070</v>
      </c>
      <c r="I187" s="1" t="s">
        <v>223</v>
      </c>
      <c r="J187" s="1" t="s">
        <v>220</v>
      </c>
      <c r="K187">
        <v>16413</v>
      </c>
      <c r="L187" t="s">
        <v>21</v>
      </c>
      <c r="M187">
        <f t="shared" si="12"/>
        <v>16.413</v>
      </c>
      <c r="N187">
        <f t="shared" si="11"/>
        <v>5094.6608520000009</v>
      </c>
    </row>
    <row r="188" spans="1:14" x14ac:dyDescent="0.3">
      <c r="A188" t="s">
        <v>53</v>
      </c>
      <c r="B188">
        <v>5</v>
      </c>
      <c r="C188">
        <v>11</v>
      </c>
      <c r="D188" t="s">
        <v>61</v>
      </c>
      <c r="E188">
        <v>302.83199999999999</v>
      </c>
      <c r="F188">
        <f t="shared" si="14"/>
        <v>302832</v>
      </c>
      <c r="G188">
        <f t="shared" si="15"/>
        <v>975.60598445896312</v>
      </c>
      <c r="H188" s="2">
        <v>43070</v>
      </c>
      <c r="I188" s="1" t="s">
        <v>223</v>
      </c>
      <c r="J188" s="1" t="s">
        <v>220</v>
      </c>
      <c r="K188">
        <v>224</v>
      </c>
      <c r="L188" t="s">
        <v>21</v>
      </c>
      <c r="M188">
        <f t="shared" si="12"/>
        <v>0.224</v>
      </c>
      <c r="N188">
        <f t="shared" si="11"/>
        <v>69.530495999999999</v>
      </c>
    </row>
    <row r="189" spans="1:14" x14ac:dyDescent="0.3">
      <c r="A189" t="s">
        <v>27</v>
      </c>
      <c r="B189">
        <v>5</v>
      </c>
      <c r="C189">
        <v>11</v>
      </c>
      <c r="D189" t="s">
        <v>61</v>
      </c>
      <c r="E189">
        <v>302.83199999999999</v>
      </c>
      <c r="F189">
        <f t="shared" si="14"/>
        <v>302832</v>
      </c>
      <c r="G189">
        <f t="shared" si="15"/>
        <v>975.60598445896312</v>
      </c>
      <c r="H189" s="2">
        <v>43070</v>
      </c>
      <c r="I189" s="1" t="s">
        <v>223</v>
      </c>
      <c r="J189" s="1" t="s">
        <v>220</v>
      </c>
      <c r="K189">
        <v>95</v>
      </c>
      <c r="L189" t="s">
        <v>21</v>
      </c>
      <c r="M189">
        <f t="shared" si="12"/>
        <v>9.5000000000000001E-2</v>
      </c>
      <c r="N189">
        <f t="shared" si="11"/>
        <v>29.488380000000003</v>
      </c>
    </row>
    <row r="190" spans="1:14" x14ac:dyDescent="0.3">
      <c r="A190" t="s">
        <v>28</v>
      </c>
      <c r="B190">
        <v>5</v>
      </c>
      <c r="C190">
        <v>11</v>
      </c>
      <c r="D190" t="s">
        <v>61</v>
      </c>
      <c r="E190">
        <v>302.83199999999999</v>
      </c>
      <c r="F190">
        <f t="shared" si="14"/>
        <v>302832</v>
      </c>
      <c r="G190">
        <f t="shared" si="15"/>
        <v>975.60598445896312</v>
      </c>
      <c r="H190" s="2">
        <v>43070</v>
      </c>
      <c r="I190" s="1" t="s">
        <v>223</v>
      </c>
      <c r="J190" s="1" t="s">
        <v>220</v>
      </c>
      <c r="K190">
        <v>426</v>
      </c>
      <c r="L190" t="s">
        <v>21</v>
      </c>
      <c r="M190">
        <f t="shared" si="12"/>
        <v>0.42599999999999999</v>
      </c>
      <c r="N190">
        <f t="shared" si="11"/>
        <v>132.23210399999999</v>
      </c>
    </row>
    <row r="191" spans="1:14" x14ac:dyDescent="0.3">
      <c r="A191" t="s">
        <v>31</v>
      </c>
      <c r="B191">
        <v>5</v>
      </c>
      <c r="C191">
        <v>11</v>
      </c>
      <c r="D191" t="s">
        <v>61</v>
      </c>
      <c r="E191">
        <v>302.83199999999999</v>
      </c>
      <c r="F191">
        <f t="shared" si="14"/>
        <v>302832</v>
      </c>
      <c r="G191">
        <f t="shared" si="15"/>
        <v>975.60598445896312</v>
      </c>
      <c r="H191" s="2">
        <v>43070</v>
      </c>
      <c r="I191" s="1" t="s">
        <v>223</v>
      </c>
      <c r="J191" s="1" t="s">
        <v>220</v>
      </c>
      <c r="K191" t="s">
        <v>20</v>
      </c>
      <c r="L191" t="s">
        <v>21</v>
      </c>
      <c r="M191" t="str">
        <f t="shared" si="12"/>
        <v>ND</v>
      </c>
      <c r="N191" t="str">
        <f t="shared" si="11"/>
        <v>ND</v>
      </c>
    </row>
    <row r="192" spans="1:14" x14ac:dyDescent="0.3">
      <c r="A192" t="s">
        <v>46</v>
      </c>
      <c r="B192">
        <v>5</v>
      </c>
      <c r="C192">
        <v>11</v>
      </c>
      <c r="D192" t="s">
        <v>61</v>
      </c>
      <c r="E192">
        <v>302.83199999999999</v>
      </c>
      <c r="F192">
        <f t="shared" si="14"/>
        <v>302832</v>
      </c>
      <c r="G192">
        <f t="shared" si="15"/>
        <v>975.60598445896312</v>
      </c>
      <c r="H192" s="2">
        <v>43070</v>
      </c>
      <c r="I192" s="1" t="s">
        <v>223</v>
      </c>
      <c r="J192" s="1" t="s">
        <v>220</v>
      </c>
      <c r="K192" t="s">
        <v>20</v>
      </c>
      <c r="L192" t="s">
        <v>21</v>
      </c>
      <c r="M192" t="str">
        <f t="shared" si="12"/>
        <v>ND</v>
      </c>
      <c r="N192" t="str">
        <f t="shared" si="11"/>
        <v>ND</v>
      </c>
    </row>
    <row r="193" spans="1:14" x14ac:dyDescent="0.3">
      <c r="A193" t="s">
        <v>44</v>
      </c>
      <c r="B193">
        <v>5</v>
      </c>
      <c r="C193">
        <v>11</v>
      </c>
      <c r="D193" t="s">
        <v>61</v>
      </c>
      <c r="E193">
        <v>302.83199999999999</v>
      </c>
      <c r="F193">
        <f t="shared" si="14"/>
        <v>302832</v>
      </c>
      <c r="G193">
        <f t="shared" si="15"/>
        <v>975.60598445896312</v>
      </c>
      <c r="H193" s="2">
        <v>43070</v>
      </c>
      <c r="I193" s="1" t="s">
        <v>223</v>
      </c>
      <c r="J193" s="1" t="s">
        <v>220</v>
      </c>
      <c r="K193">
        <v>198</v>
      </c>
      <c r="L193" t="s">
        <v>21</v>
      </c>
      <c r="M193">
        <f t="shared" si="12"/>
        <v>0.19800000000000001</v>
      </c>
      <c r="N193">
        <f t="shared" si="11"/>
        <v>61.459992000000007</v>
      </c>
    </row>
    <row r="194" spans="1:14" x14ac:dyDescent="0.3">
      <c r="A194" t="s">
        <v>54</v>
      </c>
      <c r="B194">
        <v>5</v>
      </c>
      <c r="C194">
        <v>11</v>
      </c>
      <c r="D194" t="s">
        <v>61</v>
      </c>
      <c r="E194">
        <v>302.83199999999999</v>
      </c>
      <c r="F194">
        <f t="shared" si="14"/>
        <v>302832</v>
      </c>
      <c r="G194">
        <f t="shared" si="15"/>
        <v>975.60598445896312</v>
      </c>
      <c r="H194" s="2">
        <v>43070</v>
      </c>
      <c r="I194" s="1" t="s">
        <v>223</v>
      </c>
      <c r="J194" s="1" t="s">
        <v>220</v>
      </c>
      <c r="K194" t="s">
        <v>20</v>
      </c>
      <c r="L194" t="s">
        <v>21</v>
      </c>
      <c r="M194" t="str">
        <f t="shared" si="12"/>
        <v>ND</v>
      </c>
      <c r="N194" t="str">
        <f t="shared" ref="N194:N257" si="16">IFERROR((M194*F194)/G194,"ND")</f>
        <v>ND</v>
      </c>
    </row>
    <row r="195" spans="1:14" x14ac:dyDescent="0.3">
      <c r="A195" t="s">
        <v>19</v>
      </c>
      <c r="B195">
        <v>5</v>
      </c>
      <c r="C195">
        <v>11</v>
      </c>
      <c r="D195" t="s">
        <v>61</v>
      </c>
      <c r="E195">
        <v>302.83199999999999</v>
      </c>
      <c r="F195">
        <f t="shared" si="14"/>
        <v>302832</v>
      </c>
      <c r="G195">
        <f t="shared" si="15"/>
        <v>975.60598445896312</v>
      </c>
      <c r="H195" s="2">
        <v>43070</v>
      </c>
      <c r="I195" s="1" t="s">
        <v>223</v>
      </c>
      <c r="J195" s="1" t="s">
        <v>220</v>
      </c>
      <c r="K195" t="s">
        <v>20</v>
      </c>
      <c r="L195" t="s">
        <v>21</v>
      </c>
      <c r="M195" t="str">
        <f t="shared" si="12"/>
        <v>ND</v>
      </c>
      <c r="N195" t="str">
        <f t="shared" si="16"/>
        <v>ND</v>
      </c>
    </row>
    <row r="196" spans="1:14" x14ac:dyDescent="0.3">
      <c r="A196" t="s">
        <v>55</v>
      </c>
      <c r="B196">
        <v>5</v>
      </c>
      <c r="C196">
        <v>11</v>
      </c>
      <c r="D196" t="s">
        <v>61</v>
      </c>
      <c r="E196">
        <v>302.83199999999999</v>
      </c>
      <c r="F196">
        <f t="shared" si="14"/>
        <v>302832</v>
      </c>
      <c r="G196">
        <f t="shared" si="15"/>
        <v>975.60598445896312</v>
      </c>
      <c r="H196" s="2">
        <v>43070</v>
      </c>
      <c r="I196" s="1" t="s">
        <v>223</v>
      </c>
      <c r="J196" s="1" t="s">
        <v>220</v>
      </c>
      <c r="K196" t="s">
        <v>20</v>
      </c>
      <c r="L196" t="s">
        <v>21</v>
      </c>
      <c r="M196" t="str">
        <f t="shared" si="12"/>
        <v>ND</v>
      </c>
      <c r="N196" t="str">
        <f t="shared" si="16"/>
        <v>ND</v>
      </c>
    </row>
    <row r="197" spans="1:14" x14ac:dyDescent="0.3">
      <c r="A197" t="s">
        <v>34</v>
      </c>
      <c r="B197">
        <v>5</v>
      </c>
      <c r="C197">
        <v>11</v>
      </c>
      <c r="D197" t="s">
        <v>61</v>
      </c>
      <c r="E197">
        <v>302.83199999999999</v>
      </c>
      <c r="F197">
        <f t="shared" si="14"/>
        <v>302832</v>
      </c>
      <c r="G197">
        <f t="shared" si="15"/>
        <v>975.60598445896312</v>
      </c>
      <c r="H197" s="2">
        <v>43070</v>
      </c>
      <c r="I197" s="1" t="s">
        <v>223</v>
      </c>
      <c r="J197" s="1" t="s">
        <v>220</v>
      </c>
      <c r="K197" t="s">
        <v>20</v>
      </c>
      <c r="L197" t="s">
        <v>21</v>
      </c>
      <c r="M197" t="str">
        <f t="shared" si="12"/>
        <v>ND</v>
      </c>
      <c r="N197" t="str">
        <f t="shared" si="16"/>
        <v>ND</v>
      </c>
    </row>
    <row r="198" spans="1:14" x14ac:dyDescent="0.3">
      <c r="A198" t="s">
        <v>56</v>
      </c>
      <c r="B198">
        <v>5</v>
      </c>
      <c r="C198">
        <v>11</v>
      </c>
      <c r="D198" t="s">
        <v>61</v>
      </c>
      <c r="E198">
        <v>302.83199999999999</v>
      </c>
      <c r="F198">
        <f t="shared" si="14"/>
        <v>302832</v>
      </c>
      <c r="G198">
        <f t="shared" si="15"/>
        <v>975.60598445896312</v>
      </c>
      <c r="H198" s="2">
        <v>43070</v>
      </c>
      <c r="I198" s="1" t="s">
        <v>223</v>
      </c>
      <c r="J198" s="1" t="s">
        <v>220</v>
      </c>
      <c r="K198">
        <v>253</v>
      </c>
      <c r="L198" t="s">
        <v>21</v>
      </c>
      <c r="M198">
        <f t="shared" si="12"/>
        <v>0.253</v>
      </c>
      <c r="N198">
        <f t="shared" si="16"/>
        <v>78.532212000000001</v>
      </c>
    </row>
    <row r="199" spans="1:14" x14ac:dyDescent="0.3">
      <c r="A199" t="s">
        <v>37</v>
      </c>
      <c r="B199">
        <v>5</v>
      </c>
      <c r="C199">
        <v>11</v>
      </c>
      <c r="D199" t="s">
        <v>61</v>
      </c>
      <c r="E199">
        <v>302.83199999999999</v>
      </c>
      <c r="F199">
        <f t="shared" si="14"/>
        <v>302832</v>
      </c>
      <c r="G199">
        <f t="shared" si="15"/>
        <v>975.60598445896312</v>
      </c>
      <c r="H199" s="2">
        <v>43070</v>
      </c>
      <c r="I199" s="1" t="s">
        <v>223</v>
      </c>
      <c r="J199" s="1" t="s">
        <v>220</v>
      </c>
      <c r="K199" t="s">
        <v>20</v>
      </c>
      <c r="L199" t="s">
        <v>21</v>
      </c>
      <c r="M199" t="str">
        <f t="shared" si="12"/>
        <v>ND</v>
      </c>
      <c r="N199" t="str">
        <f t="shared" si="16"/>
        <v>ND</v>
      </c>
    </row>
    <row r="200" spans="1:14" x14ac:dyDescent="0.3">
      <c r="A200" t="s">
        <v>57</v>
      </c>
      <c r="B200">
        <v>5</v>
      </c>
      <c r="C200">
        <v>11</v>
      </c>
      <c r="D200" t="s">
        <v>61</v>
      </c>
      <c r="E200">
        <v>302.83199999999999</v>
      </c>
      <c r="F200">
        <f t="shared" si="14"/>
        <v>302832</v>
      </c>
      <c r="G200">
        <f t="shared" si="15"/>
        <v>975.60598445896312</v>
      </c>
      <c r="H200" s="2">
        <v>43070</v>
      </c>
      <c r="I200" s="1" t="s">
        <v>223</v>
      </c>
      <c r="J200" s="1" t="s">
        <v>220</v>
      </c>
      <c r="K200" t="s">
        <v>20</v>
      </c>
      <c r="L200" t="s">
        <v>21</v>
      </c>
      <c r="M200" t="str">
        <f t="shared" si="12"/>
        <v>ND</v>
      </c>
      <c r="N200" t="str">
        <f t="shared" si="16"/>
        <v>ND</v>
      </c>
    </row>
    <row r="201" spans="1:14" x14ac:dyDescent="0.3">
      <c r="A201" t="s">
        <v>58</v>
      </c>
      <c r="B201">
        <v>5</v>
      </c>
      <c r="C201">
        <v>11</v>
      </c>
      <c r="D201" t="s">
        <v>61</v>
      </c>
      <c r="E201">
        <v>302.83199999999999</v>
      </c>
      <c r="F201">
        <f t="shared" si="14"/>
        <v>302832</v>
      </c>
      <c r="G201">
        <f t="shared" si="15"/>
        <v>975.60598445896312</v>
      </c>
      <c r="H201" s="2">
        <v>43070</v>
      </c>
      <c r="I201" s="1" t="s">
        <v>223</v>
      </c>
      <c r="J201" s="1" t="s">
        <v>220</v>
      </c>
      <c r="K201" t="s">
        <v>20</v>
      </c>
      <c r="L201" t="s">
        <v>21</v>
      </c>
      <c r="M201" t="str">
        <f t="shared" si="12"/>
        <v>ND</v>
      </c>
      <c r="N201" t="str">
        <f t="shared" si="16"/>
        <v>ND</v>
      </c>
    </row>
    <row r="202" spans="1:14" x14ac:dyDescent="0.3">
      <c r="A202" t="s">
        <v>59</v>
      </c>
      <c r="B202">
        <v>5</v>
      </c>
      <c r="C202">
        <v>11</v>
      </c>
      <c r="D202" t="s">
        <v>61</v>
      </c>
      <c r="E202">
        <v>302.83199999999999</v>
      </c>
      <c r="F202">
        <f t="shared" si="14"/>
        <v>302832</v>
      </c>
      <c r="G202">
        <f t="shared" si="15"/>
        <v>975.60598445896312</v>
      </c>
      <c r="H202" s="2">
        <v>43070</v>
      </c>
      <c r="I202" s="1" t="s">
        <v>223</v>
      </c>
      <c r="J202" s="1" t="s">
        <v>220</v>
      </c>
      <c r="K202" t="s">
        <v>20</v>
      </c>
      <c r="L202" t="s">
        <v>21</v>
      </c>
      <c r="M202" t="str">
        <f t="shared" si="12"/>
        <v>ND</v>
      </c>
      <c r="N202" t="str">
        <f t="shared" si="16"/>
        <v>ND</v>
      </c>
    </row>
    <row r="203" spans="1:14" x14ac:dyDescent="0.3">
      <c r="A203" t="s">
        <v>40</v>
      </c>
      <c r="B203">
        <v>5</v>
      </c>
      <c r="C203">
        <v>11</v>
      </c>
      <c r="D203" t="s">
        <v>61</v>
      </c>
      <c r="E203">
        <v>302.83199999999999</v>
      </c>
      <c r="F203">
        <f t="shared" si="14"/>
        <v>302832</v>
      </c>
      <c r="G203">
        <f t="shared" si="15"/>
        <v>975.60598445896312</v>
      </c>
      <c r="H203" s="2">
        <v>43070</v>
      </c>
      <c r="I203" s="1" t="s">
        <v>223</v>
      </c>
      <c r="J203" s="1" t="s">
        <v>220</v>
      </c>
      <c r="K203">
        <v>2968</v>
      </c>
      <c r="L203" t="s">
        <v>21</v>
      </c>
      <c r="M203">
        <f t="shared" si="12"/>
        <v>2.968</v>
      </c>
      <c r="N203">
        <f t="shared" si="16"/>
        <v>921.27907200000004</v>
      </c>
    </row>
    <row r="204" spans="1:14" x14ac:dyDescent="0.3">
      <c r="A204" t="s">
        <v>41</v>
      </c>
      <c r="B204">
        <v>5</v>
      </c>
      <c r="C204">
        <v>11</v>
      </c>
      <c r="D204" t="s">
        <v>61</v>
      </c>
      <c r="E204">
        <v>302.83199999999999</v>
      </c>
      <c r="F204">
        <f t="shared" si="14"/>
        <v>302832</v>
      </c>
      <c r="G204">
        <f t="shared" si="15"/>
        <v>975.60598445896312</v>
      </c>
      <c r="H204" s="2">
        <v>43070</v>
      </c>
      <c r="I204" s="1" t="s">
        <v>223</v>
      </c>
      <c r="J204" s="1" t="s">
        <v>220</v>
      </c>
      <c r="K204">
        <v>524</v>
      </c>
      <c r="L204" t="s">
        <v>21</v>
      </c>
      <c r="M204">
        <f t="shared" si="12"/>
        <v>0.52400000000000002</v>
      </c>
      <c r="N204">
        <f t="shared" si="16"/>
        <v>162.65169599999999</v>
      </c>
    </row>
    <row r="205" spans="1:14" x14ac:dyDescent="0.3">
      <c r="A205" t="s">
        <v>42</v>
      </c>
      <c r="B205">
        <v>5</v>
      </c>
      <c r="C205">
        <v>11</v>
      </c>
      <c r="D205" t="s">
        <v>61</v>
      </c>
      <c r="E205">
        <v>302.83199999999999</v>
      </c>
      <c r="F205">
        <f t="shared" si="14"/>
        <v>302832</v>
      </c>
      <c r="G205">
        <f t="shared" si="15"/>
        <v>975.60598445896312</v>
      </c>
      <c r="H205" s="2">
        <v>43070</v>
      </c>
      <c r="I205" s="1" t="s">
        <v>223</v>
      </c>
      <c r="J205" s="1" t="s">
        <v>220</v>
      </c>
      <c r="K205" t="s">
        <v>20</v>
      </c>
      <c r="L205" t="s">
        <v>21</v>
      </c>
      <c r="M205" t="str">
        <f t="shared" si="12"/>
        <v>ND</v>
      </c>
      <c r="N205" t="str">
        <f t="shared" si="16"/>
        <v>ND</v>
      </c>
    </row>
    <row r="206" spans="1:14" x14ac:dyDescent="0.3">
      <c r="A206" t="s">
        <v>60</v>
      </c>
      <c r="B206">
        <v>5</v>
      </c>
      <c r="C206">
        <v>11</v>
      </c>
      <c r="D206" t="s">
        <v>61</v>
      </c>
      <c r="E206">
        <v>302.83199999999999</v>
      </c>
      <c r="F206">
        <f t="shared" si="14"/>
        <v>302832</v>
      </c>
      <c r="G206">
        <f t="shared" si="15"/>
        <v>975.60598445896312</v>
      </c>
      <c r="H206" s="2">
        <v>43070</v>
      </c>
      <c r="I206" s="1" t="s">
        <v>223</v>
      </c>
      <c r="J206" s="1" t="s">
        <v>220</v>
      </c>
      <c r="K206" t="s">
        <v>20</v>
      </c>
      <c r="L206" t="s">
        <v>21</v>
      </c>
      <c r="M206" t="str">
        <f t="shared" si="12"/>
        <v>ND</v>
      </c>
      <c r="N206" t="str">
        <f t="shared" si="16"/>
        <v>ND</v>
      </c>
    </row>
    <row r="207" spans="1:14" x14ac:dyDescent="0.3">
      <c r="A207" t="s">
        <v>23</v>
      </c>
      <c r="B207">
        <v>5</v>
      </c>
      <c r="C207">
        <v>11</v>
      </c>
      <c r="D207" t="s">
        <v>61</v>
      </c>
      <c r="E207">
        <v>302.83199999999999</v>
      </c>
      <c r="F207">
        <f t="shared" si="14"/>
        <v>302832</v>
      </c>
      <c r="G207">
        <f t="shared" si="15"/>
        <v>975.60598445896312</v>
      </c>
      <c r="H207" s="2">
        <v>43282</v>
      </c>
      <c r="I207" s="1" t="s">
        <v>223</v>
      </c>
      <c r="J207" s="1" t="s">
        <v>220</v>
      </c>
      <c r="K207">
        <v>24903</v>
      </c>
      <c r="L207" t="s">
        <v>21</v>
      </c>
      <c r="M207">
        <f t="shared" si="12"/>
        <v>24.902999999999999</v>
      </c>
      <c r="N207">
        <f t="shared" si="16"/>
        <v>7729.9908119999991</v>
      </c>
    </row>
    <row r="208" spans="1:14" x14ac:dyDescent="0.3">
      <c r="A208" t="s">
        <v>53</v>
      </c>
      <c r="B208">
        <v>5</v>
      </c>
      <c r="C208">
        <v>11</v>
      </c>
      <c r="D208" t="s">
        <v>61</v>
      </c>
      <c r="E208">
        <v>302.83199999999999</v>
      </c>
      <c r="F208">
        <f t="shared" si="14"/>
        <v>302832</v>
      </c>
      <c r="G208">
        <f t="shared" si="15"/>
        <v>975.60598445896312</v>
      </c>
      <c r="H208" s="2">
        <v>43282</v>
      </c>
      <c r="I208" s="1" t="s">
        <v>223</v>
      </c>
      <c r="J208" s="1" t="s">
        <v>220</v>
      </c>
      <c r="K208">
        <v>452</v>
      </c>
      <c r="L208" t="s">
        <v>21</v>
      </c>
      <c r="M208">
        <f t="shared" si="12"/>
        <v>0.45200000000000001</v>
      </c>
      <c r="N208">
        <f t="shared" si="16"/>
        <v>140.30260800000002</v>
      </c>
    </row>
    <row r="209" spans="1:14" x14ac:dyDescent="0.3">
      <c r="A209" t="s">
        <v>27</v>
      </c>
      <c r="B209">
        <v>5</v>
      </c>
      <c r="C209">
        <v>11</v>
      </c>
      <c r="D209" t="s">
        <v>61</v>
      </c>
      <c r="E209">
        <v>302.83199999999999</v>
      </c>
      <c r="F209">
        <f t="shared" si="14"/>
        <v>302832</v>
      </c>
      <c r="G209">
        <f t="shared" si="15"/>
        <v>975.60598445896312</v>
      </c>
      <c r="H209" s="2">
        <v>43282</v>
      </c>
      <c r="I209" s="1" t="s">
        <v>223</v>
      </c>
      <c r="J209" s="1" t="s">
        <v>220</v>
      </c>
      <c r="K209" t="s">
        <v>20</v>
      </c>
      <c r="L209" t="s">
        <v>21</v>
      </c>
      <c r="M209" t="str">
        <f t="shared" ref="M209:M272" si="17">IFERROR(K209/1000,"ND")</f>
        <v>ND</v>
      </c>
      <c r="N209" t="str">
        <f t="shared" si="16"/>
        <v>ND</v>
      </c>
    </row>
    <row r="210" spans="1:14" x14ac:dyDescent="0.3">
      <c r="A210" t="s">
        <v>28</v>
      </c>
      <c r="B210">
        <v>5</v>
      </c>
      <c r="C210">
        <v>11</v>
      </c>
      <c r="D210" t="s">
        <v>61</v>
      </c>
      <c r="E210">
        <v>302.83199999999999</v>
      </c>
      <c r="F210">
        <f t="shared" si="14"/>
        <v>302832</v>
      </c>
      <c r="G210">
        <f t="shared" si="15"/>
        <v>975.60598445896312</v>
      </c>
      <c r="H210" s="2">
        <v>43282</v>
      </c>
      <c r="I210" s="1" t="s">
        <v>223</v>
      </c>
      <c r="J210" s="1" t="s">
        <v>220</v>
      </c>
      <c r="K210">
        <v>431</v>
      </c>
      <c r="L210" t="s">
        <v>21</v>
      </c>
      <c r="M210">
        <f t="shared" si="17"/>
        <v>0.43099999999999999</v>
      </c>
      <c r="N210">
        <f t="shared" si="16"/>
        <v>133.78412400000002</v>
      </c>
    </row>
    <row r="211" spans="1:14" x14ac:dyDescent="0.3">
      <c r="A211" t="s">
        <v>31</v>
      </c>
      <c r="B211">
        <v>5</v>
      </c>
      <c r="C211">
        <v>11</v>
      </c>
      <c r="D211" t="s">
        <v>61</v>
      </c>
      <c r="E211">
        <v>302.83199999999999</v>
      </c>
      <c r="F211">
        <f t="shared" si="14"/>
        <v>302832</v>
      </c>
      <c r="G211">
        <f t="shared" si="15"/>
        <v>975.60598445896312</v>
      </c>
      <c r="H211" s="2">
        <v>43282</v>
      </c>
      <c r="I211" s="1" t="s">
        <v>223</v>
      </c>
      <c r="J211" s="1" t="s">
        <v>220</v>
      </c>
      <c r="K211" t="s">
        <v>20</v>
      </c>
      <c r="L211" t="s">
        <v>21</v>
      </c>
      <c r="M211" t="str">
        <f t="shared" si="17"/>
        <v>ND</v>
      </c>
      <c r="N211" t="str">
        <f t="shared" si="16"/>
        <v>ND</v>
      </c>
    </row>
    <row r="212" spans="1:14" x14ac:dyDescent="0.3">
      <c r="A212" t="s">
        <v>46</v>
      </c>
      <c r="B212">
        <v>5</v>
      </c>
      <c r="C212">
        <v>11</v>
      </c>
      <c r="D212" t="s">
        <v>61</v>
      </c>
      <c r="E212">
        <v>302.83199999999999</v>
      </c>
      <c r="F212">
        <f t="shared" si="14"/>
        <v>302832</v>
      </c>
      <c r="G212">
        <f t="shared" si="15"/>
        <v>975.60598445896312</v>
      </c>
      <c r="H212" s="2">
        <v>43282</v>
      </c>
      <c r="I212" s="1" t="s">
        <v>223</v>
      </c>
      <c r="J212" s="1" t="s">
        <v>220</v>
      </c>
      <c r="K212">
        <v>43</v>
      </c>
      <c r="L212" t="s">
        <v>21</v>
      </c>
      <c r="M212">
        <f t="shared" si="17"/>
        <v>4.2999999999999997E-2</v>
      </c>
      <c r="N212">
        <f t="shared" si="16"/>
        <v>13.347372</v>
      </c>
    </row>
    <row r="213" spans="1:14" x14ac:dyDescent="0.3">
      <c r="A213" t="s">
        <v>44</v>
      </c>
      <c r="B213">
        <v>5</v>
      </c>
      <c r="C213">
        <v>11</v>
      </c>
      <c r="D213" t="s">
        <v>61</v>
      </c>
      <c r="E213">
        <v>302.83199999999999</v>
      </c>
      <c r="F213">
        <f t="shared" si="14"/>
        <v>302832</v>
      </c>
      <c r="G213">
        <f t="shared" si="15"/>
        <v>975.60598445896312</v>
      </c>
      <c r="H213" s="2">
        <v>43282</v>
      </c>
      <c r="I213" s="1" t="s">
        <v>223</v>
      </c>
      <c r="J213" s="1" t="s">
        <v>220</v>
      </c>
      <c r="K213">
        <v>303</v>
      </c>
      <c r="L213" t="s">
        <v>21</v>
      </c>
      <c r="M213">
        <f t="shared" si="17"/>
        <v>0.30299999999999999</v>
      </c>
      <c r="N213">
        <f t="shared" si="16"/>
        <v>94.05241199999999</v>
      </c>
    </row>
    <row r="214" spans="1:14" x14ac:dyDescent="0.3">
      <c r="A214" t="s">
        <v>54</v>
      </c>
      <c r="B214">
        <v>5</v>
      </c>
      <c r="C214">
        <v>11</v>
      </c>
      <c r="D214" t="s">
        <v>61</v>
      </c>
      <c r="E214">
        <v>302.83199999999999</v>
      </c>
      <c r="F214">
        <f t="shared" si="14"/>
        <v>302832</v>
      </c>
      <c r="G214">
        <f t="shared" si="15"/>
        <v>975.60598445896312</v>
      </c>
      <c r="H214" s="2">
        <v>43282</v>
      </c>
      <c r="I214" s="1" t="s">
        <v>223</v>
      </c>
      <c r="J214" s="1" t="s">
        <v>220</v>
      </c>
      <c r="K214" t="s">
        <v>20</v>
      </c>
      <c r="L214" t="s">
        <v>21</v>
      </c>
      <c r="M214" t="str">
        <f t="shared" si="17"/>
        <v>ND</v>
      </c>
      <c r="N214" t="str">
        <f t="shared" si="16"/>
        <v>ND</v>
      </c>
    </row>
    <row r="215" spans="1:14" x14ac:dyDescent="0.3">
      <c r="A215" t="s">
        <v>19</v>
      </c>
      <c r="B215">
        <v>5</v>
      </c>
      <c r="C215">
        <v>11</v>
      </c>
      <c r="D215" t="s">
        <v>61</v>
      </c>
      <c r="E215">
        <v>302.83199999999999</v>
      </c>
      <c r="F215">
        <f t="shared" si="14"/>
        <v>302832</v>
      </c>
      <c r="G215">
        <f t="shared" si="15"/>
        <v>975.60598445896312</v>
      </c>
      <c r="H215" s="2">
        <v>43282</v>
      </c>
      <c r="I215" s="1" t="s">
        <v>223</v>
      </c>
      <c r="J215" s="1" t="s">
        <v>220</v>
      </c>
      <c r="K215" t="s">
        <v>20</v>
      </c>
      <c r="L215" t="s">
        <v>21</v>
      </c>
      <c r="M215" t="str">
        <f t="shared" si="17"/>
        <v>ND</v>
      </c>
      <c r="N215" t="str">
        <f t="shared" si="16"/>
        <v>ND</v>
      </c>
    </row>
    <row r="216" spans="1:14" x14ac:dyDescent="0.3">
      <c r="A216" t="s">
        <v>55</v>
      </c>
      <c r="B216">
        <v>5</v>
      </c>
      <c r="C216">
        <v>11</v>
      </c>
      <c r="D216" t="s">
        <v>61</v>
      </c>
      <c r="E216">
        <v>302.83199999999999</v>
      </c>
      <c r="F216">
        <f t="shared" si="14"/>
        <v>302832</v>
      </c>
      <c r="G216">
        <f t="shared" si="15"/>
        <v>975.60598445896312</v>
      </c>
      <c r="H216" s="2">
        <v>43282</v>
      </c>
      <c r="I216" s="1" t="s">
        <v>223</v>
      </c>
      <c r="J216" s="1" t="s">
        <v>220</v>
      </c>
      <c r="K216" t="s">
        <v>20</v>
      </c>
      <c r="L216" t="s">
        <v>21</v>
      </c>
      <c r="M216" t="str">
        <f t="shared" si="17"/>
        <v>ND</v>
      </c>
      <c r="N216" t="str">
        <f t="shared" si="16"/>
        <v>ND</v>
      </c>
    </row>
    <row r="217" spans="1:14" x14ac:dyDescent="0.3">
      <c r="A217" t="s">
        <v>34</v>
      </c>
      <c r="B217">
        <v>5</v>
      </c>
      <c r="C217">
        <v>11</v>
      </c>
      <c r="D217" t="s">
        <v>61</v>
      </c>
      <c r="E217">
        <v>302.83199999999999</v>
      </c>
      <c r="F217">
        <f t="shared" si="14"/>
        <v>302832</v>
      </c>
      <c r="G217">
        <f t="shared" si="15"/>
        <v>975.60598445896312</v>
      </c>
      <c r="H217" s="2">
        <v>43282</v>
      </c>
      <c r="I217" s="1" t="s">
        <v>223</v>
      </c>
      <c r="J217" s="1" t="s">
        <v>220</v>
      </c>
      <c r="K217" t="s">
        <v>20</v>
      </c>
      <c r="L217" t="s">
        <v>21</v>
      </c>
      <c r="M217" t="str">
        <f t="shared" si="17"/>
        <v>ND</v>
      </c>
      <c r="N217" t="str">
        <f t="shared" si="16"/>
        <v>ND</v>
      </c>
    </row>
    <row r="218" spans="1:14" x14ac:dyDescent="0.3">
      <c r="A218" t="s">
        <v>56</v>
      </c>
      <c r="B218">
        <v>5</v>
      </c>
      <c r="C218">
        <v>11</v>
      </c>
      <c r="D218" t="s">
        <v>61</v>
      </c>
      <c r="E218">
        <v>302.83199999999999</v>
      </c>
      <c r="F218">
        <f t="shared" si="14"/>
        <v>302832</v>
      </c>
      <c r="G218">
        <f t="shared" si="15"/>
        <v>975.60598445896312</v>
      </c>
      <c r="H218" s="2">
        <v>43282</v>
      </c>
      <c r="I218" s="1" t="s">
        <v>223</v>
      </c>
      <c r="J218" s="1" t="s">
        <v>220</v>
      </c>
      <c r="K218">
        <v>411</v>
      </c>
      <c r="L218" t="s">
        <v>21</v>
      </c>
      <c r="M218">
        <f t="shared" si="17"/>
        <v>0.41099999999999998</v>
      </c>
      <c r="N218">
        <f t="shared" si="16"/>
        <v>127.576044</v>
      </c>
    </row>
    <row r="219" spans="1:14" x14ac:dyDescent="0.3">
      <c r="A219" t="s">
        <v>37</v>
      </c>
      <c r="B219">
        <v>5</v>
      </c>
      <c r="C219">
        <v>11</v>
      </c>
      <c r="D219" t="s">
        <v>61</v>
      </c>
      <c r="E219">
        <v>302.83199999999999</v>
      </c>
      <c r="F219">
        <f t="shared" si="14"/>
        <v>302832</v>
      </c>
      <c r="G219">
        <f t="shared" si="15"/>
        <v>975.60598445896312</v>
      </c>
      <c r="H219" s="2">
        <v>43282</v>
      </c>
      <c r="I219" s="1" t="s">
        <v>223</v>
      </c>
      <c r="J219" s="1" t="s">
        <v>220</v>
      </c>
      <c r="K219" t="s">
        <v>20</v>
      </c>
      <c r="L219" t="s">
        <v>21</v>
      </c>
      <c r="M219" t="str">
        <f t="shared" si="17"/>
        <v>ND</v>
      </c>
      <c r="N219" t="str">
        <f t="shared" si="16"/>
        <v>ND</v>
      </c>
    </row>
    <row r="220" spans="1:14" x14ac:dyDescent="0.3">
      <c r="A220" t="s">
        <v>57</v>
      </c>
      <c r="B220">
        <v>5</v>
      </c>
      <c r="C220">
        <v>11</v>
      </c>
      <c r="D220" t="s">
        <v>61</v>
      </c>
      <c r="E220">
        <v>302.83199999999999</v>
      </c>
      <c r="F220">
        <f t="shared" si="14"/>
        <v>302832</v>
      </c>
      <c r="G220">
        <f t="shared" si="15"/>
        <v>975.60598445896312</v>
      </c>
      <c r="H220" s="2">
        <v>43282</v>
      </c>
      <c r="I220" s="1" t="s">
        <v>223</v>
      </c>
      <c r="J220" s="1" t="s">
        <v>220</v>
      </c>
      <c r="K220" t="s">
        <v>20</v>
      </c>
      <c r="L220" t="s">
        <v>21</v>
      </c>
      <c r="M220" t="str">
        <f t="shared" si="17"/>
        <v>ND</v>
      </c>
      <c r="N220" t="str">
        <f t="shared" si="16"/>
        <v>ND</v>
      </c>
    </row>
    <row r="221" spans="1:14" x14ac:dyDescent="0.3">
      <c r="A221" t="s">
        <v>58</v>
      </c>
      <c r="B221">
        <v>5</v>
      </c>
      <c r="C221">
        <v>11</v>
      </c>
      <c r="D221" t="s">
        <v>61</v>
      </c>
      <c r="E221">
        <v>302.83199999999999</v>
      </c>
      <c r="F221">
        <f t="shared" si="14"/>
        <v>302832</v>
      </c>
      <c r="G221">
        <f t="shared" si="15"/>
        <v>975.60598445896312</v>
      </c>
      <c r="H221" s="2">
        <v>43282</v>
      </c>
      <c r="I221" s="1" t="s">
        <v>223</v>
      </c>
      <c r="J221" s="1" t="s">
        <v>220</v>
      </c>
      <c r="K221" t="s">
        <v>20</v>
      </c>
      <c r="L221" t="s">
        <v>21</v>
      </c>
      <c r="M221" t="str">
        <f t="shared" si="17"/>
        <v>ND</v>
      </c>
      <c r="N221" t="str">
        <f t="shared" si="16"/>
        <v>ND</v>
      </c>
    </row>
    <row r="222" spans="1:14" x14ac:dyDescent="0.3">
      <c r="A222" t="s">
        <v>59</v>
      </c>
      <c r="B222">
        <v>5</v>
      </c>
      <c r="C222">
        <v>11</v>
      </c>
      <c r="D222" t="s">
        <v>61</v>
      </c>
      <c r="E222">
        <v>302.83199999999999</v>
      </c>
      <c r="F222">
        <f t="shared" si="14"/>
        <v>302832</v>
      </c>
      <c r="G222">
        <f t="shared" si="15"/>
        <v>975.60598445896312</v>
      </c>
      <c r="H222" s="2">
        <v>43282</v>
      </c>
      <c r="I222" s="1" t="s">
        <v>223</v>
      </c>
      <c r="J222" s="1" t="s">
        <v>220</v>
      </c>
      <c r="K222" t="s">
        <v>20</v>
      </c>
      <c r="L222" t="s">
        <v>21</v>
      </c>
      <c r="M222" t="str">
        <f t="shared" si="17"/>
        <v>ND</v>
      </c>
      <c r="N222" t="str">
        <f t="shared" si="16"/>
        <v>ND</v>
      </c>
    </row>
    <row r="223" spans="1:14" x14ac:dyDescent="0.3">
      <c r="A223" t="s">
        <v>40</v>
      </c>
      <c r="B223">
        <v>5</v>
      </c>
      <c r="C223">
        <v>11</v>
      </c>
      <c r="D223" t="s">
        <v>61</v>
      </c>
      <c r="E223">
        <v>302.83199999999999</v>
      </c>
      <c r="F223">
        <f t="shared" si="14"/>
        <v>302832</v>
      </c>
      <c r="G223">
        <f t="shared" si="15"/>
        <v>975.60598445896312</v>
      </c>
      <c r="H223" s="2">
        <v>43282</v>
      </c>
      <c r="I223" s="1" t="s">
        <v>223</v>
      </c>
      <c r="J223" s="1" t="s">
        <v>220</v>
      </c>
      <c r="K223">
        <v>1682</v>
      </c>
      <c r="L223" t="s">
        <v>21</v>
      </c>
      <c r="M223">
        <f t="shared" si="17"/>
        <v>1.6819999999999999</v>
      </c>
      <c r="N223">
        <f t="shared" si="16"/>
        <v>522.09952799999996</v>
      </c>
    </row>
    <row r="224" spans="1:14" x14ac:dyDescent="0.3">
      <c r="A224" t="s">
        <v>41</v>
      </c>
      <c r="B224">
        <v>5</v>
      </c>
      <c r="C224">
        <v>11</v>
      </c>
      <c r="D224" t="s">
        <v>61</v>
      </c>
      <c r="E224">
        <v>302.83199999999999</v>
      </c>
      <c r="F224">
        <f t="shared" si="14"/>
        <v>302832</v>
      </c>
      <c r="G224">
        <f t="shared" si="15"/>
        <v>975.60598445896312</v>
      </c>
      <c r="H224" s="2">
        <v>43282</v>
      </c>
      <c r="I224" s="1" t="s">
        <v>223</v>
      </c>
      <c r="J224" s="1" t="s">
        <v>220</v>
      </c>
      <c r="K224">
        <v>302</v>
      </c>
      <c r="L224" t="s">
        <v>21</v>
      </c>
      <c r="M224">
        <f t="shared" si="17"/>
        <v>0.30199999999999999</v>
      </c>
      <c r="N224">
        <f t="shared" si="16"/>
        <v>93.742007999999998</v>
      </c>
    </row>
    <row r="225" spans="1:14" x14ac:dyDescent="0.3">
      <c r="A225" t="s">
        <v>42</v>
      </c>
      <c r="B225">
        <v>5</v>
      </c>
      <c r="C225">
        <v>11</v>
      </c>
      <c r="D225" t="s">
        <v>61</v>
      </c>
      <c r="E225">
        <v>302.83199999999999</v>
      </c>
      <c r="F225">
        <f t="shared" si="14"/>
        <v>302832</v>
      </c>
      <c r="G225">
        <f t="shared" si="15"/>
        <v>975.60598445896312</v>
      </c>
      <c r="H225" s="2">
        <v>43282</v>
      </c>
      <c r="I225" s="1" t="s">
        <v>223</v>
      </c>
      <c r="J225" s="1" t="s">
        <v>220</v>
      </c>
      <c r="K225" t="s">
        <v>20</v>
      </c>
      <c r="L225" t="s">
        <v>21</v>
      </c>
      <c r="M225" t="str">
        <f t="shared" si="17"/>
        <v>ND</v>
      </c>
      <c r="N225" t="str">
        <f t="shared" si="16"/>
        <v>ND</v>
      </c>
    </row>
    <row r="226" spans="1:14" x14ac:dyDescent="0.3">
      <c r="A226" t="s">
        <v>60</v>
      </c>
      <c r="B226">
        <v>5</v>
      </c>
      <c r="C226">
        <v>11</v>
      </c>
      <c r="D226" t="s">
        <v>61</v>
      </c>
      <c r="E226">
        <v>302.83199999999999</v>
      </c>
      <c r="F226">
        <f t="shared" si="14"/>
        <v>302832</v>
      </c>
      <c r="G226">
        <f t="shared" si="15"/>
        <v>975.60598445896312</v>
      </c>
      <c r="H226" s="2">
        <v>43282</v>
      </c>
      <c r="I226" s="1" t="s">
        <v>223</v>
      </c>
      <c r="J226" s="1" t="s">
        <v>220</v>
      </c>
      <c r="K226" t="s">
        <v>20</v>
      </c>
      <c r="L226" t="s">
        <v>21</v>
      </c>
      <c r="M226" t="str">
        <f t="shared" si="17"/>
        <v>ND</v>
      </c>
      <c r="N226" t="str">
        <f t="shared" si="16"/>
        <v>ND</v>
      </c>
    </row>
    <row r="227" spans="1:14" x14ac:dyDescent="0.3">
      <c r="A227" t="s">
        <v>23</v>
      </c>
      <c r="B227">
        <v>5</v>
      </c>
      <c r="C227">
        <v>11</v>
      </c>
      <c r="D227" t="s">
        <v>62</v>
      </c>
      <c r="E227">
        <v>302.83199999999999</v>
      </c>
      <c r="F227">
        <f t="shared" si="14"/>
        <v>302832</v>
      </c>
      <c r="G227">
        <f t="shared" si="15"/>
        <v>975.60598445896312</v>
      </c>
      <c r="H227" s="2">
        <v>42675</v>
      </c>
      <c r="I227" s="1" t="s">
        <v>223</v>
      </c>
      <c r="J227" s="1" t="s">
        <v>220</v>
      </c>
      <c r="K227">
        <v>21137</v>
      </c>
      <c r="L227" t="s">
        <v>21</v>
      </c>
      <c r="M227">
        <f t="shared" si="17"/>
        <v>21.137</v>
      </c>
      <c r="N227">
        <f t="shared" si="16"/>
        <v>6561.0093480000005</v>
      </c>
    </row>
    <row r="228" spans="1:14" x14ac:dyDescent="0.3">
      <c r="A228" t="s">
        <v>53</v>
      </c>
      <c r="B228">
        <v>5</v>
      </c>
      <c r="C228">
        <v>11</v>
      </c>
      <c r="D228" t="s">
        <v>62</v>
      </c>
      <c r="E228">
        <v>302.83199999999999</v>
      </c>
      <c r="F228">
        <f t="shared" si="14"/>
        <v>302832</v>
      </c>
      <c r="G228">
        <f t="shared" si="15"/>
        <v>975.60598445896312</v>
      </c>
      <c r="H228" s="2">
        <v>42675</v>
      </c>
      <c r="I228" s="1" t="s">
        <v>223</v>
      </c>
      <c r="J228" s="1" t="s">
        <v>220</v>
      </c>
      <c r="K228">
        <v>352</v>
      </c>
      <c r="L228" t="s">
        <v>21</v>
      </c>
      <c r="M228">
        <f t="shared" si="17"/>
        <v>0.35199999999999998</v>
      </c>
      <c r="N228">
        <f t="shared" si="16"/>
        <v>109.26220799999999</v>
      </c>
    </row>
    <row r="229" spans="1:14" x14ac:dyDescent="0.3">
      <c r="A229" t="s">
        <v>27</v>
      </c>
      <c r="B229">
        <v>5</v>
      </c>
      <c r="C229">
        <v>11</v>
      </c>
      <c r="D229" t="s">
        <v>62</v>
      </c>
      <c r="E229">
        <v>302.83199999999999</v>
      </c>
      <c r="F229">
        <f t="shared" si="14"/>
        <v>302832</v>
      </c>
      <c r="G229">
        <f t="shared" si="15"/>
        <v>975.60598445896312</v>
      </c>
      <c r="H229" s="2">
        <v>42675</v>
      </c>
      <c r="I229" s="1" t="s">
        <v>223</v>
      </c>
      <c r="J229" s="1" t="s">
        <v>220</v>
      </c>
      <c r="K229">
        <v>207</v>
      </c>
      <c r="L229" t="s">
        <v>21</v>
      </c>
      <c r="M229">
        <f t="shared" si="17"/>
        <v>0.20699999999999999</v>
      </c>
      <c r="N229">
        <f t="shared" si="16"/>
        <v>64.253627999999992</v>
      </c>
    </row>
    <row r="230" spans="1:14" x14ac:dyDescent="0.3">
      <c r="A230" t="s">
        <v>28</v>
      </c>
      <c r="B230">
        <v>5</v>
      </c>
      <c r="C230">
        <v>11</v>
      </c>
      <c r="D230" t="s">
        <v>62</v>
      </c>
      <c r="E230">
        <v>302.83199999999999</v>
      </c>
      <c r="F230">
        <f t="shared" si="14"/>
        <v>302832</v>
      </c>
      <c r="G230">
        <f t="shared" si="15"/>
        <v>975.60598445896312</v>
      </c>
      <c r="H230" s="2">
        <v>42675</v>
      </c>
      <c r="I230" s="1" t="s">
        <v>223</v>
      </c>
      <c r="J230" s="1" t="s">
        <v>220</v>
      </c>
      <c r="K230" t="s">
        <v>20</v>
      </c>
      <c r="L230" t="s">
        <v>21</v>
      </c>
      <c r="M230" t="str">
        <f t="shared" si="17"/>
        <v>ND</v>
      </c>
      <c r="N230" t="str">
        <f t="shared" si="16"/>
        <v>ND</v>
      </c>
    </row>
    <row r="231" spans="1:14" x14ac:dyDescent="0.3">
      <c r="A231" t="s">
        <v>31</v>
      </c>
      <c r="B231">
        <v>5</v>
      </c>
      <c r="C231">
        <v>11</v>
      </c>
      <c r="D231" t="s">
        <v>62</v>
      </c>
      <c r="E231">
        <v>302.83199999999999</v>
      </c>
      <c r="F231">
        <f t="shared" si="14"/>
        <v>302832</v>
      </c>
      <c r="G231">
        <f t="shared" si="15"/>
        <v>975.60598445896312</v>
      </c>
      <c r="H231" s="2">
        <v>42675</v>
      </c>
      <c r="I231" s="1" t="s">
        <v>223</v>
      </c>
      <c r="J231" s="1" t="s">
        <v>220</v>
      </c>
      <c r="K231" t="s">
        <v>20</v>
      </c>
      <c r="L231" t="s">
        <v>21</v>
      </c>
      <c r="M231" t="str">
        <f t="shared" si="17"/>
        <v>ND</v>
      </c>
      <c r="N231" t="str">
        <f t="shared" si="16"/>
        <v>ND</v>
      </c>
    </row>
    <row r="232" spans="1:14" x14ac:dyDescent="0.3">
      <c r="A232" t="s">
        <v>46</v>
      </c>
      <c r="B232">
        <v>5</v>
      </c>
      <c r="C232">
        <v>11</v>
      </c>
      <c r="D232" t="s">
        <v>62</v>
      </c>
      <c r="E232">
        <v>302.83199999999999</v>
      </c>
      <c r="F232">
        <f t="shared" ref="F232:F295" si="18">E232*1000</f>
        <v>302832</v>
      </c>
      <c r="G232">
        <f t="shared" ref="G232:G295" si="19">F232/310.404</f>
        <v>975.60598445896312</v>
      </c>
      <c r="H232" s="2">
        <v>42675</v>
      </c>
      <c r="I232" s="1" t="s">
        <v>223</v>
      </c>
      <c r="J232" s="1" t="s">
        <v>220</v>
      </c>
      <c r="K232">
        <v>188</v>
      </c>
      <c r="L232" t="s">
        <v>21</v>
      </c>
      <c r="M232">
        <f t="shared" si="17"/>
        <v>0.188</v>
      </c>
      <c r="N232">
        <f t="shared" si="16"/>
        <v>58.355952000000002</v>
      </c>
    </row>
    <row r="233" spans="1:14" x14ac:dyDescent="0.3">
      <c r="A233" t="s">
        <v>44</v>
      </c>
      <c r="B233">
        <v>5</v>
      </c>
      <c r="C233">
        <v>11</v>
      </c>
      <c r="D233" t="s">
        <v>62</v>
      </c>
      <c r="E233">
        <v>302.83199999999999</v>
      </c>
      <c r="F233">
        <f t="shared" si="18"/>
        <v>302832</v>
      </c>
      <c r="G233">
        <f t="shared" si="19"/>
        <v>975.60598445896312</v>
      </c>
      <c r="H233" s="2">
        <v>42675</v>
      </c>
      <c r="I233" s="1" t="s">
        <v>223</v>
      </c>
      <c r="J233" s="1" t="s">
        <v>220</v>
      </c>
      <c r="K233">
        <v>542</v>
      </c>
      <c r="L233" t="s">
        <v>21</v>
      </c>
      <c r="M233">
        <f t="shared" si="17"/>
        <v>0.54200000000000004</v>
      </c>
      <c r="N233">
        <f t="shared" si="16"/>
        <v>168.23896800000003</v>
      </c>
    </row>
    <row r="234" spans="1:14" x14ac:dyDescent="0.3">
      <c r="A234" t="s">
        <v>54</v>
      </c>
      <c r="B234">
        <v>5</v>
      </c>
      <c r="C234">
        <v>11</v>
      </c>
      <c r="D234" t="s">
        <v>62</v>
      </c>
      <c r="E234">
        <v>302.83199999999999</v>
      </c>
      <c r="F234">
        <f t="shared" si="18"/>
        <v>302832</v>
      </c>
      <c r="G234">
        <f t="shared" si="19"/>
        <v>975.60598445896312</v>
      </c>
      <c r="H234" s="2">
        <v>42675</v>
      </c>
      <c r="I234" s="1" t="s">
        <v>223</v>
      </c>
      <c r="J234" s="1" t="s">
        <v>220</v>
      </c>
      <c r="K234" t="s">
        <v>20</v>
      </c>
      <c r="L234" t="s">
        <v>21</v>
      </c>
      <c r="M234" t="str">
        <f t="shared" si="17"/>
        <v>ND</v>
      </c>
      <c r="N234" t="str">
        <f t="shared" si="16"/>
        <v>ND</v>
      </c>
    </row>
    <row r="235" spans="1:14" x14ac:dyDescent="0.3">
      <c r="A235" t="s">
        <v>19</v>
      </c>
      <c r="B235">
        <v>5</v>
      </c>
      <c r="C235">
        <v>11</v>
      </c>
      <c r="D235" t="s">
        <v>62</v>
      </c>
      <c r="E235">
        <v>302.83199999999999</v>
      </c>
      <c r="F235">
        <f t="shared" si="18"/>
        <v>302832</v>
      </c>
      <c r="G235">
        <f t="shared" si="19"/>
        <v>975.60598445896312</v>
      </c>
      <c r="H235" s="2">
        <v>42675</v>
      </c>
      <c r="I235" s="1" t="s">
        <v>223</v>
      </c>
      <c r="J235" s="1" t="s">
        <v>220</v>
      </c>
      <c r="K235">
        <v>295</v>
      </c>
      <c r="L235" t="s">
        <v>21</v>
      </c>
      <c r="M235">
        <f t="shared" si="17"/>
        <v>0.29499999999999998</v>
      </c>
      <c r="N235">
        <f t="shared" si="16"/>
        <v>91.569180000000003</v>
      </c>
    </row>
    <row r="236" spans="1:14" x14ac:dyDescent="0.3">
      <c r="A236" t="s">
        <v>55</v>
      </c>
      <c r="B236">
        <v>5</v>
      </c>
      <c r="C236">
        <v>11</v>
      </c>
      <c r="D236" t="s">
        <v>62</v>
      </c>
      <c r="E236">
        <v>302.83199999999999</v>
      </c>
      <c r="F236">
        <f t="shared" si="18"/>
        <v>302832</v>
      </c>
      <c r="G236">
        <f t="shared" si="19"/>
        <v>975.60598445896312</v>
      </c>
      <c r="H236" s="2">
        <v>42675</v>
      </c>
      <c r="I236" s="1" t="s">
        <v>223</v>
      </c>
      <c r="J236" s="1" t="s">
        <v>220</v>
      </c>
      <c r="K236">
        <v>136</v>
      </c>
      <c r="L236" t="s">
        <v>21</v>
      </c>
      <c r="M236">
        <f t="shared" si="17"/>
        <v>0.13600000000000001</v>
      </c>
      <c r="N236">
        <f t="shared" si="16"/>
        <v>42.214944000000003</v>
      </c>
    </row>
    <row r="237" spans="1:14" x14ac:dyDescent="0.3">
      <c r="A237" t="s">
        <v>34</v>
      </c>
      <c r="B237">
        <v>5</v>
      </c>
      <c r="C237">
        <v>11</v>
      </c>
      <c r="D237" t="s">
        <v>62</v>
      </c>
      <c r="E237">
        <v>302.83199999999999</v>
      </c>
      <c r="F237">
        <f t="shared" si="18"/>
        <v>302832</v>
      </c>
      <c r="G237">
        <f t="shared" si="19"/>
        <v>975.60598445896312</v>
      </c>
      <c r="H237" s="2">
        <v>42675</v>
      </c>
      <c r="I237" s="1" t="s">
        <v>223</v>
      </c>
      <c r="J237" s="1" t="s">
        <v>220</v>
      </c>
      <c r="K237" t="s">
        <v>20</v>
      </c>
      <c r="L237" t="s">
        <v>21</v>
      </c>
      <c r="M237" t="str">
        <f t="shared" si="17"/>
        <v>ND</v>
      </c>
      <c r="N237" t="str">
        <f t="shared" si="16"/>
        <v>ND</v>
      </c>
    </row>
    <row r="238" spans="1:14" x14ac:dyDescent="0.3">
      <c r="A238" t="s">
        <v>56</v>
      </c>
      <c r="B238">
        <v>5</v>
      </c>
      <c r="C238">
        <v>11</v>
      </c>
      <c r="D238" t="s">
        <v>62</v>
      </c>
      <c r="E238">
        <v>302.83199999999999</v>
      </c>
      <c r="F238">
        <f t="shared" si="18"/>
        <v>302832</v>
      </c>
      <c r="G238">
        <f t="shared" si="19"/>
        <v>975.60598445896312</v>
      </c>
      <c r="H238" s="2">
        <v>42675</v>
      </c>
      <c r="I238" s="1" t="s">
        <v>223</v>
      </c>
      <c r="J238" s="1" t="s">
        <v>220</v>
      </c>
      <c r="K238">
        <v>473</v>
      </c>
      <c r="L238" t="s">
        <v>21</v>
      </c>
      <c r="M238">
        <f t="shared" si="17"/>
        <v>0.47299999999999998</v>
      </c>
      <c r="N238">
        <f t="shared" si="16"/>
        <v>146.82109199999999</v>
      </c>
    </row>
    <row r="239" spans="1:14" x14ac:dyDescent="0.3">
      <c r="A239" t="s">
        <v>37</v>
      </c>
      <c r="B239">
        <v>5</v>
      </c>
      <c r="C239">
        <v>11</v>
      </c>
      <c r="D239" t="s">
        <v>62</v>
      </c>
      <c r="E239">
        <v>302.83199999999999</v>
      </c>
      <c r="F239">
        <f t="shared" si="18"/>
        <v>302832</v>
      </c>
      <c r="G239">
        <f t="shared" si="19"/>
        <v>975.60598445896312</v>
      </c>
      <c r="H239" s="2">
        <v>42675</v>
      </c>
      <c r="I239" s="1" t="s">
        <v>223</v>
      </c>
      <c r="J239" s="1" t="s">
        <v>220</v>
      </c>
      <c r="K239" t="s">
        <v>20</v>
      </c>
      <c r="L239" t="s">
        <v>21</v>
      </c>
      <c r="M239" t="str">
        <f t="shared" si="17"/>
        <v>ND</v>
      </c>
      <c r="N239" t="str">
        <f t="shared" si="16"/>
        <v>ND</v>
      </c>
    </row>
    <row r="240" spans="1:14" x14ac:dyDescent="0.3">
      <c r="A240" t="s">
        <v>57</v>
      </c>
      <c r="B240">
        <v>5</v>
      </c>
      <c r="C240">
        <v>11</v>
      </c>
      <c r="D240" t="s">
        <v>62</v>
      </c>
      <c r="E240">
        <v>302.83199999999999</v>
      </c>
      <c r="F240">
        <f t="shared" si="18"/>
        <v>302832</v>
      </c>
      <c r="G240">
        <f t="shared" si="19"/>
        <v>975.60598445896312</v>
      </c>
      <c r="H240" s="2">
        <v>42675</v>
      </c>
      <c r="I240" s="1" t="s">
        <v>223</v>
      </c>
      <c r="J240" s="1" t="s">
        <v>220</v>
      </c>
      <c r="K240">
        <v>1469</v>
      </c>
      <c r="L240" t="s">
        <v>21</v>
      </c>
      <c r="M240">
        <f t="shared" si="17"/>
        <v>1.4690000000000001</v>
      </c>
      <c r="N240">
        <f t="shared" si="16"/>
        <v>455.98347600000005</v>
      </c>
    </row>
    <row r="241" spans="1:14" x14ac:dyDescent="0.3">
      <c r="A241" t="s">
        <v>58</v>
      </c>
      <c r="B241">
        <v>5</v>
      </c>
      <c r="C241">
        <v>11</v>
      </c>
      <c r="D241" t="s">
        <v>62</v>
      </c>
      <c r="E241">
        <v>302.83199999999999</v>
      </c>
      <c r="F241">
        <f t="shared" si="18"/>
        <v>302832</v>
      </c>
      <c r="G241">
        <f t="shared" si="19"/>
        <v>975.60598445896312</v>
      </c>
      <c r="H241" s="2">
        <v>42675</v>
      </c>
      <c r="I241" s="1" t="s">
        <v>223</v>
      </c>
      <c r="J241" s="1" t="s">
        <v>220</v>
      </c>
      <c r="K241" t="s">
        <v>20</v>
      </c>
      <c r="L241" t="s">
        <v>21</v>
      </c>
      <c r="M241" t="str">
        <f t="shared" si="17"/>
        <v>ND</v>
      </c>
      <c r="N241" t="str">
        <f t="shared" si="16"/>
        <v>ND</v>
      </c>
    </row>
    <row r="242" spans="1:14" x14ac:dyDescent="0.3">
      <c r="A242" t="s">
        <v>59</v>
      </c>
      <c r="B242">
        <v>5</v>
      </c>
      <c r="C242">
        <v>11</v>
      </c>
      <c r="D242" t="s">
        <v>62</v>
      </c>
      <c r="E242">
        <v>302.83199999999999</v>
      </c>
      <c r="F242">
        <f t="shared" si="18"/>
        <v>302832</v>
      </c>
      <c r="G242">
        <f t="shared" si="19"/>
        <v>975.60598445896312</v>
      </c>
      <c r="H242" s="2">
        <v>42675</v>
      </c>
      <c r="I242" s="1" t="s">
        <v>223</v>
      </c>
      <c r="J242" s="1" t="s">
        <v>220</v>
      </c>
      <c r="K242">
        <v>400</v>
      </c>
      <c r="L242" t="s">
        <v>21</v>
      </c>
      <c r="M242">
        <f t="shared" si="17"/>
        <v>0.4</v>
      </c>
      <c r="N242">
        <f t="shared" si="16"/>
        <v>124.16160000000001</v>
      </c>
    </row>
    <row r="243" spans="1:14" x14ac:dyDescent="0.3">
      <c r="A243" t="s">
        <v>40</v>
      </c>
      <c r="B243">
        <v>5</v>
      </c>
      <c r="C243">
        <v>11</v>
      </c>
      <c r="D243" t="s">
        <v>62</v>
      </c>
      <c r="E243">
        <v>302.83199999999999</v>
      </c>
      <c r="F243">
        <f t="shared" si="18"/>
        <v>302832</v>
      </c>
      <c r="G243">
        <f t="shared" si="19"/>
        <v>975.60598445896312</v>
      </c>
      <c r="H243" s="2">
        <v>42675</v>
      </c>
      <c r="I243" s="1" t="s">
        <v>223</v>
      </c>
      <c r="J243" s="1" t="s">
        <v>220</v>
      </c>
      <c r="K243">
        <v>2744</v>
      </c>
      <c r="L243" t="s">
        <v>21</v>
      </c>
      <c r="M243">
        <f t="shared" si="17"/>
        <v>2.7440000000000002</v>
      </c>
      <c r="N243">
        <f t="shared" si="16"/>
        <v>851.74857600000007</v>
      </c>
    </row>
    <row r="244" spans="1:14" x14ac:dyDescent="0.3">
      <c r="A244" t="s">
        <v>41</v>
      </c>
      <c r="B244">
        <v>5</v>
      </c>
      <c r="C244">
        <v>11</v>
      </c>
      <c r="D244" t="s">
        <v>62</v>
      </c>
      <c r="E244">
        <v>302.83199999999999</v>
      </c>
      <c r="F244">
        <f t="shared" si="18"/>
        <v>302832</v>
      </c>
      <c r="G244">
        <f t="shared" si="19"/>
        <v>975.60598445896312</v>
      </c>
      <c r="H244" s="2">
        <v>42675</v>
      </c>
      <c r="I244" s="1" t="s">
        <v>223</v>
      </c>
      <c r="J244" s="1" t="s">
        <v>220</v>
      </c>
      <c r="K244">
        <v>1885</v>
      </c>
      <c r="L244" t="s">
        <v>21</v>
      </c>
      <c r="M244">
        <f t="shared" si="17"/>
        <v>1.885</v>
      </c>
      <c r="N244">
        <f t="shared" si="16"/>
        <v>585.11153999999999</v>
      </c>
    </row>
    <row r="245" spans="1:14" x14ac:dyDescent="0.3">
      <c r="A245" t="s">
        <v>42</v>
      </c>
      <c r="B245">
        <v>5</v>
      </c>
      <c r="C245">
        <v>11</v>
      </c>
      <c r="D245" t="s">
        <v>62</v>
      </c>
      <c r="E245">
        <v>302.83199999999999</v>
      </c>
      <c r="F245">
        <f t="shared" si="18"/>
        <v>302832</v>
      </c>
      <c r="G245">
        <f t="shared" si="19"/>
        <v>975.60598445896312</v>
      </c>
      <c r="H245" s="2">
        <v>42675</v>
      </c>
      <c r="I245" s="1" t="s">
        <v>223</v>
      </c>
      <c r="J245" s="1" t="s">
        <v>220</v>
      </c>
      <c r="K245" t="s">
        <v>20</v>
      </c>
      <c r="L245" t="s">
        <v>21</v>
      </c>
      <c r="M245" t="str">
        <f t="shared" si="17"/>
        <v>ND</v>
      </c>
      <c r="N245" t="str">
        <f t="shared" si="16"/>
        <v>ND</v>
      </c>
    </row>
    <row r="246" spans="1:14" x14ac:dyDescent="0.3">
      <c r="A246" t="s">
        <v>60</v>
      </c>
      <c r="B246">
        <v>5</v>
      </c>
      <c r="C246">
        <v>11</v>
      </c>
      <c r="D246" t="s">
        <v>62</v>
      </c>
      <c r="E246">
        <v>302.83199999999999</v>
      </c>
      <c r="F246">
        <f t="shared" si="18"/>
        <v>302832</v>
      </c>
      <c r="G246">
        <f t="shared" si="19"/>
        <v>975.60598445896312</v>
      </c>
      <c r="H246" s="2">
        <v>42675</v>
      </c>
      <c r="I246" s="1" t="s">
        <v>223</v>
      </c>
      <c r="J246" s="1" t="s">
        <v>220</v>
      </c>
      <c r="K246" t="s">
        <v>20</v>
      </c>
      <c r="L246" t="s">
        <v>21</v>
      </c>
      <c r="M246" t="str">
        <f t="shared" si="17"/>
        <v>ND</v>
      </c>
      <c r="N246" t="str">
        <f t="shared" si="16"/>
        <v>ND</v>
      </c>
    </row>
    <row r="247" spans="1:14" x14ac:dyDescent="0.3">
      <c r="A247" t="s">
        <v>23</v>
      </c>
      <c r="B247">
        <v>5</v>
      </c>
      <c r="C247">
        <v>11</v>
      </c>
      <c r="D247" t="s">
        <v>63</v>
      </c>
      <c r="E247">
        <v>302.83199999999999</v>
      </c>
      <c r="F247">
        <f t="shared" si="18"/>
        <v>302832</v>
      </c>
      <c r="G247">
        <f t="shared" si="19"/>
        <v>975.60598445896312</v>
      </c>
      <c r="H247" s="2">
        <v>42675</v>
      </c>
      <c r="I247" s="1" t="s">
        <v>223</v>
      </c>
      <c r="J247" s="1" t="s">
        <v>220</v>
      </c>
      <c r="K247">
        <v>23413</v>
      </c>
      <c r="L247" t="s">
        <v>21</v>
      </c>
      <c r="M247">
        <f t="shared" si="17"/>
        <v>23.413</v>
      </c>
      <c r="N247">
        <f t="shared" si="16"/>
        <v>7267.4888520000004</v>
      </c>
    </row>
    <row r="248" spans="1:14" x14ac:dyDescent="0.3">
      <c r="A248" t="s">
        <v>53</v>
      </c>
      <c r="B248">
        <v>5</v>
      </c>
      <c r="C248">
        <v>11</v>
      </c>
      <c r="D248" t="s">
        <v>63</v>
      </c>
      <c r="E248">
        <v>302.83199999999999</v>
      </c>
      <c r="F248">
        <f t="shared" si="18"/>
        <v>302832</v>
      </c>
      <c r="G248">
        <f t="shared" si="19"/>
        <v>975.60598445896312</v>
      </c>
      <c r="H248" s="2">
        <v>42675</v>
      </c>
      <c r="I248" s="1" t="s">
        <v>223</v>
      </c>
      <c r="J248" s="1" t="s">
        <v>220</v>
      </c>
      <c r="K248" t="s">
        <v>20</v>
      </c>
      <c r="L248" t="s">
        <v>21</v>
      </c>
      <c r="M248" t="str">
        <f t="shared" si="17"/>
        <v>ND</v>
      </c>
      <c r="N248" t="str">
        <f t="shared" si="16"/>
        <v>ND</v>
      </c>
    </row>
    <row r="249" spans="1:14" x14ac:dyDescent="0.3">
      <c r="A249" t="s">
        <v>27</v>
      </c>
      <c r="B249">
        <v>5</v>
      </c>
      <c r="C249">
        <v>11</v>
      </c>
      <c r="D249" t="s">
        <v>63</v>
      </c>
      <c r="E249">
        <v>302.83199999999999</v>
      </c>
      <c r="F249">
        <f t="shared" si="18"/>
        <v>302832</v>
      </c>
      <c r="G249">
        <f t="shared" si="19"/>
        <v>975.60598445896312</v>
      </c>
      <c r="H249" s="2">
        <v>42675</v>
      </c>
      <c r="I249" s="1" t="s">
        <v>223</v>
      </c>
      <c r="J249" s="1" t="s">
        <v>220</v>
      </c>
      <c r="K249">
        <v>248</v>
      </c>
      <c r="L249" t="s">
        <v>21</v>
      </c>
      <c r="M249">
        <f t="shared" si="17"/>
        <v>0.248</v>
      </c>
      <c r="N249">
        <f t="shared" si="16"/>
        <v>76.980192000000002</v>
      </c>
    </row>
    <row r="250" spans="1:14" x14ac:dyDescent="0.3">
      <c r="A250" t="s">
        <v>28</v>
      </c>
      <c r="B250">
        <v>5</v>
      </c>
      <c r="C250">
        <v>11</v>
      </c>
      <c r="D250" t="s">
        <v>63</v>
      </c>
      <c r="E250">
        <v>302.83199999999999</v>
      </c>
      <c r="F250">
        <f t="shared" si="18"/>
        <v>302832</v>
      </c>
      <c r="G250">
        <f t="shared" si="19"/>
        <v>975.60598445896312</v>
      </c>
      <c r="H250" s="2">
        <v>42675</v>
      </c>
      <c r="I250" s="1" t="s">
        <v>223</v>
      </c>
      <c r="J250" s="1" t="s">
        <v>220</v>
      </c>
      <c r="K250" t="s">
        <v>20</v>
      </c>
      <c r="L250" t="s">
        <v>21</v>
      </c>
      <c r="M250" t="str">
        <f t="shared" si="17"/>
        <v>ND</v>
      </c>
      <c r="N250" t="str">
        <f t="shared" si="16"/>
        <v>ND</v>
      </c>
    </row>
    <row r="251" spans="1:14" x14ac:dyDescent="0.3">
      <c r="A251" t="s">
        <v>31</v>
      </c>
      <c r="B251">
        <v>5</v>
      </c>
      <c r="C251">
        <v>11</v>
      </c>
      <c r="D251" t="s">
        <v>63</v>
      </c>
      <c r="E251">
        <v>302.83199999999999</v>
      </c>
      <c r="F251">
        <f t="shared" si="18"/>
        <v>302832</v>
      </c>
      <c r="G251">
        <f t="shared" si="19"/>
        <v>975.60598445896312</v>
      </c>
      <c r="H251" s="2">
        <v>42675</v>
      </c>
      <c r="I251" s="1" t="s">
        <v>223</v>
      </c>
      <c r="J251" s="1" t="s">
        <v>220</v>
      </c>
      <c r="K251" t="s">
        <v>20</v>
      </c>
      <c r="L251" t="s">
        <v>21</v>
      </c>
      <c r="M251" t="str">
        <f t="shared" si="17"/>
        <v>ND</v>
      </c>
      <c r="N251" t="str">
        <f t="shared" si="16"/>
        <v>ND</v>
      </c>
    </row>
    <row r="252" spans="1:14" x14ac:dyDescent="0.3">
      <c r="A252" t="s">
        <v>46</v>
      </c>
      <c r="B252">
        <v>5</v>
      </c>
      <c r="C252">
        <v>11</v>
      </c>
      <c r="D252" t="s">
        <v>63</v>
      </c>
      <c r="E252">
        <v>302.83199999999999</v>
      </c>
      <c r="F252">
        <f t="shared" si="18"/>
        <v>302832</v>
      </c>
      <c r="G252">
        <f t="shared" si="19"/>
        <v>975.60598445896312</v>
      </c>
      <c r="H252" s="2">
        <v>42675</v>
      </c>
      <c r="I252" s="1" t="s">
        <v>223</v>
      </c>
      <c r="J252" s="1" t="s">
        <v>220</v>
      </c>
      <c r="K252">
        <v>180</v>
      </c>
      <c r="L252" t="s">
        <v>21</v>
      </c>
      <c r="M252">
        <f t="shared" si="17"/>
        <v>0.18</v>
      </c>
      <c r="N252">
        <f t="shared" si="16"/>
        <v>55.872719999999994</v>
      </c>
    </row>
    <row r="253" spans="1:14" x14ac:dyDescent="0.3">
      <c r="A253" t="s">
        <v>44</v>
      </c>
      <c r="B253">
        <v>5</v>
      </c>
      <c r="C253">
        <v>11</v>
      </c>
      <c r="D253" t="s">
        <v>63</v>
      </c>
      <c r="E253">
        <v>302.83199999999999</v>
      </c>
      <c r="F253">
        <f t="shared" si="18"/>
        <v>302832</v>
      </c>
      <c r="G253">
        <f t="shared" si="19"/>
        <v>975.60598445896312</v>
      </c>
      <c r="H253" s="2">
        <v>42675</v>
      </c>
      <c r="I253" s="1" t="s">
        <v>223</v>
      </c>
      <c r="J253" s="1" t="s">
        <v>220</v>
      </c>
      <c r="K253">
        <v>513</v>
      </c>
      <c r="L253" t="s">
        <v>21</v>
      </c>
      <c r="M253">
        <f t="shared" si="17"/>
        <v>0.51300000000000001</v>
      </c>
      <c r="N253">
        <f t="shared" si="16"/>
        <v>159.23725199999998</v>
      </c>
    </row>
    <row r="254" spans="1:14" x14ac:dyDescent="0.3">
      <c r="A254" t="s">
        <v>54</v>
      </c>
      <c r="B254">
        <v>5</v>
      </c>
      <c r="C254">
        <v>11</v>
      </c>
      <c r="D254" t="s">
        <v>63</v>
      </c>
      <c r="E254">
        <v>302.83199999999999</v>
      </c>
      <c r="F254">
        <f t="shared" si="18"/>
        <v>302832</v>
      </c>
      <c r="G254">
        <f t="shared" si="19"/>
        <v>975.60598445896312</v>
      </c>
      <c r="H254" s="2">
        <v>42675</v>
      </c>
      <c r="I254" s="1" t="s">
        <v>223</v>
      </c>
      <c r="J254" s="1" t="s">
        <v>220</v>
      </c>
      <c r="K254" t="s">
        <v>20</v>
      </c>
      <c r="L254" t="s">
        <v>21</v>
      </c>
      <c r="M254" t="str">
        <f t="shared" si="17"/>
        <v>ND</v>
      </c>
      <c r="N254" t="str">
        <f t="shared" si="16"/>
        <v>ND</v>
      </c>
    </row>
    <row r="255" spans="1:14" x14ac:dyDescent="0.3">
      <c r="A255" t="s">
        <v>19</v>
      </c>
      <c r="B255">
        <v>5</v>
      </c>
      <c r="C255">
        <v>11</v>
      </c>
      <c r="D255" t="s">
        <v>63</v>
      </c>
      <c r="E255">
        <v>302.83199999999999</v>
      </c>
      <c r="F255">
        <f t="shared" si="18"/>
        <v>302832</v>
      </c>
      <c r="G255">
        <f t="shared" si="19"/>
        <v>975.60598445896312</v>
      </c>
      <c r="H255" s="2">
        <v>42675</v>
      </c>
      <c r="I255" s="1" t="s">
        <v>223</v>
      </c>
      <c r="J255" s="1" t="s">
        <v>220</v>
      </c>
      <c r="K255">
        <v>149</v>
      </c>
      <c r="L255" t="s">
        <v>21</v>
      </c>
      <c r="M255">
        <f t="shared" si="17"/>
        <v>0.14899999999999999</v>
      </c>
      <c r="N255">
        <f t="shared" si="16"/>
        <v>46.250196000000003</v>
      </c>
    </row>
    <row r="256" spans="1:14" x14ac:dyDescent="0.3">
      <c r="A256" t="s">
        <v>55</v>
      </c>
      <c r="B256">
        <v>5</v>
      </c>
      <c r="C256">
        <v>11</v>
      </c>
      <c r="D256" t="s">
        <v>63</v>
      </c>
      <c r="E256">
        <v>302.83199999999999</v>
      </c>
      <c r="F256">
        <f t="shared" si="18"/>
        <v>302832</v>
      </c>
      <c r="G256">
        <f t="shared" si="19"/>
        <v>975.60598445896312</v>
      </c>
      <c r="H256" s="2">
        <v>42675</v>
      </c>
      <c r="I256" s="1" t="s">
        <v>223</v>
      </c>
      <c r="J256" s="1" t="s">
        <v>220</v>
      </c>
      <c r="K256">
        <v>91</v>
      </c>
      <c r="L256" t="s">
        <v>21</v>
      </c>
      <c r="M256">
        <f t="shared" si="17"/>
        <v>9.0999999999999998E-2</v>
      </c>
      <c r="N256">
        <f t="shared" si="16"/>
        <v>28.246763999999999</v>
      </c>
    </row>
    <row r="257" spans="1:14" x14ac:dyDescent="0.3">
      <c r="A257" t="s">
        <v>34</v>
      </c>
      <c r="B257">
        <v>5</v>
      </c>
      <c r="C257">
        <v>11</v>
      </c>
      <c r="D257" t="s">
        <v>63</v>
      </c>
      <c r="E257">
        <v>302.83199999999999</v>
      </c>
      <c r="F257">
        <f t="shared" si="18"/>
        <v>302832</v>
      </c>
      <c r="G257">
        <f t="shared" si="19"/>
        <v>975.60598445896312</v>
      </c>
      <c r="H257" s="2">
        <v>42675</v>
      </c>
      <c r="I257" s="1" t="s">
        <v>223</v>
      </c>
      <c r="J257" s="1" t="s">
        <v>220</v>
      </c>
      <c r="K257" t="s">
        <v>20</v>
      </c>
      <c r="L257" t="s">
        <v>21</v>
      </c>
      <c r="M257" t="str">
        <f t="shared" si="17"/>
        <v>ND</v>
      </c>
      <c r="N257" t="str">
        <f t="shared" si="16"/>
        <v>ND</v>
      </c>
    </row>
    <row r="258" spans="1:14" x14ac:dyDescent="0.3">
      <c r="A258" t="s">
        <v>56</v>
      </c>
      <c r="B258">
        <v>5</v>
      </c>
      <c r="C258">
        <v>11</v>
      </c>
      <c r="D258" t="s">
        <v>63</v>
      </c>
      <c r="E258">
        <v>302.83199999999999</v>
      </c>
      <c r="F258">
        <f t="shared" si="18"/>
        <v>302832</v>
      </c>
      <c r="G258">
        <f t="shared" si="19"/>
        <v>975.60598445896312</v>
      </c>
      <c r="H258" s="2">
        <v>42675</v>
      </c>
      <c r="I258" s="1" t="s">
        <v>223</v>
      </c>
      <c r="J258" s="1" t="s">
        <v>220</v>
      </c>
      <c r="K258">
        <v>583</v>
      </c>
      <c r="L258" t="s">
        <v>21</v>
      </c>
      <c r="M258">
        <f t="shared" si="17"/>
        <v>0.58299999999999996</v>
      </c>
      <c r="N258">
        <f t="shared" ref="N258:N321" si="20">IFERROR((M258*F258)/G258,"ND")</f>
        <v>180.965532</v>
      </c>
    </row>
    <row r="259" spans="1:14" x14ac:dyDescent="0.3">
      <c r="A259" t="s">
        <v>37</v>
      </c>
      <c r="B259">
        <v>5</v>
      </c>
      <c r="C259">
        <v>11</v>
      </c>
      <c r="D259" t="s">
        <v>63</v>
      </c>
      <c r="E259">
        <v>302.83199999999999</v>
      </c>
      <c r="F259">
        <f t="shared" si="18"/>
        <v>302832</v>
      </c>
      <c r="G259">
        <f t="shared" si="19"/>
        <v>975.60598445896312</v>
      </c>
      <c r="H259" s="2">
        <v>42675</v>
      </c>
      <c r="I259" s="1" t="s">
        <v>223</v>
      </c>
      <c r="J259" s="1" t="s">
        <v>220</v>
      </c>
      <c r="K259" t="s">
        <v>20</v>
      </c>
      <c r="L259" t="s">
        <v>21</v>
      </c>
      <c r="M259" t="str">
        <f t="shared" si="17"/>
        <v>ND</v>
      </c>
      <c r="N259" t="str">
        <f t="shared" si="20"/>
        <v>ND</v>
      </c>
    </row>
    <row r="260" spans="1:14" x14ac:dyDescent="0.3">
      <c r="A260" t="s">
        <v>57</v>
      </c>
      <c r="B260">
        <v>5</v>
      </c>
      <c r="C260">
        <v>11</v>
      </c>
      <c r="D260" t="s">
        <v>63</v>
      </c>
      <c r="E260">
        <v>302.83199999999999</v>
      </c>
      <c r="F260">
        <f t="shared" si="18"/>
        <v>302832</v>
      </c>
      <c r="G260">
        <f t="shared" si="19"/>
        <v>975.60598445896312</v>
      </c>
      <c r="H260" s="2">
        <v>42675</v>
      </c>
      <c r="I260" s="1" t="s">
        <v>223</v>
      </c>
      <c r="J260" s="1" t="s">
        <v>220</v>
      </c>
      <c r="K260">
        <v>1164</v>
      </c>
      <c r="L260" t="s">
        <v>21</v>
      </c>
      <c r="M260">
        <f t="shared" si="17"/>
        <v>1.1639999999999999</v>
      </c>
      <c r="N260">
        <f t="shared" si="20"/>
        <v>361.31025599999998</v>
      </c>
    </row>
    <row r="261" spans="1:14" x14ac:dyDescent="0.3">
      <c r="A261" t="s">
        <v>58</v>
      </c>
      <c r="B261">
        <v>5</v>
      </c>
      <c r="C261">
        <v>11</v>
      </c>
      <c r="D261" t="s">
        <v>63</v>
      </c>
      <c r="E261">
        <v>302.83199999999999</v>
      </c>
      <c r="F261">
        <f t="shared" si="18"/>
        <v>302832</v>
      </c>
      <c r="G261">
        <f t="shared" si="19"/>
        <v>975.60598445896312</v>
      </c>
      <c r="H261" s="2">
        <v>42675</v>
      </c>
      <c r="I261" s="1" t="s">
        <v>223</v>
      </c>
      <c r="J261" s="1" t="s">
        <v>220</v>
      </c>
      <c r="K261" t="s">
        <v>20</v>
      </c>
      <c r="L261" t="s">
        <v>21</v>
      </c>
      <c r="M261" t="str">
        <f t="shared" si="17"/>
        <v>ND</v>
      </c>
      <c r="N261" t="str">
        <f t="shared" si="20"/>
        <v>ND</v>
      </c>
    </row>
    <row r="262" spans="1:14" x14ac:dyDescent="0.3">
      <c r="A262" t="s">
        <v>59</v>
      </c>
      <c r="B262">
        <v>5</v>
      </c>
      <c r="C262">
        <v>11</v>
      </c>
      <c r="D262" t="s">
        <v>63</v>
      </c>
      <c r="E262">
        <v>302.83199999999999</v>
      </c>
      <c r="F262">
        <f t="shared" si="18"/>
        <v>302832</v>
      </c>
      <c r="G262">
        <f t="shared" si="19"/>
        <v>975.60598445896312</v>
      </c>
      <c r="H262" s="2">
        <v>42675</v>
      </c>
      <c r="I262" s="1" t="s">
        <v>223</v>
      </c>
      <c r="J262" s="1" t="s">
        <v>220</v>
      </c>
      <c r="K262">
        <v>665</v>
      </c>
      <c r="L262" t="s">
        <v>21</v>
      </c>
      <c r="M262">
        <f t="shared" si="17"/>
        <v>0.66500000000000004</v>
      </c>
      <c r="N262">
        <f t="shared" si="20"/>
        <v>206.41866000000002</v>
      </c>
    </row>
    <row r="263" spans="1:14" x14ac:dyDescent="0.3">
      <c r="A263" t="s">
        <v>40</v>
      </c>
      <c r="B263">
        <v>5</v>
      </c>
      <c r="C263">
        <v>11</v>
      </c>
      <c r="D263" t="s">
        <v>63</v>
      </c>
      <c r="E263">
        <v>302.83199999999999</v>
      </c>
      <c r="F263">
        <f t="shared" si="18"/>
        <v>302832</v>
      </c>
      <c r="G263">
        <f t="shared" si="19"/>
        <v>975.60598445896312</v>
      </c>
      <c r="H263" s="2">
        <v>42675</v>
      </c>
      <c r="I263" s="1" t="s">
        <v>223</v>
      </c>
      <c r="J263" s="1" t="s">
        <v>220</v>
      </c>
      <c r="K263">
        <v>2941</v>
      </c>
      <c r="L263" t="s">
        <v>21</v>
      </c>
      <c r="M263">
        <f t="shared" si="17"/>
        <v>2.9409999999999998</v>
      </c>
      <c r="N263">
        <f t="shared" si="20"/>
        <v>912.89816399999995</v>
      </c>
    </row>
    <row r="264" spans="1:14" x14ac:dyDescent="0.3">
      <c r="A264" t="s">
        <v>41</v>
      </c>
      <c r="B264">
        <v>5</v>
      </c>
      <c r="C264">
        <v>11</v>
      </c>
      <c r="D264" t="s">
        <v>63</v>
      </c>
      <c r="E264">
        <v>302.83199999999999</v>
      </c>
      <c r="F264">
        <f t="shared" si="18"/>
        <v>302832</v>
      </c>
      <c r="G264">
        <f t="shared" si="19"/>
        <v>975.60598445896312</v>
      </c>
      <c r="H264" s="2">
        <v>42675</v>
      </c>
      <c r="I264" s="1" t="s">
        <v>223</v>
      </c>
      <c r="J264" s="1" t="s">
        <v>220</v>
      </c>
      <c r="K264">
        <v>2127</v>
      </c>
      <c r="L264" t="s">
        <v>21</v>
      </c>
      <c r="M264">
        <f t="shared" si="17"/>
        <v>2.1269999999999998</v>
      </c>
      <c r="N264">
        <f t="shared" si="20"/>
        <v>660.22930800000006</v>
      </c>
    </row>
    <row r="265" spans="1:14" x14ac:dyDescent="0.3">
      <c r="A265" t="s">
        <v>42</v>
      </c>
      <c r="B265">
        <v>5</v>
      </c>
      <c r="C265">
        <v>11</v>
      </c>
      <c r="D265" t="s">
        <v>63</v>
      </c>
      <c r="E265">
        <v>302.83199999999999</v>
      </c>
      <c r="F265">
        <f t="shared" si="18"/>
        <v>302832</v>
      </c>
      <c r="G265">
        <f t="shared" si="19"/>
        <v>975.60598445896312</v>
      </c>
      <c r="H265" s="2">
        <v>42675</v>
      </c>
      <c r="I265" s="1" t="s">
        <v>223</v>
      </c>
      <c r="J265" s="1" t="s">
        <v>220</v>
      </c>
      <c r="K265" t="s">
        <v>20</v>
      </c>
      <c r="L265" t="s">
        <v>21</v>
      </c>
      <c r="M265" t="str">
        <f t="shared" si="17"/>
        <v>ND</v>
      </c>
      <c r="N265" t="str">
        <f t="shared" si="20"/>
        <v>ND</v>
      </c>
    </row>
    <row r="266" spans="1:14" x14ac:dyDescent="0.3">
      <c r="A266" t="s">
        <v>60</v>
      </c>
      <c r="B266">
        <v>5</v>
      </c>
      <c r="C266">
        <v>11</v>
      </c>
      <c r="D266" t="s">
        <v>63</v>
      </c>
      <c r="E266">
        <v>302.83199999999999</v>
      </c>
      <c r="F266">
        <f t="shared" si="18"/>
        <v>302832</v>
      </c>
      <c r="G266">
        <f t="shared" si="19"/>
        <v>975.60598445896312</v>
      </c>
      <c r="H266" s="2">
        <v>42675</v>
      </c>
      <c r="I266" s="1" t="s">
        <v>223</v>
      </c>
      <c r="J266" s="1" t="s">
        <v>220</v>
      </c>
      <c r="K266" t="s">
        <v>20</v>
      </c>
      <c r="L266" t="s">
        <v>21</v>
      </c>
      <c r="M266" t="str">
        <f t="shared" si="17"/>
        <v>ND</v>
      </c>
      <c r="N266" t="str">
        <f t="shared" si="20"/>
        <v>ND</v>
      </c>
    </row>
    <row r="267" spans="1:14" x14ac:dyDescent="0.3">
      <c r="A267" t="s">
        <v>23</v>
      </c>
      <c r="B267">
        <v>5</v>
      </c>
      <c r="C267">
        <v>11</v>
      </c>
      <c r="D267" t="s">
        <v>64</v>
      </c>
      <c r="E267">
        <v>302.83199999999999</v>
      </c>
      <c r="F267">
        <f t="shared" si="18"/>
        <v>302832</v>
      </c>
      <c r="G267">
        <f t="shared" si="19"/>
        <v>975.60598445896312</v>
      </c>
      <c r="H267" s="2">
        <v>42979</v>
      </c>
      <c r="I267" s="1" t="s">
        <v>223</v>
      </c>
      <c r="J267" s="1" t="s">
        <v>220</v>
      </c>
      <c r="K267">
        <v>53143</v>
      </c>
      <c r="L267" t="s">
        <v>21</v>
      </c>
      <c r="M267">
        <f t="shared" si="17"/>
        <v>53.143000000000001</v>
      </c>
      <c r="N267">
        <f t="shared" si="20"/>
        <v>16495.799772000002</v>
      </c>
    </row>
    <row r="268" spans="1:14" x14ac:dyDescent="0.3">
      <c r="A268" t="s">
        <v>53</v>
      </c>
      <c r="B268">
        <v>5</v>
      </c>
      <c r="C268">
        <v>11</v>
      </c>
      <c r="D268" t="s">
        <v>64</v>
      </c>
      <c r="E268">
        <v>302.83199999999999</v>
      </c>
      <c r="F268">
        <f t="shared" si="18"/>
        <v>302832</v>
      </c>
      <c r="G268">
        <f t="shared" si="19"/>
        <v>975.60598445896312</v>
      </c>
      <c r="H268" s="2">
        <v>42979</v>
      </c>
      <c r="I268" s="1" t="s">
        <v>223</v>
      </c>
      <c r="J268" s="1" t="s">
        <v>220</v>
      </c>
      <c r="K268">
        <v>564</v>
      </c>
      <c r="L268" t="s">
        <v>21</v>
      </c>
      <c r="M268">
        <f t="shared" si="17"/>
        <v>0.56399999999999995</v>
      </c>
      <c r="N268">
        <f t="shared" si="20"/>
        <v>175.06785600000001</v>
      </c>
    </row>
    <row r="269" spans="1:14" x14ac:dyDescent="0.3">
      <c r="A269" t="s">
        <v>27</v>
      </c>
      <c r="B269">
        <v>5</v>
      </c>
      <c r="C269">
        <v>11</v>
      </c>
      <c r="D269" t="s">
        <v>64</v>
      </c>
      <c r="E269">
        <v>302.83199999999999</v>
      </c>
      <c r="F269">
        <f t="shared" si="18"/>
        <v>302832</v>
      </c>
      <c r="G269">
        <f t="shared" si="19"/>
        <v>975.60598445896312</v>
      </c>
      <c r="H269" s="2">
        <v>42979</v>
      </c>
      <c r="I269" s="1" t="s">
        <v>223</v>
      </c>
      <c r="J269" s="1" t="s">
        <v>220</v>
      </c>
      <c r="K269">
        <v>115</v>
      </c>
      <c r="L269" t="s">
        <v>21</v>
      </c>
      <c r="M269">
        <f t="shared" si="17"/>
        <v>0.115</v>
      </c>
      <c r="N269">
        <f t="shared" si="20"/>
        <v>35.696460000000002</v>
      </c>
    </row>
    <row r="270" spans="1:14" x14ac:dyDescent="0.3">
      <c r="A270" t="s">
        <v>28</v>
      </c>
      <c r="B270">
        <v>5</v>
      </c>
      <c r="C270">
        <v>11</v>
      </c>
      <c r="D270" t="s">
        <v>64</v>
      </c>
      <c r="E270">
        <v>302.83199999999999</v>
      </c>
      <c r="F270">
        <f t="shared" si="18"/>
        <v>302832</v>
      </c>
      <c r="G270">
        <f t="shared" si="19"/>
        <v>975.60598445896312</v>
      </c>
      <c r="H270" s="2">
        <v>42979</v>
      </c>
      <c r="I270" s="1" t="s">
        <v>223</v>
      </c>
      <c r="J270" s="1" t="s">
        <v>220</v>
      </c>
      <c r="K270">
        <v>486</v>
      </c>
      <c r="L270" t="s">
        <v>21</v>
      </c>
      <c r="M270">
        <f t="shared" si="17"/>
        <v>0.48599999999999999</v>
      </c>
      <c r="N270">
        <f t="shared" si="20"/>
        <v>150.85634399999998</v>
      </c>
    </row>
    <row r="271" spans="1:14" x14ac:dyDescent="0.3">
      <c r="A271" t="s">
        <v>31</v>
      </c>
      <c r="B271">
        <v>5</v>
      </c>
      <c r="C271">
        <v>11</v>
      </c>
      <c r="D271" t="s">
        <v>64</v>
      </c>
      <c r="E271">
        <v>302.83199999999999</v>
      </c>
      <c r="F271">
        <f t="shared" si="18"/>
        <v>302832</v>
      </c>
      <c r="G271">
        <f t="shared" si="19"/>
        <v>975.60598445896312</v>
      </c>
      <c r="H271" s="2">
        <v>42979</v>
      </c>
      <c r="I271" s="1" t="s">
        <v>223</v>
      </c>
      <c r="J271" s="1" t="s">
        <v>220</v>
      </c>
      <c r="K271" t="s">
        <v>20</v>
      </c>
      <c r="L271" t="s">
        <v>21</v>
      </c>
      <c r="M271" t="str">
        <f t="shared" si="17"/>
        <v>ND</v>
      </c>
      <c r="N271" t="str">
        <f t="shared" si="20"/>
        <v>ND</v>
      </c>
    </row>
    <row r="272" spans="1:14" x14ac:dyDescent="0.3">
      <c r="A272" t="s">
        <v>46</v>
      </c>
      <c r="B272">
        <v>5</v>
      </c>
      <c r="C272">
        <v>11</v>
      </c>
      <c r="D272" t="s">
        <v>64</v>
      </c>
      <c r="E272">
        <v>302.83199999999999</v>
      </c>
      <c r="F272">
        <f t="shared" si="18"/>
        <v>302832</v>
      </c>
      <c r="G272">
        <f t="shared" si="19"/>
        <v>975.60598445896312</v>
      </c>
      <c r="H272" s="2">
        <v>42979</v>
      </c>
      <c r="I272" s="1" t="s">
        <v>223</v>
      </c>
      <c r="J272" s="1" t="s">
        <v>220</v>
      </c>
      <c r="K272" t="s">
        <v>20</v>
      </c>
      <c r="L272" t="s">
        <v>21</v>
      </c>
      <c r="M272" t="str">
        <f t="shared" si="17"/>
        <v>ND</v>
      </c>
      <c r="N272" t="str">
        <f t="shared" si="20"/>
        <v>ND</v>
      </c>
    </row>
    <row r="273" spans="1:14" x14ac:dyDescent="0.3">
      <c r="A273" t="s">
        <v>44</v>
      </c>
      <c r="B273">
        <v>5</v>
      </c>
      <c r="C273">
        <v>11</v>
      </c>
      <c r="D273" t="s">
        <v>64</v>
      </c>
      <c r="E273">
        <v>302.83199999999999</v>
      </c>
      <c r="F273">
        <f t="shared" si="18"/>
        <v>302832</v>
      </c>
      <c r="G273">
        <f t="shared" si="19"/>
        <v>975.60598445896312</v>
      </c>
      <c r="H273" s="2">
        <v>42979</v>
      </c>
      <c r="I273" s="1" t="s">
        <v>223</v>
      </c>
      <c r="J273" s="1" t="s">
        <v>220</v>
      </c>
      <c r="K273">
        <v>2226</v>
      </c>
      <c r="L273" t="s">
        <v>21</v>
      </c>
      <c r="M273">
        <f t="shared" ref="M273:M336" si="21">IFERROR(K273/1000,"ND")</f>
        <v>2.226</v>
      </c>
      <c r="N273">
        <f t="shared" si="20"/>
        <v>690.95930400000009</v>
      </c>
    </row>
    <row r="274" spans="1:14" x14ac:dyDescent="0.3">
      <c r="A274" t="s">
        <v>54</v>
      </c>
      <c r="B274">
        <v>5</v>
      </c>
      <c r="C274">
        <v>11</v>
      </c>
      <c r="D274" t="s">
        <v>64</v>
      </c>
      <c r="E274">
        <v>302.83199999999999</v>
      </c>
      <c r="F274">
        <f t="shared" si="18"/>
        <v>302832</v>
      </c>
      <c r="G274">
        <f t="shared" si="19"/>
        <v>975.60598445896312</v>
      </c>
      <c r="H274" s="2">
        <v>42979</v>
      </c>
      <c r="I274" s="1" t="s">
        <v>223</v>
      </c>
      <c r="J274" s="1" t="s">
        <v>220</v>
      </c>
      <c r="K274" t="s">
        <v>20</v>
      </c>
      <c r="L274" t="s">
        <v>21</v>
      </c>
      <c r="M274" t="str">
        <f t="shared" si="21"/>
        <v>ND</v>
      </c>
      <c r="N274" t="str">
        <f t="shared" si="20"/>
        <v>ND</v>
      </c>
    </row>
    <row r="275" spans="1:14" x14ac:dyDescent="0.3">
      <c r="A275" t="s">
        <v>19</v>
      </c>
      <c r="B275">
        <v>5</v>
      </c>
      <c r="C275">
        <v>11</v>
      </c>
      <c r="D275" t="s">
        <v>64</v>
      </c>
      <c r="E275">
        <v>302.83199999999999</v>
      </c>
      <c r="F275">
        <f t="shared" si="18"/>
        <v>302832</v>
      </c>
      <c r="G275">
        <f t="shared" si="19"/>
        <v>975.60598445896312</v>
      </c>
      <c r="H275" s="2">
        <v>42979</v>
      </c>
      <c r="I275" s="1" t="s">
        <v>223</v>
      </c>
      <c r="J275" s="1" t="s">
        <v>220</v>
      </c>
      <c r="K275" t="s">
        <v>20</v>
      </c>
      <c r="L275" t="s">
        <v>21</v>
      </c>
      <c r="M275" t="str">
        <f t="shared" si="21"/>
        <v>ND</v>
      </c>
      <c r="N275" t="str">
        <f t="shared" si="20"/>
        <v>ND</v>
      </c>
    </row>
    <row r="276" spans="1:14" x14ac:dyDescent="0.3">
      <c r="A276" t="s">
        <v>55</v>
      </c>
      <c r="B276">
        <v>5</v>
      </c>
      <c r="C276">
        <v>11</v>
      </c>
      <c r="D276" t="s">
        <v>64</v>
      </c>
      <c r="E276">
        <v>302.83199999999999</v>
      </c>
      <c r="F276">
        <f t="shared" si="18"/>
        <v>302832</v>
      </c>
      <c r="G276">
        <f t="shared" si="19"/>
        <v>975.60598445896312</v>
      </c>
      <c r="H276" s="2">
        <v>42979</v>
      </c>
      <c r="I276" s="1" t="s">
        <v>223</v>
      </c>
      <c r="J276" s="1" t="s">
        <v>220</v>
      </c>
      <c r="K276" t="s">
        <v>20</v>
      </c>
      <c r="L276" t="s">
        <v>21</v>
      </c>
      <c r="M276" t="str">
        <f t="shared" si="21"/>
        <v>ND</v>
      </c>
      <c r="N276" t="str">
        <f t="shared" si="20"/>
        <v>ND</v>
      </c>
    </row>
    <row r="277" spans="1:14" x14ac:dyDescent="0.3">
      <c r="A277" t="s">
        <v>34</v>
      </c>
      <c r="B277">
        <v>5</v>
      </c>
      <c r="C277">
        <v>11</v>
      </c>
      <c r="D277" t="s">
        <v>64</v>
      </c>
      <c r="E277">
        <v>302.83199999999999</v>
      </c>
      <c r="F277">
        <f t="shared" si="18"/>
        <v>302832</v>
      </c>
      <c r="G277">
        <f t="shared" si="19"/>
        <v>975.60598445896312</v>
      </c>
      <c r="H277" s="2">
        <v>42979</v>
      </c>
      <c r="I277" s="1" t="s">
        <v>223</v>
      </c>
      <c r="J277" s="1" t="s">
        <v>220</v>
      </c>
      <c r="K277" t="s">
        <v>20</v>
      </c>
      <c r="L277" t="s">
        <v>21</v>
      </c>
      <c r="M277" t="str">
        <f t="shared" si="21"/>
        <v>ND</v>
      </c>
      <c r="N277" t="str">
        <f t="shared" si="20"/>
        <v>ND</v>
      </c>
    </row>
    <row r="278" spans="1:14" x14ac:dyDescent="0.3">
      <c r="A278" t="s">
        <v>56</v>
      </c>
      <c r="B278">
        <v>5</v>
      </c>
      <c r="C278">
        <v>11</v>
      </c>
      <c r="D278" t="s">
        <v>64</v>
      </c>
      <c r="E278">
        <v>302.83199999999999</v>
      </c>
      <c r="F278">
        <f t="shared" si="18"/>
        <v>302832</v>
      </c>
      <c r="G278">
        <f t="shared" si="19"/>
        <v>975.60598445896312</v>
      </c>
      <c r="H278" s="2">
        <v>42979</v>
      </c>
      <c r="I278" s="1" t="s">
        <v>223</v>
      </c>
      <c r="J278" s="1" t="s">
        <v>220</v>
      </c>
      <c r="K278">
        <v>665</v>
      </c>
      <c r="L278" t="s">
        <v>21</v>
      </c>
      <c r="M278">
        <f t="shared" si="21"/>
        <v>0.66500000000000004</v>
      </c>
      <c r="N278">
        <f t="shared" si="20"/>
        <v>206.41866000000002</v>
      </c>
    </row>
    <row r="279" spans="1:14" x14ac:dyDescent="0.3">
      <c r="A279" t="s">
        <v>37</v>
      </c>
      <c r="B279">
        <v>5</v>
      </c>
      <c r="C279">
        <v>11</v>
      </c>
      <c r="D279" t="s">
        <v>64</v>
      </c>
      <c r="E279">
        <v>302.83199999999999</v>
      </c>
      <c r="F279">
        <f t="shared" si="18"/>
        <v>302832</v>
      </c>
      <c r="G279">
        <f t="shared" si="19"/>
        <v>975.60598445896312</v>
      </c>
      <c r="H279" s="2">
        <v>42979</v>
      </c>
      <c r="I279" s="1" t="s">
        <v>223</v>
      </c>
      <c r="J279" s="1" t="s">
        <v>220</v>
      </c>
      <c r="K279" t="s">
        <v>20</v>
      </c>
      <c r="L279" t="s">
        <v>21</v>
      </c>
      <c r="M279" t="str">
        <f t="shared" si="21"/>
        <v>ND</v>
      </c>
      <c r="N279" t="str">
        <f t="shared" si="20"/>
        <v>ND</v>
      </c>
    </row>
    <row r="280" spans="1:14" x14ac:dyDescent="0.3">
      <c r="A280" t="s">
        <v>57</v>
      </c>
      <c r="B280">
        <v>5</v>
      </c>
      <c r="C280">
        <v>11</v>
      </c>
      <c r="D280" t="s">
        <v>64</v>
      </c>
      <c r="E280">
        <v>302.83199999999999</v>
      </c>
      <c r="F280">
        <f t="shared" si="18"/>
        <v>302832</v>
      </c>
      <c r="G280">
        <f t="shared" si="19"/>
        <v>975.60598445896312</v>
      </c>
      <c r="H280" s="2">
        <v>42979</v>
      </c>
      <c r="I280" s="1" t="s">
        <v>223</v>
      </c>
      <c r="J280" s="1" t="s">
        <v>220</v>
      </c>
      <c r="K280" t="s">
        <v>20</v>
      </c>
      <c r="L280" t="s">
        <v>21</v>
      </c>
      <c r="M280" t="str">
        <f t="shared" si="21"/>
        <v>ND</v>
      </c>
      <c r="N280" t="str">
        <f t="shared" si="20"/>
        <v>ND</v>
      </c>
    </row>
    <row r="281" spans="1:14" x14ac:dyDescent="0.3">
      <c r="A281" t="s">
        <v>58</v>
      </c>
      <c r="B281">
        <v>5</v>
      </c>
      <c r="C281">
        <v>11</v>
      </c>
      <c r="D281" t="s">
        <v>64</v>
      </c>
      <c r="E281">
        <v>302.83199999999999</v>
      </c>
      <c r="F281">
        <f t="shared" si="18"/>
        <v>302832</v>
      </c>
      <c r="G281">
        <f t="shared" si="19"/>
        <v>975.60598445896312</v>
      </c>
      <c r="H281" s="2">
        <v>42979</v>
      </c>
      <c r="I281" s="1" t="s">
        <v>223</v>
      </c>
      <c r="J281" s="1" t="s">
        <v>220</v>
      </c>
      <c r="K281" t="s">
        <v>20</v>
      </c>
      <c r="L281" t="s">
        <v>21</v>
      </c>
      <c r="M281" t="str">
        <f t="shared" si="21"/>
        <v>ND</v>
      </c>
      <c r="N281" t="str">
        <f t="shared" si="20"/>
        <v>ND</v>
      </c>
    </row>
    <row r="282" spans="1:14" x14ac:dyDescent="0.3">
      <c r="A282" t="s">
        <v>59</v>
      </c>
      <c r="B282">
        <v>5</v>
      </c>
      <c r="C282">
        <v>11</v>
      </c>
      <c r="D282" t="s">
        <v>64</v>
      </c>
      <c r="E282">
        <v>302.83199999999999</v>
      </c>
      <c r="F282">
        <f t="shared" si="18"/>
        <v>302832</v>
      </c>
      <c r="G282">
        <f t="shared" si="19"/>
        <v>975.60598445896312</v>
      </c>
      <c r="H282" s="2">
        <v>42979</v>
      </c>
      <c r="I282" s="1" t="s">
        <v>223</v>
      </c>
      <c r="J282" s="1" t="s">
        <v>220</v>
      </c>
      <c r="K282" t="s">
        <v>20</v>
      </c>
      <c r="L282" t="s">
        <v>21</v>
      </c>
      <c r="M282" t="str">
        <f t="shared" si="21"/>
        <v>ND</v>
      </c>
      <c r="N282" t="str">
        <f t="shared" si="20"/>
        <v>ND</v>
      </c>
    </row>
    <row r="283" spans="1:14" x14ac:dyDescent="0.3">
      <c r="A283" t="s">
        <v>40</v>
      </c>
      <c r="B283">
        <v>5</v>
      </c>
      <c r="C283">
        <v>11</v>
      </c>
      <c r="D283" t="s">
        <v>64</v>
      </c>
      <c r="E283">
        <v>302.83199999999999</v>
      </c>
      <c r="F283">
        <f t="shared" si="18"/>
        <v>302832</v>
      </c>
      <c r="G283">
        <f t="shared" si="19"/>
        <v>975.60598445896312</v>
      </c>
      <c r="H283" s="2">
        <v>42979</v>
      </c>
      <c r="I283" s="1" t="s">
        <v>223</v>
      </c>
      <c r="J283" s="1" t="s">
        <v>220</v>
      </c>
      <c r="K283">
        <v>238</v>
      </c>
      <c r="L283" t="s">
        <v>21</v>
      </c>
      <c r="M283">
        <f t="shared" si="21"/>
        <v>0.23799999999999999</v>
      </c>
      <c r="N283">
        <f t="shared" si="20"/>
        <v>73.876152000000005</v>
      </c>
    </row>
    <row r="284" spans="1:14" x14ac:dyDescent="0.3">
      <c r="A284" t="s">
        <v>41</v>
      </c>
      <c r="B284">
        <v>5</v>
      </c>
      <c r="C284">
        <v>11</v>
      </c>
      <c r="D284" t="s">
        <v>64</v>
      </c>
      <c r="E284">
        <v>302.83199999999999</v>
      </c>
      <c r="F284">
        <f t="shared" si="18"/>
        <v>302832</v>
      </c>
      <c r="G284">
        <f t="shared" si="19"/>
        <v>975.60598445896312</v>
      </c>
      <c r="H284" s="2">
        <v>42979</v>
      </c>
      <c r="I284" s="1" t="s">
        <v>223</v>
      </c>
      <c r="J284" s="1" t="s">
        <v>220</v>
      </c>
      <c r="K284">
        <v>958</v>
      </c>
      <c r="L284" t="s">
        <v>21</v>
      </c>
      <c r="M284">
        <f t="shared" si="21"/>
        <v>0.95799999999999996</v>
      </c>
      <c r="N284">
        <f t="shared" si="20"/>
        <v>297.36703199999999</v>
      </c>
    </row>
    <row r="285" spans="1:14" x14ac:dyDescent="0.3">
      <c r="A285" t="s">
        <v>42</v>
      </c>
      <c r="B285">
        <v>5</v>
      </c>
      <c r="C285">
        <v>11</v>
      </c>
      <c r="D285" t="s">
        <v>64</v>
      </c>
      <c r="E285">
        <v>302.83199999999999</v>
      </c>
      <c r="F285">
        <f t="shared" si="18"/>
        <v>302832</v>
      </c>
      <c r="G285">
        <f t="shared" si="19"/>
        <v>975.60598445896312</v>
      </c>
      <c r="H285" s="2">
        <v>42979</v>
      </c>
      <c r="I285" s="1" t="s">
        <v>223</v>
      </c>
      <c r="J285" s="1" t="s">
        <v>220</v>
      </c>
      <c r="K285" t="s">
        <v>20</v>
      </c>
      <c r="L285" t="s">
        <v>21</v>
      </c>
      <c r="M285" t="str">
        <f t="shared" si="21"/>
        <v>ND</v>
      </c>
      <c r="N285" t="str">
        <f t="shared" si="20"/>
        <v>ND</v>
      </c>
    </row>
    <row r="286" spans="1:14" x14ac:dyDescent="0.3">
      <c r="A286" t="s">
        <v>60</v>
      </c>
      <c r="B286">
        <v>5</v>
      </c>
      <c r="C286">
        <v>11</v>
      </c>
      <c r="D286" t="s">
        <v>64</v>
      </c>
      <c r="E286">
        <v>302.83199999999999</v>
      </c>
      <c r="F286">
        <f t="shared" si="18"/>
        <v>302832</v>
      </c>
      <c r="G286">
        <f t="shared" si="19"/>
        <v>975.60598445896312</v>
      </c>
      <c r="H286" s="2">
        <v>42979</v>
      </c>
      <c r="I286" s="1" t="s">
        <v>223</v>
      </c>
      <c r="J286" s="1" t="s">
        <v>220</v>
      </c>
      <c r="K286" t="s">
        <v>20</v>
      </c>
      <c r="L286" t="s">
        <v>21</v>
      </c>
      <c r="M286" t="str">
        <f t="shared" si="21"/>
        <v>ND</v>
      </c>
      <c r="N286" t="str">
        <f t="shared" si="20"/>
        <v>ND</v>
      </c>
    </row>
    <row r="287" spans="1:14" x14ac:dyDescent="0.3">
      <c r="A287" t="s">
        <v>23</v>
      </c>
      <c r="B287">
        <v>5</v>
      </c>
      <c r="C287">
        <v>11</v>
      </c>
      <c r="D287" t="s">
        <v>64</v>
      </c>
      <c r="E287">
        <v>302.83199999999999</v>
      </c>
      <c r="F287">
        <f t="shared" si="18"/>
        <v>302832</v>
      </c>
      <c r="G287">
        <f t="shared" si="19"/>
        <v>975.60598445896312</v>
      </c>
      <c r="H287" s="2">
        <v>43070</v>
      </c>
      <c r="I287" s="1" t="s">
        <v>223</v>
      </c>
      <c r="J287" s="1" t="s">
        <v>220</v>
      </c>
      <c r="K287">
        <v>19984</v>
      </c>
      <c r="L287" t="s">
        <v>21</v>
      </c>
      <c r="M287">
        <f t="shared" si="21"/>
        <v>19.984000000000002</v>
      </c>
      <c r="N287">
        <f t="shared" si="20"/>
        <v>6203.1135360000007</v>
      </c>
    </row>
    <row r="288" spans="1:14" x14ac:dyDescent="0.3">
      <c r="A288" t="s">
        <v>53</v>
      </c>
      <c r="B288">
        <v>5</v>
      </c>
      <c r="C288">
        <v>11</v>
      </c>
      <c r="D288" t="s">
        <v>64</v>
      </c>
      <c r="E288">
        <v>302.83199999999999</v>
      </c>
      <c r="F288">
        <f t="shared" si="18"/>
        <v>302832</v>
      </c>
      <c r="G288">
        <f t="shared" si="19"/>
        <v>975.60598445896312</v>
      </c>
      <c r="H288" s="2">
        <v>43070</v>
      </c>
      <c r="I288" s="1" t="s">
        <v>223</v>
      </c>
      <c r="J288" s="1" t="s">
        <v>220</v>
      </c>
      <c r="K288">
        <v>254</v>
      </c>
      <c r="L288" t="s">
        <v>21</v>
      </c>
      <c r="M288">
        <f t="shared" si="21"/>
        <v>0.254</v>
      </c>
      <c r="N288">
        <f t="shared" si="20"/>
        <v>78.842615999999992</v>
      </c>
    </row>
    <row r="289" spans="1:14" x14ac:dyDescent="0.3">
      <c r="A289" t="s">
        <v>27</v>
      </c>
      <c r="B289">
        <v>5</v>
      </c>
      <c r="C289">
        <v>11</v>
      </c>
      <c r="D289" t="s">
        <v>64</v>
      </c>
      <c r="E289">
        <v>302.83199999999999</v>
      </c>
      <c r="F289">
        <f t="shared" si="18"/>
        <v>302832</v>
      </c>
      <c r="G289">
        <f t="shared" si="19"/>
        <v>975.60598445896312</v>
      </c>
      <c r="H289" s="2">
        <v>43070</v>
      </c>
      <c r="I289" s="1" t="s">
        <v>223</v>
      </c>
      <c r="J289" s="1" t="s">
        <v>220</v>
      </c>
      <c r="K289">
        <v>79</v>
      </c>
      <c r="L289" t="s">
        <v>21</v>
      </c>
      <c r="M289">
        <f t="shared" si="21"/>
        <v>7.9000000000000001E-2</v>
      </c>
      <c r="N289">
        <f t="shared" si="20"/>
        <v>24.521916000000001</v>
      </c>
    </row>
    <row r="290" spans="1:14" x14ac:dyDescent="0.3">
      <c r="A290" t="s">
        <v>28</v>
      </c>
      <c r="B290">
        <v>5</v>
      </c>
      <c r="C290">
        <v>11</v>
      </c>
      <c r="D290" t="s">
        <v>64</v>
      </c>
      <c r="E290">
        <v>302.83199999999999</v>
      </c>
      <c r="F290">
        <f t="shared" si="18"/>
        <v>302832</v>
      </c>
      <c r="G290">
        <f t="shared" si="19"/>
        <v>975.60598445896312</v>
      </c>
      <c r="H290" s="2">
        <v>43070</v>
      </c>
      <c r="I290" s="1" t="s">
        <v>223</v>
      </c>
      <c r="J290" s="1" t="s">
        <v>220</v>
      </c>
      <c r="K290">
        <v>544</v>
      </c>
      <c r="L290" t="s">
        <v>21</v>
      </c>
      <c r="M290">
        <f t="shared" si="21"/>
        <v>0.54400000000000004</v>
      </c>
      <c r="N290">
        <f t="shared" si="20"/>
        <v>168.85977600000001</v>
      </c>
    </row>
    <row r="291" spans="1:14" x14ac:dyDescent="0.3">
      <c r="A291" t="s">
        <v>31</v>
      </c>
      <c r="B291">
        <v>5</v>
      </c>
      <c r="C291">
        <v>11</v>
      </c>
      <c r="D291" t="s">
        <v>64</v>
      </c>
      <c r="E291">
        <v>302.83199999999999</v>
      </c>
      <c r="F291">
        <f t="shared" si="18"/>
        <v>302832</v>
      </c>
      <c r="G291">
        <f t="shared" si="19"/>
        <v>975.60598445896312</v>
      </c>
      <c r="H291" s="2">
        <v>43070</v>
      </c>
      <c r="I291" s="1" t="s">
        <v>223</v>
      </c>
      <c r="J291" s="1" t="s">
        <v>220</v>
      </c>
      <c r="K291" t="s">
        <v>20</v>
      </c>
      <c r="L291" t="s">
        <v>21</v>
      </c>
      <c r="M291" t="str">
        <f t="shared" si="21"/>
        <v>ND</v>
      </c>
      <c r="N291" t="str">
        <f t="shared" si="20"/>
        <v>ND</v>
      </c>
    </row>
    <row r="292" spans="1:14" x14ac:dyDescent="0.3">
      <c r="A292" t="s">
        <v>46</v>
      </c>
      <c r="B292">
        <v>5</v>
      </c>
      <c r="C292">
        <v>11</v>
      </c>
      <c r="D292" t="s">
        <v>64</v>
      </c>
      <c r="E292">
        <v>302.83199999999999</v>
      </c>
      <c r="F292">
        <f t="shared" si="18"/>
        <v>302832</v>
      </c>
      <c r="G292">
        <f t="shared" si="19"/>
        <v>975.60598445896312</v>
      </c>
      <c r="H292" s="2">
        <v>43070</v>
      </c>
      <c r="I292" s="1" t="s">
        <v>223</v>
      </c>
      <c r="J292" s="1" t="s">
        <v>220</v>
      </c>
      <c r="K292">
        <v>45</v>
      </c>
      <c r="L292" t="s">
        <v>21</v>
      </c>
      <c r="M292">
        <f t="shared" si="21"/>
        <v>4.4999999999999998E-2</v>
      </c>
      <c r="N292">
        <f t="shared" si="20"/>
        <v>13.968179999999998</v>
      </c>
    </row>
    <row r="293" spans="1:14" x14ac:dyDescent="0.3">
      <c r="A293" t="s">
        <v>44</v>
      </c>
      <c r="B293">
        <v>5</v>
      </c>
      <c r="C293">
        <v>11</v>
      </c>
      <c r="D293" t="s">
        <v>64</v>
      </c>
      <c r="E293">
        <v>302.83199999999999</v>
      </c>
      <c r="F293">
        <f t="shared" si="18"/>
        <v>302832</v>
      </c>
      <c r="G293">
        <f t="shared" si="19"/>
        <v>975.60598445896312</v>
      </c>
      <c r="H293" s="2">
        <v>43070</v>
      </c>
      <c r="I293" s="1" t="s">
        <v>223</v>
      </c>
      <c r="J293" s="1" t="s">
        <v>220</v>
      </c>
      <c r="K293">
        <v>265</v>
      </c>
      <c r="L293" t="s">
        <v>21</v>
      </c>
      <c r="M293">
        <f t="shared" si="21"/>
        <v>0.26500000000000001</v>
      </c>
      <c r="N293">
        <f t="shared" si="20"/>
        <v>82.25706000000001</v>
      </c>
    </row>
    <row r="294" spans="1:14" x14ac:dyDescent="0.3">
      <c r="A294" t="s">
        <v>54</v>
      </c>
      <c r="B294">
        <v>5</v>
      </c>
      <c r="C294">
        <v>11</v>
      </c>
      <c r="D294" t="s">
        <v>64</v>
      </c>
      <c r="E294">
        <v>302.83199999999999</v>
      </c>
      <c r="F294">
        <f t="shared" si="18"/>
        <v>302832</v>
      </c>
      <c r="G294">
        <f t="shared" si="19"/>
        <v>975.60598445896312</v>
      </c>
      <c r="H294" s="2">
        <v>43070</v>
      </c>
      <c r="I294" s="1" t="s">
        <v>223</v>
      </c>
      <c r="J294" s="1" t="s">
        <v>220</v>
      </c>
      <c r="K294" t="s">
        <v>20</v>
      </c>
      <c r="L294" t="s">
        <v>21</v>
      </c>
      <c r="M294" t="str">
        <f t="shared" si="21"/>
        <v>ND</v>
      </c>
      <c r="N294" t="str">
        <f t="shared" si="20"/>
        <v>ND</v>
      </c>
    </row>
    <row r="295" spans="1:14" x14ac:dyDescent="0.3">
      <c r="A295" t="s">
        <v>19</v>
      </c>
      <c r="B295">
        <v>5</v>
      </c>
      <c r="C295">
        <v>11</v>
      </c>
      <c r="D295" t="s">
        <v>64</v>
      </c>
      <c r="E295">
        <v>302.83199999999999</v>
      </c>
      <c r="F295">
        <f t="shared" si="18"/>
        <v>302832</v>
      </c>
      <c r="G295">
        <f t="shared" si="19"/>
        <v>975.60598445896312</v>
      </c>
      <c r="H295" s="2">
        <v>43070</v>
      </c>
      <c r="I295" s="1" t="s">
        <v>223</v>
      </c>
      <c r="J295" s="1" t="s">
        <v>220</v>
      </c>
      <c r="K295" t="s">
        <v>20</v>
      </c>
      <c r="L295" t="s">
        <v>21</v>
      </c>
      <c r="M295" t="str">
        <f t="shared" si="21"/>
        <v>ND</v>
      </c>
      <c r="N295" t="str">
        <f t="shared" si="20"/>
        <v>ND</v>
      </c>
    </row>
    <row r="296" spans="1:14" x14ac:dyDescent="0.3">
      <c r="A296" t="s">
        <v>55</v>
      </c>
      <c r="B296">
        <v>5</v>
      </c>
      <c r="C296">
        <v>11</v>
      </c>
      <c r="D296" t="s">
        <v>64</v>
      </c>
      <c r="E296">
        <v>302.83199999999999</v>
      </c>
      <c r="F296">
        <f t="shared" ref="F296:F359" si="22">E296*1000</f>
        <v>302832</v>
      </c>
      <c r="G296">
        <f t="shared" ref="G296:G359" si="23">F296/310.404</f>
        <v>975.60598445896312</v>
      </c>
      <c r="H296" s="2">
        <v>43070</v>
      </c>
      <c r="I296" s="1" t="s">
        <v>223</v>
      </c>
      <c r="J296" s="1" t="s">
        <v>220</v>
      </c>
      <c r="K296" t="s">
        <v>20</v>
      </c>
      <c r="L296" t="s">
        <v>21</v>
      </c>
      <c r="M296" t="str">
        <f t="shared" si="21"/>
        <v>ND</v>
      </c>
      <c r="N296" t="str">
        <f t="shared" si="20"/>
        <v>ND</v>
      </c>
    </row>
    <row r="297" spans="1:14" x14ac:dyDescent="0.3">
      <c r="A297" t="s">
        <v>34</v>
      </c>
      <c r="B297">
        <v>5</v>
      </c>
      <c r="C297">
        <v>11</v>
      </c>
      <c r="D297" t="s">
        <v>64</v>
      </c>
      <c r="E297">
        <v>302.83199999999999</v>
      </c>
      <c r="F297">
        <f t="shared" si="22"/>
        <v>302832</v>
      </c>
      <c r="G297">
        <f t="shared" si="23"/>
        <v>975.60598445896312</v>
      </c>
      <c r="H297" s="2">
        <v>43070</v>
      </c>
      <c r="I297" s="1" t="s">
        <v>223</v>
      </c>
      <c r="J297" s="1" t="s">
        <v>220</v>
      </c>
      <c r="K297" t="s">
        <v>20</v>
      </c>
      <c r="L297" t="s">
        <v>21</v>
      </c>
      <c r="M297" t="str">
        <f t="shared" si="21"/>
        <v>ND</v>
      </c>
      <c r="N297" t="str">
        <f t="shared" si="20"/>
        <v>ND</v>
      </c>
    </row>
    <row r="298" spans="1:14" x14ac:dyDescent="0.3">
      <c r="A298" t="s">
        <v>56</v>
      </c>
      <c r="B298">
        <v>5</v>
      </c>
      <c r="C298">
        <v>11</v>
      </c>
      <c r="D298" t="s">
        <v>64</v>
      </c>
      <c r="E298">
        <v>302.83199999999999</v>
      </c>
      <c r="F298">
        <f t="shared" si="22"/>
        <v>302832</v>
      </c>
      <c r="G298">
        <f t="shared" si="23"/>
        <v>975.60598445896312</v>
      </c>
      <c r="H298" s="2">
        <v>43070</v>
      </c>
      <c r="I298" s="1" t="s">
        <v>223</v>
      </c>
      <c r="J298" s="1" t="s">
        <v>220</v>
      </c>
      <c r="K298">
        <v>259</v>
      </c>
      <c r="L298" t="s">
        <v>21</v>
      </c>
      <c r="M298">
        <f t="shared" si="21"/>
        <v>0.25900000000000001</v>
      </c>
      <c r="N298">
        <f t="shared" si="20"/>
        <v>80.394636000000006</v>
      </c>
    </row>
    <row r="299" spans="1:14" x14ac:dyDescent="0.3">
      <c r="A299" t="s">
        <v>37</v>
      </c>
      <c r="B299">
        <v>5</v>
      </c>
      <c r="C299">
        <v>11</v>
      </c>
      <c r="D299" t="s">
        <v>64</v>
      </c>
      <c r="E299">
        <v>302.83199999999999</v>
      </c>
      <c r="F299">
        <f t="shared" si="22"/>
        <v>302832</v>
      </c>
      <c r="G299">
        <f t="shared" si="23"/>
        <v>975.60598445896312</v>
      </c>
      <c r="H299" s="2">
        <v>43070</v>
      </c>
      <c r="I299" s="1" t="s">
        <v>223</v>
      </c>
      <c r="J299" s="1" t="s">
        <v>220</v>
      </c>
      <c r="K299" t="s">
        <v>20</v>
      </c>
      <c r="L299" t="s">
        <v>21</v>
      </c>
      <c r="M299" t="str">
        <f t="shared" si="21"/>
        <v>ND</v>
      </c>
      <c r="N299" t="str">
        <f t="shared" si="20"/>
        <v>ND</v>
      </c>
    </row>
    <row r="300" spans="1:14" x14ac:dyDescent="0.3">
      <c r="A300" t="s">
        <v>57</v>
      </c>
      <c r="B300">
        <v>5</v>
      </c>
      <c r="C300">
        <v>11</v>
      </c>
      <c r="D300" t="s">
        <v>64</v>
      </c>
      <c r="E300">
        <v>302.83199999999999</v>
      </c>
      <c r="F300">
        <f t="shared" si="22"/>
        <v>302832</v>
      </c>
      <c r="G300">
        <f t="shared" si="23"/>
        <v>975.60598445896312</v>
      </c>
      <c r="H300" s="2">
        <v>43070</v>
      </c>
      <c r="I300" s="1" t="s">
        <v>223</v>
      </c>
      <c r="J300" s="1" t="s">
        <v>220</v>
      </c>
      <c r="K300" t="s">
        <v>20</v>
      </c>
      <c r="L300" t="s">
        <v>21</v>
      </c>
      <c r="M300" t="str">
        <f t="shared" si="21"/>
        <v>ND</v>
      </c>
      <c r="N300" t="str">
        <f t="shared" si="20"/>
        <v>ND</v>
      </c>
    </row>
    <row r="301" spans="1:14" x14ac:dyDescent="0.3">
      <c r="A301" t="s">
        <v>58</v>
      </c>
      <c r="B301">
        <v>5</v>
      </c>
      <c r="C301">
        <v>11</v>
      </c>
      <c r="D301" t="s">
        <v>64</v>
      </c>
      <c r="E301">
        <v>302.83199999999999</v>
      </c>
      <c r="F301">
        <f t="shared" si="22"/>
        <v>302832</v>
      </c>
      <c r="G301">
        <f t="shared" si="23"/>
        <v>975.60598445896312</v>
      </c>
      <c r="H301" s="2">
        <v>43070</v>
      </c>
      <c r="I301" s="1" t="s">
        <v>223</v>
      </c>
      <c r="J301" s="1" t="s">
        <v>220</v>
      </c>
      <c r="K301" t="s">
        <v>20</v>
      </c>
      <c r="L301" t="s">
        <v>21</v>
      </c>
      <c r="M301" t="str">
        <f t="shared" si="21"/>
        <v>ND</v>
      </c>
      <c r="N301" t="str">
        <f t="shared" si="20"/>
        <v>ND</v>
      </c>
    </row>
    <row r="302" spans="1:14" x14ac:dyDescent="0.3">
      <c r="A302" t="s">
        <v>59</v>
      </c>
      <c r="B302">
        <v>5</v>
      </c>
      <c r="C302">
        <v>11</v>
      </c>
      <c r="D302" t="s">
        <v>64</v>
      </c>
      <c r="E302">
        <v>302.83199999999999</v>
      </c>
      <c r="F302">
        <f t="shared" si="22"/>
        <v>302832</v>
      </c>
      <c r="G302">
        <f t="shared" si="23"/>
        <v>975.60598445896312</v>
      </c>
      <c r="H302" s="2">
        <v>43070</v>
      </c>
      <c r="I302" s="1" t="s">
        <v>223</v>
      </c>
      <c r="J302" s="1" t="s">
        <v>220</v>
      </c>
      <c r="K302" t="s">
        <v>20</v>
      </c>
      <c r="L302" t="s">
        <v>21</v>
      </c>
      <c r="M302" t="str">
        <f t="shared" si="21"/>
        <v>ND</v>
      </c>
      <c r="N302" t="str">
        <f t="shared" si="20"/>
        <v>ND</v>
      </c>
    </row>
    <row r="303" spans="1:14" x14ac:dyDescent="0.3">
      <c r="A303" t="s">
        <v>40</v>
      </c>
      <c r="B303">
        <v>5</v>
      </c>
      <c r="C303">
        <v>11</v>
      </c>
      <c r="D303" t="s">
        <v>64</v>
      </c>
      <c r="E303">
        <v>302.83199999999999</v>
      </c>
      <c r="F303">
        <f t="shared" si="22"/>
        <v>302832</v>
      </c>
      <c r="G303">
        <f t="shared" si="23"/>
        <v>975.60598445896312</v>
      </c>
      <c r="H303" s="2">
        <v>43070</v>
      </c>
      <c r="I303" s="1" t="s">
        <v>223</v>
      </c>
      <c r="J303" s="1" t="s">
        <v>220</v>
      </c>
      <c r="K303">
        <v>2925</v>
      </c>
      <c r="L303" t="s">
        <v>21</v>
      </c>
      <c r="M303">
        <f t="shared" si="21"/>
        <v>2.9249999999999998</v>
      </c>
      <c r="N303">
        <f t="shared" si="20"/>
        <v>907.93169999999998</v>
      </c>
    </row>
    <row r="304" spans="1:14" x14ac:dyDescent="0.3">
      <c r="A304" t="s">
        <v>41</v>
      </c>
      <c r="B304">
        <v>5</v>
      </c>
      <c r="C304">
        <v>11</v>
      </c>
      <c r="D304" t="s">
        <v>64</v>
      </c>
      <c r="E304">
        <v>302.83199999999999</v>
      </c>
      <c r="F304">
        <f t="shared" si="22"/>
        <v>302832</v>
      </c>
      <c r="G304">
        <f t="shared" si="23"/>
        <v>975.60598445896312</v>
      </c>
      <c r="H304" s="2">
        <v>43070</v>
      </c>
      <c r="I304" s="1" t="s">
        <v>223</v>
      </c>
      <c r="J304" s="1" t="s">
        <v>220</v>
      </c>
      <c r="K304">
        <v>526</v>
      </c>
      <c r="L304" t="s">
        <v>21</v>
      </c>
      <c r="M304">
        <f t="shared" si="21"/>
        <v>0.52600000000000002</v>
      </c>
      <c r="N304">
        <f t="shared" si="20"/>
        <v>163.27250400000003</v>
      </c>
    </row>
    <row r="305" spans="1:14" x14ac:dyDescent="0.3">
      <c r="A305" t="s">
        <v>42</v>
      </c>
      <c r="B305">
        <v>5</v>
      </c>
      <c r="C305">
        <v>11</v>
      </c>
      <c r="D305" t="s">
        <v>64</v>
      </c>
      <c r="E305">
        <v>302.83199999999999</v>
      </c>
      <c r="F305">
        <f t="shared" si="22"/>
        <v>302832</v>
      </c>
      <c r="G305">
        <f t="shared" si="23"/>
        <v>975.60598445896312</v>
      </c>
      <c r="H305" s="2">
        <v>43070</v>
      </c>
      <c r="I305" s="1" t="s">
        <v>223</v>
      </c>
      <c r="J305" s="1" t="s">
        <v>220</v>
      </c>
      <c r="K305" t="s">
        <v>20</v>
      </c>
      <c r="L305" t="s">
        <v>21</v>
      </c>
      <c r="M305" t="str">
        <f t="shared" si="21"/>
        <v>ND</v>
      </c>
      <c r="N305" t="str">
        <f t="shared" si="20"/>
        <v>ND</v>
      </c>
    </row>
    <row r="306" spans="1:14" x14ac:dyDescent="0.3">
      <c r="A306" t="s">
        <v>60</v>
      </c>
      <c r="B306">
        <v>5</v>
      </c>
      <c r="C306">
        <v>11</v>
      </c>
      <c r="D306" t="s">
        <v>64</v>
      </c>
      <c r="E306">
        <v>302.83199999999999</v>
      </c>
      <c r="F306">
        <f t="shared" si="22"/>
        <v>302832</v>
      </c>
      <c r="G306">
        <f t="shared" si="23"/>
        <v>975.60598445896312</v>
      </c>
      <c r="H306" s="2">
        <v>43070</v>
      </c>
      <c r="I306" s="1" t="s">
        <v>223</v>
      </c>
      <c r="J306" s="1" t="s">
        <v>220</v>
      </c>
      <c r="K306" t="s">
        <v>20</v>
      </c>
      <c r="L306" t="s">
        <v>21</v>
      </c>
      <c r="M306" t="str">
        <f t="shared" si="21"/>
        <v>ND</v>
      </c>
      <c r="N306" t="str">
        <f t="shared" si="20"/>
        <v>ND</v>
      </c>
    </row>
    <row r="307" spans="1:14" x14ac:dyDescent="0.3">
      <c r="A307" t="s">
        <v>23</v>
      </c>
      <c r="B307">
        <v>5</v>
      </c>
      <c r="C307">
        <v>11</v>
      </c>
      <c r="D307" t="s">
        <v>64</v>
      </c>
      <c r="E307">
        <v>302.83199999999999</v>
      </c>
      <c r="F307">
        <f t="shared" si="22"/>
        <v>302832</v>
      </c>
      <c r="G307">
        <f t="shared" si="23"/>
        <v>975.60598445896312</v>
      </c>
      <c r="H307" s="2">
        <v>43282</v>
      </c>
      <c r="I307" s="1" t="s">
        <v>223</v>
      </c>
      <c r="J307" s="1" t="s">
        <v>220</v>
      </c>
      <c r="K307">
        <v>30328</v>
      </c>
      <c r="L307" t="s">
        <v>21</v>
      </c>
      <c r="M307">
        <f t="shared" si="21"/>
        <v>30.327999999999999</v>
      </c>
      <c r="N307">
        <f t="shared" si="20"/>
        <v>9413.9325119999994</v>
      </c>
    </row>
    <row r="308" spans="1:14" x14ac:dyDescent="0.3">
      <c r="A308" t="s">
        <v>53</v>
      </c>
      <c r="B308">
        <v>5</v>
      </c>
      <c r="C308">
        <v>11</v>
      </c>
      <c r="D308" t="s">
        <v>64</v>
      </c>
      <c r="E308">
        <v>302.83199999999999</v>
      </c>
      <c r="F308">
        <f t="shared" si="22"/>
        <v>302832</v>
      </c>
      <c r="G308">
        <f t="shared" si="23"/>
        <v>975.60598445896312</v>
      </c>
      <c r="H308" s="2">
        <v>43282</v>
      </c>
      <c r="I308" s="1" t="s">
        <v>223</v>
      </c>
      <c r="J308" s="1" t="s">
        <v>220</v>
      </c>
      <c r="K308">
        <v>441</v>
      </c>
      <c r="L308" t="s">
        <v>21</v>
      </c>
      <c r="M308">
        <f t="shared" si="21"/>
        <v>0.441</v>
      </c>
      <c r="N308">
        <f t="shared" si="20"/>
        <v>136.88816400000002</v>
      </c>
    </row>
    <row r="309" spans="1:14" x14ac:dyDescent="0.3">
      <c r="A309" t="s">
        <v>27</v>
      </c>
      <c r="B309">
        <v>5</v>
      </c>
      <c r="C309">
        <v>11</v>
      </c>
      <c r="D309" t="s">
        <v>64</v>
      </c>
      <c r="E309">
        <v>302.83199999999999</v>
      </c>
      <c r="F309">
        <f t="shared" si="22"/>
        <v>302832</v>
      </c>
      <c r="G309">
        <f t="shared" si="23"/>
        <v>975.60598445896312</v>
      </c>
      <c r="H309" s="2">
        <v>43282</v>
      </c>
      <c r="I309" s="1" t="s">
        <v>223</v>
      </c>
      <c r="J309" s="1" t="s">
        <v>220</v>
      </c>
      <c r="K309" t="s">
        <v>20</v>
      </c>
      <c r="L309" t="s">
        <v>21</v>
      </c>
      <c r="M309" t="str">
        <f t="shared" si="21"/>
        <v>ND</v>
      </c>
      <c r="N309" t="str">
        <f t="shared" si="20"/>
        <v>ND</v>
      </c>
    </row>
    <row r="310" spans="1:14" x14ac:dyDescent="0.3">
      <c r="A310" t="s">
        <v>28</v>
      </c>
      <c r="B310">
        <v>5</v>
      </c>
      <c r="C310">
        <v>11</v>
      </c>
      <c r="D310" t="s">
        <v>64</v>
      </c>
      <c r="E310">
        <v>302.83199999999999</v>
      </c>
      <c r="F310">
        <f t="shared" si="22"/>
        <v>302832</v>
      </c>
      <c r="G310">
        <f t="shared" si="23"/>
        <v>975.60598445896312</v>
      </c>
      <c r="H310" s="2">
        <v>43282</v>
      </c>
      <c r="I310" s="1" t="s">
        <v>223</v>
      </c>
      <c r="J310" s="1" t="s">
        <v>220</v>
      </c>
      <c r="K310">
        <v>400</v>
      </c>
      <c r="L310" t="s">
        <v>21</v>
      </c>
      <c r="M310">
        <f t="shared" si="21"/>
        <v>0.4</v>
      </c>
      <c r="N310">
        <f t="shared" si="20"/>
        <v>124.16160000000001</v>
      </c>
    </row>
    <row r="311" spans="1:14" x14ac:dyDescent="0.3">
      <c r="A311" t="s">
        <v>31</v>
      </c>
      <c r="B311">
        <v>5</v>
      </c>
      <c r="C311">
        <v>11</v>
      </c>
      <c r="D311" t="s">
        <v>64</v>
      </c>
      <c r="E311">
        <v>302.83199999999999</v>
      </c>
      <c r="F311">
        <f t="shared" si="22"/>
        <v>302832</v>
      </c>
      <c r="G311">
        <f t="shared" si="23"/>
        <v>975.60598445896312</v>
      </c>
      <c r="H311" s="2">
        <v>43282</v>
      </c>
      <c r="I311" s="1" t="s">
        <v>223</v>
      </c>
      <c r="J311" s="1" t="s">
        <v>220</v>
      </c>
      <c r="K311" t="s">
        <v>65</v>
      </c>
      <c r="L311" t="s">
        <v>21</v>
      </c>
      <c r="M311" t="str">
        <f t="shared" si="21"/>
        <v>ND</v>
      </c>
      <c r="N311" t="str">
        <f t="shared" si="20"/>
        <v>ND</v>
      </c>
    </row>
    <row r="312" spans="1:14" x14ac:dyDescent="0.3">
      <c r="A312" t="s">
        <v>46</v>
      </c>
      <c r="B312">
        <v>5</v>
      </c>
      <c r="C312">
        <v>11</v>
      </c>
      <c r="D312" t="s">
        <v>64</v>
      </c>
      <c r="E312">
        <v>302.83199999999999</v>
      </c>
      <c r="F312">
        <f t="shared" si="22"/>
        <v>302832</v>
      </c>
      <c r="G312">
        <f t="shared" si="23"/>
        <v>975.60598445896312</v>
      </c>
      <c r="H312" s="2">
        <v>43282</v>
      </c>
      <c r="I312" s="1" t="s">
        <v>223</v>
      </c>
      <c r="J312" s="1" t="s">
        <v>220</v>
      </c>
      <c r="K312">
        <v>37</v>
      </c>
      <c r="L312" t="s">
        <v>21</v>
      </c>
      <c r="M312">
        <f t="shared" si="21"/>
        <v>3.6999999999999998E-2</v>
      </c>
      <c r="N312">
        <f t="shared" si="20"/>
        <v>11.484947999999999</v>
      </c>
    </row>
    <row r="313" spans="1:14" x14ac:dyDescent="0.3">
      <c r="A313" t="s">
        <v>44</v>
      </c>
      <c r="B313">
        <v>5</v>
      </c>
      <c r="C313">
        <v>11</v>
      </c>
      <c r="D313" t="s">
        <v>64</v>
      </c>
      <c r="E313">
        <v>302.83199999999999</v>
      </c>
      <c r="F313">
        <f t="shared" si="22"/>
        <v>302832</v>
      </c>
      <c r="G313">
        <f t="shared" si="23"/>
        <v>975.60598445896312</v>
      </c>
      <c r="H313" s="2">
        <v>43282</v>
      </c>
      <c r="I313" s="1" t="s">
        <v>223</v>
      </c>
      <c r="J313" s="1" t="s">
        <v>220</v>
      </c>
      <c r="K313">
        <v>292</v>
      </c>
      <c r="L313" t="s">
        <v>21</v>
      </c>
      <c r="M313">
        <f t="shared" si="21"/>
        <v>0.29199999999999998</v>
      </c>
      <c r="N313">
        <f t="shared" si="20"/>
        <v>90.637967999999987</v>
      </c>
    </row>
    <row r="314" spans="1:14" x14ac:dyDescent="0.3">
      <c r="A314" t="s">
        <v>54</v>
      </c>
      <c r="B314">
        <v>5</v>
      </c>
      <c r="C314">
        <v>11</v>
      </c>
      <c r="D314" t="s">
        <v>64</v>
      </c>
      <c r="E314">
        <v>302.83199999999999</v>
      </c>
      <c r="F314">
        <f t="shared" si="22"/>
        <v>302832</v>
      </c>
      <c r="G314">
        <f t="shared" si="23"/>
        <v>975.60598445896312</v>
      </c>
      <c r="H314" s="2">
        <v>43282</v>
      </c>
      <c r="I314" s="1" t="s">
        <v>223</v>
      </c>
      <c r="J314" s="1" t="s">
        <v>220</v>
      </c>
      <c r="K314" t="s">
        <v>20</v>
      </c>
      <c r="L314" t="s">
        <v>21</v>
      </c>
      <c r="M314" t="str">
        <f t="shared" si="21"/>
        <v>ND</v>
      </c>
      <c r="N314" t="str">
        <f t="shared" si="20"/>
        <v>ND</v>
      </c>
    </row>
    <row r="315" spans="1:14" x14ac:dyDescent="0.3">
      <c r="A315" t="s">
        <v>19</v>
      </c>
      <c r="B315">
        <v>5</v>
      </c>
      <c r="C315">
        <v>11</v>
      </c>
      <c r="D315" t="s">
        <v>64</v>
      </c>
      <c r="E315">
        <v>302.83199999999999</v>
      </c>
      <c r="F315">
        <f t="shared" si="22"/>
        <v>302832</v>
      </c>
      <c r="G315">
        <f t="shared" si="23"/>
        <v>975.60598445896312</v>
      </c>
      <c r="H315" s="2">
        <v>43282</v>
      </c>
      <c r="I315" s="1" t="s">
        <v>223</v>
      </c>
      <c r="J315" s="1" t="s">
        <v>220</v>
      </c>
      <c r="K315" t="s">
        <v>20</v>
      </c>
      <c r="L315" t="s">
        <v>21</v>
      </c>
      <c r="M315" t="str">
        <f t="shared" si="21"/>
        <v>ND</v>
      </c>
      <c r="N315" t="str">
        <f t="shared" si="20"/>
        <v>ND</v>
      </c>
    </row>
    <row r="316" spans="1:14" x14ac:dyDescent="0.3">
      <c r="A316" t="s">
        <v>55</v>
      </c>
      <c r="B316">
        <v>5</v>
      </c>
      <c r="C316">
        <v>11</v>
      </c>
      <c r="D316" t="s">
        <v>64</v>
      </c>
      <c r="E316">
        <v>302.83199999999999</v>
      </c>
      <c r="F316">
        <f t="shared" si="22"/>
        <v>302832</v>
      </c>
      <c r="G316">
        <f t="shared" si="23"/>
        <v>975.60598445896312</v>
      </c>
      <c r="H316" s="2">
        <v>43282</v>
      </c>
      <c r="I316" s="1" t="s">
        <v>223</v>
      </c>
      <c r="J316" s="1" t="s">
        <v>220</v>
      </c>
      <c r="K316" t="s">
        <v>20</v>
      </c>
      <c r="L316" t="s">
        <v>21</v>
      </c>
      <c r="M316" t="str">
        <f t="shared" si="21"/>
        <v>ND</v>
      </c>
      <c r="N316" t="str">
        <f t="shared" si="20"/>
        <v>ND</v>
      </c>
    </row>
    <row r="317" spans="1:14" x14ac:dyDescent="0.3">
      <c r="A317" t="s">
        <v>34</v>
      </c>
      <c r="B317">
        <v>5</v>
      </c>
      <c r="C317">
        <v>11</v>
      </c>
      <c r="D317" t="s">
        <v>64</v>
      </c>
      <c r="E317">
        <v>302.83199999999999</v>
      </c>
      <c r="F317">
        <f t="shared" si="22"/>
        <v>302832</v>
      </c>
      <c r="G317">
        <f t="shared" si="23"/>
        <v>975.60598445896312</v>
      </c>
      <c r="H317" s="2">
        <v>43282</v>
      </c>
      <c r="I317" s="1" t="s">
        <v>223</v>
      </c>
      <c r="J317" s="1" t="s">
        <v>220</v>
      </c>
      <c r="K317" t="s">
        <v>20</v>
      </c>
      <c r="L317" t="s">
        <v>21</v>
      </c>
      <c r="M317" t="str">
        <f t="shared" si="21"/>
        <v>ND</v>
      </c>
      <c r="N317" t="str">
        <f t="shared" si="20"/>
        <v>ND</v>
      </c>
    </row>
    <row r="318" spans="1:14" x14ac:dyDescent="0.3">
      <c r="A318" t="s">
        <v>56</v>
      </c>
      <c r="B318">
        <v>5</v>
      </c>
      <c r="C318">
        <v>11</v>
      </c>
      <c r="D318" t="s">
        <v>64</v>
      </c>
      <c r="E318">
        <v>302.83199999999999</v>
      </c>
      <c r="F318">
        <f t="shared" si="22"/>
        <v>302832</v>
      </c>
      <c r="G318">
        <f t="shared" si="23"/>
        <v>975.60598445896312</v>
      </c>
      <c r="H318" s="2">
        <v>43282</v>
      </c>
      <c r="I318" s="1" t="s">
        <v>223</v>
      </c>
      <c r="J318" s="1" t="s">
        <v>220</v>
      </c>
      <c r="K318">
        <v>372</v>
      </c>
      <c r="L318" t="s">
        <v>21</v>
      </c>
      <c r="M318">
        <f t="shared" si="21"/>
        <v>0.372</v>
      </c>
      <c r="N318">
        <f t="shared" si="20"/>
        <v>115.47028800000001</v>
      </c>
    </row>
    <row r="319" spans="1:14" x14ac:dyDescent="0.3">
      <c r="A319" t="s">
        <v>37</v>
      </c>
      <c r="B319">
        <v>5</v>
      </c>
      <c r="C319">
        <v>11</v>
      </c>
      <c r="D319" t="s">
        <v>64</v>
      </c>
      <c r="E319">
        <v>302.83199999999999</v>
      </c>
      <c r="F319">
        <f t="shared" si="22"/>
        <v>302832</v>
      </c>
      <c r="G319">
        <f t="shared" si="23"/>
        <v>975.60598445896312</v>
      </c>
      <c r="H319" s="2">
        <v>43282</v>
      </c>
      <c r="I319" s="1" t="s">
        <v>223</v>
      </c>
      <c r="J319" s="1" t="s">
        <v>220</v>
      </c>
      <c r="K319" t="s">
        <v>20</v>
      </c>
      <c r="L319" t="s">
        <v>21</v>
      </c>
      <c r="M319" t="str">
        <f t="shared" si="21"/>
        <v>ND</v>
      </c>
      <c r="N319" t="str">
        <f t="shared" si="20"/>
        <v>ND</v>
      </c>
    </row>
    <row r="320" spans="1:14" x14ac:dyDescent="0.3">
      <c r="A320" t="s">
        <v>57</v>
      </c>
      <c r="B320">
        <v>5</v>
      </c>
      <c r="C320">
        <v>11</v>
      </c>
      <c r="D320" t="s">
        <v>64</v>
      </c>
      <c r="E320">
        <v>302.83199999999999</v>
      </c>
      <c r="F320">
        <f t="shared" si="22"/>
        <v>302832</v>
      </c>
      <c r="G320">
        <f t="shared" si="23"/>
        <v>975.60598445896312</v>
      </c>
      <c r="H320" s="2">
        <v>43282</v>
      </c>
      <c r="I320" s="1" t="s">
        <v>223</v>
      </c>
      <c r="J320" s="1" t="s">
        <v>220</v>
      </c>
      <c r="K320" t="s">
        <v>20</v>
      </c>
      <c r="L320" t="s">
        <v>21</v>
      </c>
      <c r="M320" t="str">
        <f t="shared" si="21"/>
        <v>ND</v>
      </c>
      <c r="N320" t="str">
        <f t="shared" si="20"/>
        <v>ND</v>
      </c>
    </row>
    <row r="321" spans="1:14" x14ac:dyDescent="0.3">
      <c r="A321" t="s">
        <v>58</v>
      </c>
      <c r="B321">
        <v>5</v>
      </c>
      <c r="C321">
        <v>11</v>
      </c>
      <c r="D321" t="s">
        <v>64</v>
      </c>
      <c r="E321">
        <v>302.83199999999999</v>
      </c>
      <c r="F321">
        <f t="shared" si="22"/>
        <v>302832</v>
      </c>
      <c r="G321">
        <f t="shared" si="23"/>
        <v>975.60598445896312</v>
      </c>
      <c r="H321" s="2">
        <v>43282</v>
      </c>
      <c r="I321" s="1" t="s">
        <v>223</v>
      </c>
      <c r="J321" s="1" t="s">
        <v>220</v>
      </c>
      <c r="K321" t="s">
        <v>20</v>
      </c>
      <c r="L321" t="s">
        <v>21</v>
      </c>
      <c r="M321" t="str">
        <f t="shared" si="21"/>
        <v>ND</v>
      </c>
      <c r="N321" t="str">
        <f t="shared" si="20"/>
        <v>ND</v>
      </c>
    </row>
    <row r="322" spans="1:14" x14ac:dyDescent="0.3">
      <c r="A322" t="s">
        <v>59</v>
      </c>
      <c r="B322">
        <v>5</v>
      </c>
      <c r="C322">
        <v>11</v>
      </c>
      <c r="D322" t="s">
        <v>64</v>
      </c>
      <c r="E322">
        <v>302.83199999999999</v>
      </c>
      <c r="F322">
        <f t="shared" si="22"/>
        <v>302832</v>
      </c>
      <c r="G322">
        <f t="shared" si="23"/>
        <v>975.60598445896312</v>
      </c>
      <c r="H322" s="2">
        <v>43282</v>
      </c>
      <c r="I322" s="1" t="s">
        <v>223</v>
      </c>
      <c r="J322" s="1" t="s">
        <v>220</v>
      </c>
      <c r="K322" t="s">
        <v>20</v>
      </c>
      <c r="L322" t="s">
        <v>21</v>
      </c>
      <c r="M322" t="str">
        <f t="shared" si="21"/>
        <v>ND</v>
      </c>
      <c r="N322" t="str">
        <f t="shared" ref="N322:N385" si="24">IFERROR((M322*F322)/G322,"ND")</f>
        <v>ND</v>
      </c>
    </row>
    <row r="323" spans="1:14" x14ac:dyDescent="0.3">
      <c r="A323" t="s">
        <v>40</v>
      </c>
      <c r="B323">
        <v>5</v>
      </c>
      <c r="C323">
        <v>11</v>
      </c>
      <c r="D323" t="s">
        <v>64</v>
      </c>
      <c r="E323">
        <v>302.83199999999999</v>
      </c>
      <c r="F323">
        <f t="shared" si="22"/>
        <v>302832</v>
      </c>
      <c r="G323">
        <f t="shared" si="23"/>
        <v>975.60598445896312</v>
      </c>
      <c r="H323" s="2">
        <v>43282</v>
      </c>
      <c r="I323" s="1" t="s">
        <v>223</v>
      </c>
      <c r="J323" s="1" t="s">
        <v>220</v>
      </c>
      <c r="K323">
        <v>1545</v>
      </c>
      <c r="L323" t="s">
        <v>21</v>
      </c>
      <c r="M323">
        <f t="shared" si="21"/>
        <v>1.5449999999999999</v>
      </c>
      <c r="N323">
        <f t="shared" si="24"/>
        <v>479.57418000000001</v>
      </c>
    </row>
    <row r="324" spans="1:14" x14ac:dyDescent="0.3">
      <c r="A324" t="s">
        <v>41</v>
      </c>
      <c r="B324">
        <v>5</v>
      </c>
      <c r="C324">
        <v>11</v>
      </c>
      <c r="D324" t="s">
        <v>64</v>
      </c>
      <c r="E324">
        <v>302.83199999999999</v>
      </c>
      <c r="F324">
        <f t="shared" si="22"/>
        <v>302832</v>
      </c>
      <c r="G324">
        <f t="shared" si="23"/>
        <v>975.60598445896312</v>
      </c>
      <c r="H324" s="2">
        <v>43282</v>
      </c>
      <c r="I324" s="1" t="s">
        <v>223</v>
      </c>
      <c r="J324" s="1" t="s">
        <v>220</v>
      </c>
      <c r="K324">
        <v>259</v>
      </c>
      <c r="L324" t="s">
        <v>21</v>
      </c>
      <c r="M324">
        <f t="shared" si="21"/>
        <v>0.25900000000000001</v>
      </c>
      <c r="N324">
        <f t="shared" si="24"/>
        <v>80.394636000000006</v>
      </c>
    </row>
    <row r="325" spans="1:14" x14ac:dyDescent="0.3">
      <c r="A325" t="s">
        <v>42</v>
      </c>
      <c r="B325">
        <v>5</v>
      </c>
      <c r="C325">
        <v>11</v>
      </c>
      <c r="D325" t="s">
        <v>64</v>
      </c>
      <c r="E325">
        <v>302.83199999999999</v>
      </c>
      <c r="F325">
        <f t="shared" si="22"/>
        <v>302832</v>
      </c>
      <c r="G325">
        <f t="shared" si="23"/>
        <v>975.60598445896312</v>
      </c>
      <c r="H325" s="2">
        <v>43282</v>
      </c>
      <c r="I325" s="1" t="s">
        <v>223</v>
      </c>
      <c r="J325" s="1" t="s">
        <v>220</v>
      </c>
      <c r="K325" t="s">
        <v>20</v>
      </c>
      <c r="L325" t="s">
        <v>21</v>
      </c>
      <c r="M325" t="str">
        <f t="shared" si="21"/>
        <v>ND</v>
      </c>
      <c r="N325" t="str">
        <f t="shared" si="24"/>
        <v>ND</v>
      </c>
    </row>
    <row r="326" spans="1:14" x14ac:dyDescent="0.3">
      <c r="A326" t="s">
        <v>60</v>
      </c>
      <c r="B326">
        <v>5</v>
      </c>
      <c r="C326">
        <v>11</v>
      </c>
      <c r="D326" t="s">
        <v>64</v>
      </c>
      <c r="E326">
        <v>302.83199999999999</v>
      </c>
      <c r="F326">
        <f t="shared" si="22"/>
        <v>302832</v>
      </c>
      <c r="G326">
        <f t="shared" si="23"/>
        <v>975.60598445896312</v>
      </c>
      <c r="H326" s="2">
        <v>43282</v>
      </c>
      <c r="I326" s="1" t="s">
        <v>223</v>
      </c>
      <c r="J326" s="1" t="s">
        <v>220</v>
      </c>
      <c r="K326" t="s">
        <v>20</v>
      </c>
      <c r="L326" t="s">
        <v>21</v>
      </c>
      <c r="M326" t="str">
        <f t="shared" si="21"/>
        <v>ND</v>
      </c>
      <c r="N326" t="str">
        <f t="shared" si="24"/>
        <v>ND</v>
      </c>
    </row>
    <row r="327" spans="1:14" x14ac:dyDescent="0.3">
      <c r="A327" t="s">
        <v>23</v>
      </c>
      <c r="B327">
        <v>5</v>
      </c>
      <c r="C327">
        <v>11</v>
      </c>
      <c r="D327" t="s">
        <v>66</v>
      </c>
      <c r="E327">
        <v>302.83199999999999</v>
      </c>
      <c r="F327">
        <f t="shared" si="22"/>
        <v>302832</v>
      </c>
      <c r="G327">
        <f t="shared" si="23"/>
        <v>975.60598445896312</v>
      </c>
      <c r="H327" s="2">
        <v>42675</v>
      </c>
      <c r="I327" s="1" t="s">
        <v>223</v>
      </c>
      <c r="J327" s="1" t="s">
        <v>220</v>
      </c>
      <c r="K327">
        <v>25654</v>
      </c>
      <c r="L327" t="s">
        <v>21</v>
      </c>
      <c r="M327">
        <f t="shared" si="21"/>
        <v>25.654</v>
      </c>
      <c r="N327">
        <f t="shared" si="24"/>
        <v>7963.1042159999997</v>
      </c>
    </row>
    <row r="328" spans="1:14" x14ac:dyDescent="0.3">
      <c r="A328" t="s">
        <v>53</v>
      </c>
      <c r="B328">
        <v>5</v>
      </c>
      <c r="C328">
        <v>11</v>
      </c>
      <c r="D328" t="s">
        <v>66</v>
      </c>
      <c r="E328">
        <v>302.83199999999999</v>
      </c>
      <c r="F328">
        <f t="shared" si="22"/>
        <v>302832</v>
      </c>
      <c r="G328">
        <f t="shared" si="23"/>
        <v>975.60598445896312</v>
      </c>
      <c r="H328" s="2">
        <v>42675</v>
      </c>
      <c r="I328" s="1" t="s">
        <v>223</v>
      </c>
      <c r="J328" s="1" t="s">
        <v>220</v>
      </c>
      <c r="K328" t="s">
        <v>20</v>
      </c>
      <c r="L328" t="s">
        <v>21</v>
      </c>
      <c r="M328" t="str">
        <f t="shared" si="21"/>
        <v>ND</v>
      </c>
      <c r="N328" t="str">
        <f t="shared" si="24"/>
        <v>ND</v>
      </c>
    </row>
    <row r="329" spans="1:14" x14ac:dyDescent="0.3">
      <c r="A329" t="s">
        <v>27</v>
      </c>
      <c r="B329">
        <v>5</v>
      </c>
      <c r="C329">
        <v>11</v>
      </c>
      <c r="D329" t="s">
        <v>66</v>
      </c>
      <c r="E329">
        <v>302.83199999999999</v>
      </c>
      <c r="F329">
        <f t="shared" si="22"/>
        <v>302832</v>
      </c>
      <c r="G329">
        <f t="shared" si="23"/>
        <v>975.60598445896312</v>
      </c>
      <c r="H329" s="2">
        <v>42675</v>
      </c>
      <c r="I329" s="1" t="s">
        <v>223</v>
      </c>
      <c r="J329" s="1" t="s">
        <v>220</v>
      </c>
      <c r="K329">
        <v>233</v>
      </c>
      <c r="L329" t="s">
        <v>21</v>
      </c>
      <c r="M329">
        <f t="shared" si="21"/>
        <v>0.23300000000000001</v>
      </c>
      <c r="N329">
        <f t="shared" si="24"/>
        <v>72.324132000000006</v>
      </c>
    </row>
    <row r="330" spans="1:14" x14ac:dyDescent="0.3">
      <c r="A330" t="s">
        <v>28</v>
      </c>
      <c r="B330">
        <v>5</v>
      </c>
      <c r="C330">
        <v>11</v>
      </c>
      <c r="D330" t="s">
        <v>66</v>
      </c>
      <c r="E330">
        <v>302.83199999999999</v>
      </c>
      <c r="F330">
        <f t="shared" si="22"/>
        <v>302832</v>
      </c>
      <c r="G330">
        <f t="shared" si="23"/>
        <v>975.60598445896312</v>
      </c>
      <c r="H330" s="2">
        <v>42675</v>
      </c>
      <c r="I330" s="1" t="s">
        <v>223</v>
      </c>
      <c r="J330" s="1" t="s">
        <v>220</v>
      </c>
      <c r="K330" t="s">
        <v>20</v>
      </c>
      <c r="L330" t="s">
        <v>21</v>
      </c>
      <c r="M330" t="str">
        <f t="shared" si="21"/>
        <v>ND</v>
      </c>
      <c r="N330" t="str">
        <f t="shared" si="24"/>
        <v>ND</v>
      </c>
    </row>
    <row r="331" spans="1:14" x14ac:dyDescent="0.3">
      <c r="A331" t="s">
        <v>31</v>
      </c>
      <c r="B331">
        <v>5</v>
      </c>
      <c r="C331">
        <v>11</v>
      </c>
      <c r="D331" t="s">
        <v>66</v>
      </c>
      <c r="E331">
        <v>302.83199999999999</v>
      </c>
      <c r="F331">
        <f t="shared" si="22"/>
        <v>302832</v>
      </c>
      <c r="G331">
        <f t="shared" si="23"/>
        <v>975.60598445896312</v>
      </c>
      <c r="H331" s="2">
        <v>42675</v>
      </c>
      <c r="I331" s="1" t="s">
        <v>223</v>
      </c>
      <c r="J331" s="1" t="s">
        <v>220</v>
      </c>
      <c r="K331" t="s">
        <v>20</v>
      </c>
      <c r="L331" t="s">
        <v>21</v>
      </c>
      <c r="M331" t="str">
        <f t="shared" si="21"/>
        <v>ND</v>
      </c>
      <c r="N331" t="str">
        <f t="shared" si="24"/>
        <v>ND</v>
      </c>
    </row>
    <row r="332" spans="1:14" x14ac:dyDescent="0.3">
      <c r="A332" t="s">
        <v>46</v>
      </c>
      <c r="B332">
        <v>5</v>
      </c>
      <c r="C332">
        <v>11</v>
      </c>
      <c r="D332" t="s">
        <v>66</v>
      </c>
      <c r="E332">
        <v>302.83199999999999</v>
      </c>
      <c r="F332">
        <f t="shared" si="22"/>
        <v>302832</v>
      </c>
      <c r="G332">
        <f t="shared" si="23"/>
        <v>975.60598445896312</v>
      </c>
      <c r="H332" s="2">
        <v>42675</v>
      </c>
      <c r="I332" s="1" t="s">
        <v>223</v>
      </c>
      <c r="J332" s="1" t="s">
        <v>220</v>
      </c>
      <c r="K332">
        <v>274</v>
      </c>
      <c r="L332" t="s">
        <v>21</v>
      </c>
      <c r="M332">
        <f t="shared" si="21"/>
        <v>0.27400000000000002</v>
      </c>
      <c r="N332">
        <f t="shared" si="24"/>
        <v>85.050696000000016</v>
      </c>
    </row>
    <row r="333" spans="1:14" x14ac:dyDescent="0.3">
      <c r="A333" t="s">
        <v>44</v>
      </c>
      <c r="B333">
        <v>5</v>
      </c>
      <c r="C333">
        <v>11</v>
      </c>
      <c r="D333" t="s">
        <v>66</v>
      </c>
      <c r="E333">
        <v>302.83199999999999</v>
      </c>
      <c r="F333">
        <f t="shared" si="22"/>
        <v>302832</v>
      </c>
      <c r="G333">
        <f t="shared" si="23"/>
        <v>975.60598445896312</v>
      </c>
      <c r="H333" s="2">
        <v>42675</v>
      </c>
      <c r="I333" s="1" t="s">
        <v>223</v>
      </c>
      <c r="J333" s="1" t="s">
        <v>220</v>
      </c>
      <c r="K333">
        <v>766</v>
      </c>
      <c r="L333" t="s">
        <v>21</v>
      </c>
      <c r="M333">
        <f t="shared" si="21"/>
        <v>0.76600000000000001</v>
      </c>
      <c r="N333">
        <f t="shared" si="24"/>
        <v>237.76946400000003</v>
      </c>
    </row>
    <row r="334" spans="1:14" x14ac:dyDescent="0.3">
      <c r="A334" t="s">
        <v>54</v>
      </c>
      <c r="B334">
        <v>5</v>
      </c>
      <c r="C334">
        <v>11</v>
      </c>
      <c r="D334" t="s">
        <v>66</v>
      </c>
      <c r="E334">
        <v>302.83199999999999</v>
      </c>
      <c r="F334">
        <f t="shared" si="22"/>
        <v>302832</v>
      </c>
      <c r="G334">
        <f t="shared" si="23"/>
        <v>975.60598445896312</v>
      </c>
      <c r="H334" s="2">
        <v>42675</v>
      </c>
      <c r="I334" s="1" t="s">
        <v>223</v>
      </c>
      <c r="J334" s="1" t="s">
        <v>220</v>
      </c>
      <c r="K334" t="s">
        <v>20</v>
      </c>
      <c r="L334" t="s">
        <v>21</v>
      </c>
      <c r="M334" t="str">
        <f t="shared" si="21"/>
        <v>ND</v>
      </c>
      <c r="N334" t="str">
        <f t="shared" si="24"/>
        <v>ND</v>
      </c>
    </row>
    <row r="335" spans="1:14" x14ac:dyDescent="0.3">
      <c r="A335" t="s">
        <v>19</v>
      </c>
      <c r="B335">
        <v>5</v>
      </c>
      <c r="C335">
        <v>11</v>
      </c>
      <c r="D335" t="s">
        <v>66</v>
      </c>
      <c r="E335">
        <v>302.83199999999999</v>
      </c>
      <c r="F335">
        <f t="shared" si="22"/>
        <v>302832</v>
      </c>
      <c r="G335">
        <f t="shared" si="23"/>
        <v>975.60598445896312</v>
      </c>
      <c r="H335" s="2">
        <v>42675</v>
      </c>
      <c r="I335" s="1" t="s">
        <v>223</v>
      </c>
      <c r="J335" s="1" t="s">
        <v>220</v>
      </c>
      <c r="K335">
        <v>240</v>
      </c>
      <c r="L335" t="s">
        <v>21</v>
      </c>
      <c r="M335">
        <f t="shared" si="21"/>
        <v>0.24</v>
      </c>
      <c r="N335">
        <f t="shared" si="24"/>
        <v>74.496960000000001</v>
      </c>
    </row>
    <row r="336" spans="1:14" x14ac:dyDescent="0.3">
      <c r="A336" t="s">
        <v>55</v>
      </c>
      <c r="B336">
        <v>5</v>
      </c>
      <c r="C336">
        <v>11</v>
      </c>
      <c r="D336" t="s">
        <v>66</v>
      </c>
      <c r="E336">
        <v>302.83199999999999</v>
      </c>
      <c r="F336">
        <f t="shared" si="22"/>
        <v>302832</v>
      </c>
      <c r="G336">
        <f t="shared" si="23"/>
        <v>975.60598445896312</v>
      </c>
      <c r="H336" s="2">
        <v>42675</v>
      </c>
      <c r="I336" s="1" t="s">
        <v>223</v>
      </c>
      <c r="J336" s="1" t="s">
        <v>220</v>
      </c>
      <c r="K336">
        <v>123</v>
      </c>
      <c r="L336" t="s">
        <v>21</v>
      </c>
      <c r="M336">
        <f t="shared" si="21"/>
        <v>0.123</v>
      </c>
      <c r="N336">
        <f t="shared" si="24"/>
        <v>38.179692000000003</v>
      </c>
    </row>
    <row r="337" spans="1:14" x14ac:dyDescent="0.3">
      <c r="A337" t="s">
        <v>34</v>
      </c>
      <c r="B337">
        <v>5</v>
      </c>
      <c r="C337">
        <v>11</v>
      </c>
      <c r="D337" t="s">
        <v>66</v>
      </c>
      <c r="E337">
        <v>302.83199999999999</v>
      </c>
      <c r="F337">
        <f t="shared" si="22"/>
        <v>302832</v>
      </c>
      <c r="G337">
        <f t="shared" si="23"/>
        <v>975.60598445896312</v>
      </c>
      <c r="H337" s="2">
        <v>42675</v>
      </c>
      <c r="I337" s="1" t="s">
        <v>223</v>
      </c>
      <c r="J337" s="1" t="s">
        <v>220</v>
      </c>
      <c r="K337" t="s">
        <v>20</v>
      </c>
      <c r="L337" t="s">
        <v>21</v>
      </c>
      <c r="M337" t="str">
        <f t="shared" ref="M337:M400" si="25">IFERROR(K337/1000,"ND")</f>
        <v>ND</v>
      </c>
      <c r="N337" t="str">
        <f t="shared" si="24"/>
        <v>ND</v>
      </c>
    </row>
    <row r="338" spans="1:14" x14ac:dyDescent="0.3">
      <c r="A338" t="s">
        <v>56</v>
      </c>
      <c r="B338">
        <v>5</v>
      </c>
      <c r="C338">
        <v>11</v>
      </c>
      <c r="D338" t="s">
        <v>66</v>
      </c>
      <c r="E338">
        <v>302.83199999999999</v>
      </c>
      <c r="F338">
        <f t="shared" si="22"/>
        <v>302832</v>
      </c>
      <c r="G338">
        <f t="shared" si="23"/>
        <v>975.60598445896312</v>
      </c>
      <c r="H338" s="2">
        <v>42675</v>
      </c>
      <c r="I338" s="1" t="s">
        <v>223</v>
      </c>
      <c r="J338" s="1" t="s">
        <v>220</v>
      </c>
      <c r="K338">
        <v>567</v>
      </c>
      <c r="L338" t="s">
        <v>21</v>
      </c>
      <c r="M338">
        <f t="shared" si="25"/>
        <v>0.56699999999999995</v>
      </c>
      <c r="N338">
        <f t="shared" si="24"/>
        <v>175.99906799999999</v>
      </c>
    </row>
    <row r="339" spans="1:14" x14ac:dyDescent="0.3">
      <c r="A339" t="s">
        <v>37</v>
      </c>
      <c r="B339">
        <v>5</v>
      </c>
      <c r="C339">
        <v>11</v>
      </c>
      <c r="D339" t="s">
        <v>66</v>
      </c>
      <c r="E339">
        <v>302.83199999999999</v>
      </c>
      <c r="F339">
        <f t="shared" si="22"/>
        <v>302832</v>
      </c>
      <c r="G339">
        <f t="shared" si="23"/>
        <v>975.60598445896312</v>
      </c>
      <c r="H339" s="2">
        <v>42675</v>
      </c>
      <c r="I339" s="1" t="s">
        <v>223</v>
      </c>
      <c r="J339" s="1" t="s">
        <v>220</v>
      </c>
      <c r="K339" t="s">
        <v>20</v>
      </c>
      <c r="L339" t="s">
        <v>21</v>
      </c>
      <c r="M339" t="str">
        <f t="shared" si="25"/>
        <v>ND</v>
      </c>
      <c r="N339" t="str">
        <f t="shared" si="24"/>
        <v>ND</v>
      </c>
    </row>
    <row r="340" spans="1:14" x14ac:dyDescent="0.3">
      <c r="A340" t="s">
        <v>57</v>
      </c>
      <c r="B340">
        <v>5</v>
      </c>
      <c r="C340">
        <v>11</v>
      </c>
      <c r="D340" t="s">
        <v>66</v>
      </c>
      <c r="E340">
        <v>302.83199999999999</v>
      </c>
      <c r="F340">
        <f t="shared" si="22"/>
        <v>302832</v>
      </c>
      <c r="G340">
        <f t="shared" si="23"/>
        <v>975.60598445896312</v>
      </c>
      <c r="H340" s="2">
        <v>42675</v>
      </c>
      <c r="I340" s="1" t="s">
        <v>223</v>
      </c>
      <c r="J340" s="1" t="s">
        <v>220</v>
      </c>
      <c r="K340">
        <v>1405</v>
      </c>
      <c r="L340" t="s">
        <v>21</v>
      </c>
      <c r="M340">
        <f t="shared" si="25"/>
        <v>1.405</v>
      </c>
      <c r="N340">
        <f t="shared" si="24"/>
        <v>436.11762000000004</v>
      </c>
    </row>
    <row r="341" spans="1:14" x14ac:dyDescent="0.3">
      <c r="A341" t="s">
        <v>58</v>
      </c>
      <c r="B341">
        <v>5</v>
      </c>
      <c r="C341">
        <v>11</v>
      </c>
      <c r="D341" t="s">
        <v>66</v>
      </c>
      <c r="E341">
        <v>302.83199999999999</v>
      </c>
      <c r="F341">
        <f t="shared" si="22"/>
        <v>302832</v>
      </c>
      <c r="G341">
        <f t="shared" si="23"/>
        <v>975.60598445896312</v>
      </c>
      <c r="H341" s="2">
        <v>42675</v>
      </c>
      <c r="I341" s="1" t="s">
        <v>223</v>
      </c>
      <c r="J341" s="1" t="s">
        <v>220</v>
      </c>
      <c r="K341" t="s">
        <v>20</v>
      </c>
      <c r="L341" t="s">
        <v>21</v>
      </c>
      <c r="M341" t="str">
        <f t="shared" si="25"/>
        <v>ND</v>
      </c>
      <c r="N341" t="str">
        <f t="shared" si="24"/>
        <v>ND</v>
      </c>
    </row>
    <row r="342" spans="1:14" x14ac:dyDescent="0.3">
      <c r="A342" t="s">
        <v>59</v>
      </c>
      <c r="B342">
        <v>5</v>
      </c>
      <c r="C342">
        <v>11</v>
      </c>
      <c r="D342" t="s">
        <v>66</v>
      </c>
      <c r="E342">
        <v>302.83199999999999</v>
      </c>
      <c r="F342">
        <f t="shared" si="22"/>
        <v>302832</v>
      </c>
      <c r="G342">
        <f t="shared" si="23"/>
        <v>975.60598445896312</v>
      </c>
      <c r="H342" s="2">
        <v>42675</v>
      </c>
      <c r="I342" s="1" t="s">
        <v>223</v>
      </c>
      <c r="J342" s="1" t="s">
        <v>220</v>
      </c>
      <c r="K342">
        <v>635</v>
      </c>
      <c r="L342" t="s">
        <v>21</v>
      </c>
      <c r="M342">
        <f t="shared" si="25"/>
        <v>0.63500000000000001</v>
      </c>
      <c r="N342">
        <f t="shared" si="24"/>
        <v>197.10654000000002</v>
      </c>
    </row>
    <row r="343" spans="1:14" x14ac:dyDescent="0.3">
      <c r="A343" t="s">
        <v>40</v>
      </c>
      <c r="B343">
        <v>5</v>
      </c>
      <c r="C343">
        <v>11</v>
      </c>
      <c r="D343" t="s">
        <v>66</v>
      </c>
      <c r="E343">
        <v>302.83199999999999</v>
      </c>
      <c r="F343">
        <f t="shared" si="22"/>
        <v>302832</v>
      </c>
      <c r="G343">
        <f t="shared" si="23"/>
        <v>975.60598445896312</v>
      </c>
      <c r="H343" s="2">
        <v>42675</v>
      </c>
      <c r="I343" s="1" t="s">
        <v>223</v>
      </c>
      <c r="J343" s="1" t="s">
        <v>220</v>
      </c>
      <c r="K343">
        <v>3003</v>
      </c>
      <c r="L343" t="s">
        <v>21</v>
      </c>
      <c r="M343">
        <f t="shared" si="25"/>
        <v>3.0030000000000001</v>
      </c>
      <c r="N343">
        <f t="shared" si="24"/>
        <v>932.14321200000006</v>
      </c>
    </row>
    <row r="344" spans="1:14" x14ac:dyDescent="0.3">
      <c r="A344" t="s">
        <v>41</v>
      </c>
      <c r="B344">
        <v>5</v>
      </c>
      <c r="C344">
        <v>11</v>
      </c>
      <c r="D344" t="s">
        <v>66</v>
      </c>
      <c r="E344">
        <v>302.83199999999999</v>
      </c>
      <c r="F344">
        <f t="shared" si="22"/>
        <v>302832</v>
      </c>
      <c r="G344">
        <f t="shared" si="23"/>
        <v>975.60598445896312</v>
      </c>
      <c r="H344" s="2">
        <v>42675</v>
      </c>
      <c r="I344" s="1" t="s">
        <v>223</v>
      </c>
      <c r="J344" s="1" t="s">
        <v>220</v>
      </c>
      <c r="K344">
        <v>2852</v>
      </c>
      <c r="L344" t="s">
        <v>21</v>
      </c>
      <c r="M344">
        <f t="shared" si="25"/>
        <v>2.8519999999999999</v>
      </c>
      <c r="N344">
        <f t="shared" si="24"/>
        <v>885.27220799999998</v>
      </c>
    </row>
    <row r="345" spans="1:14" x14ac:dyDescent="0.3">
      <c r="A345" t="s">
        <v>42</v>
      </c>
      <c r="B345">
        <v>5</v>
      </c>
      <c r="C345">
        <v>11</v>
      </c>
      <c r="D345" t="s">
        <v>66</v>
      </c>
      <c r="E345">
        <v>302.83199999999999</v>
      </c>
      <c r="F345">
        <f t="shared" si="22"/>
        <v>302832</v>
      </c>
      <c r="G345">
        <f t="shared" si="23"/>
        <v>975.60598445896312</v>
      </c>
      <c r="H345" s="2">
        <v>42675</v>
      </c>
      <c r="I345" s="1" t="s">
        <v>223</v>
      </c>
      <c r="J345" s="1" t="s">
        <v>220</v>
      </c>
      <c r="K345" t="s">
        <v>20</v>
      </c>
      <c r="L345" t="s">
        <v>21</v>
      </c>
      <c r="M345" t="str">
        <f t="shared" si="25"/>
        <v>ND</v>
      </c>
      <c r="N345" t="str">
        <f t="shared" si="24"/>
        <v>ND</v>
      </c>
    </row>
    <row r="346" spans="1:14" x14ac:dyDescent="0.3">
      <c r="A346" t="s">
        <v>60</v>
      </c>
      <c r="B346">
        <v>5</v>
      </c>
      <c r="C346">
        <v>11</v>
      </c>
      <c r="D346" t="s">
        <v>66</v>
      </c>
      <c r="E346">
        <v>302.83199999999999</v>
      </c>
      <c r="F346">
        <f t="shared" si="22"/>
        <v>302832</v>
      </c>
      <c r="G346">
        <f t="shared" si="23"/>
        <v>975.60598445896312</v>
      </c>
      <c r="H346" s="2">
        <v>42675</v>
      </c>
      <c r="I346" s="1" t="s">
        <v>223</v>
      </c>
      <c r="J346" s="1" t="s">
        <v>220</v>
      </c>
      <c r="K346" t="s">
        <v>20</v>
      </c>
      <c r="L346" t="s">
        <v>21</v>
      </c>
      <c r="M346" t="str">
        <f t="shared" si="25"/>
        <v>ND</v>
      </c>
      <c r="N346" t="str">
        <f t="shared" si="24"/>
        <v>ND</v>
      </c>
    </row>
    <row r="347" spans="1:14" x14ac:dyDescent="0.3">
      <c r="A347" t="s">
        <v>23</v>
      </c>
      <c r="B347">
        <v>5</v>
      </c>
      <c r="C347">
        <v>11</v>
      </c>
      <c r="D347" t="s">
        <v>67</v>
      </c>
      <c r="E347">
        <v>302.83199999999999</v>
      </c>
      <c r="F347">
        <f t="shared" si="22"/>
        <v>302832</v>
      </c>
      <c r="G347">
        <f t="shared" si="23"/>
        <v>975.60598445896312</v>
      </c>
      <c r="H347" s="2">
        <v>42979</v>
      </c>
      <c r="I347" s="1" t="s">
        <v>223</v>
      </c>
      <c r="J347" s="1" t="s">
        <v>220</v>
      </c>
      <c r="K347">
        <v>86207</v>
      </c>
      <c r="L347" t="s">
        <v>21</v>
      </c>
      <c r="M347">
        <f t="shared" si="25"/>
        <v>86.206999999999994</v>
      </c>
      <c r="N347">
        <f t="shared" si="24"/>
        <v>26758.997628000001</v>
      </c>
    </row>
    <row r="348" spans="1:14" x14ac:dyDescent="0.3">
      <c r="A348" t="s">
        <v>53</v>
      </c>
      <c r="B348">
        <v>5</v>
      </c>
      <c r="C348">
        <v>11</v>
      </c>
      <c r="D348" t="s">
        <v>67</v>
      </c>
      <c r="E348">
        <v>302.83199999999999</v>
      </c>
      <c r="F348">
        <f t="shared" si="22"/>
        <v>302832</v>
      </c>
      <c r="G348">
        <f t="shared" si="23"/>
        <v>975.60598445896312</v>
      </c>
      <c r="H348" s="2">
        <v>42979</v>
      </c>
      <c r="I348" s="1" t="s">
        <v>223</v>
      </c>
      <c r="J348" s="1" t="s">
        <v>220</v>
      </c>
      <c r="K348">
        <v>606</v>
      </c>
      <c r="L348" t="s">
        <v>21</v>
      </c>
      <c r="M348">
        <f t="shared" si="25"/>
        <v>0.60599999999999998</v>
      </c>
      <c r="N348">
        <f t="shared" si="24"/>
        <v>188.10482399999998</v>
      </c>
    </row>
    <row r="349" spans="1:14" x14ac:dyDescent="0.3">
      <c r="A349" t="s">
        <v>27</v>
      </c>
      <c r="B349">
        <v>5</v>
      </c>
      <c r="C349">
        <v>11</v>
      </c>
      <c r="D349" t="s">
        <v>67</v>
      </c>
      <c r="E349">
        <v>302.83199999999999</v>
      </c>
      <c r="F349">
        <f t="shared" si="22"/>
        <v>302832</v>
      </c>
      <c r="G349">
        <f t="shared" si="23"/>
        <v>975.60598445896312</v>
      </c>
      <c r="H349" s="2">
        <v>42979</v>
      </c>
      <c r="I349" s="1" t="s">
        <v>223</v>
      </c>
      <c r="J349" s="1" t="s">
        <v>220</v>
      </c>
      <c r="K349">
        <v>158</v>
      </c>
      <c r="L349" t="s">
        <v>21</v>
      </c>
      <c r="M349">
        <f t="shared" si="25"/>
        <v>0.158</v>
      </c>
      <c r="N349">
        <f t="shared" si="24"/>
        <v>49.043832000000002</v>
      </c>
    </row>
    <row r="350" spans="1:14" x14ac:dyDescent="0.3">
      <c r="A350" t="s">
        <v>28</v>
      </c>
      <c r="B350">
        <v>5</v>
      </c>
      <c r="C350">
        <v>11</v>
      </c>
      <c r="D350" t="s">
        <v>67</v>
      </c>
      <c r="E350">
        <v>302.83199999999999</v>
      </c>
      <c r="F350">
        <f t="shared" si="22"/>
        <v>302832</v>
      </c>
      <c r="G350">
        <f t="shared" si="23"/>
        <v>975.60598445896312</v>
      </c>
      <c r="H350" s="2">
        <v>42979</v>
      </c>
      <c r="I350" s="1" t="s">
        <v>223</v>
      </c>
      <c r="J350" s="1" t="s">
        <v>220</v>
      </c>
      <c r="K350" t="s">
        <v>20</v>
      </c>
      <c r="L350" t="s">
        <v>21</v>
      </c>
      <c r="M350" t="str">
        <f t="shared" si="25"/>
        <v>ND</v>
      </c>
      <c r="N350" t="str">
        <f t="shared" si="24"/>
        <v>ND</v>
      </c>
    </row>
    <row r="351" spans="1:14" x14ac:dyDescent="0.3">
      <c r="A351" t="s">
        <v>31</v>
      </c>
      <c r="B351">
        <v>5</v>
      </c>
      <c r="C351">
        <v>11</v>
      </c>
      <c r="D351" t="s">
        <v>67</v>
      </c>
      <c r="E351">
        <v>302.83199999999999</v>
      </c>
      <c r="F351">
        <f t="shared" si="22"/>
        <v>302832</v>
      </c>
      <c r="G351">
        <f t="shared" si="23"/>
        <v>975.60598445896312</v>
      </c>
      <c r="H351" s="2">
        <v>42979</v>
      </c>
      <c r="I351" s="1" t="s">
        <v>223</v>
      </c>
      <c r="J351" s="1" t="s">
        <v>220</v>
      </c>
      <c r="K351" t="s">
        <v>20</v>
      </c>
      <c r="L351" t="s">
        <v>21</v>
      </c>
      <c r="M351" t="str">
        <f t="shared" si="25"/>
        <v>ND</v>
      </c>
      <c r="N351" t="str">
        <f t="shared" si="24"/>
        <v>ND</v>
      </c>
    </row>
    <row r="352" spans="1:14" x14ac:dyDescent="0.3">
      <c r="A352" t="s">
        <v>46</v>
      </c>
      <c r="B352">
        <v>5</v>
      </c>
      <c r="C352">
        <v>11</v>
      </c>
      <c r="D352" t="s">
        <v>67</v>
      </c>
      <c r="E352">
        <v>302.83199999999999</v>
      </c>
      <c r="F352">
        <f t="shared" si="22"/>
        <v>302832</v>
      </c>
      <c r="G352">
        <f t="shared" si="23"/>
        <v>975.60598445896312</v>
      </c>
      <c r="H352" s="2">
        <v>42979</v>
      </c>
      <c r="I352" s="1" t="s">
        <v>223</v>
      </c>
      <c r="J352" s="1" t="s">
        <v>220</v>
      </c>
      <c r="K352">
        <v>84</v>
      </c>
      <c r="L352" t="s">
        <v>21</v>
      </c>
      <c r="M352">
        <f t="shared" si="25"/>
        <v>8.4000000000000005E-2</v>
      </c>
      <c r="N352">
        <f t="shared" si="24"/>
        <v>26.073936000000003</v>
      </c>
    </row>
    <row r="353" spans="1:14" x14ac:dyDescent="0.3">
      <c r="A353" t="s">
        <v>44</v>
      </c>
      <c r="B353">
        <v>5</v>
      </c>
      <c r="C353">
        <v>11</v>
      </c>
      <c r="D353" t="s">
        <v>67</v>
      </c>
      <c r="E353">
        <v>302.83199999999999</v>
      </c>
      <c r="F353">
        <f t="shared" si="22"/>
        <v>302832</v>
      </c>
      <c r="G353">
        <f t="shared" si="23"/>
        <v>975.60598445896312</v>
      </c>
      <c r="H353" s="2">
        <v>42979</v>
      </c>
      <c r="I353" s="1" t="s">
        <v>223</v>
      </c>
      <c r="J353" s="1" t="s">
        <v>220</v>
      </c>
      <c r="K353">
        <v>1292</v>
      </c>
      <c r="L353" t="s">
        <v>21</v>
      </c>
      <c r="M353">
        <f t="shared" si="25"/>
        <v>1.292</v>
      </c>
      <c r="N353">
        <f t="shared" si="24"/>
        <v>401.04196800000005</v>
      </c>
    </row>
    <row r="354" spans="1:14" x14ac:dyDescent="0.3">
      <c r="A354" t="s">
        <v>54</v>
      </c>
      <c r="B354">
        <v>5</v>
      </c>
      <c r="C354">
        <v>11</v>
      </c>
      <c r="D354" t="s">
        <v>67</v>
      </c>
      <c r="E354">
        <v>302.83199999999999</v>
      </c>
      <c r="F354">
        <f t="shared" si="22"/>
        <v>302832</v>
      </c>
      <c r="G354">
        <f t="shared" si="23"/>
        <v>975.60598445896312</v>
      </c>
      <c r="H354" s="2">
        <v>42979</v>
      </c>
      <c r="I354" s="1" t="s">
        <v>223</v>
      </c>
      <c r="J354" s="1" t="s">
        <v>220</v>
      </c>
      <c r="K354" t="s">
        <v>20</v>
      </c>
      <c r="L354" t="s">
        <v>21</v>
      </c>
      <c r="M354" t="str">
        <f t="shared" si="25"/>
        <v>ND</v>
      </c>
      <c r="N354" t="str">
        <f t="shared" si="24"/>
        <v>ND</v>
      </c>
    </row>
    <row r="355" spans="1:14" x14ac:dyDescent="0.3">
      <c r="A355" t="s">
        <v>19</v>
      </c>
      <c r="B355">
        <v>5</v>
      </c>
      <c r="C355">
        <v>11</v>
      </c>
      <c r="D355" t="s">
        <v>67</v>
      </c>
      <c r="E355">
        <v>302.83199999999999</v>
      </c>
      <c r="F355">
        <f t="shared" si="22"/>
        <v>302832</v>
      </c>
      <c r="G355">
        <f t="shared" si="23"/>
        <v>975.60598445896312</v>
      </c>
      <c r="H355" s="2">
        <v>42979</v>
      </c>
      <c r="I355" s="1" t="s">
        <v>223</v>
      </c>
      <c r="J355" s="1" t="s">
        <v>220</v>
      </c>
      <c r="K355" t="s">
        <v>20</v>
      </c>
      <c r="L355" t="s">
        <v>21</v>
      </c>
      <c r="M355" t="str">
        <f t="shared" si="25"/>
        <v>ND</v>
      </c>
      <c r="N355" t="str">
        <f t="shared" si="24"/>
        <v>ND</v>
      </c>
    </row>
    <row r="356" spans="1:14" x14ac:dyDescent="0.3">
      <c r="A356" t="s">
        <v>55</v>
      </c>
      <c r="B356">
        <v>5</v>
      </c>
      <c r="C356">
        <v>11</v>
      </c>
      <c r="D356" t="s">
        <v>67</v>
      </c>
      <c r="E356">
        <v>302.83199999999999</v>
      </c>
      <c r="F356">
        <f t="shared" si="22"/>
        <v>302832</v>
      </c>
      <c r="G356">
        <f t="shared" si="23"/>
        <v>975.60598445896312</v>
      </c>
      <c r="H356" s="2">
        <v>42979</v>
      </c>
      <c r="I356" s="1" t="s">
        <v>223</v>
      </c>
      <c r="J356" s="1" t="s">
        <v>220</v>
      </c>
      <c r="K356" t="s">
        <v>20</v>
      </c>
      <c r="L356" t="s">
        <v>21</v>
      </c>
      <c r="M356" t="str">
        <f t="shared" si="25"/>
        <v>ND</v>
      </c>
      <c r="N356" t="str">
        <f t="shared" si="24"/>
        <v>ND</v>
      </c>
    </row>
    <row r="357" spans="1:14" x14ac:dyDescent="0.3">
      <c r="A357" t="s">
        <v>34</v>
      </c>
      <c r="B357">
        <v>5</v>
      </c>
      <c r="C357">
        <v>11</v>
      </c>
      <c r="D357" t="s">
        <v>67</v>
      </c>
      <c r="E357">
        <v>302.83199999999999</v>
      </c>
      <c r="F357">
        <f t="shared" si="22"/>
        <v>302832</v>
      </c>
      <c r="G357">
        <f t="shared" si="23"/>
        <v>975.60598445896312</v>
      </c>
      <c r="H357" s="2">
        <v>42979</v>
      </c>
      <c r="I357" s="1" t="s">
        <v>223</v>
      </c>
      <c r="J357" s="1" t="s">
        <v>220</v>
      </c>
      <c r="K357" t="s">
        <v>20</v>
      </c>
      <c r="L357" t="s">
        <v>21</v>
      </c>
      <c r="M357" t="str">
        <f t="shared" si="25"/>
        <v>ND</v>
      </c>
      <c r="N357" t="str">
        <f t="shared" si="24"/>
        <v>ND</v>
      </c>
    </row>
    <row r="358" spans="1:14" x14ac:dyDescent="0.3">
      <c r="A358" t="s">
        <v>56</v>
      </c>
      <c r="B358">
        <v>5</v>
      </c>
      <c r="C358">
        <v>11</v>
      </c>
      <c r="D358" t="s">
        <v>67</v>
      </c>
      <c r="E358">
        <v>302.83199999999999</v>
      </c>
      <c r="F358">
        <f t="shared" si="22"/>
        <v>302832</v>
      </c>
      <c r="G358">
        <f t="shared" si="23"/>
        <v>975.60598445896312</v>
      </c>
      <c r="H358" s="2">
        <v>42979</v>
      </c>
      <c r="I358" s="1" t="s">
        <v>223</v>
      </c>
      <c r="J358" s="1" t="s">
        <v>220</v>
      </c>
      <c r="K358">
        <v>710</v>
      </c>
      <c r="L358" t="s">
        <v>21</v>
      </c>
      <c r="M358">
        <f t="shared" si="25"/>
        <v>0.71</v>
      </c>
      <c r="N358">
        <f t="shared" si="24"/>
        <v>220.38684000000001</v>
      </c>
    </row>
    <row r="359" spans="1:14" x14ac:dyDescent="0.3">
      <c r="A359" t="s">
        <v>37</v>
      </c>
      <c r="B359">
        <v>5</v>
      </c>
      <c r="C359">
        <v>11</v>
      </c>
      <c r="D359" t="s">
        <v>67</v>
      </c>
      <c r="E359">
        <v>302.83199999999999</v>
      </c>
      <c r="F359">
        <f t="shared" si="22"/>
        <v>302832</v>
      </c>
      <c r="G359">
        <f t="shared" si="23"/>
        <v>975.60598445896312</v>
      </c>
      <c r="H359" s="2">
        <v>42979</v>
      </c>
      <c r="I359" s="1" t="s">
        <v>223</v>
      </c>
      <c r="J359" s="1" t="s">
        <v>220</v>
      </c>
      <c r="K359" t="s">
        <v>20</v>
      </c>
      <c r="L359" t="s">
        <v>21</v>
      </c>
      <c r="M359" t="str">
        <f t="shared" si="25"/>
        <v>ND</v>
      </c>
      <c r="N359" t="str">
        <f t="shared" si="24"/>
        <v>ND</v>
      </c>
    </row>
    <row r="360" spans="1:14" x14ac:dyDescent="0.3">
      <c r="A360" t="s">
        <v>57</v>
      </c>
      <c r="B360">
        <v>5</v>
      </c>
      <c r="C360">
        <v>11</v>
      </c>
      <c r="D360" t="s">
        <v>67</v>
      </c>
      <c r="E360">
        <v>302.83199999999999</v>
      </c>
      <c r="F360">
        <f t="shared" ref="F360:F406" si="26">E360*1000</f>
        <v>302832</v>
      </c>
      <c r="G360">
        <f t="shared" ref="G360:G406" si="27">F360/310.404</f>
        <v>975.60598445896312</v>
      </c>
      <c r="H360" s="2">
        <v>42979</v>
      </c>
      <c r="I360" s="1" t="s">
        <v>223</v>
      </c>
      <c r="J360" s="1" t="s">
        <v>220</v>
      </c>
      <c r="K360" t="s">
        <v>20</v>
      </c>
      <c r="L360" t="s">
        <v>21</v>
      </c>
      <c r="M360" t="str">
        <f t="shared" si="25"/>
        <v>ND</v>
      </c>
      <c r="N360" t="str">
        <f t="shared" si="24"/>
        <v>ND</v>
      </c>
    </row>
    <row r="361" spans="1:14" x14ac:dyDescent="0.3">
      <c r="A361" t="s">
        <v>58</v>
      </c>
      <c r="B361">
        <v>5</v>
      </c>
      <c r="C361">
        <v>11</v>
      </c>
      <c r="D361" t="s">
        <v>67</v>
      </c>
      <c r="E361">
        <v>302.83199999999999</v>
      </c>
      <c r="F361">
        <f t="shared" si="26"/>
        <v>302832</v>
      </c>
      <c r="G361">
        <f t="shared" si="27"/>
        <v>975.60598445896312</v>
      </c>
      <c r="H361" s="2">
        <v>42979</v>
      </c>
      <c r="I361" s="1" t="s">
        <v>223</v>
      </c>
      <c r="J361" s="1" t="s">
        <v>220</v>
      </c>
      <c r="K361" t="s">
        <v>20</v>
      </c>
      <c r="L361" t="s">
        <v>21</v>
      </c>
      <c r="M361" t="str">
        <f t="shared" si="25"/>
        <v>ND</v>
      </c>
      <c r="N361" t="str">
        <f t="shared" si="24"/>
        <v>ND</v>
      </c>
    </row>
    <row r="362" spans="1:14" x14ac:dyDescent="0.3">
      <c r="A362" t="s">
        <v>59</v>
      </c>
      <c r="B362">
        <v>5</v>
      </c>
      <c r="C362">
        <v>11</v>
      </c>
      <c r="D362" t="s">
        <v>67</v>
      </c>
      <c r="E362">
        <v>302.83199999999999</v>
      </c>
      <c r="F362">
        <f t="shared" si="26"/>
        <v>302832</v>
      </c>
      <c r="G362">
        <f t="shared" si="27"/>
        <v>975.60598445896312</v>
      </c>
      <c r="H362" s="2">
        <v>42979</v>
      </c>
      <c r="I362" s="1" t="s">
        <v>223</v>
      </c>
      <c r="J362" s="1" t="s">
        <v>220</v>
      </c>
      <c r="K362" t="s">
        <v>20</v>
      </c>
      <c r="L362" t="s">
        <v>21</v>
      </c>
      <c r="M362" t="str">
        <f t="shared" si="25"/>
        <v>ND</v>
      </c>
      <c r="N362" t="str">
        <f t="shared" si="24"/>
        <v>ND</v>
      </c>
    </row>
    <row r="363" spans="1:14" x14ac:dyDescent="0.3">
      <c r="A363" t="s">
        <v>40</v>
      </c>
      <c r="B363">
        <v>5</v>
      </c>
      <c r="C363">
        <v>11</v>
      </c>
      <c r="D363" t="s">
        <v>67</v>
      </c>
      <c r="E363">
        <v>302.83199999999999</v>
      </c>
      <c r="F363">
        <f t="shared" si="26"/>
        <v>302832</v>
      </c>
      <c r="G363">
        <f t="shared" si="27"/>
        <v>975.60598445896312</v>
      </c>
      <c r="H363" s="2">
        <v>42979</v>
      </c>
      <c r="I363" s="1" t="s">
        <v>223</v>
      </c>
      <c r="J363" s="1" t="s">
        <v>220</v>
      </c>
      <c r="K363">
        <v>4998</v>
      </c>
      <c r="L363" t="s">
        <v>21</v>
      </c>
      <c r="M363">
        <f t="shared" si="25"/>
        <v>4.9980000000000002</v>
      </c>
      <c r="N363">
        <f t="shared" si="24"/>
        <v>1551.3991920000001</v>
      </c>
    </row>
    <row r="364" spans="1:14" x14ac:dyDescent="0.3">
      <c r="A364" t="s">
        <v>41</v>
      </c>
      <c r="B364">
        <v>5</v>
      </c>
      <c r="C364">
        <v>11</v>
      </c>
      <c r="D364" t="s">
        <v>67</v>
      </c>
      <c r="E364">
        <v>302.83199999999999</v>
      </c>
      <c r="F364">
        <f t="shared" si="26"/>
        <v>302832</v>
      </c>
      <c r="G364">
        <f t="shared" si="27"/>
        <v>975.60598445896312</v>
      </c>
      <c r="H364" s="2">
        <v>42979</v>
      </c>
      <c r="I364" s="1" t="s">
        <v>223</v>
      </c>
      <c r="J364" s="1" t="s">
        <v>220</v>
      </c>
      <c r="K364">
        <v>1329</v>
      </c>
      <c r="L364" t="s">
        <v>21</v>
      </c>
      <c r="M364">
        <f t="shared" si="25"/>
        <v>1.329</v>
      </c>
      <c r="N364">
        <f t="shared" si="24"/>
        <v>412.52691600000003</v>
      </c>
    </row>
    <row r="365" spans="1:14" x14ac:dyDescent="0.3">
      <c r="A365" t="s">
        <v>42</v>
      </c>
      <c r="B365">
        <v>5</v>
      </c>
      <c r="C365">
        <v>11</v>
      </c>
      <c r="D365" t="s">
        <v>67</v>
      </c>
      <c r="E365">
        <v>302.83199999999999</v>
      </c>
      <c r="F365">
        <f t="shared" si="26"/>
        <v>302832</v>
      </c>
      <c r="G365">
        <f t="shared" si="27"/>
        <v>975.60598445896312</v>
      </c>
      <c r="H365" s="2">
        <v>42979</v>
      </c>
      <c r="I365" s="1" t="s">
        <v>223</v>
      </c>
      <c r="J365" s="1" t="s">
        <v>220</v>
      </c>
      <c r="K365" t="s">
        <v>20</v>
      </c>
      <c r="L365" t="s">
        <v>21</v>
      </c>
      <c r="M365" t="str">
        <f t="shared" si="25"/>
        <v>ND</v>
      </c>
      <c r="N365" t="str">
        <f t="shared" si="24"/>
        <v>ND</v>
      </c>
    </row>
    <row r="366" spans="1:14" x14ac:dyDescent="0.3">
      <c r="A366" t="s">
        <v>60</v>
      </c>
      <c r="B366">
        <v>5</v>
      </c>
      <c r="C366">
        <v>11</v>
      </c>
      <c r="D366" t="s">
        <v>67</v>
      </c>
      <c r="E366">
        <v>302.83199999999999</v>
      </c>
      <c r="F366">
        <f t="shared" si="26"/>
        <v>302832</v>
      </c>
      <c r="G366">
        <f t="shared" si="27"/>
        <v>975.60598445896312</v>
      </c>
      <c r="H366" s="2">
        <v>42979</v>
      </c>
      <c r="I366" s="1" t="s">
        <v>223</v>
      </c>
      <c r="J366" s="1" t="s">
        <v>220</v>
      </c>
      <c r="K366" t="s">
        <v>20</v>
      </c>
      <c r="L366" t="s">
        <v>21</v>
      </c>
      <c r="M366" t="str">
        <f t="shared" si="25"/>
        <v>ND</v>
      </c>
      <c r="N366" t="str">
        <f t="shared" si="24"/>
        <v>ND</v>
      </c>
    </row>
    <row r="367" spans="1:14" x14ac:dyDescent="0.3">
      <c r="A367" t="s">
        <v>23</v>
      </c>
      <c r="B367">
        <v>5</v>
      </c>
      <c r="C367">
        <v>11</v>
      </c>
      <c r="D367" t="s">
        <v>67</v>
      </c>
      <c r="E367">
        <v>302.83199999999999</v>
      </c>
      <c r="F367">
        <f t="shared" si="26"/>
        <v>302832</v>
      </c>
      <c r="G367">
        <f t="shared" si="27"/>
        <v>975.60598445896312</v>
      </c>
      <c r="H367" s="2">
        <v>43070</v>
      </c>
      <c r="I367" s="1" t="s">
        <v>223</v>
      </c>
      <c r="J367" s="1" t="s">
        <v>220</v>
      </c>
      <c r="K367">
        <v>18862</v>
      </c>
      <c r="L367" t="s">
        <v>21</v>
      </c>
      <c r="M367">
        <f t="shared" si="25"/>
        <v>18.861999999999998</v>
      </c>
      <c r="N367">
        <f t="shared" si="24"/>
        <v>5854.8402479999995</v>
      </c>
    </row>
    <row r="368" spans="1:14" x14ac:dyDescent="0.3">
      <c r="A368" t="s">
        <v>53</v>
      </c>
      <c r="B368">
        <v>5</v>
      </c>
      <c r="C368">
        <v>11</v>
      </c>
      <c r="D368" t="s">
        <v>67</v>
      </c>
      <c r="E368">
        <v>302.83199999999999</v>
      </c>
      <c r="F368">
        <f t="shared" si="26"/>
        <v>302832</v>
      </c>
      <c r="G368">
        <f t="shared" si="27"/>
        <v>975.60598445896312</v>
      </c>
      <c r="H368" s="2">
        <v>43070</v>
      </c>
      <c r="I368" s="1" t="s">
        <v>223</v>
      </c>
      <c r="J368" s="1" t="s">
        <v>220</v>
      </c>
      <c r="K368">
        <v>226</v>
      </c>
      <c r="L368" t="s">
        <v>21</v>
      </c>
      <c r="M368">
        <f t="shared" si="25"/>
        <v>0.22600000000000001</v>
      </c>
      <c r="N368">
        <f t="shared" si="24"/>
        <v>70.15130400000001</v>
      </c>
    </row>
    <row r="369" spans="1:14" x14ac:dyDescent="0.3">
      <c r="A369" t="s">
        <v>27</v>
      </c>
      <c r="B369">
        <v>5</v>
      </c>
      <c r="C369">
        <v>11</v>
      </c>
      <c r="D369" t="s">
        <v>67</v>
      </c>
      <c r="E369">
        <v>302.83199999999999</v>
      </c>
      <c r="F369">
        <f t="shared" si="26"/>
        <v>302832</v>
      </c>
      <c r="G369">
        <f t="shared" si="27"/>
        <v>975.60598445896312</v>
      </c>
      <c r="H369" s="2">
        <v>43070</v>
      </c>
      <c r="I369" s="1" t="s">
        <v>223</v>
      </c>
      <c r="J369" s="1" t="s">
        <v>220</v>
      </c>
      <c r="K369">
        <v>94</v>
      </c>
      <c r="L369" t="s">
        <v>21</v>
      </c>
      <c r="M369">
        <f t="shared" si="25"/>
        <v>9.4E-2</v>
      </c>
      <c r="N369">
        <f t="shared" si="24"/>
        <v>29.177976000000001</v>
      </c>
    </row>
    <row r="370" spans="1:14" x14ac:dyDescent="0.3">
      <c r="A370" t="s">
        <v>28</v>
      </c>
      <c r="B370">
        <v>5</v>
      </c>
      <c r="C370">
        <v>11</v>
      </c>
      <c r="D370" t="s">
        <v>67</v>
      </c>
      <c r="E370">
        <v>302.83199999999999</v>
      </c>
      <c r="F370">
        <f t="shared" si="26"/>
        <v>302832</v>
      </c>
      <c r="G370">
        <f t="shared" si="27"/>
        <v>975.60598445896312</v>
      </c>
      <c r="H370" s="2">
        <v>43070</v>
      </c>
      <c r="I370" s="1" t="s">
        <v>223</v>
      </c>
      <c r="J370" s="1" t="s">
        <v>220</v>
      </c>
      <c r="K370">
        <v>485</v>
      </c>
      <c r="L370" t="s">
        <v>21</v>
      </c>
      <c r="M370">
        <f t="shared" si="25"/>
        <v>0.48499999999999999</v>
      </c>
      <c r="N370">
        <f t="shared" si="24"/>
        <v>150.54594</v>
      </c>
    </row>
    <row r="371" spans="1:14" x14ac:dyDescent="0.3">
      <c r="A371" t="s">
        <v>31</v>
      </c>
      <c r="B371">
        <v>5</v>
      </c>
      <c r="C371">
        <v>11</v>
      </c>
      <c r="D371" t="s">
        <v>67</v>
      </c>
      <c r="E371">
        <v>302.83199999999999</v>
      </c>
      <c r="F371">
        <f t="shared" si="26"/>
        <v>302832</v>
      </c>
      <c r="G371">
        <f t="shared" si="27"/>
        <v>975.60598445896312</v>
      </c>
      <c r="H371" s="2">
        <v>43070</v>
      </c>
      <c r="I371" s="1" t="s">
        <v>223</v>
      </c>
      <c r="J371" s="1" t="s">
        <v>220</v>
      </c>
      <c r="K371" t="s">
        <v>20</v>
      </c>
      <c r="L371" t="s">
        <v>21</v>
      </c>
      <c r="M371" t="str">
        <f t="shared" si="25"/>
        <v>ND</v>
      </c>
      <c r="N371" t="str">
        <f t="shared" si="24"/>
        <v>ND</v>
      </c>
    </row>
    <row r="372" spans="1:14" x14ac:dyDescent="0.3">
      <c r="A372" t="s">
        <v>46</v>
      </c>
      <c r="B372">
        <v>5</v>
      </c>
      <c r="C372">
        <v>11</v>
      </c>
      <c r="D372" t="s">
        <v>67</v>
      </c>
      <c r="E372">
        <v>302.83199999999999</v>
      </c>
      <c r="F372">
        <f t="shared" si="26"/>
        <v>302832</v>
      </c>
      <c r="G372">
        <f t="shared" si="27"/>
        <v>975.60598445896312</v>
      </c>
      <c r="H372" s="2">
        <v>43070</v>
      </c>
      <c r="I372" s="1" t="s">
        <v>223</v>
      </c>
      <c r="J372" s="1" t="s">
        <v>220</v>
      </c>
      <c r="K372" t="s">
        <v>20</v>
      </c>
      <c r="L372" t="s">
        <v>21</v>
      </c>
      <c r="M372" t="str">
        <f t="shared" si="25"/>
        <v>ND</v>
      </c>
      <c r="N372" t="str">
        <f t="shared" si="24"/>
        <v>ND</v>
      </c>
    </row>
    <row r="373" spans="1:14" x14ac:dyDescent="0.3">
      <c r="A373" t="s">
        <v>44</v>
      </c>
      <c r="B373">
        <v>5</v>
      </c>
      <c r="C373">
        <v>11</v>
      </c>
      <c r="D373" t="s">
        <v>67</v>
      </c>
      <c r="E373">
        <v>302.83199999999999</v>
      </c>
      <c r="F373">
        <f t="shared" si="26"/>
        <v>302832</v>
      </c>
      <c r="G373">
        <f t="shared" si="27"/>
        <v>975.60598445896312</v>
      </c>
      <c r="H373" s="2">
        <v>43070</v>
      </c>
      <c r="I373" s="1" t="s">
        <v>223</v>
      </c>
      <c r="J373" s="1" t="s">
        <v>220</v>
      </c>
      <c r="K373">
        <v>190</v>
      </c>
      <c r="L373" t="s">
        <v>21</v>
      </c>
      <c r="M373">
        <f t="shared" si="25"/>
        <v>0.19</v>
      </c>
      <c r="N373">
        <f t="shared" si="24"/>
        <v>58.976760000000006</v>
      </c>
    </row>
    <row r="374" spans="1:14" x14ac:dyDescent="0.3">
      <c r="A374" t="s">
        <v>54</v>
      </c>
      <c r="B374">
        <v>5</v>
      </c>
      <c r="C374">
        <v>11</v>
      </c>
      <c r="D374" t="s">
        <v>67</v>
      </c>
      <c r="E374">
        <v>302.83199999999999</v>
      </c>
      <c r="F374">
        <f t="shared" si="26"/>
        <v>302832</v>
      </c>
      <c r="G374">
        <f t="shared" si="27"/>
        <v>975.60598445896312</v>
      </c>
      <c r="H374" s="2">
        <v>43070</v>
      </c>
      <c r="I374" s="1" t="s">
        <v>223</v>
      </c>
      <c r="J374" s="1" t="s">
        <v>220</v>
      </c>
      <c r="K374" t="s">
        <v>20</v>
      </c>
      <c r="L374" t="s">
        <v>21</v>
      </c>
      <c r="M374" t="str">
        <f t="shared" si="25"/>
        <v>ND</v>
      </c>
      <c r="N374" t="str">
        <f t="shared" si="24"/>
        <v>ND</v>
      </c>
    </row>
    <row r="375" spans="1:14" x14ac:dyDescent="0.3">
      <c r="A375" t="s">
        <v>19</v>
      </c>
      <c r="B375">
        <v>5</v>
      </c>
      <c r="C375">
        <v>11</v>
      </c>
      <c r="D375" t="s">
        <v>67</v>
      </c>
      <c r="E375">
        <v>302.83199999999999</v>
      </c>
      <c r="F375">
        <f t="shared" si="26"/>
        <v>302832</v>
      </c>
      <c r="G375">
        <f t="shared" si="27"/>
        <v>975.60598445896312</v>
      </c>
      <c r="H375" s="2">
        <v>43070</v>
      </c>
      <c r="I375" s="1" t="s">
        <v>223</v>
      </c>
      <c r="J375" s="1" t="s">
        <v>220</v>
      </c>
      <c r="K375" t="s">
        <v>20</v>
      </c>
      <c r="L375" t="s">
        <v>21</v>
      </c>
      <c r="M375" t="str">
        <f t="shared" si="25"/>
        <v>ND</v>
      </c>
      <c r="N375" t="str">
        <f t="shared" si="24"/>
        <v>ND</v>
      </c>
    </row>
    <row r="376" spans="1:14" x14ac:dyDescent="0.3">
      <c r="A376" t="s">
        <v>55</v>
      </c>
      <c r="B376">
        <v>5</v>
      </c>
      <c r="C376">
        <v>11</v>
      </c>
      <c r="D376" t="s">
        <v>67</v>
      </c>
      <c r="E376">
        <v>302.83199999999999</v>
      </c>
      <c r="F376">
        <f t="shared" si="26"/>
        <v>302832</v>
      </c>
      <c r="G376">
        <f t="shared" si="27"/>
        <v>975.60598445896312</v>
      </c>
      <c r="H376" s="2">
        <v>43070</v>
      </c>
      <c r="I376" s="1" t="s">
        <v>223</v>
      </c>
      <c r="J376" s="1" t="s">
        <v>220</v>
      </c>
      <c r="K376" t="s">
        <v>20</v>
      </c>
      <c r="L376" t="s">
        <v>21</v>
      </c>
      <c r="M376" t="str">
        <f t="shared" si="25"/>
        <v>ND</v>
      </c>
      <c r="N376" t="str">
        <f t="shared" si="24"/>
        <v>ND</v>
      </c>
    </row>
    <row r="377" spans="1:14" x14ac:dyDescent="0.3">
      <c r="A377" t="s">
        <v>34</v>
      </c>
      <c r="B377">
        <v>5</v>
      </c>
      <c r="C377">
        <v>11</v>
      </c>
      <c r="D377" t="s">
        <v>67</v>
      </c>
      <c r="E377">
        <v>302.83199999999999</v>
      </c>
      <c r="F377">
        <f t="shared" si="26"/>
        <v>302832</v>
      </c>
      <c r="G377">
        <f t="shared" si="27"/>
        <v>975.60598445896312</v>
      </c>
      <c r="H377" s="2">
        <v>43070</v>
      </c>
      <c r="I377" s="1" t="s">
        <v>223</v>
      </c>
      <c r="J377" s="1" t="s">
        <v>220</v>
      </c>
      <c r="K377" t="s">
        <v>20</v>
      </c>
      <c r="L377" t="s">
        <v>21</v>
      </c>
      <c r="M377" t="str">
        <f t="shared" si="25"/>
        <v>ND</v>
      </c>
      <c r="N377" t="str">
        <f t="shared" si="24"/>
        <v>ND</v>
      </c>
    </row>
    <row r="378" spans="1:14" x14ac:dyDescent="0.3">
      <c r="A378" t="s">
        <v>56</v>
      </c>
      <c r="B378">
        <v>5</v>
      </c>
      <c r="C378">
        <v>11</v>
      </c>
      <c r="D378" t="s">
        <v>67</v>
      </c>
      <c r="E378">
        <v>302.83199999999999</v>
      </c>
      <c r="F378">
        <f t="shared" si="26"/>
        <v>302832</v>
      </c>
      <c r="G378">
        <f t="shared" si="27"/>
        <v>975.60598445896312</v>
      </c>
      <c r="H378" s="2">
        <v>43070</v>
      </c>
      <c r="I378" s="1" t="s">
        <v>223</v>
      </c>
      <c r="J378" s="1" t="s">
        <v>220</v>
      </c>
      <c r="K378">
        <v>258</v>
      </c>
      <c r="L378" t="s">
        <v>21</v>
      </c>
      <c r="M378">
        <f t="shared" si="25"/>
        <v>0.25800000000000001</v>
      </c>
      <c r="N378">
        <f t="shared" si="24"/>
        <v>80.084232</v>
      </c>
    </row>
    <row r="379" spans="1:14" x14ac:dyDescent="0.3">
      <c r="A379" t="s">
        <v>37</v>
      </c>
      <c r="B379">
        <v>5</v>
      </c>
      <c r="C379">
        <v>11</v>
      </c>
      <c r="D379" t="s">
        <v>67</v>
      </c>
      <c r="E379">
        <v>302.83199999999999</v>
      </c>
      <c r="F379">
        <f t="shared" si="26"/>
        <v>302832</v>
      </c>
      <c r="G379">
        <f t="shared" si="27"/>
        <v>975.60598445896312</v>
      </c>
      <c r="H379" s="2">
        <v>43070</v>
      </c>
      <c r="I379" s="1" t="s">
        <v>223</v>
      </c>
      <c r="J379" s="1" t="s">
        <v>220</v>
      </c>
      <c r="K379" t="s">
        <v>20</v>
      </c>
      <c r="L379" t="s">
        <v>21</v>
      </c>
      <c r="M379" t="str">
        <f t="shared" si="25"/>
        <v>ND</v>
      </c>
      <c r="N379" t="str">
        <f t="shared" si="24"/>
        <v>ND</v>
      </c>
    </row>
    <row r="380" spans="1:14" x14ac:dyDescent="0.3">
      <c r="A380" t="s">
        <v>57</v>
      </c>
      <c r="B380">
        <v>5</v>
      </c>
      <c r="C380">
        <v>11</v>
      </c>
      <c r="D380" t="s">
        <v>67</v>
      </c>
      <c r="E380">
        <v>302.83199999999999</v>
      </c>
      <c r="F380">
        <f t="shared" si="26"/>
        <v>302832</v>
      </c>
      <c r="G380">
        <f t="shared" si="27"/>
        <v>975.60598445896312</v>
      </c>
      <c r="H380" s="2">
        <v>43070</v>
      </c>
      <c r="I380" s="1" t="s">
        <v>223</v>
      </c>
      <c r="J380" s="1" t="s">
        <v>220</v>
      </c>
      <c r="K380" t="s">
        <v>20</v>
      </c>
      <c r="L380" t="s">
        <v>21</v>
      </c>
      <c r="M380" t="str">
        <f t="shared" si="25"/>
        <v>ND</v>
      </c>
      <c r="N380" t="str">
        <f t="shared" si="24"/>
        <v>ND</v>
      </c>
    </row>
    <row r="381" spans="1:14" x14ac:dyDescent="0.3">
      <c r="A381" t="s">
        <v>58</v>
      </c>
      <c r="B381">
        <v>5</v>
      </c>
      <c r="C381">
        <v>11</v>
      </c>
      <c r="D381" t="s">
        <v>67</v>
      </c>
      <c r="E381">
        <v>302.83199999999999</v>
      </c>
      <c r="F381">
        <f t="shared" si="26"/>
        <v>302832</v>
      </c>
      <c r="G381">
        <f t="shared" si="27"/>
        <v>975.60598445896312</v>
      </c>
      <c r="H381" s="2">
        <v>43070</v>
      </c>
      <c r="I381" s="1" t="s">
        <v>223</v>
      </c>
      <c r="J381" s="1" t="s">
        <v>220</v>
      </c>
      <c r="K381" t="s">
        <v>20</v>
      </c>
      <c r="L381" t="s">
        <v>21</v>
      </c>
      <c r="M381" t="str">
        <f t="shared" si="25"/>
        <v>ND</v>
      </c>
      <c r="N381" t="str">
        <f t="shared" si="24"/>
        <v>ND</v>
      </c>
    </row>
    <row r="382" spans="1:14" x14ac:dyDescent="0.3">
      <c r="A382" t="s">
        <v>59</v>
      </c>
      <c r="B382">
        <v>5</v>
      </c>
      <c r="C382">
        <v>11</v>
      </c>
      <c r="D382" t="s">
        <v>67</v>
      </c>
      <c r="E382">
        <v>302.83199999999999</v>
      </c>
      <c r="F382">
        <f t="shared" si="26"/>
        <v>302832</v>
      </c>
      <c r="G382">
        <f t="shared" si="27"/>
        <v>975.60598445896312</v>
      </c>
      <c r="H382" s="2">
        <v>43070</v>
      </c>
      <c r="I382" s="1" t="s">
        <v>223</v>
      </c>
      <c r="J382" s="1" t="s">
        <v>220</v>
      </c>
      <c r="K382" t="s">
        <v>20</v>
      </c>
      <c r="L382" t="s">
        <v>21</v>
      </c>
      <c r="M382" t="str">
        <f t="shared" si="25"/>
        <v>ND</v>
      </c>
      <c r="N382" t="str">
        <f t="shared" si="24"/>
        <v>ND</v>
      </c>
    </row>
    <row r="383" spans="1:14" x14ac:dyDescent="0.3">
      <c r="A383" t="s">
        <v>40</v>
      </c>
      <c r="B383">
        <v>5</v>
      </c>
      <c r="C383">
        <v>11</v>
      </c>
      <c r="D383" t="s">
        <v>67</v>
      </c>
      <c r="E383">
        <v>302.83199999999999</v>
      </c>
      <c r="F383">
        <f t="shared" si="26"/>
        <v>302832</v>
      </c>
      <c r="G383">
        <f t="shared" si="27"/>
        <v>975.60598445896312</v>
      </c>
      <c r="H383" s="2">
        <v>43070</v>
      </c>
      <c r="I383" s="1" t="s">
        <v>223</v>
      </c>
      <c r="J383" s="1" t="s">
        <v>220</v>
      </c>
      <c r="K383">
        <v>2956</v>
      </c>
      <c r="L383" t="s">
        <v>21</v>
      </c>
      <c r="M383">
        <f t="shared" si="25"/>
        <v>2.956</v>
      </c>
      <c r="N383">
        <f t="shared" si="24"/>
        <v>917.55422399999998</v>
      </c>
    </row>
    <row r="384" spans="1:14" x14ac:dyDescent="0.3">
      <c r="A384" t="s">
        <v>41</v>
      </c>
      <c r="B384">
        <v>5</v>
      </c>
      <c r="C384">
        <v>11</v>
      </c>
      <c r="D384" t="s">
        <v>67</v>
      </c>
      <c r="E384">
        <v>302.83199999999999</v>
      </c>
      <c r="F384">
        <f t="shared" si="26"/>
        <v>302832</v>
      </c>
      <c r="G384">
        <f t="shared" si="27"/>
        <v>975.60598445896312</v>
      </c>
      <c r="H384" s="2">
        <v>43070</v>
      </c>
      <c r="I384" s="1" t="s">
        <v>223</v>
      </c>
      <c r="J384" s="1" t="s">
        <v>220</v>
      </c>
      <c r="K384">
        <v>371</v>
      </c>
      <c r="L384" t="s">
        <v>21</v>
      </c>
      <c r="M384">
        <f t="shared" si="25"/>
        <v>0.371</v>
      </c>
      <c r="N384">
        <f t="shared" si="24"/>
        <v>115.15988400000001</v>
      </c>
    </row>
    <row r="385" spans="1:14" x14ac:dyDescent="0.3">
      <c r="A385" t="s">
        <v>42</v>
      </c>
      <c r="B385">
        <v>5</v>
      </c>
      <c r="C385">
        <v>11</v>
      </c>
      <c r="D385" t="s">
        <v>67</v>
      </c>
      <c r="E385">
        <v>302.83199999999999</v>
      </c>
      <c r="F385">
        <f t="shared" si="26"/>
        <v>302832</v>
      </c>
      <c r="G385">
        <f t="shared" si="27"/>
        <v>975.60598445896312</v>
      </c>
      <c r="H385" s="2">
        <v>43070</v>
      </c>
      <c r="I385" s="1" t="s">
        <v>223</v>
      </c>
      <c r="J385" s="1" t="s">
        <v>220</v>
      </c>
      <c r="K385" t="s">
        <v>20</v>
      </c>
      <c r="L385" t="s">
        <v>21</v>
      </c>
      <c r="M385" t="str">
        <f t="shared" si="25"/>
        <v>ND</v>
      </c>
      <c r="N385" t="str">
        <f t="shared" si="24"/>
        <v>ND</v>
      </c>
    </row>
    <row r="386" spans="1:14" x14ac:dyDescent="0.3">
      <c r="A386" t="s">
        <v>60</v>
      </c>
      <c r="B386">
        <v>5</v>
      </c>
      <c r="C386">
        <v>11</v>
      </c>
      <c r="D386" t="s">
        <v>67</v>
      </c>
      <c r="E386">
        <v>302.83199999999999</v>
      </c>
      <c r="F386">
        <f t="shared" si="26"/>
        <v>302832</v>
      </c>
      <c r="G386">
        <f t="shared" si="27"/>
        <v>975.60598445896312</v>
      </c>
      <c r="H386" s="2">
        <v>43070</v>
      </c>
      <c r="I386" s="1" t="s">
        <v>223</v>
      </c>
      <c r="J386" s="1" t="s">
        <v>220</v>
      </c>
      <c r="K386" t="s">
        <v>20</v>
      </c>
      <c r="L386" t="s">
        <v>21</v>
      </c>
      <c r="M386" t="str">
        <f t="shared" si="25"/>
        <v>ND</v>
      </c>
      <c r="N386" t="str">
        <f t="shared" ref="N386:N449" si="28">IFERROR((M386*F386)/G386,"ND")</f>
        <v>ND</v>
      </c>
    </row>
    <row r="387" spans="1:14" x14ac:dyDescent="0.3">
      <c r="A387" t="s">
        <v>23</v>
      </c>
      <c r="B387">
        <v>5</v>
      </c>
      <c r="C387">
        <v>11</v>
      </c>
      <c r="D387" t="s">
        <v>67</v>
      </c>
      <c r="E387">
        <v>302.83199999999999</v>
      </c>
      <c r="F387">
        <f t="shared" si="26"/>
        <v>302832</v>
      </c>
      <c r="G387">
        <f t="shared" si="27"/>
        <v>975.60598445896312</v>
      </c>
      <c r="H387" s="2">
        <v>43282</v>
      </c>
      <c r="I387" s="1" t="s">
        <v>223</v>
      </c>
      <c r="J387" s="1" t="s">
        <v>220</v>
      </c>
      <c r="K387">
        <v>30592</v>
      </c>
      <c r="L387" t="s">
        <v>21</v>
      </c>
      <c r="M387">
        <f t="shared" si="25"/>
        <v>30.591999999999999</v>
      </c>
      <c r="N387">
        <f t="shared" si="28"/>
        <v>9495.8791679999995</v>
      </c>
    </row>
    <row r="388" spans="1:14" x14ac:dyDescent="0.3">
      <c r="A388" t="s">
        <v>53</v>
      </c>
      <c r="B388">
        <v>5</v>
      </c>
      <c r="C388">
        <v>11</v>
      </c>
      <c r="D388" t="s">
        <v>67</v>
      </c>
      <c r="E388">
        <v>302.83199999999999</v>
      </c>
      <c r="F388">
        <f t="shared" si="26"/>
        <v>302832</v>
      </c>
      <c r="G388">
        <f t="shared" si="27"/>
        <v>975.60598445896312</v>
      </c>
      <c r="H388" s="2">
        <v>43282</v>
      </c>
      <c r="I388" s="1" t="s">
        <v>223</v>
      </c>
      <c r="J388" s="1" t="s">
        <v>220</v>
      </c>
      <c r="K388">
        <v>464</v>
      </c>
      <c r="L388" t="s">
        <v>21</v>
      </c>
      <c r="M388">
        <f t="shared" si="25"/>
        <v>0.46400000000000002</v>
      </c>
      <c r="N388">
        <f t="shared" si="28"/>
        <v>144.02745600000003</v>
      </c>
    </row>
    <row r="389" spans="1:14" x14ac:dyDescent="0.3">
      <c r="A389" t="s">
        <v>27</v>
      </c>
      <c r="B389">
        <v>5</v>
      </c>
      <c r="C389">
        <v>11</v>
      </c>
      <c r="D389" t="s">
        <v>67</v>
      </c>
      <c r="E389">
        <v>302.83199999999999</v>
      </c>
      <c r="F389">
        <f t="shared" si="26"/>
        <v>302832</v>
      </c>
      <c r="G389">
        <f t="shared" si="27"/>
        <v>975.60598445896312</v>
      </c>
      <c r="H389" s="2">
        <v>43282</v>
      </c>
      <c r="I389" s="1" t="s">
        <v>223</v>
      </c>
      <c r="J389" s="1" t="s">
        <v>220</v>
      </c>
      <c r="K389" t="s">
        <v>20</v>
      </c>
      <c r="L389" t="s">
        <v>21</v>
      </c>
      <c r="M389" t="str">
        <f t="shared" si="25"/>
        <v>ND</v>
      </c>
      <c r="N389" t="str">
        <f t="shared" si="28"/>
        <v>ND</v>
      </c>
    </row>
    <row r="390" spans="1:14" x14ac:dyDescent="0.3">
      <c r="A390" t="s">
        <v>28</v>
      </c>
      <c r="B390">
        <v>5</v>
      </c>
      <c r="C390">
        <v>11</v>
      </c>
      <c r="D390" t="s">
        <v>67</v>
      </c>
      <c r="E390">
        <v>302.83199999999999</v>
      </c>
      <c r="F390">
        <f t="shared" si="26"/>
        <v>302832</v>
      </c>
      <c r="G390">
        <f t="shared" si="27"/>
        <v>975.60598445896312</v>
      </c>
      <c r="H390" s="2">
        <v>43282</v>
      </c>
      <c r="I390" s="1" t="s">
        <v>223</v>
      </c>
      <c r="J390" s="1" t="s">
        <v>220</v>
      </c>
      <c r="K390" t="s">
        <v>20</v>
      </c>
      <c r="L390" t="s">
        <v>21</v>
      </c>
      <c r="M390" t="str">
        <f t="shared" si="25"/>
        <v>ND</v>
      </c>
      <c r="N390" t="str">
        <f t="shared" si="28"/>
        <v>ND</v>
      </c>
    </row>
    <row r="391" spans="1:14" x14ac:dyDescent="0.3">
      <c r="A391" t="s">
        <v>31</v>
      </c>
      <c r="B391">
        <v>5</v>
      </c>
      <c r="C391">
        <v>11</v>
      </c>
      <c r="D391" t="s">
        <v>67</v>
      </c>
      <c r="E391">
        <v>302.83199999999999</v>
      </c>
      <c r="F391">
        <f t="shared" si="26"/>
        <v>302832</v>
      </c>
      <c r="G391">
        <f t="shared" si="27"/>
        <v>975.60598445896312</v>
      </c>
      <c r="H391" s="2">
        <v>43282</v>
      </c>
      <c r="I391" s="1" t="s">
        <v>223</v>
      </c>
      <c r="J391" s="1" t="s">
        <v>220</v>
      </c>
      <c r="K391" t="s">
        <v>20</v>
      </c>
      <c r="L391" t="s">
        <v>21</v>
      </c>
      <c r="M391" t="str">
        <f t="shared" si="25"/>
        <v>ND</v>
      </c>
      <c r="N391" t="str">
        <f t="shared" si="28"/>
        <v>ND</v>
      </c>
    </row>
    <row r="392" spans="1:14" x14ac:dyDescent="0.3">
      <c r="A392" t="s">
        <v>46</v>
      </c>
      <c r="B392">
        <v>5</v>
      </c>
      <c r="C392">
        <v>11</v>
      </c>
      <c r="D392" t="s">
        <v>67</v>
      </c>
      <c r="E392">
        <v>302.83199999999999</v>
      </c>
      <c r="F392">
        <f t="shared" si="26"/>
        <v>302832</v>
      </c>
      <c r="G392">
        <f t="shared" si="27"/>
        <v>975.60598445896312</v>
      </c>
      <c r="H392" s="2">
        <v>43282</v>
      </c>
      <c r="I392" s="1" t="s">
        <v>223</v>
      </c>
      <c r="J392" s="1" t="s">
        <v>220</v>
      </c>
      <c r="K392">
        <v>40</v>
      </c>
      <c r="L392" t="s">
        <v>21</v>
      </c>
      <c r="M392">
        <f t="shared" si="25"/>
        <v>0.04</v>
      </c>
      <c r="N392">
        <f t="shared" si="28"/>
        <v>12.416160000000001</v>
      </c>
    </row>
    <row r="393" spans="1:14" x14ac:dyDescent="0.3">
      <c r="A393" t="s">
        <v>44</v>
      </c>
      <c r="B393">
        <v>5</v>
      </c>
      <c r="C393">
        <v>11</v>
      </c>
      <c r="D393" t="s">
        <v>67</v>
      </c>
      <c r="E393">
        <v>302.83199999999999</v>
      </c>
      <c r="F393">
        <f t="shared" si="26"/>
        <v>302832</v>
      </c>
      <c r="G393">
        <f t="shared" si="27"/>
        <v>975.60598445896312</v>
      </c>
      <c r="H393" s="2">
        <v>43282</v>
      </c>
      <c r="I393" s="1" t="s">
        <v>223</v>
      </c>
      <c r="J393" s="1" t="s">
        <v>220</v>
      </c>
      <c r="K393">
        <v>352</v>
      </c>
      <c r="L393" t="s">
        <v>21</v>
      </c>
      <c r="M393">
        <f t="shared" si="25"/>
        <v>0.35199999999999998</v>
      </c>
      <c r="N393">
        <f t="shared" si="28"/>
        <v>109.26220799999999</v>
      </c>
    </row>
    <row r="394" spans="1:14" x14ac:dyDescent="0.3">
      <c r="A394" t="s">
        <v>54</v>
      </c>
      <c r="B394">
        <v>5</v>
      </c>
      <c r="C394">
        <v>11</v>
      </c>
      <c r="D394" t="s">
        <v>67</v>
      </c>
      <c r="E394">
        <v>302.83199999999999</v>
      </c>
      <c r="F394">
        <f t="shared" si="26"/>
        <v>302832</v>
      </c>
      <c r="G394">
        <f t="shared" si="27"/>
        <v>975.60598445896312</v>
      </c>
      <c r="H394" s="2">
        <v>43282</v>
      </c>
      <c r="I394" s="1" t="s">
        <v>223</v>
      </c>
      <c r="J394" s="1" t="s">
        <v>220</v>
      </c>
      <c r="K394" t="s">
        <v>20</v>
      </c>
      <c r="L394" t="s">
        <v>21</v>
      </c>
      <c r="M394" t="str">
        <f t="shared" si="25"/>
        <v>ND</v>
      </c>
      <c r="N394" t="str">
        <f t="shared" si="28"/>
        <v>ND</v>
      </c>
    </row>
    <row r="395" spans="1:14" x14ac:dyDescent="0.3">
      <c r="A395" t="s">
        <v>19</v>
      </c>
      <c r="B395">
        <v>5</v>
      </c>
      <c r="C395">
        <v>11</v>
      </c>
      <c r="D395" t="s">
        <v>67</v>
      </c>
      <c r="E395">
        <v>302.83199999999999</v>
      </c>
      <c r="F395">
        <f t="shared" si="26"/>
        <v>302832</v>
      </c>
      <c r="G395">
        <f t="shared" si="27"/>
        <v>975.60598445896312</v>
      </c>
      <c r="H395" s="2">
        <v>43282</v>
      </c>
      <c r="I395" s="1" t="s">
        <v>223</v>
      </c>
      <c r="J395" s="1" t="s">
        <v>220</v>
      </c>
      <c r="K395" t="s">
        <v>20</v>
      </c>
      <c r="L395" t="s">
        <v>21</v>
      </c>
      <c r="M395" t="str">
        <f t="shared" si="25"/>
        <v>ND</v>
      </c>
      <c r="N395" t="str">
        <f t="shared" si="28"/>
        <v>ND</v>
      </c>
    </row>
    <row r="396" spans="1:14" x14ac:dyDescent="0.3">
      <c r="A396" t="s">
        <v>55</v>
      </c>
      <c r="B396">
        <v>5</v>
      </c>
      <c r="C396">
        <v>11</v>
      </c>
      <c r="D396" t="s">
        <v>67</v>
      </c>
      <c r="E396">
        <v>302.83199999999999</v>
      </c>
      <c r="F396">
        <f t="shared" si="26"/>
        <v>302832</v>
      </c>
      <c r="G396">
        <f t="shared" si="27"/>
        <v>975.60598445896312</v>
      </c>
      <c r="H396" s="2">
        <v>43282</v>
      </c>
      <c r="I396" s="1" t="s">
        <v>223</v>
      </c>
      <c r="J396" s="1" t="s">
        <v>220</v>
      </c>
      <c r="K396" t="s">
        <v>20</v>
      </c>
      <c r="L396" t="s">
        <v>21</v>
      </c>
      <c r="M396" t="str">
        <f t="shared" si="25"/>
        <v>ND</v>
      </c>
      <c r="N396" t="str">
        <f t="shared" si="28"/>
        <v>ND</v>
      </c>
    </row>
    <row r="397" spans="1:14" x14ac:dyDescent="0.3">
      <c r="A397" t="s">
        <v>34</v>
      </c>
      <c r="B397">
        <v>5</v>
      </c>
      <c r="C397">
        <v>11</v>
      </c>
      <c r="D397" t="s">
        <v>67</v>
      </c>
      <c r="E397">
        <v>302.83199999999999</v>
      </c>
      <c r="F397">
        <f t="shared" si="26"/>
        <v>302832</v>
      </c>
      <c r="G397">
        <f t="shared" si="27"/>
        <v>975.60598445896312</v>
      </c>
      <c r="H397" s="2">
        <v>43282</v>
      </c>
      <c r="I397" s="1" t="s">
        <v>223</v>
      </c>
      <c r="J397" s="1" t="s">
        <v>220</v>
      </c>
      <c r="K397" t="s">
        <v>20</v>
      </c>
      <c r="L397" t="s">
        <v>21</v>
      </c>
      <c r="M397" t="str">
        <f t="shared" si="25"/>
        <v>ND</v>
      </c>
      <c r="N397" t="str">
        <f t="shared" si="28"/>
        <v>ND</v>
      </c>
    </row>
    <row r="398" spans="1:14" x14ac:dyDescent="0.3">
      <c r="A398" t="s">
        <v>56</v>
      </c>
      <c r="B398">
        <v>5</v>
      </c>
      <c r="C398">
        <v>11</v>
      </c>
      <c r="D398" t="s">
        <v>67</v>
      </c>
      <c r="E398">
        <v>302.83199999999999</v>
      </c>
      <c r="F398">
        <f t="shared" si="26"/>
        <v>302832</v>
      </c>
      <c r="G398">
        <f t="shared" si="27"/>
        <v>975.60598445896312</v>
      </c>
      <c r="H398" s="2">
        <v>43282</v>
      </c>
      <c r="I398" s="1" t="s">
        <v>223</v>
      </c>
      <c r="J398" s="1" t="s">
        <v>220</v>
      </c>
      <c r="K398">
        <v>402</v>
      </c>
      <c r="L398" t="s">
        <v>21</v>
      </c>
      <c r="M398">
        <f t="shared" si="25"/>
        <v>0.40200000000000002</v>
      </c>
      <c r="N398">
        <f t="shared" si="28"/>
        <v>124.78240800000002</v>
      </c>
    </row>
    <row r="399" spans="1:14" x14ac:dyDescent="0.3">
      <c r="A399" t="s">
        <v>37</v>
      </c>
      <c r="B399">
        <v>5</v>
      </c>
      <c r="C399">
        <v>11</v>
      </c>
      <c r="D399" t="s">
        <v>67</v>
      </c>
      <c r="E399">
        <v>302.83199999999999</v>
      </c>
      <c r="F399">
        <f t="shared" si="26"/>
        <v>302832</v>
      </c>
      <c r="G399">
        <f t="shared" si="27"/>
        <v>975.60598445896312</v>
      </c>
      <c r="H399" s="2">
        <v>43282</v>
      </c>
      <c r="I399" s="1" t="s">
        <v>223</v>
      </c>
      <c r="J399" s="1" t="s">
        <v>220</v>
      </c>
      <c r="K399" t="s">
        <v>20</v>
      </c>
      <c r="L399" t="s">
        <v>21</v>
      </c>
      <c r="M399" t="str">
        <f t="shared" si="25"/>
        <v>ND</v>
      </c>
      <c r="N399" t="str">
        <f t="shared" si="28"/>
        <v>ND</v>
      </c>
    </row>
    <row r="400" spans="1:14" x14ac:dyDescent="0.3">
      <c r="A400" t="s">
        <v>57</v>
      </c>
      <c r="B400">
        <v>5</v>
      </c>
      <c r="C400">
        <v>11</v>
      </c>
      <c r="D400" t="s">
        <v>67</v>
      </c>
      <c r="E400">
        <v>302.83199999999999</v>
      </c>
      <c r="F400">
        <f t="shared" si="26"/>
        <v>302832</v>
      </c>
      <c r="G400">
        <f t="shared" si="27"/>
        <v>975.60598445896312</v>
      </c>
      <c r="H400" s="2">
        <v>43282</v>
      </c>
      <c r="I400" s="1" t="s">
        <v>223</v>
      </c>
      <c r="J400" s="1" t="s">
        <v>220</v>
      </c>
      <c r="K400" t="s">
        <v>20</v>
      </c>
      <c r="L400" t="s">
        <v>21</v>
      </c>
      <c r="M400" t="str">
        <f t="shared" si="25"/>
        <v>ND</v>
      </c>
      <c r="N400" t="str">
        <f t="shared" si="28"/>
        <v>ND</v>
      </c>
    </row>
    <row r="401" spans="1:14" x14ac:dyDescent="0.3">
      <c r="A401" t="s">
        <v>58</v>
      </c>
      <c r="B401">
        <v>5</v>
      </c>
      <c r="C401">
        <v>11</v>
      </c>
      <c r="D401" t="s">
        <v>67</v>
      </c>
      <c r="E401">
        <v>302.83199999999999</v>
      </c>
      <c r="F401">
        <f t="shared" si="26"/>
        <v>302832</v>
      </c>
      <c r="G401">
        <f t="shared" si="27"/>
        <v>975.60598445896312</v>
      </c>
      <c r="H401" s="2">
        <v>43282</v>
      </c>
      <c r="I401" s="1" t="s">
        <v>223</v>
      </c>
      <c r="J401" s="1" t="s">
        <v>220</v>
      </c>
      <c r="K401" t="s">
        <v>20</v>
      </c>
      <c r="L401" t="s">
        <v>21</v>
      </c>
      <c r="M401" t="str">
        <f t="shared" ref="M401:M406" si="29">IFERROR(K401/1000,"ND")</f>
        <v>ND</v>
      </c>
      <c r="N401" t="str">
        <f t="shared" si="28"/>
        <v>ND</v>
      </c>
    </row>
    <row r="402" spans="1:14" x14ac:dyDescent="0.3">
      <c r="A402" t="s">
        <v>59</v>
      </c>
      <c r="B402">
        <v>5</v>
      </c>
      <c r="C402">
        <v>11</v>
      </c>
      <c r="D402" t="s">
        <v>67</v>
      </c>
      <c r="E402">
        <v>302.83199999999999</v>
      </c>
      <c r="F402">
        <f t="shared" si="26"/>
        <v>302832</v>
      </c>
      <c r="G402">
        <f t="shared" si="27"/>
        <v>975.60598445896312</v>
      </c>
      <c r="H402" s="2">
        <v>43282</v>
      </c>
      <c r="I402" s="1" t="s">
        <v>223</v>
      </c>
      <c r="J402" s="1" t="s">
        <v>220</v>
      </c>
      <c r="K402" t="s">
        <v>20</v>
      </c>
      <c r="L402" t="s">
        <v>21</v>
      </c>
      <c r="M402" t="str">
        <f t="shared" si="29"/>
        <v>ND</v>
      </c>
      <c r="N402" t="str">
        <f t="shared" si="28"/>
        <v>ND</v>
      </c>
    </row>
    <row r="403" spans="1:14" x14ac:dyDescent="0.3">
      <c r="A403" t="s">
        <v>40</v>
      </c>
      <c r="B403">
        <v>5</v>
      </c>
      <c r="C403">
        <v>11</v>
      </c>
      <c r="D403" t="s">
        <v>67</v>
      </c>
      <c r="E403">
        <v>302.83199999999999</v>
      </c>
      <c r="F403">
        <f t="shared" si="26"/>
        <v>302832</v>
      </c>
      <c r="G403">
        <f t="shared" si="27"/>
        <v>975.60598445896312</v>
      </c>
      <c r="H403" s="2">
        <v>43282</v>
      </c>
      <c r="I403" s="1" t="s">
        <v>223</v>
      </c>
      <c r="J403" s="1" t="s">
        <v>220</v>
      </c>
      <c r="K403">
        <v>1623</v>
      </c>
      <c r="L403" t="s">
        <v>21</v>
      </c>
      <c r="M403">
        <f t="shared" si="29"/>
        <v>1.623</v>
      </c>
      <c r="N403">
        <f t="shared" si="28"/>
        <v>503.78569200000004</v>
      </c>
    </row>
    <row r="404" spans="1:14" x14ac:dyDescent="0.3">
      <c r="A404" t="s">
        <v>41</v>
      </c>
      <c r="B404">
        <v>5</v>
      </c>
      <c r="C404">
        <v>11</v>
      </c>
      <c r="D404" t="s">
        <v>67</v>
      </c>
      <c r="E404">
        <v>302.83199999999999</v>
      </c>
      <c r="F404">
        <f t="shared" si="26"/>
        <v>302832</v>
      </c>
      <c r="G404">
        <f t="shared" si="27"/>
        <v>975.60598445896312</v>
      </c>
      <c r="H404" s="2">
        <v>43282</v>
      </c>
      <c r="I404" s="1" t="s">
        <v>223</v>
      </c>
      <c r="J404" s="1" t="s">
        <v>220</v>
      </c>
      <c r="K404">
        <v>203</v>
      </c>
      <c r="L404" t="s">
        <v>21</v>
      </c>
      <c r="M404">
        <f t="shared" si="29"/>
        <v>0.20300000000000001</v>
      </c>
      <c r="N404">
        <f t="shared" si="28"/>
        <v>63.012012000000006</v>
      </c>
    </row>
    <row r="405" spans="1:14" x14ac:dyDescent="0.3">
      <c r="A405" t="s">
        <v>42</v>
      </c>
      <c r="B405">
        <v>5</v>
      </c>
      <c r="C405">
        <v>11</v>
      </c>
      <c r="D405" t="s">
        <v>67</v>
      </c>
      <c r="E405">
        <v>302.83199999999999</v>
      </c>
      <c r="F405">
        <f t="shared" si="26"/>
        <v>302832</v>
      </c>
      <c r="G405">
        <f t="shared" si="27"/>
        <v>975.60598445896312</v>
      </c>
      <c r="H405" s="2">
        <v>43282</v>
      </c>
      <c r="I405" s="1" t="s">
        <v>223</v>
      </c>
      <c r="J405" s="1" t="s">
        <v>220</v>
      </c>
      <c r="K405" t="s">
        <v>20</v>
      </c>
      <c r="L405" t="s">
        <v>21</v>
      </c>
      <c r="M405" t="str">
        <f t="shared" si="29"/>
        <v>ND</v>
      </c>
      <c r="N405" t="str">
        <f t="shared" si="28"/>
        <v>ND</v>
      </c>
    </row>
    <row r="406" spans="1:14" x14ac:dyDescent="0.3">
      <c r="A406" t="s">
        <v>60</v>
      </c>
      <c r="B406">
        <v>5</v>
      </c>
      <c r="C406">
        <v>11</v>
      </c>
      <c r="D406" t="s">
        <v>67</v>
      </c>
      <c r="E406">
        <v>302.83199999999999</v>
      </c>
      <c r="F406">
        <f t="shared" si="26"/>
        <v>302832</v>
      </c>
      <c r="G406">
        <f t="shared" si="27"/>
        <v>975.60598445896312</v>
      </c>
      <c r="H406" s="2">
        <v>43282</v>
      </c>
      <c r="I406" s="1" t="s">
        <v>223</v>
      </c>
      <c r="J406" s="1" t="s">
        <v>220</v>
      </c>
      <c r="K406" t="s">
        <v>20</v>
      </c>
      <c r="L406" t="s">
        <v>21</v>
      </c>
      <c r="M406" t="str">
        <f t="shared" si="29"/>
        <v>ND</v>
      </c>
      <c r="N406" t="str">
        <f t="shared" si="28"/>
        <v>ND</v>
      </c>
    </row>
    <row r="407" spans="1:14" x14ac:dyDescent="0.3">
      <c r="A407" s="1" t="s">
        <v>23</v>
      </c>
      <c r="B407">
        <v>6</v>
      </c>
      <c r="C407">
        <v>12</v>
      </c>
      <c r="D407" t="s">
        <v>71</v>
      </c>
      <c r="E407">
        <v>11000000</v>
      </c>
      <c r="F407">
        <f>E407</f>
        <v>11000000</v>
      </c>
      <c r="G407">
        <f>F407/310.404</f>
        <v>35437.687658664196</v>
      </c>
      <c r="H407" t="s">
        <v>72</v>
      </c>
      <c r="I407" s="1" t="s">
        <v>224</v>
      </c>
      <c r="J407" s="1" t="s">
        <v>216</v>
      </c>
      <c r="K407" s="9">
        <v>0.28000000000000003</v>
      </c>
      <c r="L407" t="s">
        <v>21</v>
      </c>
      <c r="M407">
        <f t="shared" ref="M407:M470" si="30">IFERROR(K407/1000,"ND")</f>
        <v>2.8000000000000003E-4</v>
      </c>
      <c r="N407">
        <f t="shared" si="28"/>
        <v>8.691312000000001E-2</v>
      </c>
    </row>
    <row r="408" spans="1:14" x14ac:dyDescent="0.3">
      <c r="A408" s="1" t="s">
        <v>23</v>
      </c>
      <c r="B408">
        <v>6</v>
      </c>
      <c r="C408">
        <v>12</v>
      </c>
      <c r="D408" t="s">
        <v>71</v>
      </c>
      <c r="E408">
        <v>11000000</v>
      </c>
      <c r="F408">
        <f t="shared" ref="F408:F471" si="31">E408</f>
        <v>11000000</v>
      </c>
      <c r="G408">
        <f t="shared" ref="G408:G471" si="32">F408/310.404</f>
        <v>35437.687658664196</v>
      </c>
      <c r="H408" t="s">
        <v>72</v>
      </c>
      <c r="I408" s="1" t="s">
        <v>224</v>
      </c>
      <c r="J408" s="1" t="s">
        <v>216</v>
      </c>
      <c r="K408" s="9">
        <v>12.55</v>
      </c>
      <c r="L408" t="s">
        <v>21</v>
      </c>
      <c r="M408">
        <f t="shared" si="30"/>
        <v>1.255E-2</v>
      </c>
      <c r="N408">
        <f t="shared" si="28"/>
        <v>3.8955701999999999</v>
      </c>
    </row>
    <row r="409" spans="1:14" x14ac:dyDescent="0.3">
      <c r="A409" s="1" t="s">
        <v>23</v>
      </c>
      <c r="B409">
        <v>6</v>
      </c>
      <c r="C409">
        <v>12</v>
      </c>
      <c r="D409" t="s">
        <v>71</v>
      </c>
      <c r="E409">
        <v>11000000</v>
      </c>
      <c r="F409">
        <f t="shared" si="31"/>
        <v>11000000</v>
      </c>
      <c r="G409">
        <f t="shared" si="32"/>
        <v>35437.687658664196</v>
      </c>
      <c r="H409" t="s">
        <v>72</v>
      </c>
      <c r="I409" s="1" t="s">
        <v>224</v>
      </c>
      <c r="J409" s="1" t="s">
        <v>216</v>
      </c>
      <c r="K409" s="9">
        <v>20.59</v>
      </c>
      <c r="L409" t="s">
        <v>21</v>
      </c>
      <c r="M409">
        <f t="shared" si="30"/>
        <v>2.0590000000000001E-2</v>
      </c>
      <c r="N409">
        <f t="shared" si="28"/>
        <v>6.391218359999999</v>
      </c>
    </row>
    <row r="410" spans="1:14" x14ac:dyDescent="0.3">
      <c r="A410" s="1" t="s">
        <v>23</v>
      </c>
      <c r="B410">
        <v>6</v>
      </c>
      <c r="C410">
        <v>12</v>
      </c>
      <c r="D410" t="s">
        <v>71</v>
      </c>
      <c r="E410">
        <v>11000000</v>
      </c>
      <c r="F410">
        <f t="shared" si="31"/>
        <v>11000000</v>
      </c>
      <c r="G410">
        <f t="shared" si="32"/>
        <v>35437.687658664196</v>
      </c>
      <c r="H410" t="s">
        <v>72</v>
      </c>
      <c r="I410" s="1" t="s">
        <v>224</v>
      </c>
      <c r="J410" s="1" t="s">
        <v>216</v>
      </c>
      <c r="K410" s="9">
        <v>25.07</v>
      </c>
      <c r="L410" t="s">
        <v>21</v>
      </c>
      <c r="M410">
        <f t="shared" si="30"/>
        <v>2.5070000000000002E-2</v>
      </c>
      <c r="N410">
        <f t="shared" si="28"/>
        <v>7.7818282799999992</v>
      </c>
    </row>
    <row r="411" spans="1:14" x14ac:dyDescent="0.3">
      <c r="A411" s="1" t="s">
        <v>23</v>
      </c>
      <c r="B411">
        <v>6</v>
      </c>
      <c r="C411">
        <v>12</v>
      </c>
      <c r="D411" t="s">
        <v>71</v>
      </c>
      <c r="E411">
        <v>11000000</v>
      </c>
      <c r="F411">
        <f t="shared" si="31"/>
        <v>11000000</v>
      </c>
      <c r="G411">
        <f t="shared" si="32"/>
        <v>35437.687658664196</v>
      </c>
      <c r="H411" t="s">
        <v>72</v>
      </c>
      <c r="I411" s="1" t="s">
        <v>224</v>
      </c>
      <c r="J411" s="1" t="s">
        <v>216</v>
      </c>
      <c r="K411" s="9">
        <v>11.25</v>
      </c>
      <c r="L411" t="s">
        <v>21</v>
      </c>
      <c r="M411">
        <f t="shared" si="30"/>
        <v>1.125E-2</v>
      </c>
      <c r="N411">
        <f t="shared" si="28"/>
        <v>3.4920449999999996</v>
      </c>
    </row>
    <row r="412" spans="1:14" x14ac:dyDescent="0.3">
      <c r="A412" s="1" t="s">
        <v>23</v>
      </c>
      <c r="B412">
        <v>6</v>
      </c>
      <c r="C412">
        <v>12</v>
      </c>
      <c r="D412" t="s">
        <v>71</v>
      </c>
      <c r="E412">
        <v>11000000</v>
      </c>
      <c r="F412">
        <f t="shared" si="31"/>
        <v>11000000</v>
      </c>
      <c r="G412">
        <f t="shared" si="32"/>
        <v>35437.687658664196</v>
      </c>
      <c r="H412" t="s">
        <v>72</v>
      </c>
      <c r="I412" s="1" t="s">
        <v>224</v>
      </c>
      <c r="J412" s="1" t="s">
        <v>216</v>
      </c>
      <c r="K412" s="9">
        <v>6.55</v>
      </c>
      <c r="L412" t="s">
        <v>21</v>
      </c>
      <c r="M412">
        <f t="shared" si="30"/>
        <v>6.5499999999999994E-3</v>
      </c>
      <c r="N412">
        <f t="shared" si="28"/>
        <v>2.0331462</v>
      </c>
    </row>
    <row r="413" spans="1:14" x14ac:dyDescent="0.3">
      <c r="A413" s="1" t="s">
        <v>23</v>
      </c>
      <c r="B413">
        <v>6</v>
      </c>
      <c r="C413">
        <v>12</v>
      </c>
      <c r="D413" t="s">
        <v>71</v>
      </c>
      <c r="E413">
        <v>11000000</v>
      </c>
      <c r="F413">
        <f t="shared" si="31"/>
        <v>11000000</v>
      </c>
      <c r="G413">
        <f t="shared" si="32"/>
        <v>35437.687658664196</v>
      </c>
      <c r="H413" t="s">
        <v>72</v>
      </c>
      <c r="I413" s="1" t="s">
        <v>224</v>
      </c>
      <c r="J413" s="1" t="s">
        <v>216</v>
      </c>
      <c r="K413" s="9">
        <v>1.17</v>
      </c>
      <c r="L413" t="s">
        <v>21</v>
      </c>
      <c r="M413">
        <f t="shared" si="30"/>
        <v>1.17E-3</v>
      </c>
      <c r="N413">
        <f t="shared" si="28"/>
        <v>0.36317267999999997</v>
      </c>
    </row>
    <row r="414" spans="1:14" x14ac:dyDescent="0.3">
      <c r="A414" s="1" t="s">
        <v>23</v>
      </c>
      <c r="B414">
        <v>6</v>
      </c>
      <c r="C414">
        <v>12</v>
      </c>
      <c r="D414" t="s">
        <v>71</v>
      </c>
      <c r="E414">
        <v>11000000</v>
      </c>
      <c r="F414">
        <f t="shared" si="31"/>
        <v>11000000</v>
      </c>
      <c r="G414">
        <f t="shared" si="32"/>
        <v>35437.687658664196</v>
      </c>
      <c r="H414" t="s">
        <v>72</v>
      </c>
      <c r="I414" s="1" t="s">
        <v>224</v>
      </c>
      <c r="J414" s="1" t="s">
        <v>216</v>
      </c>
      <c r="K414" s="9">
        <v>50.19</v>
      </c>
      <c r="L414" t="s">
        <v>21</v>
      </c>
      <c r="M414">
        <f t="shared" si="30"/>
        <v>5.0189999999999999E-2</v>
      </c>
      <c r="N414">
        <f t="shared" si="28"/>
        <v>15.579176759999999</v>
      </c>
    </row>
    <row r="415" spans="1:14" x14ac:dyDescent="0.3">
      <c r="A415" s="1" t="s">
        <v>23</v>
      </c>
      <c r="B415">
        <v>6</v>
      </c>
      <c r="C415">
        <v>12</v>
      </c>
      <c r="D415" t="s">
        <v>71</v>
      </c>
      <c r="E415">
        <v>11000000</v>
      </c>
      <c r="F415">
        <f t="shared" si="31"/>
        <v>11000000</v>
      </c>
      <c r="G415">
        <f t="shared" si="32"/>
        <v>35437.687658664196</v>
      </c>
      <c r="H415" t="s">
        <v>72</v>
      </c>
      <c r="I415" s="1" t="s">
        <v>224</v>
      </c>
      <c r="J415" s="1" t="s">
        <v>216</v>
      </c>
      <c r="K415" s="9">
        <v>33.54</v>
      </c>
      <c r="L415" t="s">
        <v>21</v>
      </c>
      <c r="M415">
        <f t="shared" si="30"/>
        <v>3.354E-2</v>
      </c>
      <c r="N415">
        <f t="shared" si="28"/>
        <v>10.410950159999999</v>
      </c>
    </row>
    <row r="416" spans="1:14" x14ac:dyDescent="0.3">
      <c r="A416" s="1" t="s">
        <v>23</v>
      </c>
      <c r="B416">
        <v>6</v>
      </c>
      <c r="C416">
        <v>12</v>
      </c>
      <c r="D416" t="s">
        <v>71</v>
      </c>
      <c r="E416">
        <v>11000000</v>
      </c>
      <c r="F416">
        <f t="shared" si="31"/>
        <v>11000000</v>
      </c>
      <c r="G416">
        <f t="shared" si="32"/>
        <v>35437.687658664196</v>
      </c>
      <c r="H416" t="s">
        <v>72</v>
      </c>
      <c r="I416" s="1" t="s">
        <v>224</v>
      </c>
      <c r="J416" s="1" t="s">
        <v>216</v>
      </c>
      <c r="K416" s="9">
        <v>1.24</v>
      </c>
      <c r="L416" t="s">
        <v>21</v>
      </c>
      <c r="M416">
        <f t="shared" si="30"/>
        <v>1.24E-3</v>
      </c>
      <c r="N416">
        <f t="shared" si="28"/>
        <v>0.38490095999999996</v>
      </c>
    </row>
    <row r="417" spans="1:14" x14ac:dyDescent="0.3">
      <c r="A417" s="1" t="s">
        <v>23</v>
      </c>
      <c r="B417">
        <v>6</v>
      </c>
      <c r="C417">
        <v>12</v>
      </c>
      <c r="D417" t="s">
        <v>71</v>
      </c>
      <c r="E417">
        <v>11000000</v>
      </c>
      <c r="F417">
        <f t="shared" si="31"/>
        <v>11000000</v>
      </c>
      <c r="G417">
        <f t="shared" si="32"/>
        <v>35437.687658664196</v>
      </c>
      <c r="H417" t="s">
        <v>72</v>
      </c>
      <c r="I417" s="1" t="s">
        <v>224</v>
      </c>
      <c r="J417" s="1" t="s">
        <v>216</v>
      </c>
      <c r="K417" s="9">
        <v>20.96</v>
      </c>
      <c r="L417" t="s">
        <v>21</v>
      </c>
      <c r="M417">
        <f t="shared" si="30"/>
        <v>2.0959999999999999E-2</v>
      </c>
      <c r="N417">
        <f t="shared" si="28"/>
        <v>6.5060678399999992</v>
      </c>
    </row>
    <row r="418" spans="1:14" x14ac:dyDescent="0.3">
      <c r="A418" s="1" t="s">
        <v>23</v>
      </c>
      <c r="B418">
        <v>6</v>
      </c>
      <c r="C418">
        <v>12</v>
      </c>
      <c r="D418" t="s">
        <v>71</v>
      </c>
      <c r="E418">
        <v>11000000</v>
      </c>
      <c r="F418">
        <f t="shared" si="31"/>
        <v>11000000</v>
      </c>
      <c r="G418">
        <f t="shared" si="32"/>
        <v>35437.687658664196</v>
      </c>
      <c r="H418" t="s">
        <v>72</v>
      </c>
      <c r="I418" s="1" t="s">
        <v>224</v>
      </c>
      <c r="J418" s="1" t="s">
        <v>216</v>
      </c>
      <c r="K418" s="9">
        <v>19.059999999999999</v>
      </c>
      <c r="L418" t="s">
        <v>21</v>
      </c>
      <c r="M418">
        <f t="shared" si="30"/>
        <v>1.9059999999999997E-2</v>
      </c>
      <c r="N418">
        <f t="shared" si="28"/>
        <v>5.9163002399999982</v>
      </c>
    </row>
    <row r="419" spans="1:14" x14ac:dyDescent="0.3">
      <c r="A419" s="1" t="s">
        <v>23</v>
      </c>
      <c r="B419">
        <v>6</v>
      </c>
      <c r="C419">
        <v>12</v>
      </c>
      <c r="D419" t="s">
        <v>71</v>
      </c>
      <c r="E419">
        <v>11000000</v>
      </c>
      <c r="F419">
        <f t="shared" si="31"/>
        <v>11000000</v>
      </c>
      <c r="G419">
        <f t="shared" si="32"/>
        <v>35437.687658664196</v>
      </c>
      <c r="H419" t="s">
        <v>72</v>
      </c>
      <c r="I419" s="1" t="s">
        <v>224</v>
      </c>
      <c r="J419" s="1" t="s">
        <v>216</v>
      </c>
      <c r="K419" s="9">
        <v>72.540000000000006</v>
      </c>
      <c r="L419" t="s">
        <v>21</v>
      </c>
      <c r="M419">
        <f t="shared" si="30"/>
        <v>7.2540000000000007E-2</v>
      </c>
      <c r="N419">
        <f t="shared" si="28"/>
        <v>22.516706160000002</v>
      </c>
    </row>
    <row r="420" spans="1:14" x14ac:dyDescent="0.3">
      <c r="A420" s="1" t="s">
        <v>23</v>
      </c>
      <c r="B420">
        <v>6</v>
      </c>
      <c r="C420">
        <v>12</v>
      </c>
      <c r="D420" t="s">
        <v>71</v>
      </c>
      <c r="E420">
        <v>11000000</v>
      </c>
      <c r="F420">
        <f t="shared" si="31"/>
        <v>11000000</v>
      </c>
      <c r="G420">
        <f t="shared" si="32"/>
        <v>35437.687658664196</v>
      </c>
      <c r="H420" t="s">
        <v>72</v>
      </c>
      <c r="I420" s="1" t="s">
        <v>224</v>
      </c>
      <c r="J420" s="1" t="s">
        <v>216</v>
      </c>
      <c r="K420" s="9">
        <v>68.45</v>
      </c>
      <c r="L420" t="s">
        <v>21</v>
      </c>
      <c r="M420">
        <f t="shared" si="30"/>
        <v>6.8449999999999997E-2</v>
      </c>
      <c r="N420">
        <f t="shared" si="28"/>
        <v>21.2471538</v>
      </c>
    </row>
    <row r="421" spans="1:14" x14ac:dyDescent="0.3">
      <c r="A421" s="1" t="s">
        <v>23</v>
      </c>
      <c r="B421">
        <v>6</v>
      </c>
      <c r="C421">
        <v>12</v>
      </c>
      <c r="D421" t="s">
        <v>71</v>
      </c>
      <c r="E421">
        <v>11000000</v>
      </c>
      <c r="F421">
        <f t="shared" si="31"/>
        <v>11000000</v>
      </c>
      <c r="G421">
        <f t="shared" si="32"/>
        <v>35437.687658664196</v>
      </c>
      <c r="H421" t="s">
        <v>72</v>
      </c>
      <c r="I421" s="1" t="s">
        <v>224</v>
      </c>
      <c r="J421" s="1" t="s">
        <v>216</v>
      </c>
      <c r="K421" s="9">
        <v>68.31</v>
      </c>
      <c r="L421" t="s">
        <v>21</v>
      </c>
      <c r="M421">
        <f t="shared" si="30"/>
        <v>6.8309999999999996E-2</v>
      </c>
      <c r="N421">
        <f t="shared" si="28"/>
        <v>21.203697239999997</v>
      </c>
    </row>
    <row r="422" spans="1:14" x14ac:dyDescent="0.3">
      <c r="A422" s="1" t="s">
        <v>23</v>
      </c>
      <c r="B422">
        <v>6</v>
      </c>
      <c r="C422">
        <v>12</v>
      </c>
      <c r="D422" t="s">
        <v>71</v>
      </c>
      <c r="E422">
        <v>11000000</v>
      </c>
      <c r="F422">
        <f t="shared" si="31"/>
        <v>11000000</v>
      </c>
      <c r="G422">
        <f t="shared" si="32"/>
        <v>35437.687658664196</v>
      </c>
      <c r="H422" t="s">
        <v>72</v>
      </c>
      <c r="I422" s="1" t="s">
        <v>224</v>
      </c>
      <c r="J422" s="1" t="s">
        <v>216</v>
      </c>
      <c r="K422" s="9">
        <v>73.489999999999995</v>
      </c>
      <c r="L422" t="s">
        <v>21</v>
      </c>
      <c r="M422">
        <f t="shared" si="30"/>
        <v>7.349E-2</v>
      </c>
      <c r="N422">
        <f t="shared" si="28"/>
        <v>22.811589959999999</v>
      </c>
    </row>
    <row r="423" spans="1:14" x14ac:dyDescent="0.3">
      <c r="A423" s="1" t="s">
        <v>23</v>
      </c>
      <c r="B423">
        <v>6</v>
      </c>
      <c r="C423">
        <v>12</v>
      </c>
      <c r="D423" t="s">
        <v>71</v>
      </c>
      <c r="E423">
        <v>11000000</v>
      </c>
      <c r="F423">
        <f t="shared" si="31"/>
        <v>11000000</v>
      </c>
      <c r="G423">
        <f t="shared" si="32"/>
        <v>35437.687658664196</v>
      </c>
      <c r="H423" t="s">
        <v>72</v>
      </c>
      <c r="I423" s="1" t="s">
        <v>224</v>
      </c>
      <c r="J423" s="1" t="s">
        <v>216</v>
      </c>
      <c r="K423" s="9">
        <v>94.52</v>
      </c>
      <c r="L423" t="s">
        <v>21</v>
      </c>
      <c r="M423">
        <f t="shared" si="30"/>
        <v>9.4519999999999993E-2</v>
      </c>
      <c r="N423">
        <f t="shared" si="28"/>
        <v>29.339386079999993</v>
      </c>
    </row>
    <row r="424" spans="1:14" x14ac:dyDescent="0.3">
      <c r="A424" s="1" t="s">
        <v>23</v>
      </c>
      <c r="B424">
        <v>6</v>
      </c>
      <c r="C424">
        <v>12</v>
      </c>
      <c r="D424" t="s">
        <v>71</v>
      </c>
      <c r="E424">
        <v>11000000</v>
      </c>
      <c r="F424">
        <f t="shared" si="31"/>
        <v>11000000</v>
      </c>
      <c r="G424">
        <f t="shared" si="32"/>
        <v>35437.687658664196</v>
      </c>
      <c r="H424" t="s">
        <v>72</v>
      </c>
      <c r="I424" s="1" t="s">
        <v>224</v>
      </c>
      <c r="J424" s="1" t="s">
        <v>216</v>
      </c>
      <c r="K424" s="9">
        <v>83.61</v>
      </c>
      <c r="L424" t="s">
        <v>21</v>
      </c>
      <c r="M424">
        <f t="shared" si="30"/>
        <v>8.3610000000000004E-2</v>
      </c>
      <c r="N424">
        <f t="shared" si="28"/>
        <v>25.952878439999999</v>
      </c>
    </row>
    <row r="425" spans="1:14" x14ac:dyDescent="0.3">
      <c r="A425" s="1" t="s">
        <v>23</v>
      </c>
      <c r="B425">
        <v>6</v>
      </c>
      <c r="C425">
        <v>12</v>
      </c>
      <c r="D425" t="s">
        <v>71</v>
      </c>
      <c r="E425">
        <v>11000000</v>
      </c>
      <c r="F425">
        <f t="shared" si="31"/>
        <v>11000000</v>
      </c>
      <c r="G425">
        <f t="shared" si="32"/>
        <v>35437.687658664196</v>
      </c>
      <c r="H425" t="s">
        <v>72</v>
      </c>
      <c r="I425" s="1" t="s">
        <v>224</v>
      </c>
      <c r="J425" s="1" t="s">
        <v>216</v>
      </c>
      <c r="K425" s="9">
        <v>70.95</v>
      </c>
      <c r="L425" t="s">
        <v>21</v>
      </c>
      <c r="M425">
        <f t="shared" si="30"/>
        <v>7.0949999999999999E-2</v>
      </c>
      <c r="N425">
        <f t="shared" si="28"/>
        <v>22.023163799999999</v>
      </c>
    </row>
    <row r="426" spans="1:14" x14ac:dyDescent="0.3">
      <c r="A426" s="1" t="s">
        <v>23</v>
      </c>
      <c r="B426">
        <v>6</v>
      </c>
      <c r="C426">
        <v>12</v>
      </c>
      <c r="D426" t="s">
        <v>71</v>
      </c>
      <c r="E426">
        <v>11000000</v>
      </c>
      <c r="F426">
        <f t="shared" si="31"/>
        <v>11000000</v>
      </c>
      <c r="G426">
        <f t="shared" si="32"/>
        <v>35437.687658664196</v>
      </c>
      <c r="H426" t="s">
        <v>72</v>
      </c>
      <c r="I426" s="1" t="s">
        <v>224</v>
      </c>
      <c r="J426" s="1" t="s">
        <v>216</v>
      </c>
      <c r="K426" s="9">
        <v>23.72</v>
      </c>
      <c r="L426" t="s">
        <v>21</v>
      </c>
      <c r="M426">
        <f t="shared" si="30"/>
        <v>2.3719999999999998E-2</v>
      </c>
      <c r="N426">
        <f t="shared" si="28"/>
        <v>7.3627828799999984</v>
      </c>
    </row>
    <row r="427" spans="1:14" x14ac:dyDescent="0.3">
      <c r="A427" s="1" t="s">
        <v>23</v>
      </c>
      <c r="B427">
        <v>6</v>
      </c>
      <c r="C427">
        <v>12</v>
      </c>
      <c r="D427" t="s">
        <v>71</v>
      </c>
      <c r="E427">
        <v>11000000</v>
      </c>
      <c r="F427">
        <f t="shared" si="31"/>
        <v>11000000</v>
      </c>
      <c r="G427">
        <f t="shared" si="32"/>
        <v>35437.687658664196</v>
      </c>
      <c r="H427" t="s">
        <v>72</v>
      </c>
      <c r="I427" s="1" t="s">
        <v>224</v>
      </c>
      <c r="J427" s="1" t="s">
        <v>216</v>
      </c>
      <c r="K427" s="9">
        <v>29.36</v>
      </c>
      <c r="L427" t="s">
        <v>21</v>
      </c>
      <c r="M427">
        <f t="shared" si="30"/>
        <v>2.9360000000000001E-2</v>
      </c>
      <c r="N427">
        <f t="shared" si="28"/>
        <v>9.11346144</v>
      </c>
    </row>
    <row r="428" spans="1:14" x14ac:dyDescent="0.3">
      <c r="A428" s="1" t="s">
        <v>23</v>
      </c>
      <c r="B428">
        <v>6</v>
      </c>
      <c r="C428">
        <v>12</v>
      </c>
      <c r="D428" t="s">
        <v>71</v>
      </c>
      <c r="E428">
        <v>11000000</v>
      </c>
      <c r="F428">
        <f t="shared" si="31"/>
        <v>11000000</v>
      </c>
      <c r="G428">
        <f t="shared" si="32"/>
        <v>35437.687658664196</v>
      </c>
      <c r="H428" t="s">
        <v>72</v>
      </c>
      <c r="I428" s="1" t="s">
        <v>224</v>
      </c>
      <c r="J428" s="1" t="s">
        <v>216</v>
      </c>
      <c r="K428" s="9">
        <v>20.37</v>
      </c>
      <c r="L428" t="s">
        <v>21</v>
      </c>
      <c r="M428">
        <f t="shared" si="30"/>
        <v>2.0370000000000003E-2</v>
      </c>
      <c r="N428">
        <f t="shared" si="28"/>
        <v>6.32292948</v>
      </c>
    </row>
    <row r="429" spans="1:14" x14ac:dyDescent="0.3">
      <c r="A429" s="1" t="s">
        <v>23</v>
      </c>
      <c r="B429">
        <v>6</v>
      </c>
      <c r="C429">
        <v>12</v>
      </c>
      <c r="D429" t="s">
        <v>71</v>
      </c>
      <c r="E429">
        <v>11000000</v>
      </c>
      <c r="F429">
        <f t="shared" si="31"/>
        <v>11000000</v>
      </c>
      <c r="G429">
        <f t="shared" si="32"/>
        <v>35437.687658664196</v>
      </c>
      <c r="H429" t="s">
        <v>72</v>
      </c>
      <c r="I429" s="1" t="s">
        <v>224</v>
      </c>
      <c r="J429" s="1" t="s">
        <v>216</v>
      </c>
      <c r="K429" s="9">
        <v>10.98</v>
      </c>
      <c r="L429" t="s">
        <v>21</v>
      </c>
      <c r="M429">
        <f t="shared" si="30"/>
        <v>1.098E-2</v>
      </c>
      <c r="N429">
        <f t="shared" si="28"/>
        <v>3.4082359199999996</v>
      </c>
    </row>
    <row r="430" spans="1:14" x14ac:dyDescent="0.3">
      <c r="A430" s="1" t="s">
        <v>23</v>
      </c>
      <c r="B430">
        <v>6</v>
      </c>
      <c r="C430">
        <v>12</v>
      </c>
      <c r="D430" t="s">
        <v>71</v>
      </c>
      <c r="E430">
        <v>11000000</v>
      </c>
      <c r="F430">
        <f t="shared" si="31"/>
        <v>11000000</v>
      </c>
      <c r="G430">
        <f t="shared" si="32"/>
        <v>35437.687658664196</v>
      </c>
      <c r="H430" t="s">
        <v>72</v>
      </c>
      <c r="I430" s="1" t="s">
        <v>224</v>
      </c>
      <c r="J430" s="1" t="s">
        <v>216</v>
      </c>
      <c r="K430" s="9">
        <v>20.2</v>
      </c>
      <c r="L430" t="s">
        <v>21</v>
      </c>
      <c r="M430">
        <f t="shared" si="30"/>
        <v>2.0199999999999999E-2</v>
      </c>
      <c r="N430">
        <f t="shared" si="28"/>
        <v>6.2701607999999993</v>
      </c>
    </row>
    <row r="431" spans="1:14" x14ac:dyDescent="0.3">
      <c r="A431" s="1" t="s">
        <v>23</v>
      </c>
      <c r="B431">
        <v>6</v>
      </c>
      <c r="C431">
        <v>12</v>
      </c>
      <c r="D431" t="s">
        <v>71</v>
      </c>
      <c r="E431">
        <v>11000000</v>
      </c>
      <c r="F431">
        <f t="shared" si="31"/>
        <v>11000000</v>
      </c>
      <c r="G431">
        <f t="shared" si="32"/>
        <v>35437.687658664196</v>
      </c>
      <c r="H431" t="s">
        <v>72</v>
      </c>
      <c r="I431" s="1" t="s">
        <v>224</v>
      </c>
      <c r="J431" s="1" t="s">
        <v>216</v>
      </c>
      <c r="K431" s="9">
        <v>72.77</v>
      </c>
      <c r="L431" t="s">
        <v>21</v>
      </c>
      <c r="M431">
        <f t="shared" si="30"/>
        <v>7.2770000000000001E-2</v>
      </c>
      <c r="N431">
        <f t="shared" si="28"/>
        <v>22.588099079999999</v>
      </c>
    </row>
    <row r="432" spans="1:14" x14ac:dyDescent="0.3">
      <c r="A432" s="1" t="s">
        <v>23</v>
      </c>
      <c r="B432">
        <v>6</v>
      </c>
      <c r="C432">
        <v>12</v>
      </c>
      <c r="D432" t="s">
        <v>71</v>
      </c>
      <c r="E432">
        <v>11000000</v>
      </c>
      <c r="F432">
        <f t="shared" si="31"/>
        <v>11000000</v>
      </c>
      <c r="G432">
        <f t="shared" si="32"/>
        <v>35437.687658664196</v>
      </c>
      <c r="H432" t="s">
        <v>72</v>
      </c>
      <c r="I432" s="1" t="s">
        <v>224</v>
      </c>
      <c r="J432" s="1" t="s">
        <v>216</v>
      </c>
      <c r="K432" s="9">
        <v>34.47</v>
      </c>
      <c r="L432" t="s">
        <v>21</v>
      </c>
      <c r="M432">
        <f t="shared" si="30"/>
        <v>3.4470000000000001E-2</v>
      </c>
      <c r="N432">
        <f t="shared" si="28"/>
        <v>10.699625879999999</v>
      </c>
    </row>
    <row r="433" spans="1:14" x14ac:dyDescent="0.3">
      <c r="A433" s="1" t="s">
        <v>23</v>
      </c>
      <c r="B433">
        <v>6</v>
      </c>
      <c r="C433">
        <v>12</v>
      </c>
      <c r="D433" t="s">
        <v>71</v>
      </c>
      <c r="E433">
        <v>11000000</v>
      </c>
      <c r="F433">
        <f t="shared" si="31"/>
        <v>11000000</v>
      </c>
      <c r="G433">
        <f t="shared" si="32"/>
        <v>35437.687658664196</v>
      </c>
      <c r="H433" t="s">
        <v>72</v>
      </c>
      <c r="I433" s="1" t="s">
        <v>224</v>
      </c>
      <c r="J433" s="1" t="s">
        <v>216</v>
      </c>
      <c r="K433" s="9">
        <v>18.690000000000001</v>
      </c>
      <c r="L433" t="s">
        <v>21</v>
      </c>
      <c r="M433">
        <f t="shared" si="30"/>
        <v>1.8690000000000002E-2</v>
      </c>
      <c r="N433">
        <f t="shared" si="28"/>
        <v>5.8014507600000007</v>
      </c>
    </row>
    <row r="434" spans="1:14" x14ac:dyDescent="0.3">
      <c r="A434" s="1" t="s">
        <v>23</v>
      </c>
      <c r="B434">
        <v>6</v>
      </c>
      <c r="C434">
        <v>12</v>
      </c>
      <c r="D434" t="s">
        <v>71</v>
      </c>
      <c r="E434">
        <v>11000000</v>
      </c>
      <c r="F434">
        <f t="shared" si="31"/>
        <v>11000000</v>
      </c>
      <c r="G434">
        <f t="shared" si="32"/>
        <v>35437.687658664196</v>
      </c>
      <c r="H434" t="s">
        <v>72</v>
      </c>
      <c r="I434" s="1" t="s">
        <v>224</v>
      </c>
      <c r="J434" s="1" t="s">
        <v>216</v>
      </c>
      <c r="K434" s="9">
        <v>51.41</v>
      </c>
      <c r="L434" t="s">
        <v>21</v>
      </c>
      <c r="M434">
        <f t="shared" si="30"/>
        <v>5.1409999999999997E-2</v>
      </c>
      <c r="N434">
        <f t="shared" si="28"/>
        <v>15.957869639999998</v>
      </c>
    </row>
    <row r="435" spans="1:14" x14ac:dyDescent="0.3">
      <c r="A435" s="1" t="s">
        <v>23</v>
      </c>
      <c r="B435">
        <v>6</v>
      </c>
      <c r="C435">
        <v>12</v>
      </c>
      <c r="D435" t="s">
        <v>71</v>
      </c>
      <c r="E435">
        <v>11000000</v>
      </c>
      <c r="F435">
        <f t="shared" si="31"/>
        <v>11000000</v>
      </c>
      <c r="G435">
        <f t="shared" si="32"/>
        <v>35437.687658664196</v>
      </c>
      <c r="H435" t="s">
        <v>72</v>
      </c>
      <c r="I435" s="1" t="s">
        <v>224</v>
      </c>
      <c r="J435" s="1" t="s">
        <v>216</v>
      </c>
      <c r="K435" s="9" t="s">
        <v>20</v>
      </c>
      <c r="L435" t="s">
        <v>21</v>
      </c>
      <c r="M435" t="str">
        <f t="shared" si="30"/>
        <v>ND</v>
      </c>
      <c r="N435" t="str">
        <f t="shared" si="28"/>
        <v>ND</v>
      </c>
    </row>
    <row r="436" spans="1:14" x14ac:dyDescent="0.3">
      <c r="A436" s="1" t="s">
        <v>23</v>
      </c>
      <c r="B436">
        <v>6</v>
      </c>
      <c r="C436">
        <v>12</v>
      </c>
      <c r="D436" t="s">
        <v>71</v>
      </c>
      <c r="E436">
        <v>11000000</v>
      </c>
      <c r="F436">
        <f t="shared" si="31"/>
        <v>11000000</v>
      </c>
      <c r="G436">
        <f t="shared" si="32"/>
        <v>35437.687658664196</v>
      </c>
      <c r="H436" t="s">
        <v>72</v>
      </c>
      <c r="I436" s="1" t="s">
        <v>224</v>
      </c>
      <c r="J436" s="1" t="s">
        <v>216</v>
      </c>
      <c r="K436" s="9">
        <v>1194.3699999999999</v>
      </c>
      <c r="L436" t="s">
        <v>21</v>
      </c>
      <c r="M436">
        <f t="shared" si="30"/>
        <v>1.1943699999999999</v>
      </c>
      <c r="N436">
        <f t="shared" si="28"/>
        <v>370.73722547999995</v>
      </c>
    </row>
    <row r="437" spans="1:14" x14ac:dyDescent="0.3">
      <c r="A437" s="1" t="s">
        <v>23</v>
      </c>
      <c r="B437">
        <v>6</v>
      </c>
      <c r="C437">
        <v>12</v>
      </c>
      <c r="D437" t="s">
        <v>71</v>
      </c>
      <c r="E437">
        <v>11000000</v>
      </c>
      <c r="F437">
        <f t="shared" si="31"/>
        <v>11000000</v>
      </c>
      <c r="G437">
        <f t="shared" si="32"/>
        <v>35437.687658664196</v>
      </c>
      <c r="H437" t="s">
        <v>72</v>
      </c>
      <c r="I437" s="1" t="s">
        <v>224</v>
      </c>
      <c r="J437" s="1" t="s">
        <v>216</v>
      </c>
      <c r="K437" s="9">
        <v>1687.86</v>
      </c>
      <c r="L437" t="s">
        <v>21</v>
      </c>
      <c r="M437">
        <f t="shared" si="30"/>
        <v>1.6878599999999999</v>
      </c>
      <c r="N437">
        <f t="shared" si="28"/>
        <v>523.9184954399999</v>
      </c>
    </row>
    <row r="438" spans="1:14" x14ac:dyDescent="0.3">
      <c r="A438" s="1" t="s">
        <v>23</v>
      </c>
      <c r="B438">
        <v>6</v>
      </c>
      <c r="C438">
        <v>12</v>
      </c>
      <c r="D438" t="s">
        <v>71</v>
      </c>
      <c r="E438">
        <v>11000000</v>
      </c>
      <c r="F438">
        <f t="shared" si="31"/>
        <v>11000000</v>
      </c>
      <c r="G438">
        <f t="shared" si="32"/>
        <v>35437.687658664196</v>
      </c>
      <c r="H438" t="s">
        <v>72</v>
      </c>
      <c r="I438" s="1" t="s">
        <v>224</v>
      </c>
      <c r="J438" s="1" t="s">
        <v>216</v>
      </c>
      <c r="K438" s="9">
        <v>1065.9100000000001</v>
      </c>
      <c r="L438" t="s">
        <v>21</v>
      </c>
      <c r="M438">
        <f t="shared" si="30"/>
        <v>1.0659100000000001</v>
      </c>
      <c r="N438">
        <f t="shared" si="28"/>
        <v>330.86272764</v>
      </c>
    </row>
    <row r="439" spans="1:14" x14ac:dyDescent="0.3">
      <c r="A439" s="1" t="s">
        <v>23</v>
      </c>
      <c r="B439">
        <v>6</v>
      </c>
      <c r="C439">
        <v>12</v>
      </c>
      <c r="D439" t="s">
        <v>71</v>
      </c>
      <c r="E439">
        <v>11000000</v>
      </c>
      <c r="F439">
        <f t="shared" si="31"/>
        <v>11000000</v>
      </c>
      <c r="G439">
        <f t="shared" si="32"/>
        <v>35437.687658664196</v>
      </c>
      <c r="H439" t="s">
        <v>72</v>
      </c>
      <c r="I439" s="1" t="s">
        <v>224</v>
      </c>
      <c r="J439" s="1" t="s">
        <v>216</v>
      </c>
      <c r="K439" s="9" t="s">
        <v>20</v>
      </c>
      <c r="L439" t="s">
        <v>21</v>
      </c>
      <c r="M439" t="str">
        <f t="shared" si="30"/>
        <v>ND</v>
      </c>
      <c r="N439" t="str">
        <f t="shared" si="28"/>
        <v>ND</v>
      </c>
    </row>
    <row r="440" spans="1:14" x14ac:dyDescent="0.3">
      <c r="A440" s="1" t="s">
        <v>23</v>
      </c>
      <c r="B440">
        <v>6</v>
      </c>
      <c r="C440">
        <v>12</v>
      </c>
      <c r="D440" t="s">
        <v>71</v>
      </c>
      <c r="E440">
        <v>11000000</v>
      </c>
      <c r="F440">
        <f t="shared" si="31"/>
        <v>11000000</v>
      </c>
      <c r="G440">
        <f t="shared" si="32"/>
        <v>35437.687658664196</v>
      </c>
      <c r="H440" t="s">
        <v>72</v>
      </c>
      <c r="I440" s="1" t="s">
        <v>224</v>
      </c>
      <c r="J440" s="1" t="s">
        <v>216</v>
      </c>
      <c r="K440" s="9">
        <v>1160.54</v>
      </c>
      <c r="L440" t="s">
        <v>21</v>
      </c>
      <c r="M440">
        <f t="shared" si="30"/>
        <v>1.1605399999999999</v>
      </c>
      <c r="N440">
        <f t="shared" si="28"/>
        <v>360.23625815999992</v>
      </c>
    </row>
    <row r="441" spans="1:14" x14ac:dyDescent="0.3">
      <c r="A441" s="1" t="s">
        <v>23</v>
      </c>
      <c r="B441">
        <v>6</v>
      </c>
      <c r="C441">
        <v>12</v>
      </c>
      <c r="D441" t="s">
        <v>71</v>
      </c>
      <c r="E441">
        <v>11000000</v>
      </c>
      <c r="F441">
        <f t="shared" si="31"/>
        <v>11000000</v>
      </c>
      <c r="G441">
        <f t="shared" si="32"/>
        <v>35437.687658664196</v>
      </c>
      <c r="H441" t="s">
        <v>72</v>
      </c>
      <c r="I441" s="1" t="s">
        <v>224</v>
      </c>
      <c r="J441" s="1" t="s">
        <v>216</v>
      </c>
      <c r="K441" s="9">
        <v>1204.5999999999999</v>
      </c>
      <c r="L441" t="s">
        <v>21</v>
      </c>
      <c r="M441">
        <f t="shared" si="30"/>
        <v>1.2045999999999999</v>
      </c>
      <c r="N441">
        <f t="shared" si="28"/>
        <v>373.91265839999994</v>
      </c>
    </row>
    <row r="442" spans="1:14" x14ac:dyDescent="0.3">
      <c r="A442" s="1" t="s">
        <v>23</v>
      </c>
      <c r="B442">
        <v>6</v>
      </c>
      <c r="C442">
        <v>12</v>
      </c>
      <c r="D442" t="s">
        <v>71</v>
      </c>
      <c r="E442">
        <v>11000000</v>
      </c>
      <c r="F442">
        <f t="shared" si="31"/>
        <v>11000000</v>
      </c>
      <c r="G442">
        <f t="shared" si="32"/>
        <v>35437.687658664196</v>
      </c>
      <c r="H442" t="s">
        <v>72</v>
      </c>
      <c r="I442" s="1" t="s">
        <v>224</v>
      </c>
      <c r="J442" s="1" t="s">
        <v>216</v>
      </c>
      <c r="K442" s="9">
        <v>4484.9799999999996</v>
      </c>
      <c r="L442" t="s">
        <v>21</v>
      </c>
      <c r="M442">
        <f t="shared" si="30"/>
        <v>4.4849799999999993</v>
      </c>
      <c r="N442">
        <f t="shared" si="28"/>
        <v>1392.1557319199997</v>
      </c>
    </row>
    <row r="443" spans="1:14" x14ac:dyDescent="0.3">
      <c r="A443" s="1" t="s">
        <v>23</v>
      </c>
      <c r="B443">
        <v>6</v>
      </c>
      <c r="C443">
        <v>12</v>
      </c>
      <c r="D443" t="s">
        <v>71</v>
      </c>
      <c r="E443">
        <v>11000000</v>
      </c>
      <c r="F443">
        <f t="shared" si="31"/>
        <v>11000000</v>
      </c>
      <c r="G443">
        <f t="shared" si="32"/>
        <v>35437.687658664196</v>
      </c>
      <c r="H443" t="s">
        <v>72</v>
      </c>
      <c r="I443" s="1" t="s">
        <v>224</v>
      </c>
      <c r="J443" s="1" t="s">
        <v>216</v>
      </c>
      <c r="K443" s="9">
        <v>6681.32</v>
      </c>
      <c r="L443" t="s">
        <v>21</v>
      </c>
      <c r="M443">
        <f t="shared" si="30"/>
        <v>6.6813199999999995</v>
      </c>
      <c r="N443">
        <f t="shared" si="28"/>
        <v>2073.9084532799998</v>
      </c>
    </row>
    <row r="444" spans="1:14" x14ac:dyDescent="0.3">
      <c r="A444" s="1" t="s">
        <v>23</v>
      </c>
      <c r="B444">
        <v>6</v>
      </c>
      <c r="C444">
        <v>12</v>
      </c>
      <c r="D444" t="s">
        <v>71</v>
      </c>
      <c r="E444">
        <v>11000000</v>
      </c>
      <c r="F444">
        <f t="shared" si="31"/>
        <v>11000000</v>
      </c>
      <c r="G444">
        <f t="shared" si="32"/>
        <v>35437.687658664196</v>
      </c>
      <c r="H444" t="s">
        <v>72</v>
      </c>
      <c r="I444" s="1" t="s">
        <v>224</v>
      </c>
      <c r="J444" s="1" t="s">
        <v>216</v>
      </c>
      <c r="K444" s="9">
        <v>3937.26</v>
      </c>
      <c r="L444" t="s">
        <v>21</v>
      </c>
      <c r="M444">
        <f t="shared" si="30"/>
        <v>3.9372600000000002</v>
      </c>
      <c r="N444">
        <f t="shared" si="28"/>
        <v>1222.1412530399998</v>
      </c>
    </row>
    <row r="445" spans="1:14" x14ac:dyDescent="0.3">
      <c r="A445" s="1" t="s">
        <v>23</v>
      </c>
      <c r="B445">
        <v>6</v>
      </c>
      <c r="C445">
        <v>12</v>
      </c>
      <c r="D445" t="s">
        <v>71</v>
      </c>
      <c r="E445">
        <v>11000000</v>
      </c>
      <c r="F445">
        <f t="shared" si="31"/>
        <v>11000000</v>
      </c>
      <c r="G445">
        <f t="shared" si="32"/>
        <v>35437.687658664196</v>
      </c>
      <c r="H445" t="s">
        <v>72</v>
      </c>
      <c r="I445" s="1" t="s">
        <v>224</v>
      </c>
      <c r="J445" s="1" t="s">
        <v>216</v>
      </c>
      <c r="K445" s="9">
        <v>9000</v>
      </c>
      <c r="L445" t="s">
        <v>21</v>
      </c>
      <c r="M445">
        <f t="shared" si="30"/>
        <v>9</v>
      </c>
      <c r="N445">
        <f t="shared" si="28"/>
        <v>2793.636</v>
      </c>
    </row>
    <row r="446" spans="1:14" x14ac:dyDescent="0.3">
      <c r="A446" s="1" t="s">
        <v>23</v>
      </c>
      <c r="B446">
        <v>6</v>
      </c>
      <c r="C446">
        <v>12</v>
      </c>
      <c r="D446" t="s">
        <v>71</v>
      </c>
      <c r="E446">
        <v>11000000</v>
      </c>
      <c r="F446">
        <f t="shared" si="31"/>
        <v>11000000</v>
      </c>
      <c r="G446">
        <f t="shared" si="32"/>
        <v>35437.687658664196</v>
      </c>
      <c r="H446" t="s">
        <v>72</v>
      </c>
      <c r="I446" s="1" t="s">
        <v>224</v>
      </c>
      <c r="J446" s="1" t="s">
        <v>216</v>
      </c>
      <c r="K446" s="9">
        <v>15200</v>
      </c>
      <c r="L446" t="s">
        <v>21</v>
      </c>
      <c r="M446">
        <f t="shared" si="30"/>
        <v>15.2</v>
      </c>
      <c r="N446">
        <f t="shared" si="28"/>
        <v>4718.1407999999992</v>
      </c>
    </row>
    <row r="447" spans="1:14" x14ac:dyDescent="0.3">
      <c r="A447" s="1" t="s">
        <v>23</v>
      </c>
      <c r="B447">
        <v>6</v>
      </c>
      <c r="C447">
        <v>12</v>
      </c>
      <c r="D447" t="s">
        <v>71</v>
      </c>
      <c r="E447">
        <v>11000000</v>
      </c>
      <c r="F447">
        <f t="shared" si="31"/>
        <v>11000000</v>
      </c>
      <c r="G447">
        <f t="shared" si="32"/>
        <v>35437.687658664196</v>
      </c>
      <c r="H447" t="s">
        <v>72</v>
      </c>
      <c r="I447" s="1" t="s">
        <v>224</v>
      </c>
      <c r="J447" s="1" t="s">
        <v>216</v>
      </c>
      <c r="K447" s="9">
        <v>5760</v>
      </c>
      <c r="L447" t="s">
        <v>21</v>
      </c>
      <c r="M447">
        <f t="shared" si="30"/>
        <v>5.76</v>
      </c>
      <c r="N447">
        <f t="shared" si="28"/>
        <v>1787.9270399999998</v>
      </c>
    </row>
    <row r="448" spans="1:14" x14ac:dyDescent="0.3">
      <c r="A448" s="1" t="s">
        <v>23</v>
      </c>
      <c r="B448">
        <v>6</v>
      </c>
      <c r="C448">
        <v>12</v>
      </c>
      <c r="D448" t="s">
        <v>71</v>
      </c>
      <c r="E448">
        <v>11000000</v>
      </c>
      <c r="F448">
        <f t="shared" si="31"/>
        <v>11000000</v>
      </c>
      <c r="G448">
        <f t="shared" si="32"/>
        <v>35437.687658664196</v>
      </c>
      <c r="H448" t="s">
        <v>72</v>
      </c>
      <c r="I448" s="1" t="s">
        <v>224</v>
      </c>
      <c r="J448" s="1" t="s">
        <v>216</v>
      </c>
      <c r="K448" s="9">
        <v>5325.64</v>
      </c>
      <c r="L448" t="s">
        <v>21</v>
      </c>
      <c r="M448">
        <f t="shared" si="30"/>
        <v>5.3256399999999999</v>
      </c>
      <c r="N448">
        <f t="shared" si="28"/>
        <v>1653.0999585599998</v>
      </c>
    </row>
    <row r="449" spans="1:14" x14ac:dyDescent="0.3">
      <c r="A449" s="1" t="s">
        <v>23</v>
      </c>
      <c r="B449">
        <v>6</v>
      </c>
      <c r="C449">
        <v>12</v>
      </c>
      <c r="D449" t="s">
        <v>71</v>
      </c>
      <c r="E449">
        <v>11000000</v>
      </c>
      <c r="F449">
        <f t="shared" si="31"/>
        <v>11000000</v>
      </c>
      <c r="G449">
        <f t="shared" si="32"/>
        <v>35437.687658664196</v>
      </c>
      <c r="H449" t="s">
        <v>72</v>
      </c>
      <c r="I449" s="1" t="s">
        <v>224</v>
      </c>
      <c r="J449" s="1" t="s">
        <v>216</v>
      </c>
      <c r="K449" s="9">
        <v>3968.16</v>
      </c>
      <c r="L449" t="s">
        <v>21</v>
      </c>
      <c r="M449">
        <f t="shared" si="30"/>
        <v>3.9681599999999997</v>
      </c>
      <c r="N449">
        <f t="shared" si="28"/>
        <v>1231.73273664</v>
      </c>
    </row>
    <row r="450" spans="1:14" x14ac:dyDescent="0.3">
      <c r="A450" s="1" t="s">
        <v>23</v>
      </c>
      <c r="B450">
        <v>6</v>
      </c>
      <c r="C450">
        <v>12</v>
      </c>
      <c r="D450" t="s">
        <v>71</v>
      </c>
      <c r="E450">
        <v>11000000</v>
      </c>
      <c r="F450">
        <f t="shared" si="31"/>
        <v>11000000</v>
      </c>
      <c r="G450">
        <f t="shared" si="32"/>
        <v>35437.687658664196</v>
      </c>
      <c r="H450" t="s">
        <v>72</v>
      </c>
      <c r="I450" s="1" t="s">
        <v>224</v>
      </c>
      <c r="J450" s="1" t="s">
        <v>216</v>
      </c>
      <c r="K450" s="9">
        <v>3682.47</v>
      </c>
      <c r="L450" t="s">
        <v>21</v>
      </c>
      <c r="M450">
        <f t="shared" si="30"/>
        <v>3.6824699999999999</v>
      </c>
      <c r="N450">
        <f t="shared" ref="N450:N513" si="33">IFERROR((M450*F450)/G450,"ND")</f>
        <v>1143.0534178799999</v>
      </c>
    </row>
    <row r="451" spans="1:14" x14ac:dyDescent="0.3">
      <c r="A451" s="1" t="s">
        <v>23</v>
      </c>
      <c r="B451">
        <v>6</v>
      </c>
      <c r="C451">
        <v>12</v>
      </c>
      <c r="D451" t="s">
        <v>71</v>
      </c>
      <c r="E451">
        <v>11000000</v>
      </c>
      <c r="F451">
        <f t="shared" si="31"/>
        <v>11000000</v>
      </c>
      <c r="G451">
        <f t="shared" si="32"/>
        <v>35437.687658664196</v>
      </c>
      <c r="H451" t="s">
        <v>72</v>
      </c>
      <c r="I451" s="1" t="s">
        <v>224</v>
      </c>
      <c r="J451" s="1" t="s">
        <v>216</v>
      </c>
      <c r="K451" s="9">
        <v>3372.81</v>
      </c>
      <c r="L451" t="s">
        <v>21</v>
      </c>
      <c r="M451">
        <f t="shared" si="30"/>
        <v>3.3728099999999999</v>
      </c>
      <c r="N451">
        <f t="shared" si="33"/>
        <v>1046.9337152399999</v>
      </c>
    </row>
    <row r="452" spans="1:14" x14ac:dyDescent="0.3">
      <c r="A452" s="1" t="s">
        <v>23</v>
      </c>
      <c r="B452">
        <v>6</v>
      </c>
      <c r="C452">
        <v>12</v>
      </c>
      <c r="D452" t="s">
        <v>71</v>
      </c>
      <c r="E452">
        <v>11000000</v>
      </c>
      <c r="F452">
        <f t="shared" si="31"/>
        <v>11000000</v>
      </c>
      <c r="G452">
        <f t="shared" si="32"/>
        <v>35437.687658664196</v>
      </c>
      <c r="H452" t="s">
        <v>72</v>
      </c>
      <c r="I452" s="1" t="s">
        <v>224</v>
      </c>
      <c r="J452" s="1" t="s">
        <v>216</v>
      </c>
      <c r="K452" s="9">
        <v>5319.58</v>
      </c>
      <c r="L452" t="s">
        <v>21</v>
      </c>
      <c r="M452">
        <f t="shared" si="30"/>
        <v>5.3195800000000002</v>
      </c>
      <c r="N452">
        <f t="shared" si="33"/>
        <v>1651.2189103199998</v>
      </c>
    </row>
    <row r="453" spans="1:14" x14ac:dyDescent="0.3">
      <c r="A453" s="1" t="s">
        <v>23</v>
      </c>
      <c r="B453">
        <v>6</v>
      </c>
      <c r="C453">
        <v>12</v>
      </c>
      <c r="D453" t="s">
        <v>71</v>
      </c>
      <c r="E453">
        <v>11000000</v>
      </c>
      <c r="F453">
        <f t="shared" si="31"/>
        <v>11000000</v>
      </c>
      <c r="G453">
        <f t="shared" si="32"/>
        <v>35437.687658664196</v>
      </c>
      <c r="H453" t="s">
        <v>72</v>
      </c>
      <c r="I453" s="1" t="s">
        <v>224</v>
      </c>
      <c r="J453" s="1" t="s">
        <v>216</v>
      </c>
      <c r="K453" s="9">
        <v>15810.2</v>
      </c>
      <c r="L453" t="s">
        <v>21</v>
      </c>
      <c r="M453">
        <f t="shared" si="30"/>
        <v>15.8102</v>
      </c>
      <c r="N453">
        <f t="shared" si="33"/>
        <v>4907.5493207999998</v>
      </c>
    </row>
    <row r="454" spans="1:14" x14ac:dyDescent="0.3">
      <c r="A454" s="1" t="s">
        <v>23</v>
      </c>
      <c r="B454">
        <v>6</v>
      </c>
      <c r="C454">
        <v>12</v>
      </c>
      <c r="D454" t="s">
        <v>71</v>
      </c>
      <c r="E454">
        <v>11000000</v>
      </c>
      <c r="F454">
        <f t="shared" si="31"/>
        <v>11000000</v>
      </c>
      <c r="G454">
        <f t="shared" si="32"/>
        <v>35437.687658664196</v>
      </c>
      <c r="H454" t="s">
        <v>72</v>
      </c>
      <c r="I454" s="1" t="s">
        <v>224</v>
      </c>
      <c r="J454" s="1" t="s">
        <v>216</v>
      </c>
      <c r="K454" s="9">
        <v>2033.94</v>
      </c>
      <c r="L454" t="s">
        <v>21</v>
      </c>
      <c r="M454">
        <f t="shared" si="30"/>
        <v>2.0339399999999999</v>
      </c>
      <c r="N454">
        <f t="shared" si="33"/>
        <v>631.34311175999994</v>
      </c>
    </row>
    <row r="455" spans="1:14" x14ac:dyDescent="0.3">
      <c r="A455" s="1" t="s">
        <v>23</v>
      </c>
      <c r="B455">
        <v>6</v>
      </c>
      <c r="C455">
        <v>12</v>
      </c>
      <c r="D455" t="s">
        <v>71</v>
      </c>
      <c r="E455">
        <v>11000000</v>
      </c>
      <c r="F455">
        <f t="shared" si="31"/>
        <v>11000000</v>
      </c>
      <c r="G455">
        <f t="shared" si="32"/>
        <v>35437.687658664196</v>
      </c>
      <c r="H455" t="s">
        <v>72</v>
      </c>
      <c r="I455" s="1" t="s">
        <v>224</v>
      </c>
      <c r="J455" s="1" t="s">
        <v>216</v>
      </c>
      <c r="K455" s="9">
        <v>1474.26</v>
      </c>
      <c r="L455" t="s">
        <v>21</v>
      </c>
      <c r="M455">
        <f t="shared" si="30"/>
        <v>1.4742599999999999</v>
      </c>
      <c r="N455">
        <f t="shared" si="33"/>
        <v>457.61620103999991</v>
      </c>
    </row>
    <row r="456" spans="1:14" x14ac:dyDescent="0.3">
      <c r="A456" s="1" t="s">
        <v>23</v>
      </c>
      <c r="B456">
        <v>6</v>
      </c>
      <c r="C456">
        <v>12</v>
      </c>
      <c r="D456" t="s">
        <v>71</v>
      </c>
      <c r="E456">
        <v>11000000</v>
      </c>
      <c r="F456">
        <f t="shared" si="31"/>
        <v>11000000</v>
      </c>
      <c r="G456">
        <f t="shared" si="32"/>
        <v>35437.687658664196</v>
      </c>
      <c r="H456" t="s">
        <v>72</v>
      </c>
      <c r="I456" s="1" t="s">
        <v>224</v>
      </c>
      <c r="J456" s="1" t="s">
        <v>216</v>
      </c>
      <c r="K456" s="9">
        <v>2009.25</v>
      </c>
      <c r="L456" t="s">
        <v>21</v>
      </c>
      <c r="M456">
        <f t="shared" si="30"/>
        <v>2.0092500000000002</v>
      </c>
      <c r="N456">
        <f t="shared" si="33"/>
        <v>623.67923700000006</v>
      </c>
    </row>
    <row r="457" spans="1:14" x14ac:dyDescent="0.3">
      <c r="A457" s="1" t="s">
        <v>35</v>
      </c>
      <c r="B457">
        <v>6</v>
      </c>
      <c r="C457">
        <v>12</v>
      </c>
      <c r="D457" t="s">
        <v>71</v>
      </c>
      <c r="E457">
        <v>11000000</v>
      </c>
      <c r="F457">
        <f t="shared" si="31"/>
        <v>11000000</v>
      </c>
      <c r="G457">
        <f t="shared" si="32"/>
        <v>35437.687658664196</v>
      </c>
      <c r="H457" t="s">
        <v>72</v>
      </c>
      <c r="I457" s="1" t="s">
        <v>224</v>
      </c>
      <c r="J457" s="1" t="s">
        <v>216</v>
      </c>
      <c r="K457" s="9">
        <v>115.58</v>
      </c>
      <c r="L457" t="s">
        <v>21</v>
      </c>
      <c r="M457">
        <f t="shared" si="30"/>
        <v>0.11558</v>
      </c>
      <c r="N457">
        <f t="shared" si="33"/>
        <v>35.876494319999999</v>
      </c>
    </row>
    <row r="458" spans="1:14" x14ac:dyDescent="0.3">
      <c r="A458" s="1" t="s">
        <v>35</v>
      </c>
      <c r="B458">
        <v>6</v>
      </c>
      <c r="C458">
        <v>12</v>
      </c>
      <c r="D458" t="s">
        <v>71</v>
      </c>
      <c r="E458">
        <v>11000000</v>
      </c>
      <c r="F458">
        <f t="shared" si="31"/>
        <v>11000000</v>
      </c>
      <c r="G458">
        <f t="shared" si="32"/>
        <v>35437.687658664196</v>
      </c>
      <c r="H458" t="s">
        <v>72</v>
      </c>
      <c r="I458" s="1" t="s">
        <v>224</v>
      </c>
      <c r="J458" s="1" t="s">
        <v>216</v>
      </c>
      <c r="K458" s="9">
        <v>99.03</v>
      </c>
      <c r="L458" t="s">
        <v>21</v>
      </c>
      <c r="M458">
        <f t="shared" si="30"/>
        <v>9.9030000000000007E-2</v>
      </c>
      <c r="N458">
        <f t="shared" si="33"/>
        <v>30.739308119999997</v>
      </c>
    </row>
    <row r="459" spans="1:14" x14ac:dyDescent="0.3">
      <c r="A459" s="1" t="s">
        <v>35</v>
      </c>
      <c r="B459">
        <v>6</v>
      </c>
      <c r="C459">
        <v>12</v>
      </c>
      <c r="D459" t="s">
        <v>71</v>
      </c>
      <c r="E459">
        <v>11000000</v>
      </c>
      <c r="F459">
        <f t="shared" si="31"/>
        <v>11000000</v>
      </c>
      <c r="G459">
        <f t="shared" si="32"/>
        <v>35437.687658664196</v>
      </c>
      <c r="H459" t="s">
        <v>72</v>
      </c>
      <c r="I459" s="1" t="s">
        <v>224</v>
      </c>
      <c r="J459" s="1" t="s">
        <v>216</v>
      </c>
      <c r="K459" s="9">
        <v>78.260000000000005</v>
      </c>
      <c r="L459" t="s">
        <v>21</v>
      </c>
      <c r="M459">
        <f t="shared" si="30"/>
        <v>7.826000000000001E-2</v>
      </c>
      <c r="N459">
        <f t="shared" si="33"/>
        <v>24.292217040000001</v>
      </c>
    </row>
    <row r="460" spans="1:14" x14ac:dyDescent="0.3">
      <c r="A460" s="1" t="s">
        <v>35</v>
      </c>
      <c r="B460">
        <v>6</v>
      </c>
      <c r="C460">
        <v>12</v>
      </c>
      <c r="D460" t="s">
        <v>71</v>
      </c>
      <c r="E460">
        <v>11000000</v>
      </c>
      <c r="F460">
        <f t="shared" si="31"/>
        <v>11000000</v>
      </c>
      <c r="G460">
        <f t="shared" si="32"/>
        <v>35437.687658664196</v>
      </c>
      <c r="H460" t="s">
        <v>72</v>
      </c>
      <c r="I460" s="1" t="s">
        <v>224</v>
      </c>
      <c r="J460" s="1" t="s">
        <v>216</v>
      </c>
      <c r="K460" s="9">
        <v>159.77000000000001</v>
      </c>
      <c r="L460" t="s">
        <v>21</v>
      </c>
      <c r="M460">
        <f t="shared" si="30"/>
        <v>0.15977000000000002</v>
      </c>
      <c r="N460">
        <f t="shared" si="33"/>
        <v>49.593247080000005</v>
      </c>
    </row>
    <row r="461" spans="1:14" x14ac:dyDescent="0.3">
      <c r="A461" s="1" t="s">
        <v>35</v>
      </c>
      <c r="B461">
        <v>6</v>
      </c>
      <c r="C461">
        <v>12</v>
      </c>
      <c r="D461" t="s">
        <v>71</v>
      </c>
      <c r="E461">
        <v>11000000</v>
      </c>
      <c r="F461">
        <f t="shared" si="31"/>
        <v>11000000</v>
      </c>
      <c r="G461">
        <f t="shared" si="32"/>
        <v>35437.687658664196</v>
      </c>
      <c r="H461" t="s">
        <v>72</v>
      </c>
      <c r="I461" s="1" t="s">
        <v>224</v>
      </c>
      <c r="J461" s="1" t="s">
        <v>216</v>
      </c>
      <c r="K461" s="9">
        <v>95.68</v>
      </c>
      <c r="L461" t="s">
        <v>21</v>
      </c>
      <c r="M461">
        <f t="shared" si="30"/>
        <v>9.5680000000000001E-2</v>
      </c>
      <c r="N461">
        <f t="shared" si="33"/>
        <v>29.699454719999999</v>
      </c>
    </row>
    <row r="462" spans="1:14" x14ac:dyDescent="0.3">
      <c r="A462" s="1" t="s">
        <v>35</v>
      </c>
      <c r="B462">
        <v>6</v>
      </c>
      <c r="C462">
        <v>12</v>
      </c>
      <c r="D462" t="s">
        <v>71</v>
      </c>
      <c r="E462">
        <v>11000000</v>
      </c>
      <c r="F462">
        <f t="shared" si="31"/>
        <v>11000000</v>
      </c>
      <c r="G462">
        <f t="shared" si="32"/>
        <v>35437.687658664196</v>
      </c>
      <c r="H462" t="s">
        <v>72</v>
      </c>
      <c r="I462" s="1" t="s">
        <v>224</v>
      </c>
      <c r="J462" s="1" t="s">
        <v>216</v>
      </c>
      <c r="K462" s="9">
        <v>85.25</v>
      </c>
      <c r="L462" t="s">
        <v>21</v>
      </c>
      <c r="M462">
        <f t="shared" si="30"/>
        <v>8.5250000000000006E-2</v>
      </c>
      <c r="N462">
        <f t="shared" si="33"/>
        <v>26.461940999999999</v>
      </c>
    </row>
    <row r="463" spans="1:14" x14ac:dyDescent="0.3">
      <c r="A463" s="1" t="s">
        <v>35</v>
      </c>
      <c r="B463">
        <v>6</v>
      </c>
      <c r="C463">
        <v>12</v>
      </c>
      <c r="D463" t="s">
        <v>71</v>
      </c>
      <c r="E463">
        <v>11000000</v>
      </c>
      <c r="F463">
        <f t="shared" si="31"/>
        <v>11000000</v>
      </c>
      <c r="G463">
        <f t="shared" si="32"/>
        <v>35437.687658664196</v>
      </c>
      <c r="H463" t="s">
        <v>72</v>
      </c>
      <c r="I463" s="1" t="s">
        <v>224</v>
      </c>
      <c r="J463" s="1" t="s">
        <v>216</v>
      </c>
      <c r="K463" s="9">
        <v>29.36</v>
      </c>
      <c r="L463" t="s">
        <v>21</v>
      </c>
      <c r="M463">
        <f t="shared" si="30"/>
        <v>2.9360000000000001E-2</v>
      </c>
      <c r="N463">
        <f t="shared" si="33"/>
        <v>9.11346144</v>
      </c>
    </row>
    <row r="464" spans="1:14" x14ac:dyDescent="0.3">
      <c r="A464" s="1" t="s">
        <v>35</v>
      </c>
      <c r="B464">
        <v>6</v>
      </c>
      <c r="C464">
        <v>12</v>
      </c>
      <c r="D464" t="s">
        <v>71</v>
      </c>
      <c r="E464">
        <v>11000000</v>
      </c>
      <c r="F464">
        <f t="shared" si="31"/>
        <v>11000000</v>
      </c>
      <c r="G464">
        <f t="shared" si="32"/>
        <v>35437.687658664196</v>
      </c>
      <c r="H464" t="s">
        <v>72</v>
      </c>
      <c r="I464" s="1" t="s">
        <v>224</v>
      </c>
      <c r="J464" s="1" t="s">
        <v>216</v>
      </c>
      <c r="K464" s="9">
        <v>223.43</v>
      </c>
      <c r="L464" t="s">
        <v>21</v>
      </c>
      <c r="M464">
        <f t="shared" si="30"/>
        <v>0.22343000000000002</v>
      </c>
      <c r="N464">
        <f t="shared" si="33"/>
        <v>69.353565719999992</v>
      </c>
    </row>
    <row r="465" spans="1:14" x14ac:dyDescent="0.3">
      <c r="A465" s="1" t="s">
        <v>35</v>
      </c>
      <c r="B465">
        <v>6</v>
      </c>
      <c r="C465">
        <v>12</v>
      </c>
      <c r="D465" t="s">
        <v>71</v>
      </c>
      <c r="E465">
        <v>11000000</v>
      </c>
      <c r="F465">
        <f t="shared" si="31"/>
        <v>11000000</v>
      </c>
      <c r="G465">
        <f t="shared" si="32"/>
        <v>35437.687658664196</v>
      </c>
      <c r="H465" t="s">
        <v>72</v>
      </c>
      <c r="I465" s="1" t="s">
        <v>224</v>
      </c>
      <c r="J465" s="1" t="s">
        <v>216</v>
      </c>
      <c r="K465" s="9">
        <v>187.97</v>
      </c>
      <c r="L465" t="s">
        <v>21</v>
      </c>
      <c r="M465">
        <f t="shared" si="30"/>
        <v>0.18797</v>
      </c>
      <c r="N465">
        <f t="shared" si="33"/>
        <v>58.346639879999998</v>
      </c>
    </row>
    <row r="466" spans="1:14" x14ac:dyDescent="0.3">
      <c r="A466" s="1" t="s">
        <v>35</v>
      </c>
      <c r="B466">
        <v>6</v>
      </c>
      <c r="C466">
        <v>12</v>
      </c>
      <c r="D466" t="s">
        <v>71</v>
      </c>
      <c r="E466">
        <v>11000000</v>
      </c>
      <c r="F466">
        <f t="shared" si="31"/>
        <v>11000000</v>
      </c>
      <c r="G466">
        <f t="shared" si="32"/>
        <v>35437.687658664196</v>
      </c>
      <c r="H466" t="s">
        <v>72</v>
      </c>
      <c r="I466" s="1" t="s">
        <v>224</v>
      </c>
      <c r="J466" s="1" t="s">
        <v>216</v>
      </c>
      <c r="K466" s="9">
        <v>359.18</v>
      </c>
      <c r="L466" t="s">
        <v>21</v>
      </c>
      <c r="M466">
        <f t="shared" si="30"/>
        <v>0.35918</v>
      </c>
      <c r="N466">
        <f t="shared" si="33"/>
        <v>111.49090871999999</v>
      </c>
    </row>
    <row r="467" spans="1:14" x14ac:dyDescent="0.3">
      <c r="A467" s="1" t="s">
        <v>35</v>
      </c>
      <c r="B467">
        <v>6</v>
      </c>
      <c r="C467">
        <v>12</v>
      </c>
      <c r="D467" t="s">
        <v>71</v>
      </c>
      <c r="E467">
        <v>11000000</v>
      </c>
      <c r="F467">
        <f t="shared" si="31"/>
        <v>11000000</v>
      </c>
      <c r="G467">
        <f t="shared" si="32"/>
        <v>35437.687658664196</v>
      </c>
      <c r="H467" t="s">
        <v>72</v>
      </c>
      <c r="I467" s="1" t="s">
        <v>224</v>
      </c>
      <c r="J467" s="1" t="s">
        <v>216</v>
      </c>
      <c r="K467" s="9">
        <v>575.88</v>
      </c>
      <c r="L467" t="s">
        <v>21</v>
      </c>
      <c r="M467">
        <f t="shared" si="30"/>
        <v>0.57587999999999995</v>
      </c>
      <c r="N467">
        <f t="shared" si="33"/>
        <v>178.75545551999997</v>
      </c>
    </row>
    <row r="468" spans="1:14" x14ac:dyDescent="0.3">
      <c r="A468" s="1" t="s">
        <v>35</v>
      </c>
      <c r="B468">
        <v>6</v>
      </c>
      <c r="C468">
        <v>12</v>
      </c>
      <c r="D468" t="s">
        <v>71</v>
      </c>
      <c r="E468">
        <v>11000000</v>
      </c>
      <c r="F468">
        <f t="shared" si="31"/>
        <v>11000000</v>
      </c>
      <c r="G468">
        <f t="shared" si="32"/>
        <v>35437.687658664196</v>
      </c>
      <c r="H468" t="s">
        <v>72</v>
      </c>
      <c r="I468" s="1" t="s">
        <v>224</v>
      </c>
      <c r="J468" s="1" t="s">
        <v>216</v>
      </c>
      <c r="K468" s="9">
        <v>290.18</v>
      </c>
      <c r="L468" t="s">
        <v>21</v>
      </c>
      <c r="M468">
        <f t="shared" si="30"/>
        <v>0.29017999999999999</v>
      </c>
      <c r="N468">
        <f t="shared" si="33"/>
        <v>90.073032719999986</v>
      </c>
    </row>
    <row r="469" spans="1:14" x14ac:dyDescent="0.3">
      <c r="A469" s="1" t="s">
        <v>35</v>
      </c>
      <c r="B469">
        <v>6</v>
      </c>
      <c r="C469">
        <v>12</v>
      </c>
      <c r="D469" t="s">
        <v>71</v>
      </c>
      <c r="E469">
        <v>11000000</v>
      </c>
      <c r="F469">
        <f t="shared" si="31"/>
        <v>11000000</v>
      </c>
      <c r="G469">
        <f t="shared" si="32"/>
        <v>35437.687658664196</v>
      </c>
      <c r="H469" t="s">
        <v>72</v>
      </c>
      <c r="I469" s="1" t="s">
        <v>224</v>
      </c>
      <c r="J469" s="1" t="s">
        <v>216</v>
      </c>
      <c r="K469" s="9">
        <v>728.97</v>
      </c>
      <c r="L469" t="s">
        <v>21</v>
      </c>
      <c r="M469">
        <f t="shared" si="30"/>
        <v>0.72897000000000001</v>
      </c>
      <c r="N469">
        <f t="shared" si="33"/>
        <v>226.27520387999999</v>
      </c>
    </row>
    <row r="470" spans="1:14" x14ac:dyDescent="0.3">
      <c r="A470" s="1" t="s">
        <v>35</v>
      </c>
      <c r="B470">
        <v>6</v>
      </c>
      <c r="C470">
        <v>12</v>
      </c>
      <c r="D470" t="s">
        <v>71</v>
      </c>
      <c r="E470">
        <v>11000000</v>
      </c>
      <c r="F470">
        <f t="shared" si="31"/>
        <v>11000000</v>
      </c>
      <c r="G470">
        <f t="shared" si="32"/>
        <v>35437.687658664196</v>
      </c>
      <c r="H470" t="s">
        <v>72</v>
      </c>
      <c r="I470" s="1" t="s">
        <v>224</v>
      </c>
      <c r="J470" s="1" t="s">
        <v>216</v>
      </c>
      <c r="K470" s="9">
        <v>475.65</v>
      </c>
      <c r="L470" t="s">
        <v>21</v>
      </c>
      <c r="M470">
        <f t="shared" si="30"/>
        <v>0.47564999999999996</v>
      </c>
      <c r="N470">
        <f t="shared" si="33"/>
        <v>147.6436626</v>
      </c>
    </row>
    <row r="471" spans="1:14" x14ac:dyDescent="0.3">
      <c r="A471" s="1" t="s">
        <v>35</v>
      </c>
      <c r="B471">
        <v>6</v>
      </c>
      <c r="C471">
        <v>12</v>
      </c>
      <c r="D471" t="s">
        <v>71</v>
      </c>
      <c r="E471">
        <v>11000000</v>
      </c>
      <c r="F471">
        <f t="shared" si="31"/>
        <v>11000000</v>
      </c>
      <c r="G471">
        <f t="shared" si="32"/>
        <v>35437.687658664196</v>
      </c>
      <c r="H471" t="s">
        <v>72</v>
      </c>
      <c r="I471" s="1" t="s">
        <v>224</v>
      </c>
      <c r="J471" s="1" t="s">
        <v>216</v>
      </c>
      <c r="K471" s="9">
        <v>443.52</v>
      </c>
      <c r="L471" t="s">
        <v>21</v>
      </c>
      <c r="M471">
        <f t="shared" ref="M471:M534" si="34">IFERROR(K471/1000,"ND")</f>
        <v>0.44351999999999997</v>
      </c>
      <c r="N471">
        <f t="shared" si="33"/>
        <v>137.67038208</v>
      </c>
    </row>
    <row r="472" spans="1:14" x14ac:dyDescent="0.3">
      <c r="A472" s="1" t="s">
        <v>35</v>
      </c>
      <c r="B472">
        <v>6</v>
      </c>
      <c r="C472">
        <v>12</v>
      </c>
      <c r="D472" t="s">
        <v>71</v>
      </c>
      <c r="E472">
        <v>11000000</v>
      </c>
      <c r="F472">
        <f t="shared" ref="F472:F535" si="35">E472</f>
        <v>11000000</v>
      </c>
      <c r="G472">
        <f t="shared" ref="G472:G535" si="36">F472/310.404</f>
        <v>35437.687658664196</v>
      </c>
      <c r="H472" t="s">
        <v>72</v>
      </c>
      <c r="I472" s="1" t="s">
        <v>224</v>
      </c>
      <c r="J472" s="1" t="s">
        <v>216</v>
      </c>
      <c r="K472" s="9">
        <v>463.13</v>
      </c>
      <c r="L472" t="s">
        <v>21</v>
      </c>
      <c r="M472">
        <f t="shared" si="34"/>
        <v>0.46312999999999999</v>
      </c>
      <c r="N472">
        <f t="shared" si="33"/>
        <v>143.75740451999999</v>
      </c>
    </row>
    <row r="473" spans="1:14" x14ac:dyDescent="0.3">
      <c r="A473" s="1" t="s">
        <v>35</v>
      </c>
      <c r="B473">
        <v>6</v>
      </c>
      <c r="C473">
        <v>12</v>
      </c>
      <c r="D473" t="s">
        <v>71</v>
      </c>
      <c r="E473">
        <v>11000000</v>
      </c>
      <c r="F473">
        <f t="shared" si="35"/>
        <v>11000000</v>
      </c>
      <c r="G473">
        <f t="shared" si="36"/>
        <v>35437.687658664196</v>
      </c>
      <c r="H473" t="s">
        <v>72</v>
      </c>
      <c r="I473" s="1" t="s">
        <v>224</v>
      </c>
      <c r="J473" s="1" t="s">
        <v>216</v>
      </c>
      <c r="K473" s="9">
        <v>451.65</v>
      </c>
      <c r="L473" t="s">
        <v>21</v>
      </c>
      <c r="M473">
        <f t="shared" si="34"/>
        <v>0.45165</v>
      </c>
      <c r="N473">
        <f t="shared" si="33"/>
        <v>140.19396659999998</v>
      </c>
    </row>
    <row r="474" spans="1:14" x14ac:dyDescent="0.3">
      <c r="A474" s="1" t="s">
        <v>35</v>
      </c>
      <c r="B474">
        <v>6</v>
      </c>
      <c r="C474">
        <v>12</v>
      </c>
      <c r="D474" t="s">
        <v>71</v>
      </c>
      <c r="E474">
        <v>11000000</v>
      </c>
      <c r="F474">
        <f t="shared" si="35"/>
        <v>11000000</v>
      </c>
      <c r="G474">
        <f t="shared" si="36"/>
        <v>35437.687658664196</v>
      </c>
      <c r="H474" t="s">
        <v>72</v>
      </c>
      <c r="I474" s="1" t="s">
        <v>224</v>
      </c>
      <c r="J474" s="1" t="s">
        <v>216</v>
      </c>
      <c r="K474" s="9">
        <v>513.25</v>
      </c>
      <c r="L474" t="s">
        <v>21</v>
      </c>
      <c r="M474">
        <f t="shared" si="34"/>
        <v>0.51324999999999998</v>
      </c>
      <c r="N474">
        <f t="shared" si="33"/>
        <v>159.314853</v>
      </c>
    </row>
    <row r="475" spans="1:14" x14ac:dyDescent="0.3">
      <c r="A475" s="1" t="s">
        <v>35</v>
      </c>
      <c r="B475">
        <v>6</v>
      </c>
      <c r="C475">
        <v>12</v>
      </c>
      <c r="D475" t="s">
        <v>71</v>
      </c>
      <c r="E475">
        <v>11000000</v>
      </c>
      <c r="F475">
        <f t="shared" si="35"/>
        <v>11000000</v>
      </c>
      <c r="G475">
        <f t="shared" si="36"/>
        <v>35437.687658664196</v>
      </c>
      <c r="H475" t="s">
        <v>72</v>
      </c>
      <c r="I475" s="1" t="s">
        <v>224</v>
      </c>
      <c r="J475" s="1" t="s">
        <v>216</v>
      </c>
      <c r="K475" s="9">
        <v>572.78</v>
      </c>
      <c r="L475" t="s">
        <v>21</v>
      </c>
      <c r="M475">
        <f t="shared" si="34"/>
        <v>0.57277999999999996</v>
      </c>
      <c r="N475">
        <f t="shared" si="33"/>
        <v>177.79320311999996</v>
      </c>
    </row>
    <row r="476" spans="1:14" x14ac:dyDescent="0.3">
      <c r="A476" s="1" t="s">
        <v>35</v>
      </c>
      <c r="B476">
        <v>6</v>
      </c>
      <c r="C476">
        <v>12</v>
      </c>
      <c r="D476" t="s">
        <v>71</v>
      </c>
      <c r="E476">
        <v>11000000</v>
      </c>
      <c r="F476">
        <f t="shared" si="35"/>
        <v>11000000</v>
      </c>
      <c r="G476">
        <f t="shared" si="36"/>
        <v>35437.687658664196</v>
      </c>
      <c r="H476" t="s">
        <v>72</v>
      </c>
      <c r="I476" s="1" t="s">
        <v>224</v>
      </c>
      <c r="J476" s="1" t="s">
        <v>216</v>
      </c>
      <c r="K476" s="9">
        <v>118.05</v>
      </c>
      <c r="L476" t="s">
        <v>21</v>
      </c>
      <c r="M476">
        <f t="shared" si="34"/>
        <v>0.11805</v>
      </c>
      <c r="N476">
        <f t="shared" si="33"/>
        <v>36.643192199999994</v>
      </c>
    </row>
    <row r="477" spans="1:14" x14ac:dyDescent="0.3">
      <c r="A477" s="1" t="s">
        <v>35</v>
      </c>
      <c r="B477">
        <v>6</v>
      </c>
      <c r="C477">
        <v>12</v>
      </c>
      <c r="D477" t="s">
        <v>71</v>
      </c>
      <c r="E477">
        <v>11000000</v>
      </c>
      <c r="F477">
        <f t="shared" si="35"/>
        <v>11000000</v>
      </c>
      <c r="G477">
        <f t="shared" si="36"/>
        <v>35437.687658664196</v>
      </c>
      <c r="H477" t="s">
        <v>72</v>
      </c>
      <c r="I477" s="1" t="s">
        <v>224</v>
      </c>
      <c r="J477" s="1" t="s">
        <v>216</v>
      </c>
      <c r="K477" s="9">
        <v>97.15</v>
      </c>
      <c r="L477" t="s">
        <v>21</v>
      </c>
      <c r="M477">
        <f t="shared" si="34"/>
        <v>9.715E-2</v>
      </c>
      <c r="N477">
        <f t="shared" si="33"/>
        <v>30.155748599999999</v>
      </c>
    </row>
    <row r="478" spans="1:14" x14ac:dyDescent="0.3">
      <c r="A478" s="1" t="s">
        <v>35</v>
      </c>
      <c r="B478">
        <v>6</v>
      </c>
      <c r="C478">
        <v>12</v>
      </c>
      <c r="D478" t="s">
        <v>71</v>
      </c>
      <c r="E478">
        <v>11000000</v>
      </c>
      <c r="F478">
        <f t="shared" si="35"/>
        <v>11000000</v>
      </c>
      <c r="G478">
        <f t="shared" si="36"/>
        <v>35437.687658664196</v>
      </c>
      <c r="H478" t="s">
        <v>72</v>
      </c>
      <c r="I478" s="1" t="s">
        <v>224</v>
      </c>
      <c r="J478" s="1" t="s">
        <v>216</v>
      </c>
      <c r="K478" s="9">
        <v>117</v>
      </c>
      <c r="L478" t="s">
        <v>21</v>
      </c>
      <c r="M478">
        <f t="shared" si="34"/>
        <v>0.11700000000000001</v>
      </c>
      <c r="N478">
        <f t="shared" si="33"/>
        <v>36.317267999999999</v>
      </c>
    </row>
    <row r="479" spans="1:14" x14ac:dyDescent="0.3">
      <c r="A479" s="1" t="s">
        <v>35</v>
      </c>
      <c r="B479">
        <v>6</v>
      </c>
      <c r="C479">
        <v>12</v>
      </c>
      <c r="D479" t="s">
        <v>71</v>
      </c>
      <c r="E479">
        <v>11000000</v>
      </c>
      <c r="F479">
        <f t="shared" si="35"/>
        <v>11000000</v>
      </c>
      <c r="G479">
        <f t="shared" si="36"/>
        <v>35437.687658664196</v>
      </c>
      <c r="H479" t="s">
        <v>72</v>
      </c>
      <c r="I479" s="1" t="s">
        <v>224</v>
      </c>
      <c r="J479" s="1" t="s">
        <v>216</v>
      </c>
      <c r="K479" s="9">
        <v>92.1</v>
      </c>
      <c r="L479" t="s">
        <v>21</v>
      </c>
      <c r="M479">
        <f t="shared" si="34"/>
        <v>9.2099999999999987E-2</v>
      </c>
      <c r="N479">
        <f t="shared" si="33"/>
        <v>28.588208399999996</v>
      </c>
    </row>
    <row r="480" spans="1:14" x14ac:dyDescent="0.3">
      <c r="A480" s="1" t="s">
        <v>35</v>
      </c>
      <c r="B480">
        <v>6</v>
      </c>
      <c r="C480">
        <v>12</v>
      </c>
      <c r="D480" t="s">
        <v>71</v>
      </c>
      <c r="E480">
        <v>11000000</v>
      </c>
      <c r="F480">
        <f t="shared" si="35"/>
        <v>11000000</v>
      </c>
      <c r="G480">
        <f t="shared" si="36"/>
        <v>35437.687658664196</v>
      </c>
      <c r="H480" t="s">
        <v>72</v>
      </c>
      <c r="I480" s="1" t="s">
        <v>224</v>
      </c>
      <c r="J480" s="1" t="s">
        <v>216</v>
      </c>
      <c r="K480" s="9">
        <v>129.84</v>
      </c>
      <c r="L480" t="s">
        <v>21</v>
      </c>
      <c r="M480">
        <f t="shared" si="34"/>
        <v>0.12984000000000001</v>
      </c>
      <c r="N480">
        <f t="shared" si="33"/>
        <v>40.302855360000002</v>
      </c>
    </row>
    <row r="481" spans="1:14" x14ac:dyDescent="0.3">
      <c r="A481" s="1" t="s">
        <v>35</v>
      </c>
      <c r="B481">
        <v>6</v>
      </c>
      <c r="C481">
        <v>12</v>
      </c>
      <c r="D481" t="s">
        <v>71</v>
      </c>
      <c r="E481">
        <v>11000000</v>
      </c>
      <c r="F481">
        <f t="shared" si="35"/>
        <v>11000000</v>
      </c>
      <c r="G481">
        <f t="shared" si="36"/>
        <v>35437.687658664196</v>
      </c>
      <c r="H481" t="s">
        <v>72</v>
      </c>
      <c r="I481" s="1" t="s">
        <v>224</v>
      </c>
      <c r="J481" s="1" t="s">
        <v>216</v>
      </c>
      <c r="K481" s="9">
        <v>288.77999999999997</v>
      </c>
      <c r="L481" t="s">
        <v>21</v>
      </c>
      <c r="M481">
        <f t="shared" si="34"/>
        <v>0.28877999999999998</v>
      </c>
      <c r="N481">
        <f t="shared" si="33"/>
        <v>89.638467119999987</v>
      </c>
    </row>
    <row r="482" spans="1:14" x14ac:dyDescent="0.3">
      <c r="A482" s="1" t="s">
        <v>35</v>
      </c>
      <c r="B482">
        <v>6</v>
      </c>
      <c r="C482">
        <v>12</v>
      </c>
      <c r="D482" t="s">
        <v>71</v>
      </c>
      <c r="E482">
        <v>11000000</v>
      </c>
      <c r="F482">
        <f t="shared" si="35"/>
        <v>11000000</v>
      </c>
      <c r="G482">
        <f t="shared" si="36"/>
        <v>35437.687658664196</v>
      </c>
      <c r="H482" t="s">
        <v>72</v>
      </c>
      <c r="I482" s="1" t="s">
        <v>224</v>
      </c>
      <c r="J482" s="1" t="s">
        <v>216</v>
      </c>
      <c r="K482" s="9">
        <v>172.06</v>
      </c>
      <c r="L482" t="s">
        <v>21</v>
      </c>
      <c r="M482">
        <f t="shared" si="34"/>
        <v>0.17205999999999999</v>
      </c>
      <c r="N482">
        <f t="shared" si="33"/>
        <v>53.408112239999994</v>
      </c>
    </row>
    <row r="483" spans="1:14" x14ac:dyDescent="0.3">
      <c r="A483" s="1" t="s">
        <v>35</v>
      </c>
      <c r="B483">
        <v>6</v>
      </c>
      <c r="C483">
        <v>12</v>
      </c>
      <c r="D483" t="s">
        <v>71</v>
      </c>
      <c r="E483">
        <v>11000000</v>
      </c>
      <c r="F483">
        <f t="shared" si="35"/>
        <v>11000000</v>
      </c>
      <c r="G483">
        <f t="shared" si="36"/>
        <v>35437.687658664196</v>
      </c>
      <c r="H483" t="s">
        <v>72</v>
      </c>
      <c r="I483" s="1" t="s">
        <v>224</v>
      </c>
      <c r="J483" s="1" t="s">
        <v>216</v>
      </c>
      <c r="K483" s="9">
        <v>251.68</v>
      </c>
      <c r="L483" t="s">
        <v>21</v>
      </c>
      <c r="M483">
        <f t="shared" si="34"/>
        <v>0.25168000000000001</v>
      </c>
      <c r="N483">
        <f t="shared" si="33"/>
        <v>78.122478719999989</v>
      </c>
    </row>
    <row r="484" spans="1:14" x14ac:dyDescent="0.3">
      <c r="A484" s="1" t="s">
        <v>35</v>
      </c>
      <c r="B484">
        <v>6</v>
      </c>
      <c r="C484">
        <v>12</v>
      </c>
      <c r="D484" t="s">
        <v>71</v>
      </c>
      <c r="E484">
        <v>11000000</v>
      </c>
      <c r="F484">
        <f t="shared" si="35"/>
        <v>11000000</v>
      </c>
      <c r="G484">
        <f t="shared" si="36"/>
        <v>35437.687658664196</v>
      </c>
      <c r="H484" t="s">
        <v>72</v>
      </c>
      <c r="I484" s="1" t="s">
        <v>224</v>
      </c>
      <c r="J484" s="1" t="s">
        <v>216</v>
      </c>
      <c r="K484" s="9">
        <v>449.17</v>
      </c>
      <c r="L484" t="s">
        <v>21</v>
      </c>
      <c r="M484">
        <f t="shared" si="34"/>
        <v>0.44917000000000001</v>
      </c>
      <c r="N484">
        <f t="shared" si="33"/>
        <v>139.42416467999999</v>
      </c>
    </row>
    <row r="485" spans="1:14" x14ac:dyDescent="0.3">
      <c r="A485" s="1" t="s">
        <v>35</v>
      </c>
      <c r="B485">
        <v>6</v>
      </c>
      <c r="C485">
        <v>12</v>
      </c>
      <c r="D485" t="s">
        <v>71</v>
      </c>
      <c r="E485">
        <v>11000000</v>
      </c>
      <c r="F485">
        <f t="shared" si="35"/>
        <v>11000000</v>
      </c>
      <c r="G485">
        <f t="shared" si="36"/>
        <v>35437.687658664196</v>
      </c>
      <c r="H485" t="s">
        <v>72</v>
      </c>
      <c r="I485" s="1" t="s">
        <v>224</v>
      </c>
      <c r="J485" s="1" t="s">
        <v>216</v>
      </c>
      <c r="K485" s="9">
        <v>4290.6499999999996</v>
      </c>
      <c r="L485" t="s">
        <v>21</v>
      </c>
      <c r="M485">
        <f t="shared" si="34"/>
        <v>4.2906499999999994</v>
      </c>
      <c r="N485">
        <f t="shared" si="33"/>
        <v>1331.8349225999996</v>
      </c>
    </row>
    <row r="486" spans="1:14" x14ac:dyDescent="0.3">
      <c r="A486" s="1" t="s">
        <v>35</v>
      </c>
      <c r="B486">
        <v>6</v>
      </c>
      <c r="C486">
        <v>12</v>
      </c>
      <c r="D486" t="s">
        <v>71</v>
      </c>
      <c r="E486">
        <v>11000000</v>
      </c>
      <c r="F486">
        <f t="shared" si="35"/>
        <v>11000000</v>
      </c>
      <c r="G486">
        <f t="shared" si="36"/>
        <v>35437.687658664196</v>
      </c>
      <c r="H486" t="s">
        <v>72</v>
      </c>
      <c r="I486" s="1" t="s">
        <v>224</v>
      </c>
      <c r="J486" s="1" t="s">
        <v>216</v>
      </c>
      <c r="K486" s="9">
        <v>3861.62</v>
      </c>
      <c r="L486" t="s">
        <v>21</v>
      </c>
      <c r="M486">
        <f t="shared" si="34"/>
        <v>3.8616199999999998</v>
      </c>
      <c r="N486">
        <f t="shared" si="33"/>
        <v>1198.6622944799999</v>
      </c>
    </row>
    <row r="487" spans="1:14" x14ac:dyDescent="0.3">
      <c r="A487" s="1" t="s">
        <v>35</v>
      </c>
      <c r="B487">
        <v>6</v>
      </c>
      <c r="C487">
        <v>12</v>
      </c>
      <c r="D487" t="s">
        <v>71</v>
      </c>
      <c r="E487">
        <v>11000000</v>
      </c>
      <c r="F487">
        <f t="shared" si="35"/>
        <v>11000000</v>
      </c>
      <c r="G487">
        <f t="shared" si="36"/>
        <v>35437.687658664196</v>
      </c>
      <c r="H487" t="s">
        <v>72</v>
      </c>
      <c r="I487" s="1" t="s">
        <v>224</v>
      </c>
      <c r="J487" s="1" t="s">
        <v>216</v>
      </c>
      <c r="K487" s="9">
        <v>3434.45</v>
      </c>
      <c r="L487" t="s">
        <v>21</v>
      </c>
      <c r="M487">
        <f t="shared" si="34"/>
        <v>3.43445</v>
      </c>
      <c r="N487">
        <f t="shared" si="33"/>
        <v>1066.0670177999998</v>
      </c>
    </row>
    <row r="488" spans="1:14" x14ac:dyDescent="0.3">
      <c r="A488" s="1" t="s">
        <v>35</v>
      </c>
      <c r="B488">
        <v>6</v>
      </c>
      <c r="C488">
        <v>12</v>
      </c>
      <c r="D488" t="s">
        <v>71</v>
      </c>
      <c r="E488">
        <v>11000000</v>
      </c>
      <c r="F488">
        <f t="shared" si="35"/>
        <v>11000000</v>
      </c>
      <c r="G488">
        <f t="shared" si="36"/>
        <v>35437.687658664196</v>
      </c>
      <c r="H488" t="s">
        <v>72</v>
      </c>
      <c r="I488" s="1" t="s">
        <v>224</v>
      </c>
      <c r="J488" s="1" t="s">
        <v>216</v>
      </c>
      <c r="K488" s="9">
        <v>2533.4699999999998</v>
      </c>
      <c r="L488" t="s">
        <v>21</v>
      </c>
      <c r="M488">
        <f t="shared" si="34"/>
        <v>2.5334699999999999</v>
      </c>
      <c r="N488">
        <f t="shared" si="33"/>
        <v>786.39922187999991</v>
      </c>
    </row>
    <row r="489" spans="1:14" x14ac:dyDescent="0.3">
      <c r="A489" s="1" t="s">
        <v>35</v>
      </c>
      <c r="B489">
        <v>6</v>
      </c>
      <c r="C489">
        <v>12</v>
      </c>
      <c r="D489" t="s">
        <v>71</v>
      </c>
      <c r="E489">
        <v>11000000</v>
      </c>
      <c r="F489">
        <f t="shared" si="35"/>
        <v>11000000</v>
      </c>
      <c r="G489">
        <f t="shared" si="36"/>
        <v>35437.687658664196</v>
      </c>
      <c r="H489" t="s">
        <v>72</v>
      </c>
      <c r="I489" s="1" t="s">
        <v>224</v>
      </c>
      <c r="J489" s="1" t="s">
        <v>216</v>
      </c>
      <c r="K489" s="9">
        <v>3247.84</v>
      </c>
      <c r="L489" t="s">
        <v>21</v>
      </c>
      <c r="M489">
        <f t="shared" si="34"/>
        <v>3.2478400000000001</v>
      </c>
      <c r="N489">
        <f t="shared" si="33"/>
        <v>1008.1425273599999</v>
      </c>
    </row>
    <row r="490" spans="1:14" x14ac:dyDescent="0.3">
      <c r="A490" s="1" t="s">
        <v>35</v>
      </c>
      <c r="B490">
        <v>6</v>
      </c>
      <c r="C490">
        <v>12</v>
      </c>
      <c r="D490" t="s">
        <v>71</v>
      </c>
      <c r="E490">
        <v>11000000</v>
      </c>
      <c r="F490">
        <f t="shared" si="35"/>
        <v>11000000</v>
      </c>
      <c r="G490">
        <f t="shared" si="36"/>
        <v>35437.687658664196</v>
      </c>
      <c r="H490" t="s">
        <v>72</v>
      </c>
      <c r="I490" s="1" t="s">
        <v>224</v>
      </c>
      <c r="J490" s="1" t="s">
        <v>216</v>
      </c>
      <c r="K490" s="9">
        <v>2633.35</v>
      </c>
      <c r="L490" t="s">
        <v>21</v>
      </c>
      <c r="M490">
        <f t="shared" si="34"/>
        <v>2.6333500000000001</v>
      </c>
      <c r="N490">
        <f t="shared" si="33"/>
        <v>817.40237339999987</v>
      </c>
    </row>
    <row r="491" spans="1:14" x14ac:dyDescent="0.3">
      <c r="A491" s="1" t="s">
        <v>35</v>
      </c>
      <c r="B491">
        <v>6</v>
      </c>
      <c r="C491">
        <v>12</v>
      </c>
      <c r="D491" t="s">
        <v>71</v>
      </c>
      <c r="E491">
        <v>11000000</v>
      </c>
      <c r="F491">
        <f t="shared" si="35"/>
        <v>11000000</v>
      </c>
      <c r="G491">
        <f t="shared" si="36"/>
        <v>35437.687658664196</v>
      </c>
      <c r="H491" t="s">
        <v>72</v>
      </c>
      <c r="I491" s="1" t="s">
        <v>224</v>
      </c>
      <c r="J491" s="1" t="s">
        <v>216</v>
      </c>
      <c r="K491" s="9">
        <v>2143.79</v>
      </c>
      <c r="L491" t="s">
        <v>21</v>
      </c>
      <c r="M491">
        <f t="shared" si="34"/>
        <v>2.1437900000000001</v>
      </c>
      <c r="N491">
        <f t="shared" si="33"/>
        <v>665.44099115999995</v>
      </c>
    </row>
    <row r="492" spans="1:14" x14ac:dyDescent="0.3">
      <c r="A492" s="1" t="s">
        <v>35</v>
      </c>
      <c r="B492">
        <v>6</v>
      </c>
      <c r="C492">
        <v>12</v>
      </c>
      <c r="D492" t="s">
        <v>71</v>
      </c>
      <c r="E492">
        <v>11000000</v>
      </c>
      <c r="F492">
        <f t="shared" si="35"/>
        <v>11000000</v>
      </c>
      <c r="G492">
        <f t="shared" si="36"/>
        <v>35437.687658664196</v>
      </c>
      <c r="H492" t="s">
        <v>72</v>
      </c>
      <c r="I492" s="1" t="s">
        <v>224</v>
      </c>
      <c r="J492" s="1" t="s">
        <v>216</v>
      </c>
      <c r="K492" s="9">
        <v>4504.67</v>
      </c>
      <c r="L492" t="s">
        <v>21</v>
      </c>
      <c r="M492">
        <f t="shared" si="34"/>
        <v>4.50467</v>
      </c>
      <c r="N492">
        <f t="shared" si="33"/>
        <v>1398.2675866799998</v>
      </c>
    </row>
    <row r="493" spans="1:14" x14ac:dyDescent="0.3">
      <c r="A493" s="1" t="s">
        <v>35</v>
      </c>
      <c r="B493">
        <v>6</v>
      </c>
      <c r="C493">
        <v>12</v>
      </c>
      <c r="D493" t="s">
        <v>71</v>
      </c>
      <c r="E493">
        <v>11000000</v>
      </c>
      <c r="F493">
        <f t="shared" si="35"/>
        <v>11000000</v>
      </c>
      <c r="G493">
        <f t="shared" si="36"/>
        <v>35437.687658664196</v>
      </c>
      <c r="H493" t="s">
        <v>72</v>
      </c>
      <c r="I493" s="1" t="s">
        <v>224</v>
      </c>
      <c r="J493" s="1" t="s">
        <v>216</v>
      </c>
      <c r="K493" s="9">
        <v>5919.39</v>
      </c>
      <c r="L493" t="s">
        <v>21</v>
      </c>
      <c r="M493">
        <f t="shared" si="34"/>
        <v>5.9193899999999999</v>
      </c>
      <c r="N493">
        <f t="shared" si="33"/>
        <v>1837.4023335599998</v>
      </c>
    </row>
    <row r="494" spans="1:14" x14ac:dyDescent="0.3">
      <c r="A494" s="1" t="s">
        <v>35</v>
      </c>
      <c r="B494">
        <v>6</v>
      </c>
      <c r="C494">
        <v>12</v>
      </c>
      <c r="D494" t="s">
        <v>71</v>
      </c>
      <c r="E494">
        <v>11000000</v>
      </c>
      <c r="F494">
        <f t="shared" si="35"/>
        <v>11000000</v>
      </c>
      <c r="G494">
        <f t="shared" si="36"/>
        <v>35437.687658664196</v>
      </c>
      <c r="H494" t="s">
        <v>72</v>
      </c>
      <c r="I494" s="1" t="s">
        <v>224</v>
      </c>
      <c r="J494" s="1" t="s">
        <v>216</v>
      </c>
      <c r="K494" s="9">
        <v>4163.6499999999996</v>
      </c>
      <c r="L494" t="s">
        <v>21</v>
      </c>
      <c r="M494">
        <f t="shared" si="34"/>
        <v>4.1636499999999996</v>
      </c>
      <c r="N494">
        <f t="shared" si="33"/>
        <v>1292.4136145999996</v>
      </c>
    </row>
    <row r="495" spans="1:14" x14ac:dyDescent="0.3">
      <c r="A495" s="1" t="s">
        <v>35</v>
      </c>
      <c r="B495">
        <v>6</v>
      </c>
      <c r="C495">
        <v>12</v>
      </c>
      <c r="D495" t="s">
        <v>71</v>
      </c>
      <c r="E495">
        <v>11000000</v>
      </c>
      <c r="F495">
        <f t="shared" si="35"/>
        <v>11000000</v>
      </c>
      <c r="G495">
        <f t="shared" si="36"/>
        <v>35437.687658664196</v>
      </c>
      <c r="H495" t="s">
        <v>72</v>
      </c>
      <c r="I495" s="1" t="s">
        <v>224</v>
      </c>
      <c r="J495" s="1" t="s">
        <v>216</v>
      </c>
      <c r="K495" s="9">
        <v>4530</v>
      </c>
      <c r="L495" t="s">
        <v>21</v>
      </c>
      <c r="M495">
        <f t="shared" si="34"/>
        <v>4.53</v>
      </c>
      <c r="N495">
        <f t="shared" si="33"/>
        <v>1406.1301199999998</v>
      </c>
    </row>
    <row r="496" spans="1:14" x14ac:dyDescent="0.3">
      <c r="A496" s="1" t="s">
        <v>35</v>
      </c>
      <c r="B496">
        <v>6</v>
      </c>
      <c r="C496">
        <v>12</v>
      </c>
      <c r="D496" t="s">
        <v>71</v>
      </c>
      <c r="E496">
        <v>11000000</v>
      </c>
      <c r="F496">
        <f t="shared" si="35"/>
        <v>11000000</v>
      </c>
      <c r="G496">
        <f t="shared" si="36"/>
        <v>35437.687658664196</v>
      </c>
      <c r="H496" t="s">
        <v>72</v>
      </c>
      <c r="I496" s="1" t="s">
        <v>224</v>
      </c>
      <c r="J496" s="1" t="s">
        <v>216</v>
      </c>
      <c r="K496" s="9">
        <v>6360</v>
      </c>
      <c r="L496" t="s">
        <v>21</v>
      </c>
      <c r="M496">
        <f t="shared" si="34"/>
        <v>6.36</v>
      </c>
      <c r="N496">
        <f t="shared" si="33"/>
        <v>1974.1694399999999</v>
      </c>
    </row>
    <row r="497" spans="1:14" x14ac:dyDescent="0.3">
      <c r="A497" s="1" t="s">
        <v>35</v>
      </c>
      <c r="B497">
        <v>6</v>
      </c>
      <c r="C497">
        <v>12</v>
      </c>
      <c r="D497" t="s">
        <v>71</v>
      </c>
      <c r="E497">
        <v>11000000</v>
      </c>
      <c r="F497">
        <f t="shared" si="35"/>
        <v>11000000</v>
      </c>
      <c r="G497">
        <f t="shared" si="36"/>
        <v>35437.687658664196</v>
      </c>
      <c r="H497" t="s">
        <v>72</v>
      </c>
      <c r="I497" s="1" t="s">
        <v>224</v>
      </c>
      <c r="J497" s="1" t="s">
        <v>216</v>
      </c>
      <c r="K497" s="9">
        <v>4980</v>
      </c>
      <c r="L497" t="s">
        <v>21</v>
      </c>
      <c r="M497">
        <f t="shared" si="34"/>
        <v>4.9800000000000004</v>
      </c>
      <c r="N497">
        <f t="shared" si="33"/>
        <v>1545.8119200000001</v>
      </c>
    </row>
    <row r="498" spans="1:14" x14ac:dyDescent="0.3">
      <c r="A498" s="1" t="s">
        <v>35</v>
      </c>
      <c r="B498">
        <v>6</v>
      </c>
      <c r="C498">
        <v>12</v>
      </c>
      <c r="D498" t="s">
        <v>71</v>
      </c>
      <c r="E498">
        <v>11000000</v>
      </c>
      <c r="F498">
        <f t="shared" si="35"/>
        <v>11000000</v>
      </c>
      <c r="G498">
        <f t="shared" si="36"/>
        <v>35437.687658664196</v>
      </c>
      <c r="H498" t="s">
        <v>72</v>
      </c>
      <c r="I498" s="1" t="s">
        <v>224</v>
      </c>
      <c r="J498" s="1" t="s">
        <v>216</v>
      </c>
      <c r="K498" s="9">
        <v>4352.4799999999996</v>
      </c>
      <c r="L498" t="s">
        <v>21</v>
      </c>
      <c r="M498">
        <f t="shared" si="34"/>
        <v>4.3524799999999999</v>
      </c>
      <c r="N498">
        <f t="shared" si="33"/>
        <v>1351.0272019199999</v>
      </c>
    </row>
    <row r="499" spans="1:14" x14ac:dyDescent="0.3">
      <c r="A499" s="1" t="s">
        <v>35</v>
      </c>
      <c r="B499">
        <v>6</v>
      </c>
      <c r="C499">
        <v>12</v>
      </c>
      <c r="D499" t="s">
        <v>71</v>
      </c>
      <c r="E499">
        <v>11000000</v>
      </c>
      <c r="F499">
        <f t="shared" si="35"/>
        <v>11000000</v>
      </c>
      <c r="G499">
        <f t="shared" si="36"/>
        <v>35437.687658664196</v>
      </c>
      <c r="H499" t="s">
        <v>72</v>
      </c>
      <c r="I499" s="1" t="s">
        <v>224</v>
      </c>
      <c r="J499" s="1" t="s">
        <v>216</v>
      </c>
      <c r="K499" s="9">
        <v>7874.9</v>
      </c>
      <c r="L499" t="s">
        <v>21</v>
      </c>
      <c r="M499">
        <f t="shared" si="34"/>
        <v>7.8748999999999993</v>
      </c>
      <c r="N499">
        <f t="shared" si="33"/>
        <v>2444.4004596</v>
      </c>
    </row>
    <row r="500" spans="1:14" x14ac:dyDescent="0.3">
      <c r="A500" s="1" t="s">
        <v>35</v>
      </c>
      <c r="B500">
        <v>6</v>
      </c>
      <c r="C500">
        <v>12</v>
      </c>
      <c r="D500" t="s">
        <v>71</v>
      </c>
      <c r="E500">
        <v>11000000</v>
      </c>
      <c r="F500">
        <f t="shared" si="35"/>
        <v>11000000</v>
      </c>
      <c r="G500">
        <f t="shared" si="36"/>
        <v>35437.687658664196</v>
      </c>
      <c r="H500" t="s">
        <v>72</v>
      </c>
      <c r="I500" s="1" t="s">
        <v>224</v>
      </c>
      <c r="J500" s="1" t="s">
        <v>216</v>
      </c>
      <c r="K500" s="9">
        <v>5369.04</v>
      </c>
      <c r="L500" t="s">
        <v>21</v>
      </c>
      <c r="M500">
        <f t="shared" si="34"/>
        <v>5.36904</v>
      </c>
      <c r="N500">
        <f t="shared" si="33"/>
        <v>1666.5714921599999</v>
      </c>
    </row>
    <row r="501" spans="1:14" x14ac:dyDescent="0.3">
      <c r="A501" s="1" t="s">
        <v>35</v>
      </c>
      <c r="B501">
        <v>6</v>
      </c>
      <c r="C501">
        <v>12</v>
      </c>
      <c r="D501" t="s">
        <v>71</v>
      </c>
      <c r="E501">
        <v>11000000</v>
      </c>
      <c r="F501">
        <f t="shared" si="35"/>
        <v>11000000</v>
      </c>
      <c r="G501">
        <f t="shared" si="36"/>
        <v>35437.687658664196</v>
      </c>
      <c r="H501" t="s">
        <v>72</v>
      </c>
      <c r="I501" s="1" t="s">
        <v>224</v>
      </c>
      <c r="J501" s="1" t="s">
        <v>216</v>
      </c>
      <c r="K501" s="9">
        <v>6084.35</v>
      </c>
      <c r="L501" t="s">
        <v>21</v>
      </c>
      <c r="M501">
        <f t="shared" si="34"/>
        <v>6.0843500000000006</v>
      </c>
      <c r="N501">
        <f t="shared" si="33"/>
        <v>1888.6065774000001</v>
      </c>
    </row>
    <row r="502" spans="1:14" x14ac:dyDescent="0.3">
      <c r="A502" s="1" t="s">
        <v>35</v>
      </c>
      <c r="B502">
        <v>6</v>
      </c>
      <c r="C502">
        <v>12</v>
      </c>
      <c r="D502" t="s">
        <v>71</v>
      </c>
      <c r="E502">
        <v>11000000</v>
      </c>
      <c r="F502">
        <f t="shared" si="35"/>
        <v>11000000</v>
      </c>
      <c r="G502">
        <f t="shared" si="36"/>
        <v>35437.687658664196</v>
      </c>
      <c r="H502" t="s">
        <v>72</v>
      </c>
      <c r="I502" s="1" t="s">
        <v>224</v>
      </c>
      <c r="J502" s="1" t="s">
        <v>216</v>
      </c>
      <c r="K502" s="9">
        <v>6624.41</v>
      </c>
      <c r="L502" t="s">
        <v>21</v>
      </c>
      <c r="M502">
        <f t="shared" si="34"/>
        <v>6.6244100000000001</v>
      </c>
      <c r="N502">
        <f t="shared" si="33"/>
        <v>2056.2433616399999</v>
      </c>
    </row>
    <row r="503" spans="1:14" x14ac:dyDescent="0.3">
      <c r="A503" s="1" t="s">
        <v>35</v>
      </c>
      <c r="B503">
        <v>6</v>
      </c>
      <c r="C503">
        <v>12</v>
      </c>
      <c r="D503" t="s">
        <v>71</v>
      </c>
      <c r="E503">
        <v>11000000</v>
      </c>
      <c r="F503">
        <f t="shared" si="35"/>
        <v>11000000</v>
      </c>
      <c r="G503">
        <f t="shared" si="36"/>
        <v>35437.687658664196</v>
      </c>
      <c r="H503" t="s">
        <v>72</v>
      </c>
      <c r="I503" s="1" t="s">
        <v>224</v>
      </c>
      <c r="J503" s="1" t="s">
        <v>216</v>
      </c>
      <c r="K503" s="9">
        <v>11072.73</v>
      </c>
      <c r="L503" t="s">
        <v>21</v>
      </c>
      <c r="M503">
        <f t="shared" si="34"/>
        <v>11.07273</v>
      </c>
      <c r="N503">
        <f t="shared" si="33"/>
        <v>3437.0196829199995</v>
      </c>
    </row>
    <row r="504" spans="1:14" x14ac:dyDescent="0.3">
      <c r="A504" s="1" t="s">
        <v>35</v>
      </c>
      <c r="B504">
        <v>6</v>
      </c>
      <c r="C504">
        <v>12</v>
      </c>
      <c r="D504" t="s">
        <v>71</v>
      </c>
      <c r="E504">
        <v>11000000</v>
      </c>
      <c r="F504">
        <f t="shared" si="35"/>
        <v>11000000</v>
      </c>
      <c r="G504">
        <f t="shared" si="36"/>
        <v>35437.687658664196</v>
      </c>
      <c r="H504" t="s">
        <v>72</v>
      </c>
      <c r="I504" s="1" t="s">
        <v>224</v>
      </c>
      <c r="J504" s="1" t="s">
        <v>216</v>
      </c>
      <c r="K504" s="9" t="s">
        <v>20</v>
      </c>
      <c r="L504" t="s">
        <v>21</v>
      </c>
      <c r="M504" t="str">
        <f t="shared" si="34"/>
        <v>ND</v>
      </c>
      <c r="N504" t="str">
        <f t="shared" si="33"/>
        <v>ND</v>
      </c>
    </row>
    <row r="505" spans="1:14" x14ac:dyDescent="0.3">
      <c r="A505" s="1" t="s">
        <v>35</v>
      </c>
      <c r="B505">
        <v>6</v>
      </c>
      <c r="C505">
        <v>12</v>
      </c>
      <c r="D505" t="s">
        <v>71</v>
      </c>
      <c r="E505">
        <v>11000000</v>
      </c>
      <c r="F505">
        <f t="shared" si="35"/>
        <v>11000000</v>
      </c>
      <c r="G505">
        <f t="shared" si="36"/>
        <v>35437.687658664196</v>
      </c>
      <c r="H505" t="s">
        <v>72</v>
      </c>
      <c r="I505" s="1" t="s">
        <v>224</v>
      </c>
      <c r="J505" s="1" t="s">
        <v>216</v>
      </c>
      <c r="K505" s="9">
        <v>4902.83</v>
      </c>
      <c r="L505" t="s">
        <v>21</v>
      </c>
      <c r="M505">
        <f t="shared" si="34"/>
        <v>4.9028299999999998</v>
      </c>
      <c r="N505">
        <f t="shared" si="33"/>
        <v>1521.8580433199998</v>
      </c>
    </row>
    <row r="506" spans="1:14" x14ac:dyDescent="0.3">
      <c r="A506" s="1" t="s">
        <v>35</v>
      </c>
      <c r="B506">
        <v>6</v>
      </c>
      <c r="C506">
        <v>12</v>
      </c>
      <c r="D506" t="s">
        <v>71</v>
      </c>
      <c r="E506">
        <v>11000000</v>
      </c>
      <c r="F506">
        <f t="shared" si="35"/>
        <v>11000000</v>
      </c>
      <c r="G506">
        <f t="shared" si="36"/>
        <v>35437.687658664196</v>
      </c>
      <c r="H506" t="s">
        <v>72</v>
      </c>
      <c r="I506" s="1" t="s">
        <v>224</v>
      </c>
      <c r="J506" s="1" t="s">
        <v>216</v>
      </c>
      <c r="K506" s="9">
        <v>5011.07</v>
      </c>
      <c r="L506" t="s">
        <v>21</v>
      </c>
      <c r="M506">
        <f t="shared" si="34"/>
        <v>5.0110700000000001</v>
      </c>
      <c r="N506">
        <f t="shared" si="33"/>
        <v>1555.4561722799999</v>
      </c>
    </row>
    <row r="507" spans="1:14" x14ac:dyDescent="0.3">
      <c r="A507" s="1" t="s">
        <v>68</v>
      </c>
      <c r="B507">
        <v>6</v>
      </c>
      <c r="C507">
        <v>12</v>
      </c>
      <c r="D507" t="s">
        <v>71</v>
      </c>
      <c r="E507">
        <v>11000000</v>
      </c>
      <c r="F507">
        <f t="shared" si="35"/>
        <v>11000000</v>
      </c>
      <c r="G507">
        <f t="shared" si="36"/>
        <v>35437.687658664196</v>
      </c>
      <c r="H507" t="s">
        <v>72</v>
      </c>
      <c r="I507" s="1" t="s">
        <v>224</v>
      </c>
      <c r="J507" s="1" t="s">
        <v>216</v>
      </c>
      <c r="K507" s="9" t="s">
        <v>20</v>
      </c>
      <c r="L507" t="s">
        <v>21</v>
      </c>
      <c r="M507" t="str">
        <f t="shared" si="34"/>
        <v>ND</v>
      </c>
      <c r="N507" t="str">
        <f t="shared" si="33"/>
        <v>ND</v>
      </c>
    </row>
    <row r="508" spans="1:14" x14ac:dyDescent="0.3">
      <c r="A508" s="1" t="s">
        <v>68</v>
      </c>
      <c r="B508">
        <v>6</v>
      </c>
      <c r="C508">
        <v>12</v>
      </c>
      <c r="D508" t="s">
        <v>71</v>
      </c>
      <c r="E508">
        <v>11000000</v>
      </c>
      <c r="F508">
        <f t="shared" si="35"/>
        <v>11000000</v>
      </c>
      <c r="G508">
        <f t="shared" si="36"/>
        <v>35437.687658664196</v>
      </c>
      <c r="H508" t="s">
        <v>72</v>
      </c>
      <c r="I508" s="1" t="s">
        <v>224</v>
      </c>
      <c r="J508" s="1" t="s">
        <v>216</v>
      </c>
      <c r="K508" s="9" t="s">
        <v>20</v>
      </c>
      <c r="L508" t="s">
        <v>21</v>
      </c>
      <c r="M508" t="str">
        <f t="shared" si="34"/>
        <v>ND</v>
      </c>
      <c r="N508" t="str">
        <f t="shared" si="33"/>
        <v>ND</v>
      </c>
    </row>
    <row r="509" spans="1:14" x14ac:dyDescent="0.3">
      <c r="A509" s="1" t="s">
        <v>68</v>
      </c>
      <c r="B509">
        <v>6</v>
      </c>
      <c r="C509">
        <v>12</v>
      </c>
      <c r="D509" t="s">
        <v>71</v>
      </c>
      <c r="E509">
        <v>11000000</v>
      </c>
      <c r="F509">
        <f t="shared" si="35"/>
        <v>11000000</v>
      </c>
      <c r="G509">
        <f t="shared" si="36"/>
        <v>35437.687658664196</v>
      </c>
      <c r="H509" t="s">
        <v>72</v>
      </c>
      <c r="I509" s="1" t="s">
        <v>224</v>
      </c>
      <c r="J509" s="1" t="s">
        <v>216</v>
      </c>
      <c r="K509" s="9" t="s">
        <v>20</v>
      </c>
      <c r="L509" t="s">
        <v>21</v>
      </c>
      <c r="M509" t="str">
        <f t="shared" si="34"/>
        <v>ND</v>
      </c>
      <c r="N509" t="str">
        <f t="shared" si="33"/>
        <v>ND</v>
      </c>
    </row>
    <row r="510" spans="1:14" x14ac:dyDescent="0.3">
      <c r="A510" s="1" t="s">
        <v>68</v>
      </c>
      <c r="B510">
        <v>6</v>
      </c>
      <c r="C510">
        <v>12</v>
      </c>
      <c r="D510" t="s">
        <v>71</v>
      </c>
      <c r="E510">
        <v>11000000</v>
      </c>
      <c r="F510">
        <f t="shared" si="35"/>
        <v>11000000</v>
      </c>
      <c r="G510">
        <f t="shared" si="36"/>
        <v>35437.687658664196</v>
      </c>
      <c r="H510" t="s">
        <v>72</v>
      </c>
      <c r="I510" s="1" t="s">
        <v>224</v>
      </c>
      <c r="J510" s="1" t="s">
        <v>216</v>
      </c>
      <c r="K510" s="9" t="s">
        <v>20</v>
      </c>
      <c r="L510" t="s">
        <v>21</v>
      </c>
      <c r="M510" t="str">
        <f t="shared" si="34"/>
        <v>ND</v>
      </c>
      <c r="N510" t="str">
        <f t="shared" si="33"/>
        <v>ND</v>
      </c>
    </row>
    <row r="511" spans="1:14" x14ac:dyDescent="0.3">
      <c r="A511" s="1" t="s">
        <v>68</v>
      </c>
      <c r="B511">
        <v>6</v>
      </c>
      <c r="C511">
        <v>12</v>
      </c>
      <c r="D511" t="s">
        <v>71</v>
      </c>
      <c r="E511">
        <v>11000000</v>
      </c>
      <c r="F511">
        <f t="shared" si="35"/>
        <v>11000000</v>
      </c>
      <c r="G511">
        <f t="shared" si="36"/>
        <v>35437.687658664196</v>
      </c>
      <c r="H511" t="s">
        <v>72</v>
      </c>
      <c r="I511" s="1" t="s">
        <v>224</v>
      </c>
      <c r="J511" s="1" t="s">
        <v>216</v>
      </c>
      <c r="K511" s="9" t="s">
        <v>20</v>
      </c>
      <c r="L511" t="s">
        <v>21</v>
      </c>
      <c r="M511" t="str">
        <f t="shared" si="34"/>
        <v>ND</v>
      </c>
      <c r="N511" t="str">
        <f t="shared" si="33"/>
        <v>ND</v>
      </c>
    </row>
    <row r="512" spans="1:14" x14ac:dyDescent="0.3">
      <c r="A512" s="1" t="s">
        <v>68</v>
      </c>
      <c r="B512">
        <v>6</v>
      </c>
      <c r="C512">
        <v>12</v>
      </c>
      <c r="D512" t="s">
        <v>71</v>
      </c>
      <c r="E512">
        <v>11000000</v>
      </c>
      <c r="F512">
        <f t="shared" si="35"/>
        <v>11000000</v>
      </c>
      <c r="G512">
        <f t="shared" si="36"/>
        <v>35437.687658664196</v>
      </c>
      <c r="H512" t="s">
        <v>72</v>
      </c>
      <c r="I512" s="1" t="s">
        <v>224</v>
      </c>
      <c r="J512" s="1" t="s">
        <v>216</v>
      </c>
      <c r="K512" s="9" t="s">
        <v>20</v>
      </c>
      <c r="L512" t="s">
        <v>21</v>
      </c>
      <c r="M512" t="str">
        <f t="shared" si="34"/>
        <v>ND</v>
      </c>
      <c r="N512" t="str">
        <f t="shared" si="33"/>
        <v>ND</v>
      </c>
    </row>
    <row r="513" spans="1:14" x14ac:dyDescent="0.3">
      <c r="A513" s="1" t="s">
        <v>68</v>
      </c>
      <c r="B513">
        <v>6</v>
      </c>
      <c r="C513">
        <v>12</v>
      </c>
      <c r="D513" t="s">
        <v>71</v>
      </c>
      <c r="E513">
        <v>11000000</v>
      </c>
      <c r="F513">
        <f t="shared" si="35"/>
        <v>11000000</v>
      </c>
      <c r="G513">
        <f t="shared" si="36"/>
        <v>35437.687658664196</v>
      </c>
      <c r="H513" t="s">
        <v>72</v>
      </c>
      <c r="I513" s="1" t="s">
        <v>224</v>
      </c>
      <c r="J513" s="1" t="s">
        <v>216</v>
      </c>
      <c r="K513" s="9" t="s">
        <v>20</v>
      </c>
      <c r="L513" t="s">
        <v>21</v>
      </c>
      <c r="M513" t="str">
        <f t="shared" si="34"/>
        <v>ND</v>
      </c>
      <c r="N513" t="str">
        <f t="shared" si="33"/>
        <v>ND</v>
      </c>
    </row>
    <row r="514" spans="1:14" x14ac:dyDescent="0.3">
      <c r="A514" s="1" t="s">
        <v>68</v>
      </c>
      <c r="B514">
        <v>6</v>
      </c>
      <c r="C514">
        <v>12</v>
      </c>
      <c r="D514" t="s">
        <v>71</v>
      </c>
      <c r="E514">
        <v>11000000</v>
      </c>
      <c r="F514">
        <f t="shared" si="35"/>
        <v>11000000</v>
      </c>
      <c r="G514">
        <f t="shared" si="36"/>
        <v>35437.687658664196</v>
      </c>
      <c r="H514" t="s">
        <v>72</v>
      </c>
      <c r="I514" s="1" t="s">
        <v>224</v>
      </c>
      <c r="J514" s="1" t="s">
        <v>216</v>
      </c>
      <c r="K514" s="9" t="s">
        <v>20</v>
      </c>
      <c r="L514" t="s">
        <v>21</v>
      </c>
      <c r="M514" t="str">
        <f t="shared" si="34"/>
        <v>ND</v>
      </c>
      <c r="N514" t="str">
        <f t="shared" ref="N514:N577" si="37">IFERROR((M514*F514)/G514,"ND")</f>
        <v>ND</v>
      </c>
    </row>
    <row r="515" spans="1:14" x14ac:dyDescent="0.3">
      <c r="A515" s="1" t="s">
        <v>68</v>
      </c>
      <c r="B515">
        <v>6</v>
      </c>
      <c r="C515">
        <v>12</v>
      </c>
      <c r="D515" t="s">
        <v>71</v>
      </c>
      <c r="E515">
        <v>11000000</v>
      </c>
      <c r="F515">
        <f t="shared" si="35"/>
        <v>11000000</v>
      </c>
      <c r="G515">
        <f t="shared" si="36"/>
        <v>35437.687658664196</v>
      </c>
      <c r="H515" t="s">
        <v>72</v>
      </c>
      <c r="I515" s="1" t="s">
        <v>224</v>
      </c>
      <c r="J515" s="1" t="s">
        <v>216</v>
      </c>
      <c r="K515" s="9" t="s">
        <v>20</v>
      </c>
      <c r="L515" t="s">
        <v>21</v>
      </c>
      <c r="M515" t="str">
        <f t="shared" si="34"/>
        <v>ND</v>
      </c>
      <c r="N515" t="str">
        <f t="shared" si="37"/>
        <v>ND</v>
      </c>
    </row>
    <row r="516" spans="1:14" x14ac:dyDescent="0.3">
      <c r="A516" s="1" t="s">
        <v>68</v>
      </c>
      <c r="B516">
        <v>6</v>
      </c>
      <c r="C516">
        <v>12</v>
      </c>
      <c r="D516" t="s">
        <v>71</v>
      </c>
      <c r="E516">
        <v>11000000</v>
      </c>
      <c r="F516">
        <f t="shared" si="35"/>
        <v>11000000</v>
      </c>
      <c r="G516">
        <f t="shared" si="36"/>
        <v>35437.687658664196</v>
      </c>
      <c r="H516" t="s">
        <v>72</v>
      </c>
      <c r="I516" s="1" t="s">
        <v>224</v>
      </c>
      <c r="J516" s="1" t="s">
        <v>216</v>
      </c>
      <c r="K516" s="9" t="s">
        <v>20</v>
      </c>
      <c r="L516" t="s">
        <v>21</v>
      </c>
      <c r="M516" t="str">
        <f t="shared" si="34"/>
        <v>ND</v>
      </c>
      <c r="N516" t="str">
        <f t="shared" si="37"/>
        <v>ND</v>
      </c>
    </row>
    <row r="517" spans="1:14" x14ac:dyDescent="0.3">
      <c r="A517" s="1" t="s">
        <v>68</v>
      </c>
      <c r="B517">
        <v>6</v>
      </c>
      <c r="C517">
        <v>12</v>
      </c>
      <c r="D517" t="s">
        <v>71</v>
      </c>
      <c r="E517">
        <v>11000000</v>
      </c>
      <c r="F517">
        <f t="shared" si="35"/>
        <v>11000000</v>
      </c>
      <c r="G517">
        <f t="shared" si="36"/>
        <v>35437.687658664196</v>
      </c>
      <c r="H517" t="s">
        <v>72</v>
      </c>
      <c r="I517" s="1" t="s">
        <v>224</v>
      </c>
      <c r="J517" s="1" t="s">
        <v>216</v>
      </c>
      <c r="K517" s="9">
        <v>6.78</v>
      </c>
      <c r="L517" t="s">
        <v>21</v>
      </c>
      <c r="M517">
        <f t="shared" si="34"/>
        <v>6.7800000000000004E-3</v>
      </c>
      <c r="N517">
        <f t="shared" si="37"/>
        <v>2.1045391199999997</v>
      </c>
    </row>
    <row r="518" spans="1:14" x14ac:dyDescent="0.3">
      <c r="A518" s="1" t="s">
        <v>68</v>
      </c>
      <c r="B518">
        <v>6</v>
      </c>
      <c r="C518">
        <v>12</v>
      </c>
      <c r="D518" t="s">
        <v>71</v>
      </c>
      <c r="E518">
        <v>11000000</v>
      </c>
      <c r="F518">
        <f t="shared" si="35"/>
        <v>11000000</v>
      </c>
      <c r="G518">
        <f t="shared" si="36"/>
        <v>35437.687658664196</v>
      </c>
      <c r="H518" t="s">
        <v>72</v>
      </c>
      <c r="I518" s="1" t="s">
        <v>224</v>
      </c>
      <c r="J518" s="1" t="s">
        <v>216</v>
      </c>
      <c r="K518" s="9" t="s">
        <v>20</v>
      </c>
      <c r="L518" t="s">
        <v>21</v>
      </c>
      <c r="M518" t="str">
        <f t="shared" si="34"/>
        <v>ND</v>
      </c>
      <c r="N518" t="str">
        <f t="shared" si="37"/>
        <v>ND</v>
      </c>
    </row>
    <row r="519" spans="1:14" x14ac:dyDescent="0.3">
      <c r="A519" s="1" t="s">
        <v>68</v>
      </c>
      <c r="B519">
        <v>6</v>
      </c>
      <c r="C519">
        <v>12</v>
      </c>
      <c r="D519" t="s">
        <v>71</v>
      </c>
      <c r="E519">
        <v>11000000</v>
      </c>
      <c r="F519">
        <f t="shared" si="35"/>
        <v>11000000</v>
      </c>
      <c r="G519">
        <f t="shared" si="36"/>
        <v>35437.687658664196</v>
      </c>
      <c r="H519" t="s">
        <v>72</v>
      </c>
      <c r="I519" s="1" t="s">
        <v>224</v>
      </c>
      <c r="J519" s="1" t="s">
        <v>216</v>
      </c>
      <c r="K519" s="9">
        <v>8.0399999999999991</v>
      </c>
      <c r="L519" t="s">
        <v>21</v>
      </c>
      <c r="M519">
        <f t="shared" si="34"/>
        <v>8.0399999999999985E-3</v>
      </c>
      <c r="N519">
        <f t="shared" si="37"/>
        <v>2.4956481599999996</v>
      </c>
    </row>
    <row r="520" spans="1:14" x14ac:dyDescent="0.3">
      <c r="A520" s="1" t="s">
        <v>68</v>
      </c>
      <c r="B520">
        <v>6</v>
      </c>
      <c r="C520">
        <v>12</v>
      </c>
      <c r="D520" t="s">
        <v>71</v>
      </c>
      <c r="E520">
        <v>11000000</v>
      </c>
      <c r="F520">
        <f t="shared" si="35"/>
        <v>11000000</v>
      </c>
      <c r="G520">
        <f t="shared" si="36"/>
        <v>35437.687658664196</v>
      </c>
      <c r="H520" t="s">
        <v>72</v>
      </c>
      <c r="I520" s="1" t="s">
        <v>224</v>
      </c>
      <c r="J520" s="1" t="s">
        <v>216</v>
      </c>
      <c r="K520" s="9">
        <v>5.48</v>
      </c>
      <c r="L520" t="s">
        <v>21</v>
      </c>
      <c r="M520">
        <f t="shared" si="34"/>
        <v>5.4800000000000005E-3</v>
      </c>
      <c r="N520">
        <f t="shared" si="37"/>
        <v>1.7010139200000001</v>
      </c>
    </row>
    <row r="521" spans="1:14" x14ac:dyDescent="0.3">
      <c r="A521" s="1" t="s">
        <v>68</v>
      </c>
      <c r="B521">
        <v>6</v>
      </c>
      <c r="C521">
        <v>12</v>
      </c>
      <c r="D521" t="s">
        <v>71</v>
      </c>
      <c r="E521">
        <v>11000000</v>
      </c>
      <c r="F521">
        <f t="shared" si="35"/>
        <v>11000000</v>
      </c>
      <c r="G521">
        <f t="shared" si="36"/>
        <v>35437.687658664196</v>
      </c>
      <c r="H521" t="s">
        <v>72</v>
      </c>
      <c r="I521" s="1" t="s">
        <v>224</v>
      </c>
      <c r="J521" s="1" t="s">
        <v>216</v>
      </c>
      <c r="K521" s="9">
        <v>5.82</v>
      </c>
      <c r="L521" t="s">
        <v>21</v>
      </c>
      <c r="M521">
        <f t="shared" si="34"/>
        <v>5.8200000000000005E-3</v>
      </c>
      <c r="N521">
        <f t="shared" si="37"/>
        <v>1.8065512800000001</v>
      </c>
    </row>
    <row r="522" spans="1:14" x14ac:dyDescent="0.3">
      <c r="A522" s="1" t="s">
        <v>68</v>
      </c>
      <c r="B522">
        <v>6</v>
      </c>
      <c r="C522">
        <v>12</v>
      </c>
      <c r="D522" t="s">
        <v>71</v>
      </c>
      <c r="E522">
        <v>11000000</v>
      </c>
      <c r="F522">
        <f t="shared" si="35"/>
        <v>11000000</v>
      </c>
      <c r="G522">
        <f t="shared" si="36"/>
        <v>35437.687658664196</v>
      </c>
      <c r="H522" t="s">
        <v>72</v>
      </c>
      <c r="I522" s="1" t="s">
        <v>224</v>
      </c>
      <c r="J522" s="1" t="s">
        <v>216</v>
      </c>
      <c r="K522" s="9">
        <v>5.51</v>
      </c>
      <c r="L522" t="s">
        <v>21</v>
      </c>
      <c r="M522">
        <f t="shared" si="34"/>
        <v>5.5100000000000001E-3</v>
      </c>
      <c r="N522">
        <f t="shared" si="37"/>
        <v>1.7103260399999998</v>
      </c>
    </row>
    <row r="523" spans="1:14" x14ac:dyDescent="0.3">
      <c r="A523" s="1" t="s">
        <v>68</v>
      </c>
      <c r="B523">
        <v>6</v>
      </c>
      <c r="C523">
        <v>12</v>
      </c>
      <c r="D523" t="s">
        <v>71</v>
      </c>
      <c r="E523">
        <v>11000000</v>
      </c>
      <c r="F523">
        <f t="shared" si="35"/>
        <v>11000000</v>
      </c>
      <c r="G523">
        <f t="shared" si="36"/>
        <v>35437.687658664196</v>
      </c>
      <c r="H523" t="s">
        <v>72</v>
      </c>
      <c r="I523" s="1" t="s">
        <v>224</v>
      </c>
      <c r="J523" s="1" t="s">
        <v>216</v>
      </c>
      <c r="K523" s="9">
        <v>5.99</v>
      </c>
      <c r="L523" t="s">
        <v>21</v>
      </c>
      <c r="M523">
        <f t="shared" si="34"/>
        <v>5.9900000000000005E-3</v>
      </c>
      <c r="N523">
        <f t="shared" si="37"/>
        <v>1.8593199599999999</v>
      </c>
    </row>
    <row r="524" spans="1:14" x14ac:dyDescent="0.3">
      <c r="A524" s="1" t="s">
        <v>68</v>
      </c>
      <c r="B524">
        <v>6</v>
      </c>
      <c r="C524">
        <v>12</v>
      </c>
      <c r="D524" t="s">
        <v>71</v>
      </c>
      <c r="E524">
        <v>11000000</v>
      </c>
      <c r="F524">
        <f t="shared" si="35"/>
        <v>11000000</v>
      </c>
      <c r="G524">
        <f t="shared" si="36"/>
        <v>35437.687658664196</v>
      </c>
      <c r="H524" t="s">
        <v>72</v>
      </c>
      <c r="I524" s="1" t="s">
        <v>224</v>
      </c>
      <c r="J524" s="1" t="s">
        <v>216</v>
      </c>
      <c r="K524" s="9">
        <v>6.03</v>
      </c>
      <c r="L524" t="s">
        <v>21</v>
      </c>
      <c r="M524">
        <f t="shared" si="34"/>
        <v>6.0300000000000006E-3</v>
      </c>
      <c r="N524">
        <f t="shared" si="37"/>
        <v>1.8717361199999998</v>
      </c>
    </row>
    <row r="525" spans="1:14" x14ac:dyDescent="0.3">
      <c r="A525" s="1" t="s">
        <v>68</v>
      </c>
      <c r="B525">
        <v>6</v>
      </c>
      <c r="C525">
        <v>12</v>
      </c>
      <c r="D525" t="s">
        <v>71</v>
      </c>
      <c r="E525">
        <v>11000000</v>
      </c>
      <c r="F525">
        <f t="shared" si="35"/>
        <v>11000000</v>
      </c>
      <c r="G525">
        <f t="shared" si="36"/>
        <v>35437.687658664196</v>
      </c>
      <c r="H525" t="s">
        <v>72</v>
      </c>
      <c r="I525" s="1" t="s">
        <v>224</v>
      </c>
      <c r="J525" s="1" t="s">
        <v>216</v>
      </c>
      <c r="K525" s="9">
        <v>7.02</v>
      </c>
      <c r="L525" t="s">
        <v>21</v>
      </c>
      <c r="M525">
        <f t="shared" si="34"/>
        <v>7.0199999999999993E-3</v>
      </c>
      <c r="N525">
        <f t="shared" si="37"/>
        <v>2.1790360799999995</v>
      </c>
    </row>
    <row r="526" spans="1:14" x14ac:dyDescent="0.3">
      <c r="A526" s="1" t="s">
        <v>68</v>
      </c>
      <c r="B526">
        <v>6</v>
      </c>
      <c r="C526">
        <v>12</v>
      </c>
      <c r="D526" t="s">
        <v>71</v>
      </c>
      <c r="E526">
        <v>11000000</v>
      </c>
      <c r="F526">
        <f t="shared" si="35"/>
        <v>11000000</v>
      </c>
      <c r="G526">
        <f t="shared" si="36"/>
        <v>35437.687658664196</v>
      </c>
      <c r="H526" t="s">
        <v>72</v>
      </c>
      <c r="I526" s="1" t="s">
        <v>224</v>
      </c>
      <c r="J526" s="1" t="s">
        <v>216</v>
      </c>
      <c r="K526" s="9" t="s">
        <v>20</v>
      </c>
      <c r="L526" t="s">
        <v>21</v>
      </c>
      <c r="M526" t="str">
        <f t="shared" si="34"/>
        <v>ND</v>
      </c>
      <c r="N526" t="str">
        <f t="shared" si="37"/>
        <v>ND</v>
      </c>
    </row>
    <row r="527" spans="1:14" x14ac:dyDescent="0.3">
      <c r="A527" s="1" t="s">
        <v>68</v>
      </c>
      <c r="B527">
        <v>6</v>
      </c>
      <c r="C527">
        <v>12</v>
      </c>
      <c r="D527" t="s">
        <v>71</v>
      </c>
      <c r="E527">
        <v>11000000</v>
      </c>
      <c r="F527">
        <f t="shared" si="35"/>
        <v>11000000</v>
      </c>
      <c r="G527">
        <f t="shared" si="36"/>
        <v>35437.687658664196</v>
      </c>
      <c r="H527" t="s">
        <v>72</v>
      </c>
      <c r="I527" s="1" t="s">
        <v>224</v>
      </c>
      <c r="J527" s="1" t="s">
        <v>216</v>
      </c>
      <c r="K527" s="9" t="s">
        <v>20</v>
      </c>
      <c r="L527" t="s">
        <v>21</v>
      </c>
      <c r="M527" t="str">
        <f t="shared" si="34"/>
        <v>ND</v>
      </c>
      <c r="N527" t="str">
        <f t="shared" si="37"/>
        <v>ND</v>
      </c>
    </row>
    <row r="528" spans="1:14" x14ac:dyDescent="0.3">
      <c r="A528" s="1" t="s">
        <v>68</v>
      </c>
      <c r="B528">
        <v>6</v>
      </c>
      <c r="C528">
        <v>12</v>
      </c>
      <c r="D528" t="s">
        <v>71</v>
      </c>
      <c r="E528">
        <v>11000000</v>
      </c>
      <c r="F528">
        <f t="shared" si="35"/>
        <v>11000000</v>
      </c>
      <c r="G528">
        <f t="shared" si="36"/>
        <v>35437.687658664196</v>
      </c>
      <c r="H528" t="s">
        <v>72</v>
      </c>
      <c r="I528" s="1" t="s">
        <v>224</v>
      </c>
      <c r="J528" s="1" t="s">
        <v>216</v>
      </c>
      <c r="K528" s="9" t="s">
        <v>20</v>
      </c>
      <c r="L528" t="s">
        <v>21</v>
      </c>
      <c r="M528" t="str">
        <f t="shared" si="34"/>
        <v>ND</v>
      </c>
      <c r="N528" t="str">
        <f t="shared" si="37"/>
        <v>ND</v>
      </c>
    </row>
    <row r="529" spans="1:14" x14ac:dyDescent="0.3">
      <c r="A529" s="1" t="s">
        <v>68</v>
      </c>
      <c r="B529">
        <v>6</v>
      </c>
      <c r="C529">
        <v>12</v>
      </c>
      <c r="D529" t="s">
        <v>71</v>
      </c>
      <c r="E529">
        <v>11000000</v>
      </c>
      <c r="F529">
        <f t="shared" si="35"/>
        <v>11000000</v>
      </c>
      <c r="G529">
        <f t="shared" si="36"/>
        <v>35437.687658664196</v>
      </c>
      <c r="H529" t="s">
        <v>72</v>
      </c>
      <c r="I529" s="1" t="s">
        <v>224</v>
      </c>
      <c r="J529" s="1" t="s">
        <v>216</v>
      </c>
      <c r="K529" s="9" t="s">
        <v>20</v>
      </c>
      <c r="L529" t="s">
        <v>21</v>
      </c>
      <c r="M529" t="str">
        <f t="shared" si="34"/>
        <v>ND</v>
      </c>
      <c r="N529" t="str">
        <f t="shared" si="37"/>
        <v>ND</v>
      </c>
    </row>
    <row r="530" spans="1:14" x14ac:dyDescent="0.3">
      <c r="A530" s="1" t="s">
        <v>68</v>
      </c>
      <c r="B530">
        <v>6</v>
      </c>
      <c r="C530">
        <v>12</v>
      </c>
      <c r="D530" t="s">
        <v>71</v>
      </c>
      <c r="E530">
        <v>11000000</v>
      </c>
      <c r="F530">
        <f t="shared" si="35"/>
        <v>11000000</v>
      </c>
      <c r="G530">
        <f t="shared" si="36"/>
        <v>35437.687658664196</v>
      </c>
      <c r="H530" t="s">
        <v>72</v>
      </c>
      <c r="I530" s="1" t="s">
        <v>224</v>
      </c>
      <c r="J530" s="1" t="s">
        <v>216</v>
      </c>
      <c r="K530" s="9" t="s">
        <v>20</v>
      </c>
      <c r="L530" t="s">
        <v>21</v>
      </c>
      <c r="M530" t="str">
        <f t="shared" si="34"/>
        <v>ND</v>
      </c>
      <c r="N530" t="str">
        <f t="shared" si="37"/>
        <v>ND</v>
      </c>
    </row>
    <row r="531" spans="1:14" x14ac:dyDescent="0.3">
      <c r="A531" s="1" t="s">
        <v>68</v>
      </c>
      <c r="B531">
        <v>6</v>
      </c>
      <c r="C531">
        <v>12</v>
      </c>
      <c r="D531" t="s">
        <v>71</v>
      </c>
      <c r="E531">
        <v>11000000</v>
      </c>
      <c r="F531">
        <f t="shared" si="35"/>
        <v>11000000</v>
      </c>
      <c r="G531">
        <f t="shared" si="36"/>
        <v>35437.687658664196</v>
      </c>
      <c r="H531" t="s">
        <v>72</v>
      </c>
      <c r="I531" s="1" t="s">
        <v>224</v>
      </c>
      <c r="J531" s="1" t="s">
        <v>216</v>
      </c>
      <c r="K531" s="9" t="s">
        <v>20</v>
      </c>
      <c r="L531" t="s">
        <v>21</v>
      </c>
      <c r="M531" t="str">
        <f t="shared" si="34"/>
        <v>ND</v>
      </c>
      <c r="N531" t="str">
        <f t="shared" si="37"/>
        <v>ND</v>
      </c>
    </row>
    <row r="532" spans="1:14" x14ac:dyDescent="0.3">
      <c r="A532" s="1" t="s">
        <v>68</v>
      </c>
      <c r="B532">
        <v>6</v>
      </c>
      <c r="C532">
        <v>12</v>
      </c>
      <c r="D532" t="s">
        <v>71</v>
      </c>
      <c r="E532">
        <v>11000000</v>
      </c>
      <c r="F532">
        <f t="shared" si="35"/>
        <v>11000000</v>
      </c>
      <c r="G532">
        <f t="shared" si="36"/>
        <v>35437.687658664196</v>
      </c>
      <c r="H532" t="s">
        <v>72</v>
      </c>
      <c r="I532" s="1" t="s">
        <v>224</v>
      </c>
      <c r="J532" s="1" t="s">
        <v>216</v>
      </c>
      <c r="K532" s="9" t="s">
        <v>20</v>
      </c>
      <c r="L532" t="s">
        <v>21</v>
      </c>
      <c r="M532" t="str">
        <f t="shared" si="34"/>
        <v>ND</v>
      </c>
      <c r="N532" t="str">
        <f t="shared" si="37"/>
        <v>ND</v>
      </c>
    </row>
    <row r="533" spans="1:14" x14ac:dyDescent="0.3">
      <c r="A533" s="1" t="s">
        <v>68</v>
      </c>
      <c r="B533">
        <v>6</v>
      </c>
      <c r="C533">
        <v>12</v>
      </c>
      <c r="D533" t="s">
        <v>71</v>
      </c>
      <c r="E533">
        <v>11000000</v>
      </c>
      <c r="F533">
        <f t="shared" si="35"/>
        <v>11000000</v>
      </c>
      <c r="G533">
        <f t="shared" si="36"/>
        <v>35437.687658664196</v>
      </c>
      <c r="H533" t="s">
        <v>72</v>
      </c>
      <c r="I533" s="1" t="s">
        <v>224</v>
      </c>
      <c r="J533" s="1" t="s">
        <v>216</v>
      </c>
      <c r="K533" s="9" t="s">
        <v>20</v>
      </c>
      <c r="L533" t="s">
        <v>21</v>
      </c>
      <c r="M533" t="str">
        <f t="shared" si="34"/>
        <v>ND</v>
      </c>
      <c r="N533" t="str">
        <f t="shared" si="37"/>
        <v>ND</v>
      </c>
    </row>
    <row r="534" spans="1:14" x14ac:dyDescent="0.3">
      <c r="A534" s="1" t="s">
        <v>68</v>
      </c>
      <c r="B534">
        <v>6</v>
      </c>
      <c r="C534">
        <v>12</v>
      </c>
      <c r="D534" t="s">
        <v>71</v>
      </c>
      <c r="E534">
        <v>11000000</v>
      </c>
      <c r="F534">
        <f t="shared" si="35"/>
        <v>11000000</v>
      </c>
      <c r="G534">
        <f t="shared" si="36"/>
        <v>35437.687658664196</v>
      </c>
      <c r="H534" t="s">
        <v>72</v>
      </c>
      <c r="I534" s="1" t="s">
        <v>224</v>
      </c>
      <c r="J534" s="1" t="s">
        <v>216</v>
      </c>
      <c r="K534" s="9" t="s">
        <v>20</v>
      </c>
      <c r="L534" t="s">
        <v>21</v>
      </c>
      <c r="M534" t="str">
        <f t="shared" si="34"/>
        <v>ND</v>
      </c>
      <c r="N534" t="str">
        <f t="shared" si="37"/>
        <v>ND</v>
      </c>
    </row>
    <row r="535" spans="1:14" x14ac:dyDescent="0.3">
      <c r="A535" s="1" t="s">
        <v>68</v>
      </c>
      <c r="B535">
        <v>6</v>
      </c>
      <c r="C535">
        <v>12</v>
      </c>
      <c r="D535" t="s">
        <v>71</v>
      </c>
      <c r="E535">
        <v>11000000</v>
      </c>
      <c r="F535">
        <f t="shared" si="35"/>
        <v>11000000</v>
      </c>
      <c r="G535">
        <f t="shared" si="36"/>
        <v>35437.687658664196</v>
      </c>
      <c r="H535" t="s">
        <v>72</v>
      </c>
      <c r="I535" s="1" t="s">
        <v>224</v>
      </c>
      <c r="J535" s="1" t="s">
        <v>216</v>
      </c>
      <c r="K535" s="9" t="s">
        <v>20</v>
      </c>
      <c r="L535" t="s">
        <v>21</v>
      </c>
      <c r="M535" t="str">
        <f t="shared" ref="M535:M598" si="38">IFERROR(K535/1000,"ND")</f>
        <v>ND</v>
      </c>
      <c r="N535" t="str">
        <f t="shared" si="37"/>
        <v>ND</v>
      </c>
    </row>
    <row r="536" spans="1:14" x14ac:dyDescent="0.3">
      <c r="A536" s="1" t="s">
        <v>68</v>
      </c>
      <c r="B536">
        <v>6</v>
      </c>
      <c r="C536">
        <v>12</v>
      </c>
      <c r="D536" t="s">
        <v>71</v>
      </c>
      <c r="E536">
        <v>11000000</v>
      </c>
      <c r="F536">
        <f t="shared" ref="F536:F599" si="39">E536</f>
        <v>11000000</v>
      </c>
      <c r="G536">
        <f t="shared" ref="G536:G599" si="40">F536/310.404</f>
        <v>35437.687658664196</v>
      </c>
      <c r="H536" t="s">
        <v>72</v>
      </c>
      <c r="I536" s="1" t="s">
        <v>224</v>
      </c>
      <c r="J536" s="1" t="s">
        <v>216</v>
      </c>
      <c r="K536" s="9">
        <v>21.38</v>
      </c>
      <c r="L536" t="s">
        <v>21</v>
      </c>
      <c r="M536">
        <f t="shared" si="38"/>
        <v>2.138E-2</v>
      </c>
      <c r="N536">
        <f t="shared" si="37"/>
        <v>6.6364375199999994</v>
      </c>
    </row>
    <row r="537" spans="1:14" x14ac:dyDescent="0.3">
      <c r="A537" s="1" t="s">
        <v>68</v>
      </c>
      <c r="B537">
        <v>6</v>
      </c>
      <c r="C537">
        <v>12</v>
      </c>
      <c r="D537" t="s">
        <v>71</v>
      </c>
      <c r="E537">
        <v>11000000</v>
      </c>
      <c r="F537">
        <f t="shared" si="39"/>
        <v>11000000</v>
      </c>
      <c r="G537">
        <f t="shared" si="40"/>
        <v>35437.687658664196</v>
      </c>
      <c r="H537" t="s">
        <v>72</v>
      </c>
      <c r="I537" s="1" t="s">
        <v>224</v>
      </c>
      <c r="J537" s="1" t="s">
        <v>216</v>
      </c>
      <c r="K537" s="9">
        <v>23.33</v>
      </c>
      <c r="L537" t="s">
        <v>21</v>
      </c>
      <c r="M537">
        <f t="shared" si="38"/>
        <v>2.3329999999999997E-2</v>
      </c>
      <c r="N537">
        <f t="shared" si="37"/>
        <v>7.2417253199999987</v>
      </c>
    </row>
    <row r="538" spans="1:14" x14ac:dyDescent="0.3">
      <c r="A538" s="1" t="s">
        <v>68</v>
      </c>
      <c r="B538">
        <v>6</v>
      </c>
      <c r="C538">
        <v>12</v>
      </c>
      <c r="D538" t="s">
        <v>71</v>
      </c>
      <c r="E538">
        <v>11000000</v>
      </c>
      <c r="F538">
        <f t="shared" si="39"/>
        <v>11000000</v>
      </c>
      <c r="G538">
        <f t="shared" si="40"/>
        <v>35437.687658664196</v>
      </c>
      <c r="H538" t="s">
        <v>72</v>
      </c>
      <c r="I538" s="1" t="s">
        <v>224</v>
      </c>
      <c r="J538" s="1" t="s">
        <v>216</v>
      </c>
      <c r="K538" s="9">
        <v>14.18</v>
      </c>
      <c r="L538" t="s">
        <v>21</v>
      </c>
      <c r="M538">
        <f t="shared" si="38"/>
        <v>1.418E-2</v>
      </c>
      <c r="N538">
        <f t="shared" si="37"/>
        <v>4.40152872</v>
      </c>
    </row>
    <row r="539" spans="1:14" x14ac:dyDescent="0.3">
      <c r="A539" s="1" t="s">
        <v>68</v>
      </c>
      <c r="B539">
        <v>6</v>
      </c>
      <c r="C539">
        <v>12</v>
      </c>
      <c r="D539" t="s">
        <v>71</v>
      </c>
      <c r="E539">
        <v>11000000</v>
      </c>
      <c r="F539">
        <f t="shared" si="39"/>
        <v>11000000</v>
      </c>
      <c r="G539">
        <f t="shared" si="40"/>
        <v>35437.687658664196</v>
      </c>
      <c r="H539" t="s">
        <v>72</v>
      </c>
      <c r="I539" s="1" t="s">
        <v>224</v>
      </c>
      <c r="J539" s="1" t="s">
        <v>216</v>
      </c>
      <c r="K539" s="9">
        <v>16.14</v>
      </c>
      <c r="L539" t="s">
        <v>21</v>
      </c>
      <c r="M539">
        <f t="shared" si="38"/>
        <v>1.6140000000000002E-2</v>
      </c>
      <c r="N539">
        <f t="shared" si="37"/>
        <v>5.0099205600000003</v>
      </c>
    </row>
    <row r="540" spans="1:14" x14ac:dyDescent="0.3">
      <c r="A540" s="1" t="s">
        <v>68</v>
      </c>
      <c r="B540">
        <v>6</v>
      </c>
      <c r="C540">
        <v>12</v>
      </c>
      <c r="D540" t="s">
        <v>71</v>
      </c>
      <c r="E540">
        <v>11000000</v>
      </c>
      <c r="F540">
        <f t="shared" si="39"/>
        <v>11000000</v>
      </c>
      <c r="G540">
        <f t="shared" si="40"/>
        <v>35437.687658664196</v>
      </c>
      <c r="H540" t="s">
        <v>72</v>
      </c>
      <c r="I540" s="1" t="s">
        <v>224</v>
      </c>
      <c r="J540" s="1" t="s">
        <v>216</v>
      </c>
      <c r="K540" s="9">
        <v>16.36</v>
      </c>
      <c r="L540" t="s">
        <v>21</v>
      </c>
      <c r="M540">
        <f t="shared" si="38"/>
        <v>1.636E-2</v>
      </c>
      <c r="N540">
        <f t="shared" si="37"/>
        <v>5.0782094399999993</v>
      </c>
    </row>
    <row r="541" spans="1:14" x14ac:dyDescent="0.3">
      <c r="A541" s="1" t="s">
        <v>68</v>
      </c>
      <c r="B541">
        <v>6</v>
      </c>
      <c r="C541">
        <v>12</v>
      </c>
      <c r="D541" t="s">
        <v>71</v>
      </c>
      <c r="E541">
        <v>11000000</v>
      </c>
      <c r="F541">
        <f t="shared" si="39"/>
        <v>11000000</v>
      </c>
      <c r="G541">
        <f t="shared" si="40"/>
        <v>35437.687658664196</v>
      </c>
      <c r="H541" t="s">
        <v>72</v>
      </c>
      <c r="I541" s="1" t="s">
        <v>224</v>
      </c>
      <c r="J541" s="1" t="s">
        <v>216</v>
      </c>
      <c r="K541" s="9" t="s">
        <v>20</v>
      </c>
      <c r="L541" t="s">
        <v>21</v>
      </c>
      <c r="M541" t="str">
        <f t="shared" si="38"/>
        <v>ND</v>
      </c>
      <c r="N541" t="str">
        <f t="shared" si="37"/>
        <v>ND</v>
      </c>
    </row>
    <row r="542" spans="1:14" x14ac:dyDescent="0.3">
      <c r="A542" s="1" t="s">
        <v>68</v>
      </c>
      <c r="B542">
        <v>6</v>
      </c>
      <c r="C542">
        <v>12</v>
      </c>
      <c r="D542" t="s">
        <v>71</v>
      </c>
      <c r="E542">
        <v>11000000</v>
      </c>
      <c r="F542">
        <f t="shared" si="39"/>
        <v>11000000</v>
      </c>
      <c r="G542">
        <f t="shared" si="40"/>
        <v>35437.687658664196</v>
      </c>
      <c r="H542" t="s">
        <v>72</v>
      </c>
      <c r="I542" s="1" t="s">
        <v>224</v>
      </c>
      <c r="J542" s="1" t="s">
        <v>216</v>
      </c>
      <c r="K542" s="9">
        <v>5.78</v>
      </c>
      <c r="L542" t="s">
        <v>21</v>
      </c>
      <c r="M542">
        <f t="shared" si="38"/>
        <v>5.7800000000000004E-3</v>
      </c>
      <c r="N542">
        <f t="shared" si="37"/>
        <v>1.79413512</v>
      </c>
    </row>
    <row r="543" spans="1:14" x14ac:dyDescent="0.3">
      <c r="A543" s="1" t="s">
        <v>68</v>
      </c>
      <c r="B543">
        <v>6</v>
      </c>
      <c r="C543">
        <v>12</v>
      </c>
      <c r="D543" t="s">
        <v>71</v>
      </c>
      <c r="E543">
        <v>11000000</v>
      </c>
      <c r="F543">
        <f t="shared" si="39"/>
        <v>11000000</v>
      </c>
      <c r="G543">
        <f t="shared" si="40"/>
        <v>35437.687658664196</v>
      </c>
      <c r="H543" t="s">
        <v>72</v>
      </c>
      <c r="I543" s="1" t="s">
        <v>224</v>
      </c>
      <c r="J543" s="1" t="s">
        <v>216</v>
      </c>
      <c r="K543" s="9">
        <v>6.68</v>
      </c>
      <c r="L543" t="s">
        <v>21</v>
      </c>
      <c r="M543">
        <f t="shared" si="38"/>
        <v>6.6799999999999993E-3</v>
      </c>
      <c r="N543">
        <f t="shared" si="37"/>
        <v>2.0734987199999995</v>
      </c>
    </row>
    <row r="544" spans="1:14" x14ac:dyDescent="0.3">
      <c r="A544" s="1" t="s">
        <v>68</v>
      </c>
      <c r="B544">
        <v>6</v>
      </c>
      <c r="C544">
        <v>12</v>
      </c>
      <c r="D544" t="s">
        <v>71</v>
      </c>
      <c r="E544">
        <v>11000000</v>
      </c>
      <c r="F544">
        <f t="shared" si="39"/>
        <v>11000000</v>
      </c>
      <c r="G544">
        <f t="shared" si="40"/>
        <v>35437.687658664196</v>
      </c>
      <c r="H544" t="s">
        <v>72</v>
      </c>
      <c r="I544" s="1" t="s">
        <v>224</v>
      </c>
      <c r="J544" s="1" t="s">
        <v>216</v>
      </c>
      <c r="K544" s="9">
        <v>5.89</v>
      </c>
      <c r="L544" t="s">
        <v>21</v>
      </c>
      <c r="M544">
        <f t="shared" si="38"/>
        <v>5.8899999999999994E-3</v>
      </c>
      <c r="N544">
        <f t="shared" si="37"/>
        <v>1.8282795599999997</v>
      </c>
    </row>
    <row r="545" spans="1:14" x14ac:dyDescent="0.3">
      <c r="A545" s="1" t="s">
        <v>68</v>
      </c>
      <c r="B545">
        <v>6</v>
      </c>
      <c r="C545">
        <v>12</v>
      </c>
      <c r="D545" t="s">
        <v>71</v>
      </c>
      <c r="E545">
        <v>11000000</v>
      </c>
      <c r="F545">
        <f t="shared" si="39"/>
        <v>11000000</v>
      </c>
      <c r="G545">
        <f t="shared" si="40"/>
        <v>35437.687658664196</v>
      </c>
      <c r="H545" t="s">
        <v>72</v>
      </c>
      <c r="I545" s="1" t="s">
        <v>224</v>
      </c>
      <c r="J545" s="1" t="s">
        <v>216</v>
      </c>
      <c r="K545" s="9">
        <v>3.66</v>
      </c>
      <c r="L545" t="s">
        <v>21</v>
      </c>
      <c r="M545">
        <f t="shared" si="38"/>
        <v>3.6600000000000001E-3</v>
      </c>
      <c r="N545">
        <f t="shared" si="37"/>
        <v>1.1360786399999998</v>
      </c>
    </row>
    <row r="546" spans="1:14" x14ac:dyDescent="0.3">
      <c r="A546" s="1" t="s">
        <v>68</v>
      </c>
      <c r="B546">
        <v>6</v>
      </c>
      <c r="C546">
        <v>12</v>
      </c>
      <c r="D546" t="s">
        <v>71</v>
      </c>
      <c r="E546">
        <v>11000000</v>
      </c>
      <c r="F546">
        <f t="shared" si="39"/>
        <v>11000000</v>
      </c>
      <c r="G546">
        <f t="shared" si="40"/>
        <v>35437.687658664196</v>
      </c>
      <c r="H546" t="s">
        <v>72</v>
      </c>
      <c r="I546" s="1" t="s">
        <v>224</v>
      </c>
      <c r="J546" s="1" t="s">
        <v>216</v>
      </c>
      <c r="K546" s="9">
        <v>5.99</v>
      </c>
      <c r="L546" t="s">
        <v>21</v>
      </c>
      <c r="M546">
        <f t="shared" si="38"/>
        <v>5.9900000000000005E-3</v>
      </c>
      <c r="N546">
        <f t="shared" si="37"/>
        <v>1.8593199599999999</v>
      </c>
    </row>
    <row r="547" spans="1:14" x14ac:dyDescent="0.3">
      <c r="A547" s="1" t="s">
        <v>68</v>
      </c>
      <c r="B547">
        <v>6</v>
      </c>
      <c r="C547">
        <v>12</v>
      </c>
      <c r="D547" t="s">
        <v>71</v>
      </c>
      <c r="E547">
        <v>11000000</v>
      </c>
      <c r="F547">
        <f t="shared" si="39"/>
        <v>11000000</v>
      </c>
      <c r="G547">
        <f t="shared" si="40"/>
        <v>35437.687658664196</v>
      </c>
      <c r="H547" t="s">
        <v>72</v>
      </c>
      <c r="I547" s="1" t="s">
        <v>224</v>
      </c>
      <c r="J547" s="1" t="s">
        <v>216</v>
      </c>
      <c r="K547" s="9">
        <v>5.5</v>
      </c>
      <c r="L547" t="s">
        <v>21</v>
      </c>
      <c r="M547">
        <f t="shared" si="38"/>
        <v>5.4999999999999997E-3</v>
      </c>
      <c r="N547">
        <f t="shared" si="37"/>
        <v>1.7072219999999998</v>
      </c>
    </row>
    <row r="548" spans="1:14" x14ac:dyDescent="0.3">
      <c r="A548" s="1" t="s">
        <v>68</v>
      </c>
      <c r="B548">
        <v>6</v>
      </c>
      <c r="C548">
        <v>12</v>
      </c>
      <c r="D548" t="s">
        <v>71</v>
      </c>
      <c r="E548">
        <v>11000000</v>
      </c>
      <c r="F548">
        <f t="shared" si="39"/>
        <v>11000000</v>
      </c>
      <c r="G548">
        <f t="shared" si="40"/>
        <v>35437.687658664196</v>
      </c>
      <c r="H548" t="s">
        <v>72</v>
      </c>
      <c r="I548" s="1" t="s">
        <v>224</v>
      </c>
      <c r="J548" s="1" t="s">
        <v>216</v>
      </c>
      <c r="K548" s="9" t="s">
        <v>20</v>
      </c>
      <c r="L548" t="s">
        <v>21</v>
      </c>
      <c r="M548" t="str">
        <f t="shared" si="38"/>
        <v>ND</v>
      </c>
      <c r="N548" t="str">
        <f t="shared" si="37"/>
        <v>ND</v>
      </c>
    </row>
    <row r="549" spans="1:14" x14ac:dyDescent="0.3">
      <c r="A549" s="1" t="s">
        <v>68</v>
      </c>
      <c r="B549">
        <v>6</v>
      </c>
      <c r="C549">
        <v>12</v>
      </c>
      <c r="D549" t="s">
        <v>71</v>
      </c>
      <c r="E549">
        <v>11000000</v>
      </c>
      <c r="F549">
        <f t="shared" si="39"/>
        <v>11000000</v>
      </c>
      <c r="G549">
        <f t="shared" si="40"/>
        <v>35437.687658664196</v>
      </c>
      <c r="H549" t="s">
        <v>72</v>
      </c>
      <c r="I549" s="1" t="s">
        <v>224</v>
      </c>
      <c r="J549" s="1" t="s">
        <v>216</v>
      </c>
      <c r="K549" s="9" t="s">
        <v>20</v>
      </c>
      <c r="L549" t="s">
        <v>21</v>
      </c>
      <c r="M549" t="str">
        <f t="shared" si="38"/>
        <v>ND</v>
      </c>
      <c r="N549" t="str">
        <f t="shared" si="37"/>
        <v>ND</v>
      </c>
    </row>
    <row r="550" spans="1:14" x14ac:dyDescent="0.3">
      <c r="A550" s="1" t="s">
        <v>68</v>
      </c>
      <c r="B550">
        <v>6</v>
      </c>
      <c r="C550">
        <v>12</v>
      </c>
      <c r="D550" t="s">
        <v>71</v>
      </c>
      <c r="E550">
        <v>11000000</v>
      </c>
      <c r="F550">
        <f t="shared" si="39"/>
        <v>11000000</v>
      </c>
      <c r="G550">
        <f t="shared" si="40"/>
        <v>35437.687658664196</v>
      </c>
      <c r="H550" t="s">
        <v>72</v>
      </c>
      <c r="I550" s="1" t="s">
        <v>224</v>
      </c>
      <c r="J550" s="1" t="s">
        <v>216</v>
      </c>
      <c r="K550" s="9" t="s">
        <v>20</v>
      </c>
      <c r="L550" t="s">
        <v>21</v>
      </c>
      <c r="M550" t="str">
        <f t="shared" si="38"/>
        <v>ND</v>
      </c>
      <c r="N550" t="str">
        <f t="shared" si="37"/>
        <v>ND</v>
      </c>
    </row>
    <row r="551" spans="1:14" x14ac:dyDescent="0.3">
      <c r="A551" s="1" t="s">
        <v>68</v>
      </c>
      <c r="B551">
        <v>6</v>
      </c>
      <c r="C551">
        <v>12</v>
      </c>
      <c r="D551" t="s">
        <v>71</v>
      </c>
      <c r="E551">
        <v>11000000</v>
      </c>
      <c r="F551">
        <f t="shared" si="39"/>
        <v>11000000</v>
      </c>
      <c r="G551">
        <f t="shared" si="40"/>
        <v>35437.687658664196</v>
      </c>
      <c r="H551" t="s">
        <v>72</v>
      </c>
      <c r="I551" s="1" t="s">
        <v>224</v>
      </c>
      <c r="J551" s="1" t="s">
        <v>216</v>
      </c>
      <c r="K551" s="9" t="s">
        <v>20</v>
      </c>
      <c r="L551" t="s">
        <v>21</v>
      </c>
      <c r="M551" t="str">
        <f t="shared" si="38"/>
        <v>ND</v>
      </c>
      <c r="N551" t="str">
        <f t="shared" si="37"/>
        <v>ND</v>
      </c>
    </row>
    <row r="552" spans="1:14" x14ac:dyDescent="0.3">
      <c r="A552" s="1" t="s">
        <v>68</v>
      </c>
      <c r="B552">
        <v>6</v>
      </c>
      <c r="C552">
        <v>12</v>
      </c>
      <c r="D552" t="s">
        <v>71</v>
      </c>
      <c r="E552">
        <v>11000000</v>
      </c>
      <c r="F552">
        <f t="shared" si="39"/>
        <v>11000000</v>
      </c>
      <c r="G552">
        <f t="shared" si="40"/>
        <v>35437.687658664196</v>
      </c>
      <c r="H552" t="s">
        <v>72</v>
      </c>
      <c r="I552" s="1" t="s">
        <v>224</v>
      </c>
      <c r="J552" s="1" t="s">
        <v>216</v>
      </c>
      <c r="K552" s="9" t="s">
        <v>20</v>
      </c>
      <c r="L552" t="s">
        <v>21</v>
      </c>
      <c r="M552" t="str">
        <f t="shared" si="38"/>
        <v>ND</v>
      </c>
      <c r="N552" t="str">
        <f t="shared" si="37"/>
        <v>ND</v>
      </c>
    </row>
    <row r="553" spans="1:14" x14ac:dyDescent="0.3">
      <c r="A553" s="1" t="s">
        <v>68</v>
      </c>
      <c r="B553">
        <v>6</v>
      </c>
      <c r="C553">
        <v>12</v>
      </c>
      <c r="D553" t="s">
        <v>71</v>
      </c>
      <c r="E553">
        <v>11000000</v>
      </c>
      <c r="F553">
        <f t="shared" si="39"/>
        <v>11000000</v>
      </c>
      <c r="G553">
        <f t="shared" si="40"/>
        <v>35437.687658664196</v>
      </c>
      <c r="H553" t="s">
        <v>72</v>
      </c>
      <c r="I553" s="1" t="s">
        <v>224</v>
      </c>
      <c r="J553" s="1" t="s">
        <v>216</v>
      </c>
      <c r="K553" s="9" t="s">
        <v>20</v>
      </c>
      <c r="L553" t="s">
        <v>21</v>
      </c>
      <c r="M553" t="str">
        <f t="shared" si="38"/>
        <v>ND</v>
      </c>
      <c r="N553" t="str">
        <f t="shared" si="37"/>
        <v>ND</v>
      </c>
    </row>
    <row r="554" spans="1:14" x14ac:dyDescent="0.3">
      <c r="A554" s="1" t="s">
        <v>68</v>
      </c>
      <c r="B554">
        <v>6</v>
      </c>
      <c r="C554">
        <v>12</v>
      </c>
      <c r="D554" t="s">
        <v>71</v>
      </c>
      <c r="E554">
        <v>11000000</v>
      </c>
      <c r="F554">
        <f t="shared" si="39"/>
        <v>11000000</v>
      </c>
      <c r="G554">
        <f t="shared" si="40"/>
        <v>35437.687658664196</v>
      </c>
      <c r="H554" t="s">
        <v>72</v>
      </c>
      <c r="I554" s="1" t="s">
        <v>224</v>
      </c>
      <c r="J554" s="1" t="s">
        <v>216</v>
      </c>
      <c r="K554" s="9" t="s">
        <v>20</v>
      </c>
      <c r="L554" t="s">
        <v>21</v>
      </c>
      <c r="M554" t="str">
        <f t="shared" si="38"/>
        <v>ND</v>
      </c>
      <c r="N554" t="str">
        <f t="shared" si="37"/>
        <v>ND</v>
      </c>
    </row>
    <row r="555" spans="1:14" x14ac:dyDescent="0.3">
      <c r="A555" s="1" t="s">
        <v>68</v>
      </c>
      <c r="B555">
        <v>6</v>
      </c>
      <c r="C555">
        <v>12</v>
      </c>
      <c r="D555" t="s">
        <v>71</v>
      </c>
      <c r="E555">
        <v>11000000</v>
      </c>
      <c r="F555">
        <f t="shared" si="39"/>
        <v>11000000</v>
      </c>
      <c r="G555">
        <f t="shared" si="40"/>
        <v>35437.687658664196</v>
      </c>
      <c r="H555" t="s">
        <v>72</v>
      </c>
      <c r="I555" s="1" t="s">
        <v>224</v>
      </c>
      <c r="J555" s="1" t="s">
        <v>216</v>
      </c>
      <c r="K555" s="9" t="s">
        <v>20</v>
      </c>
      <c r="L555" t="s">
        <v>21</v>
      </c>
      <c r="M555" t="str">
        <f t="shared" si="38"/>
        <v>ND</v>
      </c>
      <c r="N555" t="str">
        <f t="shared" si="37"/>
        <v>ND</v>
      </c>
    </row>
    <row r="556" spans="1:14" x14ac:dyDescent="0.3">
      <c r="A556" s="1" t="s">
        <v>68</v>
      </c>
      <c r="B556">
        <v>6</v>
      </c>
      <c r="C556">
        <v>12</v>
      </c>
      <c r="D556" t="s">
        <v>71</v>
      </c>
      <c r="E556">
        <v>11000000</v>
      </c>
      <c r="F556">
        <f t="shared" si="39"/>
        <v>11000000</v>
      </c>
      <c r="G556">
        <f t="shared" si="40"/>
        <v>35437.687658664196</v>
      </c>
      <c r="H556" t="s">
        <v>72</v>
      </c>
      <c r="I556" s="1" t="s">
        <v>224</v>
      </c>
      <c r="J556" s="1" t="s">
        <v>216</v>
      </c>
      <c r="K556" s="9" t="s">
        <v>20</v>
      </c>
      <c r="L556" t="s">
        <v>21</v>
      </c>
      <c r="M556" t="str">
        <f t="shared" si="38"/>
        <v>ND</v>
      </c>
      <c r="N556" t="str">
        <f t="shared" si="37"/>
        <v>ND</v>
      </c>
    </row>
    <row r="557" spans="1:14" x14ac:dyDescent="0.3">
      <c r="A557" s="1" t="s">
        <v>69</v>
      </c>
      <c r="B557">
        <v>6</v>
      </c>
      <c r="C557">
        <v>12</v>
      </c>
      <c r="D557" t="s">
        <v>71</v>
      </c>
      <c r="E557">
        <v>11000000</v>
      </c>
      <c r="F557">
        <f t="shared" si="39"/>
        <v>11000000</v>
      </c>
      <c r="G557">
        <f t="shared" si="40"/>
        <v>35437.687658664196</v>
      </c>
      <c r="H557" t="s">
        <v>72</v>
      </c>
      <c r="I557" s="1" t="s">
        <v>224</v>
      </c>
      <c r="J557" s="1" t="s">
        <v>216</v>
      </c>
      <c r="K557" s="9">
        <v>22.03</v>
      </c>
      <c r="L557" t="s">
        <v>21</v>
      </c>
      <c r="M557">
        <f t="shared" si="38"/>
        <v>2.2030000000000001E-2</v>
      </c>
      <c r="N557">
        <f t="shared" si="37"/>
        <v>6.8382001199999998</v>
      </c>
    </row>
    <row r="558" spans="1:14" x14ac:dyDescent="0.3">
      <c r="A558" s="1" t="s">
        <v>69</v>
      </c>
      <c r="B558">
        <v>6</v>
      </c>
      <c r="C558">
        <v>12</v>
      </c>
      <c r="D558" t="s">
        <v>71</v>
      </c>
      <c r="E558">
        <v>11000000</v>
      </c>
      <c r="F558">
        <f t="shared" si="39"/>
        <v>11000000</v>
      </c>
      <c r="G558">
        <f t="shared" si="40"/>
        <v>35437.687658664196</v>
      </c>
      <c r="H558" t="s">
        <v>72</v>
      </c>
      <c r="I558" s="1" t="s">
        <v>224</v>
      </c>
      <c r="J558" s="1" t="s">
        <v>216</v>
      </c>
      <c r="K558" s="9">
        <v>22.03</v>
      </c>
      <c r="L558" t="s">
        <v>21</v>
      </c>
      <c r="M558">
        <f t="shared" si="38"/>
        <v>2.2030000000000001E-2</v>
      </c>
      <c r="N558">
        <f t="shared" si="37"/>
        <v>6.8382001199999998</v>
      </c>
    </row>
    <row r="559" spans="1:14" x14ac:dyDescent="0.3">
      <c r="A559" s="1" t="s">
        <v>69</v>
      </c>
      <c r="B559">
        <v>6</v>
      </c>
      <c r="C559">
        <v>12</v>
      </c>
      <c r="D559" t="s">
        <v>71</v>
      </c>
      <c r="E559">
        <v>11000000</v>
      </c>
      <c r="F559">
        <f t="shared" si="39"/>
        <v>11000000</v>
      </c>
      <c r="G559">
        <f t="shared" si="40"/>
        <v>35437.687658664196</v>
      </c>
      <c r="H559" t="s">
        <v>72</v>
      </c>
      <c r="I559" s="1" t="s">
        <v>224</v>
      </c>
      <c r="J559" s="1" t="s">
        <v>216</v>
      </c>
      <c r="K559" s="9">
        <v>22.03</v>
      </c>
      <c r="L559" t="s">
        <v>21</v>
      </c>
      <c r="M559">
        <f t="shared" si="38"/>
        <v>2.2030000000000001E-2</v>
      </c>
      <c r="N559">
        <f t="shared" si="37"/>
        <v>6.8382001199999998</v>
      </c>
    </row>
    <row r="560" spans="1:14" x14ac:dyDescent="0.3">
      <c r="A560" s="1" t="s">
        <v>69</v>
      </c>
      <c r="B560">
        <v>6</v>
      </c>
      <c r="C560">
        <v>12</v>
      </c>
      <c r="D560" t="s">
        <v>71</v>
      </c>
      <c r="E560">
        <v>11000000</v>
      </c>
      <c r="F560">
        <f t="shared" si="39"/>
        <v>11000000</v>
      </c>
      <c r="G560">
        <f t="shared" si="40"/>
        <v>35437.687658664196</v>
      </c>
      <c r="H560" t="s">
        <v>72</v>
      </c>
      <c r="I560" s="1" t="s">
        <v>224</v>
      </c>
      <c r="J560" s="1" t="s">
        <v>216</v>
      </c>
      <c r="K560" s="9">
        <v>22.03</v>
      </c>
      <c r="L560" t="s">
        <v>21</v>
      </c>
      <c r="M560">
        <f t="shared" si="38"/>
        <v>2.2030000000000001E-2</v>
      </c>
      <c r="N560">
        <f t="shared" si="37"/>
        <v>6.8382001199999998</v>
      </c>
    </row>
    <row r="561" spans="1:14" x14ac:dyDescent="0.3">
      <c r="A561" s="1" t="s">
        <v>69</v>
      </c>
      <c r="B561">
        <v>6</v>
      </c>
      <c r="C561">
        <v>12</v>
      </c>
      <c r="D561" t="s">
        <v>71</v>
      </c>
      <c r="E561">
        <v>11000000</v>
      </c>
      <c r="F561">
        <f t="shared" si="39"/>
        <v>11000000</v>
      </c>
      <c r="G561">
        <f t="shared" si="40"/>
        <v>35437.687658664196</v>
      </c>
      <c r="H561" t="s">
        <v>72</v>
      </c>
      <c r="I561" s="1" t="s">
        <v>224</v>
      </c>
      <c r="J561" s="1" t="s">
        <v>216</v>
      </c>
      <c r="K561" s="9">
        <v>22.03</v>
      </c>
      <c r="L561" t="s">
        <v>21</v>
      </c>
      <c r="M561">
        <f t="shared" si="38"/>
        <v>2.2030000000000001E-2</v>
      </c>
      <c r="N561">
        <f t="shared" si="37"/>
        <v>6.8382001199999998</v>
      </c>
    </row>
    <row r="562" spans="1:14" x14ac:dyDescent="0.3">
      <c r="A562" s="1" t="s">
        <v>69</v>
      </c>
      <c r="B562">
        <v>6</v>
      </c>
      <c r="C562">
        <v>12</v>
      </c>
      <c r="D562" t="s">
        <v>71</v>
      </c>
      <c r="E562">
        <v>11000000</v>
      </c>
      <c r="F562">
        <f t="shared" si="39"/>
        <v>11000000</v>
      </c>
      <c r="G562">
        <f t="shared" si="40"/>
        <v>35437.687658664196</v>
      </c>
      <c r="H562" t="s">
        <v>72</v>
      </c>
      <c r="I562" s="1" t="s">
        <v>224</v>
      </c>
      <c r="J562" s="1" t="s">
        <v>216</v>
      </c>
      <c r="K562" s="9">
        <v>22.03</v>
      </c>
      <c r="L562" t="s">
        <v>21</v>
      </c>
      <c r="M562">
        <f t="shared" si="38"/>
        <v>2.2030000000000001E-2</v>
      </c>
      <c r="N562">
        <f t="shared" si="37"/>
        <v>6.8382001199999998</v>
      </c>
    </row>
    <row r="563" spans="1:14" x14ac:dyDescent="0.3">
      <c r="A563" s="1" t="s">
        <v>69</v>
      </c>
      <c r="B563">
        <v>6</v>
      </c>
      <c r="C563">
        <v>12</v>
      </c>
      <c r="D563" t="s">
        <v>71</v>
      </c>
      <c r="E563">
        <v>11000000</v>
      </c>
      <c r="F563">
        <f t="shared" si="39"/>
        <v>11000000</v>
      </c>
      <c r="G563">
        <f t="shared" si="40"/>
        <v>35437.687658664196</v>
      </c>
      <c r="H563" t="s">
        <v>72</v>
      </c>
      <c r="I563" s="1" t="s">
        <v>224</v>
      </c>
      <c r="J563" s="1" t="s">
        <v>216</v>
      </c>
      <c r="K563" s="9">
        <v>22.03</v>
      </c>
      <c r="L563" t="s">
        <v>21</v>
      </c>
      <c r="M563">
        <f t="shared" si="38"/>
        <v>2.2030000000000001E-2</v>
      </c>
      <c r="N563">
        <f t="shared" si="37"/>
        <v>6.8382001199999998</v>
      </c>
    </row>
    <row r="564" spans="1:14" x14ac:dyDescent="0.3">
      <c r="A564" s="1" t="s">
        <v>69</v>
      </c>
      <c r="B564">
        <v>6</v>
      </c>
      <c r="C564">
        <v>12</v>
      </c>
      <c r="D564" t="s">
        <v>71</v>
      </c>
      <c r="E564">
        <v>11000000</v>
      </c>
      <c r="F564">
        <f t="shared" si="39"/>
        <v>11000000</v>
      </c>
      <c r="G564">
        <f t="shared" si="40"/>
        <v>35437.687658664196</v>
      </c>
      <c r="H564" t="s">
        <v>72</v>
      </c>
      <c r="I564" s="1" t="s">
        <v>224</v>
      </c>
      <c r="J564" s="1" t="s">
        <v>216</v>
      </c>
      <c r="K564" s="9">
        <v>22.03</v>
      </c>
      <c r="L564" t="s">
        <v>21</v>
      </c>
      <c r="M564">
        <f t="shared" si="38"/>
        <v>2.2030000000000001E-2</v>
      </c>
      <c r="N564">
        <f t="shared" si="37"/>
        <v>6.8382001199999998</v>
      </c>
    </row>
    <row r="565" spans="1:14" x14ac:dyDescent="0.3">
      <c r="A565" s="1" t="s">
        <v>69</v>
      </c>
      <c r="B565">
        <v>6</v>
      </c>
      <c r="C565">
        <v>12</v>
      </c>
      <c r="D565" t="s">
        <v>71</v>
      </c>
      <c r="E565">
        <v>11000000</v>
      </c>
      <c r="F565">
        <f t="shared" si="39"/>
        <v>11000000</v>
      </c>
      <c r="G565">
        <f t="shared" si="40"/>
        <v>35437.687658664196</v>
      </c>
      <c r="H565" t="s">
        <v>72</v>
      </c>
      <c r="I565" s="1" t="s">
        <v>224</v>
      </c>
      <c r="J565" s="1" t="s">
        <v>216</v>
      </c>
      <c r="K565" s="9">
        <v>22.03</v>
      </c>
      <c r="L565" t="s">
        <v>21</v>
      </c>
      <c r="M565">
        <f t="shared" si="38"/>
        <v>2.2030000000000001E-2</v>
      </c>
      <c r="N565">
        <f t="shared" si="37"/>
        <v>6.8382001199999998</v>
      </c>
    </row>
    <row r="566" spans="1:14" x14ac:dyDescent="0.3">
      <c r="A566" s="1" t="s">
        <v>69</v>
      </c>
      <c r="B566">
        <v>6</v>
      </c>
      <c r="C566">
        <v>12</v>
      </c>
      <c r="D566" t="s">
        <v>71</v>
      </c>
      <c r="E566">
        <v>11000000</v>
      </c>
      <c r="F566">
        <f t="shared" si="39"/>
        <v>11000000</v>
      </c>
      <c r="G566">
        <f t="shared" si="40"/>
        <v>35437.687658664196</v>
      </c>
      <c r="H566" t="s">
        <v>72</v>
      </c>
      <c r="I566" s="1" t="s">
        <v>224</v>
      </c>
      <c r="J566" s="1" t="s">
        <v>216</v>
      </c>
      <c r="K566" s="9">
        <v>22.03</v>
      </c>
      <c r="L566" t="s">
        <v>21</v>
      </c>
      <c r="M566">
        <f t="shared" si="38"/>
        <v>2.2030000000000001E-2</v>
      </c>
      <c r="N566">
        <f t="shared" si="37"/>
        <v>6.8382001199999998</v>
      </c>
    </row>
    <row r="567" spans="1:14" x14ac:dyDescent="0.3">
      <c r="A567" s="1" t="s">
        <v>69</v>
      </c>
      <c r="B567">
        <v>6</v>
      </c>
      <c r="C567">
        <v>12</v>
      </c>
      <c r="D567" t="s">
        <v>71</v>
      </c>
      <c r="E567">
        <v>11000000</v>
      </c>
      <c r="F567">
        <f t="shared" si="39"/>
        <v>11000000</v>
      </c>
      <c r="G567">
        <f t="shared" si="40"/>
        <v>35437.687658664196</v>
      </c>
      <c r="H567" t="s">
        <v>72</v>
      </c>
      <c r="I567" s="1" t="s">
        <v>224</v>
      </c>
      <c r="J567" s="1" t="s">
        <v>216</v>
      </c>
      <c r="K567" s="9">
        <v>22.03</v>
      </c>
      <c r="L567" t="s">
        <v>21</v>
      </c>
      <c r="M567">
        <f t="shared" si="38"/>
        <v>2.2030000000000001E-2</v>
      </c>
      <c r="N567">
        <f t="shared" si="37"/>
        <v>6.8382001199999998</v>
      </c>
    </row>
    <row r="568" spans="1:14" x14ac:dyDescent="0.3">
      <c r="A568" s="1" t="s">
        <v>69</v>
      </c>
      <c r="B568">
        <v>6</v>
      </c>
      <c r="C568">
        <v>12</v>
      </c>
      <c r="D568" t="s">
        <v>71</v>
      </c>
      <c r="E568">
        <v>11000000</v>
      </c>
      <c r="F568">
        <f t="shared" si="39"/>
        <v>11000000</v>
      </c>
      <c r="G568">
        <f t="shared" si="40"/>
        <v>35437.687658664196</v>
      </c>
      <c r="H568" t="s">
        <v>72</v>
      </c>
      <c r="I568" s="1" t="s">
        <v>224</v>
      </c>
      <c r="J568" s="1" t="s">
        <v>216</v>
      </c>
      <c r="K568" s="9">
        <v>22.03</v>
      </c>
      <c r="L568" t="s">
        <v>21</v>
      </c>
      <c r="M568">
        <f t="shared" si="38"/>
        <v>2.2030000000000001E-2</v>
      </c>
      <c r="N568">
        <f t="shared" si="37"/>
        <v>6.8382001199999998</v>
      </c>
    </row>
    <row r="569" spans="1:14" x14ac:dyDescent="0.3">
      <c r="A569" s="1" t="s">
        <v>69</v>
      </c>
      <c r="B569">
        <v>6</v>
      </c>
      <c r="C569">
        <v>12</v>
      </c>
      <c r="D569" t="s">
        <v>71</v>
      </c>
      <c r="E569">
        <v>11000000</v>
      </c>
      <c r="F569">
        <f t="shared" si="39"/>
        <v>11000000</v>
      </c>
      <c r="G569">
        <f t="shared" si="40"/>
        <v>35437.687658664196</v>
      </c>
      <c r="H569" t="s">
        <v>72</v>
      </c>
      <c r="I569" s="1" t="s">
        <v>224</v>
      </c>
      <c r="J569" s="1" t="s">
        <v>216</v>
      </c>
      <c r="K569" s="9">
        <v>22.03</v>
      </c>
      <c r="L569" t="s">
        <v>21</v>
      </c>
      <c r="M569">
        <f t="shared" si="38"/>
        <v>2.2030000000000001E-2</v>
      </c>
      <c r="N569">
        <f t="shared" si="37"/>
        <v>6.8382001199999998</v>
      </c>
    </row>
    <row r="570" spans="1:14" x14ac:dyDescent="0.3">
      <c r="A570" s="1" t="s">
        <v>69</v>
      </c>
      <c r="B570">
        <v>6</v>
      </c>
      <c r="C570">
        <v>12</v>
      </c>
      <c r="D570" t="s">
        <v>71</v>
      </c>
      <c r="E570">
        <v>11000000</v>
      </c>
      <c r="F570">
        <f t="shared" si="39"/>
        <v>11000000</v>
      </c>
      <c r="G570">
        <f t="shared" si="40"/>
        <v>35437.687658664196</v>
      </c>
      <c r="H570" t="s">
        <v>72</v>
      </c>
      <c r="I570" s="1" t="s">
        <v>224</v>
      </c>
      <c r="J570" s="1" t="s">
        <v>216</v>
      </c>
      <c r="K570" s="9">
        <v>22.03</v>
      </c>
      <c r="L570" t="s">
        <v>21</v>
      </c>
      <c r="M570">
        <f t="shared" si="38"/>
        <v>2.2030000000000001E-2</v>
      </c>
      <c r="N570">
        <f t="shared" si="37"/>
        <v>6.8382001199999998</v>
      </c>
    </row>
    <row r="571" spans="1:14" x14ac:dyDescent="0.3">
      <c r="A571" s="1" t="s">
        <v>69</v>
      </c>
      <c r="B571">
        <v>6</v>
      </c>
      <c r="C571">
        <v>12</v>
      </c>
      <c r="D571" t="s">
        <v>71</v>
      </c>
      <c r="E571">
        <v>11000000</v>
      </c>
      <c r="F571">
        <f t="shared" si="39"/>
        <v>11000000</v>
      </c>
      <c r="G571">
        <f t="shared" si="40"/>
        <v>35437.687658664196</v>
      </c>
      <c r="H571" t="s">
        <v>72</v>
      </c>
      <c r="I571" s="1" t="s">
        <v>224</v>
      </c>
      <c r="J571" s="1" t="s">
        <v>216</v>
      </c>
      <c r="K571" s="9">
        <v>22.03</v>
      </c>
      <c r="L571" t="s">
        <v>21</v>
      </c>
      <c r="M571">
        <f t="shared" si="38"/>
        <v>2.2030000000000001E-2</v>
      </c>
      <c r="N571">
        <f t="shared" si="37"/>
        <v>6.8382001199999998</v>
      </c>
    </row>
    <row r="572" spans="1:14" x14ac:dyDescent="0.3">
      <c r="A572" s="1" t="s">
        <v>69</v>
      </c>
      <c r="B572">
        <v>6</v>
      </c>
      <c r="C572">
        <v>12</v>
      </c>
      <c r="D572" t="s">
        <v>71</v>
      </c>
      <c r="E572">
        <v>11000000</v>
      </c>
      <c r="F572">
        <f t="shared" si="39"/>
        <v>11000000</v>
      </c>
      <c r="G572">
        <f t="shared" si="40"/>
        <v>35437.687658664196</v>
      </c>
      <c r="H572" t="s">
        <v>72</v>
      </c>
      <c r="I572" s="1" t="s">
        <v>224</v>
      </c>
      <c r="J572" s="1" t="s">
        <v>216</v>
      </c>
      <c r="K572" s="9">
        <v>22.03</v>
      </c>
      <c r="L572" t="s">
        <v>21</v>
      </c>
      <c r="M572">
        <f t="shared" si="38"/>
        <v>2.2030000000000001E-2</v>
      </c>
      <c r="N572">
        <f t="shared" si="37"/>
        <v>6.8382001199999998</v>
      </c>
    </row>
    <row r="573" spans="1:14" x14ac:dyDescent="0.3">
      <c r="A573" s="1" t="s">
        <v>69</v>
      </c>
      <c r="B573">
        <v>6</v>
      </c>
      <c r="C573">
        <v>12</v>
      </c>
      <c r="D573" t="s">
        <v>71</v>
      </c>
      <c r="E573">
        <v>11000000</v>
      </c>
      <c r="F573">
        <f t="shared" si="39"/>
        <v>11000000</v>
      </c>
      <c r="G573">
        <f t="shared" si="40"/>
        <v>35437.687658664196</v>
      </c>
      <c r="H573" t="s">
        <v>72</v>
      </c>
      <c r="I573" s="1" t="s">
        <v>224</v>
      </c>
      <c r="J573" s="1" t="s">
        <v>216</v>
      </c>
      <c r="K573" s="9">
        <v>22.03</v>
      </c>
      <c r="L573" t="s">
        <v>21</v>
      </c>
      <c r="M573">
        <f t="shared" si="38"/>
        <v>2.2030000000000001E-2</v>
      </c>
      <c r="N573">
        <f t="shared" si="37"/>
        <v>6.8382001199999998</v>
      </c>
    </row>
    <row r="574" spans="1:14" x14ac:dyDescent="0.3">
      <c r="A574" s="1" t="s">
        <v>69</v>
      </c>
      <c r="B574">
        <v>6</v>
      </c>
      <c r="C574">
        <v>12</v>
      </c>
      <c r="D574" t="s">
        <v>71</v>
      </c>
      <c r="E574">
        <v>11000000</v>
      </c>
      <c r="F574">
        <f t="shared" si="39"/>
        <v>11000000</v>
      </c>
      <c r="G574">
        <f t="shared" si="40"/>
        <v>35437.687658664196</v>
      </c>
      <c r="H574" t="s">
        <v>72</v>
      </c>
      <c r="I574" s="1" t="s">
        <v>224</v>
      </c>
      <c r="J574" s="1" t="s">
        <v>216</v>
      </c>
      <c r="K574" s="9">
        <v>22.03</v>
      </c>
      <c r="L574" t="s">
        <v>21</v>
      </c>
      <c r="M574">
        <f t="shared" si="38"/>
        <v>2.2030000000000001E-2</v>
      </c>
      <c r="N574">
        <f t="shared" si="37"/>
        <v>6.8382001199999998</v>
      </c>
    </row>
    <row r="575" spans="1:14" x14ac:dyDescent="0.3">
      <c r="A575" s="1" t="s">
        <v>69</v>
      </c>
      <c r="B575">
        <v>6</v>
      </c>
      <c r="C575">
        <v>12</v>
      </c>
      <c r="D575" t="s">
        <v>71</v>
      </c>
      <c r="E575">
        <v>11000000</v>
      </c>
      <c r="F575">
        <f t="shared" si="39"/>
        <v>11000000</v>
      </c>
      <c r="G575">
        <f t="shared" si="40"/>
        <v>35437.687658664196</v>
      </c>
      <c r="H575" t="s">
        <v>72</v>
      </c>
      <c r="I575" s="1" t="s">
        <v>224</v>
      </c>
      <c r="J575" s="1" t="s">
        <v>216</v>
      </c>
      <c r="K575" s="9">
        <v>22.03</v>
      </c>
      <c r="L575" t="s">
        <v>21</v>
      </c>
      <c r="M575">
        <f t="shared" si="38"/>
        <v>2.2030000000000001E-2</v>
      </c>
      <c r="N575">
        <f t="shared" si="37"/>
        <v>6.8382001199999998</v>
      </c>
    </row>
    <row r="576" spans="1:14" x14ac:dyDescent="0.3">
      <c r="A576" s="1" t="s">
        <v>69</v>
      </c>
      <c r="B576">
        <v>6</v>
      </c>
      <c r="C576">
        <v>12</v>
      </c>
      <c r="D576" t="s">
        <v>71</v>
      </c>
      <c r="E576">
        <v>11000000</v>
      </c>
      <c r="F576">
        <f t="shared" si="39"/>
        <v>11000000</v>
      </c>
      <c r="G576">
        <f t="shared" si="40"/>
        <v>35437.687658664196</v>
      </c>
      <c r="H576" t="s">
        <v>72</v>
      </c>
      <c r="I576" s="1" t="s">
        <v>224</v>
      </c>
      <c r="J576" s="1" t="s">
        <v>216</v>
      </c>
      <c r="K576" s="9">
        <v>22.03</v>
      </c>
      <c r="L576" t="s">
        <v>21</v>
      </c>
      <c r="M576">
        <f t="shared" si="38"/>
        <v>2.2030000000000001E-2</v>
      </c>
      <c r="N576">
        <f t="shared" si="37"/>
        <v>6.8382001199999998</v>
      </c>
    </row>
    <row r="577" spans="1:14" x14ac:dyDescent="0.3">
      <c r="A577" s="1" t="s">
        <v>69</v>
      </c>
      <c r="B577">
        <v>6</v>
      </c>
      <c r="C577">
        <v>12</v>
      </c>
      <c r="D577" t="s">
        <v>71</v>
      </c>
      <c r="E577">
        <v>11000000</v>
      </c>
      <c r="F577">
        <f t="shared" si="39"/>
        <v>11000000</v>
      </c>
      <c r="G577">
        <f t="shared" si="40"/>
        <v>35437.687658664196</v>
      </c>
      <c r="H577" t="s">
        <v>72</v>
      </c>
      <c r="I577" s="1" t="s">
        <v>224</v>
      </c>
      <c r="J577" s="1" t="s">
        <v>216</v>
      </c>
      <c r="K577" s="9">
        <v>22.03</v>
      </c>
      <c r="L577" t="s">
        <v>21</v>
      </c>
      <c r="M577">
        <f t="shared" si="38"/>
        <v>2.2030000000000001E-2</v>
      </c>
      <c r="N577">
        <f t="shared" si="37"/>
        <v>6.8382001199999998</v>
      </c>
    </row>
    <row r="578" spans="1:14" x14ac:dyDescent="0.3">
      <c r="A578" s="1" t="s">
        <v>69</v>
      </c>
      <c r="B578">
        <v>6</v>
      </c>
      <c r="C578">
        <v>12</v>
      </c>
      <c r="D578" t="s">
        <v>71</v>
      </c>
      <c r="E578">
        <v>11000000</v>
      </c>
      <c r="F578">
        <f t="shared" si="39"/>
        <v>11000000</v>
      </c>
      <c r="G578">
        <f t="shared" si="40"/>
        <v>35437.687658664196</v>
      </c>
      <c r="H578" t="s">
        <v>72</v>
      </c>
      <c r="I578" s="1" t="s">
        <v>224</v>
      </c>
      <c r="J578" s="1" t="s">
        <v>216</v>
      </c>
      <c r="K578" s="9">
        <v>22.03</v>
      </c>
      <c r="L578" t="s">
        <v>21</v>
      </c>
      <c r="M578">
        <f t="shared" si="38"/>
        <v>2.2030000000000001E-2</v>
      </c>
      <c r="N578">
        <f t="shared" ref="N578:N641" si="41">IFERROR((M578*F578)/G578,"ND")</f>
        <v>6.8382001199999998</v>
      </c>
    </row>
    <row r="579" spans="1:14" x14ac:dyDescent="0.3">
      <c r="A579" s="1" t="s">
        <v>69</v>
      </c>
      <c r="B579">
        <v>6</v>
      </c>
      <c r="C579">
        <v>12</v>
      </c>
      <c r="D579" t="s">
        <v>71</v>
      </c>
      <c r="E579">
        <v>11000000</v>
      </c>
      <c r="F579">
        <f t="shared" si="39"/>
        <v>11000000</v>
      </c>
      <c r="G579">
        <f t="shared" si="40"/>
        <v>35437.687658664196</v>
      </c>
      <c r="H579" t="s">
        <v>72</v>
      </c>
      <c r="I579" s="1" t="s">
        <v>224</v>
      </c>
      <c r="J579" s="1" t="s">
        <v>216</v>
      </c>
      <c r="K579" s="9">
        <v>22.03</v>
      </c>
      <c r="L579" t="s">
        <v>21</v>
      </c>
      <c r="M579">
        <f t="shared" si="38"/>
        <v>2.2030000000000001E-2</v>
      </c>
      <c r="N579">
        <f t="shared" si="41"/>
        <v>6.8382001199999998</v>
      </c>
    </row>
    <row r="580" spans="1:14" x14ac:dyDescent="0.3">
      <c r="A580" s="1" t="s">
        <v>69</v>
      </c>
      <c r="B580">
        <v>6</v>
      </c>
      <c r="C580">
        <v>12</v>
      </c>
      <c r="D580" t="s">
        <v>71</v>
      </c>
      <c r="E580">
        <v>11000000</v>
      </c>
      <c r="F580">
        <f t="shared" si="39"/>
        <v>11000000</v>
      </c>
      <c r="G580">
        <f t="shared" si="40"/>
        <v>35437.687658664196</v>
      </c>
      <c r="H580" t="s">
        <v>72</v>
      </c>
      <c r="I580" s="1" t="s">
        <v>224</v>
      </c>
      <c r="J580" s="1" t="s">
        <v>216</v>
      </c>
      <c r="K580" s="9">
        <v>22.03</v>
      </c>
      <c r="L580" t="s">
        <v>21</v>
      </c>
      <c r="M580">
        <f t="shared" si="38"/>
        <v>2.2030000000000001E-2</v>
      </c>
      <c r="N580">
        <f t="shared" si="41"/>
        <v>6.8382001199999998</v>
      </c>
    </row>
    <row r="581" spans="1:14" x14ac:dyDescent="0.3">
      <c r="A581" s="1" t="s">
        <v>69</v>
      </c>
      <c r="B581">
        <v>6</v>
      </c>
      <c r="C581">
        <v>12</v>
      </c>
      <c r="D581" t="s">
        <v>71</v>
      </c>
      <c r="E581">
        <v>11000000</v>
      </c>
      <c r="F581">
        <f t="shared" si="39"/>
        <v>11000000</v>
      </c>
      <c r="G581">
        <f t="shared" si="40"/>
        <v>35437.687658664196</v>
      </c>
      <c r="H581" t="s">
        <v>72</v>
      </c>
      <c r="I581" s="1" t="s">
        <v>224</v>
      </c>
      <c r="J581" s="1" t="s">
        <v>216</v>
      </c>
      <c r="K581" s="9">
        <v>22.03</v>
      </c>
      <c r="L581" t="s">
        <v>21</v>
      </c>
      <c r="M581">
        <f t="shared" si="38"/>
        <v>2.2030000000000001E-2</v>
      </c>
      <c r="N581">
        <f t="shared" si="41"/>
        <v>6.8382001199999998</v>
      </c>
    </row>
    <row r="582" spans="1:14" x14ac:dyDescent="0.3">
      <c r="A582" s="1" t="s">
        <v>69</v>
      </c>
      <c r="B582">
        <v>6</v>
      </c>
      <c r="C582">
        <v>12</v>
      </c>
      <c r="D582" t="s">
        <v>71</v>
      </c>
      <c r="E582">
        <v>11000000</v>
      </c>
      <c r="F582">
        <f t="shared" si="39"/>
        <v>11000000</v>
      </c>
      <c r="G582">
        <f t="shared" si="40"/>
        <v>35437.687658664196</v>
      </c>
      <c r="H582" t="s">
        <v>72</v>
      </c>
      <c r="I582" s="1" t="s">
        <v>224</v>
      </c>
      <c r="J582" s="1" t="s">
        <v>216</v>
      </c>
      <c r="K582" s="9">
        <v>22.03</v>
      </c>
      <c r="L582" t="s">
        <v>21</v>
      </c>
      <c r="M582">
        <f t="shared" si="38"/>
        <v>2.2030000000000001E-2</v>
      </c>
      <c r="N582">
        <f t="shared" si="41"/>
        <v>6.8382001199999998</v>
      </c>
    </row>
    <row r="583" spans="1:14" x14ac:dyDescent="0.3">
      <c r="A583" s="1" t="s">
        <v>69</v>
      </c>
      <c r="B583">
        <v>6</v>
      </c>
      <c r="C583">
        <v>12</v>
      </c>
      <c r="D583" t="s">
        <v>71</v>
      </c>
      <c r="E583">
        <v>11000000</v>
      </c>
      <c r="F583">
        <f t="shared" si="39"/>
        <v>11000000</v>
      </c>
      <c r="G583">
        <f t="shared" si="40"/>
        <v>35437.687658664196</v>
      </c>
      <c r="H583" t="s">
        <v>72</v>
      </c>
      <c r="I583" s="1" t="s">
        <v>224</v>
      </c>
      <c r="J583" s="1" t="s">
        <v>216</v>
      </c>
      <c r="K583" s="9">
        <v>22.03</v>
      </c>
      <c r="L583" t="s">
        <v>21</v>
      </c>
      <c r="M583">
        <f t="shared" si="38"/>
        <v>2.2030000000000001E-2</v>
      </c>
      <c r="N583">
        <f t="shared" si="41"/>
        <v>6.8382001199999998</v>
      </c>
    </row>
    <row r="584" spans="1:14" x14ac:dyDescent="0.3">
      <c r="A584" s="1" t="s">
        <v>69</v>
      </c>
      <c r="B584">
        <v>6</v>
      </c>
      <c r="C584">
        <v>12</v>
      </c>
      <c r="D584" t="s">
        <v>71</v>
      </c>
      <c r="E584">
        <v>11000000</v>
      </c>
      <c r="F584">
        <f t="shared" si="39"/>
        <v>11000000</v>
      </c>
      <c r="G584">
        <f t="shared" si="40"/>
        <v>35437.687658664196</v>
      </c>
      <c r="H584" t="s">
        <v>72</v>
      </c>
      <c r="I584" s="1" t="s">
        <v>224</v>
      </c>
      <c r="J584" s="1" t="s">
        <v>216</v>
      </c>
      <c r="K584" s="9">
        <v>22.03</v>
      </c>
      <c r="L584" t="s">
        <v>21</v>
      </c>
      <c r="M584">
        <f t="shared" si="38"/>
        <v>2.2030000000000001E-2</v>
      </c>
      <c r="N584">
        <f t="shared" si="41"/>
        <v>6.8382001199999998</v>
      </c>
    </row>
    <row r="585" spans="1:14" x14ac:dyDescent="0.3">
      <c r="A585" s="1" t="s">
        <v>69</v>
      </c>
      <c r="B585">
        <v>6</v>
      </c>
      <c r="C585">
        <v>12</v>
      </c>
      <c r="D585" t="s">
        <v>71</v>
      </c>
      <c r="E585">
        <v>11000000</v>
      </c>
      <c r="F585">
        <f t="shared" si="39"/>
        <v>11000000</v>
      </c>
      <c r="G585">
        <f t="shared" si="40"/>
        <v>35437.687658664196</v>
      </c>
      <c r="H585" t="s">
        <v>72</v>
      </c>
      <c r="I585" s="1" t="s">
        <v>224</v>
      </c>
      <c r="J585" s="1" t="s">
        <v>216</v>
      </c>
      <c r="K585" s="9">
        <v>22.03</v>
      </c>
      <c r="L585" t="s">
        <v>21</v>
      </c>
      <c r="M585">
        <f t="shared" si="38"/>
        <v>2.2030000000000001E-2</v>
      </c>
      <c r="N585">
        <f t="shared" si="41"/>
        <v>6.8382001199999998</v>
      </c>
    </row>
    <row r="586" spans="1:14" x14ac:dyDescent="0.3">
      <c r="A586" s="1" t="s">
        <v>69</v>
      </c>
      <c r="B586">
        <v>6</v>
      </c>
      <c r="C586">
        <v>12</v>
      </c>
      <c r="D586" t="s">
        <v>71</v>
      </c>
      <c r="E586">
        <v>11000000</v>
      </c>
      <c r="F586">
        <f t="shared" si="39"/>
        <v>11000000</v>
      </c>
      <c r="G586">
        <f t="shared" si="40"/>
        <v>35437.687658664196</v>
      </c>
      <c r="H586" t="s">
        <v>72</v>
      </c>
      <c r="I586" s="1" t="s">
        <v>224</v>
      </c>
      <c r="J586" s="1" t="s">
        <v>216</v>
      </c>
      <c r="K586" s="9">
        <v>22.03</v>
      </c>
      <c r="L586" t="s">
        <v>21</v>
      </c>
      <c r="M586">
        <f t="shared" si="38"/>
        <v>2.2030000000000001E-2</v>
      </c>
      <c r="N586">
        <f t="shared" si="41"/>
        <v>6.8382001199999998</v>
      </c>
    </row>
    <row r="587" spans="1:14" x14ac:dyDescent="0.3">
      <c r="A587" s="1" t="s">
        <v>69</v>
      </c>
      <c r="B587">
        <v>6</v>
      </c>
      <c r="C587">
        <v>12</v>
      </c>
      <c r="D587" t="s">
        <v>71</v>
      </c>
      <c r="E587">
        <v>11000000</v>
      </c>
      <c r="F587">
        <f t="shared" si="39"/>
        <v>11000000</v>
      </c>
      <c r="G587">
        <f t="shared" si="40"/>
        <v>35437.687658664196</v>
      </c>
      <c r="H587" t="s">
        <v>72</v>
      </c>
      <c r="I587" s="1" t="s">
        <v>224</v>
      </c>
      <c r="J587" s="1" t="s">
        <v>216</v>
      </c>
      <c r="K587" s="9">
        <v>22.03</v>
      </c>
      <c r="L587" t="s">
        <v>21</v>
      </c>
      <c r="M587">
        <f t="shared" si="38"/>
        <v>2.2030000000000001E-2</v>
      </c>
      <c r="N587">
        <f t="shared" si="41"/>
        <v>6.8382001199999998</v>
      </c>
    </row>
    <row r="588" spans="1:14" x14ac:dyDescent="0.3">
      <c r="A588" s="1" t="s">
        <v>69</v>
      </c>
      <c r="B588">
        <v>6</v>
      </c>
      <c r="C588">
        <v>12</v>
      </c>
      <c r="D588" t="s">
        <v>71</v>
      </c>
      <c r="E588">
        <v>11000000</v>
      </c>
      <c r="F588">
        <f t="shared" si="39"/>
        <v>11000000</v>
      </c>
      <c r="G588">
        <f t="shared" si="40"/>
        <v>35437.687658664196</v>
      </c>
      <c r="H588" t="s">
        <v>72</v>
      </c>
      <c r="I588" s="1" t="s">
        <v>224</v>
      </c>
      <c r="J588" s="1" t="s">
        <v>216</v>
      </c>
      <c r="K588" s="9">
        <v>22.03</v>
      </c>
      <c r="L588" t="s">
        <v>21</v>
      </c>
      <c r="M588">
        <f t="shared" si="38"/>
        <v>2.2030000000000001E-2</v>
      </c>
      <c r="N588">
        <f t="shared" si="41"/>
        <v>6.8382001199999998</v>
      </c>
    </row>
    <row r="589" spans="1:14" x14ac:dyDescent="0.3">
      <c r="A589" s="1" t="s">
        <v>69</v>
      </c>
      <c r="B589">
        <v>6</v>
      </c>
      <c r="C589">
        <v>12</v>
      </c>
      <c r="D589" t="s">
        <v>71</v>
      </c>
      <c r="E589">
        <v>11000000</v>
      </c>
      <c r="F589">
        <f t="shared" si="39"/>
        <v>11000000</v>
      </c>
      <c r="G589">
        <f t="shared" si="40"/>
        <v>35437.687658664196</v>
      </c>
      <c r="H589" t="s">
        <v>72</v>
      </c>
      <c r="I589" s="1" t="s">
        <v>224</v>
      </c>
      <c r="J589" s="1" t="s">
        <v>216</v>
      </c>
      <c r="K589" s="9">
        <v>22.03</v>
      </c>
      <c r="L589" t="s">
        <v>21</v>
      </c>
      <c r="M589">
        <f t="shared" si="38"/>
        <v>2.2030000000000001E-2</v>
      </c>
      <c r="N589">
        <f t="shared" si="41"/>
        <v>6.8382001199999998</v>
      </c>
    </row>
    <row r="590" spans="1:14" x14ac:dyDescent="0.3">
      <c r="A590" s="1" t="s">
        <v>69</v>
      </c>
      <c r="B590">
        <v>6</v>
      </c>
      <c r="C590">
        <v>12</v>
      </c>
      <c r="D590" t="s">
        <v>71</v>
      </c>
      <c r="E590">
        <v>11000000</v>
      </c>
      <c r="F590">
        <f t="shared" si="39"/>
        <v>11000000</v>
      </c>
      <c r="G590">
        <f t="shared" si="40"/>
        <v>35437.687658664196</v>
      </c>
      <c r="H590" t="s">
        <v>72</v>
      </c>
      <c r="I590" s="1" t="s">
        <v>224</v>
      </c>
      <c r="J590" s="1" t="s">
        <v>216</v>
      </c>
      <c r="K590" s="9">
        <v>22.03</v>
      </c>
      <c r="L590" t="s">
        <v>21</v>
      </c>
      <c r="M590">
        <f t="shared" si="38"/>
        <v>2.2030000000000001E-2</v>
      </c>
      <c r="N590">
        <f t="shared" si="41"/>
        <v>6.8382001199999998</v>
      </c>
    </row>
    <row r="591" spans="1:14" x14ac:dyDescent="0.3">
      <c r="A591" s="1" t="s">
        <v>69</v>
      </c>
      <c r="B591">
        <v>6</v>
      </c>
      <c r="C591">
        <v>12</v>
      </c>
      <c r="D591" t="s">
        <v>71</v>
      </c>
      <c r="E591">
        <v>11000000</v>
      </c>
      <c r="F591">
        <f t="shared" si="39"/>
        <v>11000000</v>
      </c>
      <c r="G591">
        <f t="shared" si="40"/>
        <v>35437.687658664196</v>
      </c>
      <c r="H591" t="s">
        <v>72</v>
      </c>
      <c r="I591" s="1" t="s">
        <v>224</v>
      </c>
      <c r="J591" s="1" t="s">
        <v>216</v>
      </c>
      <c r="K591" s="9">
        <v>22.03</v>
      </c>
      <c r="L591" t="s">
        <v>21</v>
      </c>
      <c r="M591">
        <f t="shared" si="38"/>
        <v>2.2030000000000001E-2</v>
      </c>
      <c r="N591">
        <f t="shared" si="41"/>
        <v>6.8382001199999998</v>
      </c>
    </row>
    <row r="592" spans="1:14" x14ac:dyDescent="0.3">
      <c r="A592" s="1" t="s">
        <v>69</v>
      </c>
      <c r="B592">
        <v>6</v>
      </c>
      <c r="C592">
        <v>12</v>
      </c>
      <c r="D592" t="s">
        <v>71</v>
      </c>
      <c r="E592">
        <v>11000000</v>
      </c>
      <c r="F592">
        <f t="shared" si="39"/>
        <v>11000000</v>
      </c>
      <c r="G592">
        <f t="shared" si="40"/>
        <v>35437.687658664196</v>
      </c>
      <c r="H592" t="s">
        <v>72</v>
      </c>
      <c r="I592" s="1" t="s">
        <v>224</v>
      </c>
      <c r="J592" s="1" t="s">
        <v>216</v>
      </c>
      <c r="K592" s="9">
        <v>22.03</v>
      </c>
      <c r="L592" t="s">
        <v>21</v>
      </c>
      <c r="M592">
        <f t="shared" si="38"/>
        <v>2.2030000000000001E-2</v>
      </c>
      <c r="N592">
        <f t="shared" si="41"/>
        <v>6.8382001199999998</v>
      </c>
    </row>
    <row r="593" spans="1:14" x14ac:dyDescent="0.3">
      <c r="A593" s="1" t="s">
        <v>69</v>
      </c>
      <c r="B593">
        <v>6</v>
      </c>
      <c r="C593">
        <v>12</v>
      </c>
      <c r="D593" t="s">
        <v>71</v>
      </c>
      <c r="E593">
        <v>11000000</v>
      </c>
      <c r="F593">
        <f t="shared" si="39"/>
        <v>11000000</v>
      </c>
      <c r="G593">
        <f t="shared" si="40"/>
        <v>35437.687658664196</v>
      </c>
      <c r="H593" t="s">
        <v>72</v>
      </c>
      <c r="I593" s="1" t="s">
        <v>224</v>
      </c>
      <c r="J593" s="1" t="s">
        <v>216</v>
      </c>
      <c r="K593" s="9">
        <v>22.03</v>
      </c>
      <c r="L593" t="s">
        <v>21</v>
      </c>
      <c r="M593">
        <f t="shared" si="38"/>
        <v>2.2030000000000001E-2</v>
      </c>
      <c r="N593">
        <f t="shared" si="41"/>
        <v>6.8382001199999998</v>
      </c>
    </row>
    <row r="594" spans="1:14" x14ac:dyDescent="0.3">
      <c r="A594" s="1" t="s">
        <v>69</v>
      </c>
      <c r="B594">
        <v>6</v>
      </c>
      <c r="C594">
        <v>12</v>
      </c>
      <c r="D594" t="s">
        <v>71</v>
      </c>
      <c r="E594">
        <v>11000000</v>
      </c>
      <c r="F594">
        <f t="shared" si="39"/>
        <v>11000000</v>
      </c>
      <c r="G594">
        <f t="shared" si="40"/>
        <v>35437.687658664196</v>
      </c>
      <c r="H594" t="s">
        <v>72</v>
      </c>
      <c r="I594" s="1" t="s">
        <v>224</v>
      </c>
      <c r="J594" s="1" t="s">
        <v>216</v>
      </c>
      <c r="K594" s="9">
        <v>22.03</v>
      </c>
      <c r="L594" t="s">
        <v>21</v>
      </c>
      <c r="M594">
        <f t="shared" si="38"/>
        <v>2.2030000000000001E-2</v>
      </c>
      <c r="N594">
        <f t="shared" si="41"/>
        <v>6.8382001199999998</v>
      </c>
    </row>
    <row r="595" spans="1:14" x14ac:dyDescent="0.3">
      <c r="A595" s="1" t="s">
        <v>69</v>
      </c>
      <c r="B595">
        <v>6</v>
      </c>
      <c r="C595">
        <v>12</v>
      </c>
      <c r="D595" t="s">
        <v>71</v>
      </c>
      <c r="E595">
        <v>11000000</v>
      </c>
      <c r="F595">
        <f t="shared" si="39"/>
        <v>11000000</v>
      </c>
      <c r="G595">
        <f t="shared" si="40"/>
        <v>35437.687658664196</v>
      </c>
      <c r="H595" t="s">
        <v>72</v>
      </c>
      <c r="I595" s="1" t="s">
        <v>224</v>
      </c>
      <c r="J595" s="1" t="s">
        <v>216</v>
      </c>
      <c r="K595" s="9">
        <v>22.03</v>
      </c>
      <c r="L595" t="s">
        <v>21</v>
      </c>
      <c r="M595">
        <f t="shared" si="38"/>
        <v>2.2030000000000001E-2</v>
      </c>
      <c r="N595">
        <f t="shared" si="41"/>
        <v>6.8382001199999998</v>
      </c>
    </row>
    <row r="596" spans="1:14" x14ac:dyDescent="0.3">
      <c r="A596" s="1" t="s">
        <v>69</v>
      </c>
      <c r="B596">
        <v>6</v>
      </c>
      <c r="C596">
        <v>12</v>
      </c>
      <c r="D596" t="s">
        <v>71</v>
      </c>
      <c r="E596">
        <v>11000000</v>
      </c>
      <c r="F596">
        <f t="shared" si="39"/>
        <v>11000000</v>
      </c>
      <c r="G596">
        <f t="shared" si="40"/>
        <v>35437.687658664196</v>
      </c>
      <c r="H596" t="s">
        <v>72</v>
      </c>
      <c r="I596" s="1" t="s">
        <v>224</v>
      </c>
      <c r="J596" s="1" t="s">
        <v>216</v>
      </c>
      <c r="K596" s="9">
        <v>22.03</v>
      </c>
      <c r="L596" t="s">
        <v>21</v>
      </c>
      <c r="M596">
        <f t="shared" si="38"/>
        <v>2.2030000000000001E-2</v>
      </c>
      <c r="N596">
        <f t="shared" si="41"/>
        <v>6.8382001199999998</v>
      </c>
    </row>
    <row r="597" spans="1:14" x14ac:dyDescent="0.3">
      <c r="A597" s="1" t="s">
        <v>69</v>
      </c>
      <c r="B597">
        <v>6</v>
      </c>
      <c r="C597">
        <v>12</v>
      </c>
      <c r="D597" t="s">
        <v>71</v>
      </c>
      <c r="E597">
        <v>11000000</v>
      </c>
      <c r="F597">
        <f t="shared" si="39"/>
        <v>11000000</v>
      </c>
      <c r="G597">
        <f t="shared" si="40"/>
        <v>35437.687658664196</v>
      </c>
      <c r="H597" t="s">
        <v>72</v>
      </c>
      <c r="I597" s="1" t="s">
        <v>224</v>
      </c>
      <c r="J597" s="1" t="s">
        <v>216</v>
      </c>
      <c r="K597" s="9">
        <v>22.03</v>
      </c>
      <c r="L597" t="s">
        <v>21</v>
      </c>
      <c r="M597">
        <f t="shared" si="38"/>
        <v>2.2030000000000001E-2</v>
      </c>
      <c r="N597">
        <f t="shared" si="41"/>
        <v>6.8382001199999998</v>
      </c>
    </row>
    <row r="598" spans="1:14" x14ac:dyDescent="0.3">
      <c r="A598" s="1" t="s">
        <v>69</v>
      </c>
      <c r="B598">
        <v>6</v>
      </c>
      <c r="C598">
        <v>12</v>
      </c>
      <c r="D598" t="s">
        <v>71</v>
      </c>
      <c r="E598">
        <v>11000000</v>
      </c>
      <c r="F598">
        <f t="shared" si="39"/>
        <v>11000000</v>
      </c>
      <c r="G598">
        <f t="shared" si="40"/>
        <v>35437.687658664196</v>
      </c>
      <c r="H598" t="s">
        <v>72</v>
      </c>
      <c r="I598" s="1" t="s">
        <v>224</v>
      </c>
      <c r="J598" s="1" t="s">
        <v>216</v>
      </c>
      <c r="K598" s="9">
        <v>22.03</v>
      </c>
      <c r="L598" t="s">
        <v>21</v>
      </c>
      <c r="M598">
        <f t="shared" si="38"/>
        <v>2.2030000000000001E-2</v>
      </c>
      <c r="N598">
        <f t="shared" si="41"/>
        <v>6.8382001199999998</v>
      </c>
    </row>
    <row r="599" spans="1:14" x14ac:dyDescent="0.3">
      <c r="A599" s="1" t="s">
        <v>69</v>
      </c>
      <c r="B599">
        <v>6</v>
      </c>
      <c r="C599">
        <v>12</v>
      </c>
      <c r="D599" t="s">
        <v>71</v>
      </c>
      <c r="E599">
        <v>11000000</v>
      </c>
      <c r="F599">
        <f t="shared" si="39"/>
        <v>11000000</v>
      </c>
      <c r="G599">
        <f t="shared" si="40"/>
        <v>35437.687658664196</v>
      </c>
      <c r="H599" t="s">
        <v>72</v>
      </c>
      <c r="I599" s="1" t="s">
        <v>224</v>
      </c>
      <c r="J599" s="1" t="s">
        <v>216</v>
      </c>
      <c r="K599" s="9">
        <v>22.03</v>
      </c>
      <c r="L599" t="s">
        <v>21</v>
      </c>
      <c r="M599">
        <f t="shared" ref="M599:M662" si="42">IFERROR(K599/1000,"ND")</f>
        <v>2.2030000000000001E-2</v>
      </c>
      <c r="N599">
        <f t="shared" si="41"/>
        <v>6.8382001199999998</v>
      </c>
    </row>
    <row r="600" spans="1:14" x14ac:dyDescent="0.3">
      <c r="A600" s="1" t="s">
        <v>69</v>
      </c>
      <c r="B600">
        <v>6</v>
      </c>
      <c r="C600">
        <v>12</v>
      </c>
      <c r="D600" t="s">
        <v>71</v>
      </c>
      <c r="E600">
        <v>11000000</v>
      </c>
      <c r="F600">
        <f t="shared" ref="F600:F663" si="43">E600</f>
        <v>11000000</v>
      </c>
      <c r="G600">
        <f t="shared" ref="G600:G663" si="44">F600/310.404</f>
        <v>35437.687658664196</v>
      </c>
      <c r="H600" t="s">
        <v>72</v>
      </c>
      <c r="I600" s="1" t="s">
        <v>224</v>
      </c>
      <c r="J600" s="1" t="s">
        <v>216</v>
      </c>
      <c r="K600" s="9">
        <v>22.03</v>
      </c>
      <c r="L600" t="s">
        <v>21</v>
      </c>
      <c r="M600">
        <f t="shared" si="42"/>
        <v>2.2030000000000001E-2</v>
      </c>
      <c r="N600">
        <f t="shared" si="41"/>
        <v>6.8382001199999998</v>
      </c>
    </row>
    <row r="601" spans="1:14" x14ac:dyDescent="0.3">
      <c r="A601" s="1" t="s">
        <v>69</v>
      </c>
      <c r="B601">
        <v>6</v>
      </c>
      <c r="C601">
        <v>12</v>
      </c>
      <c r="D601" t="s">
        <v>71</v>
      </c>
      <c r="E601">
        <v>11000000</v>
      </c>
      <c r="F601">
        <f t="shared" si="43"/>
        <v>11000000</v>
      </c>
      <c r="G601">
        <f t="shared" si="44"/>
        <v>35437.687658664196</v>
      </c>
      <c r="H601" t="s">
        <v>72</v>
      </c>
      <c r="I601" s="1" t="s">
        <v>224</v>
      </c>
      <c r="J601" s="1" t="s">
        <v>216</v>
      </c>
      <c r="K601" s="9">
        <v>22.03</v>
      </c>
      <c r="L601" t="s">
        <v>21</v>
      </c>
      <c r="M601">
        <f t="shared" si="42"/>
        <v>2.2030000000000001E-2</v>
      </c>
      <c r="N601">
        <f t="shared" si="41"/>
        <v>6.8382001199999998</v>
      </c>
    </row>
    <row r="602" spans="1:14" x14ac:dyDescent="0.3">
      <c r="A602" s="1" t="s">
        <v>69</v>
      </c>
      <c r="B602">
        <v>6</v>
      </c>
      <c r="C602">
        <v>12</v>
      </c>
      <c r="D602" t="s">
        <v>71</v>
      </c>
      <c r="E602">
        <v>11000000</v>
      </c>
      <c r="F602">
        <f t="shared" si="43"/>
        <v>11000000</v>
      </c>
      <c r="G602">
        <f t="shared" si="44"/>
        <v>35437.687658664196</v>
      </c>
      <c r="H602" t="s">
        <v>72</v>
      </c>
      <c r="I602" s="1" t="s">
        <v>224</v>
      </c>
      <c r="J602" s="1" t="s">
        <v>216</v>
      </c>
      <c r="K602" s="9">
        <v>22.03</v>
      </c>
      <c r="L602" t="s">
        <v>21</v>
      </c>
      <c r="M602">
        <f t="shared" si="42"/>
        <v>2.2030000000000001E-2</v>
      </c>
      <c r="N602">
        <f t="shared" si="41"/>
        <v>6.8382001199999998</v>
      </c>
    </row>
    <row r="603" spans="1:14" x14ac:dyDescent="0.3">
      <c r="A603" s="1" t="s">
        <v>69</v>
      </c>
      <c r="B603">
        <v>6</v>
      </c>
      <c r="C603">
        <v>12</v>
      </c>
      <c r="D603" t="s">
        <v>71</v>
      </c>
      <c r="E603">
        <v>11000000</v>
      </c>
      <c r="F603">
        <f t="shared" si="43"/>
        <v>11000000</v>
      </c>
      <c r="G603">
        <f t="shared" si="44"/>
        <v>35437.687658664196</v>
      </c>
      <c r="H603" t="s">
        <v>72</v>
      </c>
      <c r="I603" s="1" t="s">
        <v>224</v>
      </c>
      <c r="J603" s="1" t="s">
        <v>216</v>
      </c>
      <c r="K603" s="9">
        <v>22.03</v>
      </c>
      <c r="L603" t="s">
        <v>21</v>
      </c>
      <c r="M603">
        <f t="shared" si="42"/>
        <v>2.2030000000000001E-2</v>
      </c>
      <c r="N603">
        <f t="shared" si="41"/>
        <v>6.8382001199999998</v>
      </c>
    </row>
    <row r="604" spans="1:14" x14ac:dyDescent="0.3">
      <c r="A604" s="1" t="s">
        <v>69</v>
      </c>
      <c r="B604">
        <v>6</v>
      </c>
      <c r="C604">
        <v>12</v>
      </c>
      <c r="D604" t="s">
        <v>71</v>
      </c>
      <c r="E604">
        <v>11000000</v>
      </c>
      <c r="F604">
        <f t="shared" si="43"/>
        <v>11000000</v>
      </c>
      <c r="G604">
        <f t="shared" si="44"/>
        <v>35437.687658664196</v>
      </c>
      <c r="H604" t="s">
        <v>72</v>
      </c>
      <c r="I604" s="1" t="s">
        <v>224</v>
      </c>
      <c r="J604" s="1" t="s">
        <v>216</v>
      </c>
      <c r="K604" s="9">
        <v>22.03</v>
      </c>
      <c r="L604" t="s">
        <v>21</v>
      </c>
      <c r="M604">
        <f t="shared" si="42"/>
        <v>2.2030000000000001E-2</v>
      </c>
      <c r="N604">
        <f t="shared" si="41"/>
        <v>6.8382001199999998</v>
      </c>
    </row>
    <row r="605" spans="1:14" x14ac:dyDescent="0.3">
      <c r="A605" s="1" t="s">
        <v>69</v>
      </c>
      <c r="B605">
        <v>6</v>
      </c>
      <c r="C605">
        <v>12</v>
      </c>
      <c r="D605" t="s">
        <v>71</v>
      </c>
      <c r="E605">
        <v>11000000</v>
      </c>
      <c r="F605">
        <f t="shared" si="43"/>
        <v>11000000</v>
      </c>
      <c r="G605">
        <f t="shared" si="44"/>
        <v>35437.687658664196</v>
      </c>
      <c r="H605" t="s">
        <v>72</v>
      </c>
      <c r="I605" s="1" t="s">
        <v>224</v>
      </c>
      <c r="J605" s="1" t="s">
        <v>216</v>
      </c>
      <c r="K605" s="9">
        <v>22.03</v>
      </c>
      <c r="L605" t="s">
        <v>21</v>
      </c>
      <c r="M605">
        <f t="shared" si="42"/>
        <v>2.2030000000000001E-2</v>
      </c>
      <c r="N605">
        <f t="shared" si="41"/>
        <v>6.8382001199999998</v>
      </c>
    </row>
    <row r="606" spans="1:14" x14ac:dyDescent="0.3">
      <c r="A606" s="1" t="s">
        <v>69</v>
      </c>
      <c r="B606">
        <v>6</v>
      </c>
      <c r="C606">
        <v>12</v>
      </c>
      <c r="D606" t="s">
        <v>71</v>
      </c>
      <c r="E606">
        <v>11000000</v>
      </c>
      <c r="F606">
        <f t="shared" si="43"/>
        <v>11000000</v>
      </c>
      <c r="G606">
        <f t="shared" si="44"/>
        <v>35437.687658664196</v>
      </c>
      <c r="H606" t="s">
        <v>72</v>
      </c>
      <c r="I606" s="1" t="s">
        <v>224</v>
      </c>
      <c r="J606" s="1" t="s">
        <v>216</v>
      </c>
      <c r="K606" s="9">
        <v>22.03</v>
      </c>
      <c r="L606" t="s">
        <v>21</v>
      </c>
      <c r="M606">
        <f t="shared" si="42"/>
        <v>2.2030000000000001E-2</v>
      </c>
      <c r="N606">
        <f t="shared" si="41"/>
        <v>6.8382001199999998</v>
      </c>
    </row>
    <row r="607" spans="1:14" x14ac:dyDescent="0.3">
      <c r="A607" s="1" t="s">
        <v>40</v>
      </c>
      <c r="B607">
        <v>6</v>
      </c>
      <c r="C607">
        <v>12</v>
      </c>
      <c r="D607" t="s">
        <v>71</v>
      </c>
      <c r="E607">
        <v>11000000</v>
      </c>
      <c r="F607">
        <f t="shared" si="43"/>
        <v>11000000</v>
      </c>
      <c r="G607">
        <f t="shared" si="44"/>
        <v>35437.687658664196</v>
      </c>
      <c r="H607" t="s">
        <v>72</v>
      </c>
      <c r="I607" s="1" t="s">
        <v>224</v>
      </c>
      <c r="J607" s="1" t="s">
        <v>216</v>
      </c>
      <c r="K607" s="9" t="s">
        <v>20</v>
      </c>
      <c r="L607" t="s">
        <v>21</v>
      </c>
      <c r="M607" t="str">
        <f t="shared" si="42"/>
        <v>ND</v>
      </c>
      <c r="N607" t="str">
        <f t="shared" si="41"/>
        <v>ND</v>
      </c>
    </row>
    <row r="608" spans="1:14" x14ac:dyDescent="0.3">
      <c r="A608" s="1" t="s">
        <v>40</v>
      </c>
      <c r="B608">
        <v>6</v>
      </c>
      <c r="C608">
        <v>12</v>
      </c>
      <c r="D608" t="s">
        <v>71</v>
      </c>
      <c r="E608">
        <v>11000000</v>
      </c>
      <c r="F608">
        <f t="shared" si="43"/>
        <v>11000000</v>
      </c>
      <c r="G608">
        <f t="shared" si="44"/>
        <v>35437.687658664196</v>
      </c>
      <c r="H608" t="s">
        <v>72</v>
      </c>
      <c r="I608" s="1" t="s">
        <v>224</v>
      </c>
      <c r="J608" s="1" t="s">
        <v>216</v>
      </c>
      <c r="K608" s="9" t="s">
        <v>20</v>
      </c>
      <c r="L608" t="s">
        <v>21</v>
      </c>
      <c r="M608" t="str">
        <f t="shared" si="42"/>
        <v>ND</v>
      </c>
      <c r="N608" t="str">
        <f t="shared" si="41"/>
        <v>ND</v>
      </c>
    </row>
    <row r="609" spans="1:14" x14ac:dyDescent="0.3">
      <c r="A609" s="1" t="s">
        <v>40</v>
      </c>
      <c r="B609">
        <v>6</v>
      </c>
      <c r="C609">
        <v>12</v>
      </c>
      <c r="D609" t="s">
        <v>71</v>
      </c>
      <c r="E609">
        <v>11000000</v>
      </c>
      <c r="F609">
        <f t="shared" si="43"/>
        <v>11000000</v>
      </c>
      <c r="G609">
        <f t="shared" si="44"/>
        <v>35437.687658664196</v>
      </c>
      <c r="H609" t="s">
        <v>72</v>
      </c>
      <c r="I609" s="1" t="s">
        <v>224</v>
      </c>
      <c r="J609" s="1" t="s">
        <v>216</v>
      </c>
      <c r="K609" s="9" t="s">
        <v>20</v>
      </c>
      <c r="L609" t="s">
        <v>21</v>
      </c>
      <c r="M609" t="str">
        <f t="shared" si="42"/>
        <v>ND</v>
      </c>
      <c r="N609" t="str">
        <f t="shared" si="41"/>
        <v>ND</v>
      </c>
    </row>
    <row r="610" spans="1:14" x14ac:dyDescent="0.3">
      <c r="A610" s="1" t="s">
        <v>40</v>
      </c>
      <c r="B610">
        <v>6</v>
      </c>
      <c r="C610">
        <v>12</v>
      </c>
      <c r="D610" t="s">
        <v>71</v>
      </c>
      <c r="E610">
        <v>11000000</v>
      </c>
      <c r="F610">
        <f t="shared" si="43"/>
        <v>11000000</v>
      </c>
      <c r="G610">
        <f t="shared" si="44"/>
        <v>35437.687658664196</v>
      </c>
      <c r="H610" t="s">
        <v>72</v>
      </c>
      <c r="I610" s="1" t="s">
        <v>224</v>
      </c>
      <c r="J610" s="1" t="s">
        <v>216</v>
      </c>
      <c r="K610" s="9" t="s">
        <v>20</v>
      </c>
      <c r="L610" t="s">
        <v>21</v>
      </c>
      <c r="M610" t="str">
        <f t="shared" si="42"/>
        <v>ND</v>
      </c>
      <c r="N610" t="str">
        <f t="shared" si="41"/>
        <v>ND</v>
      </c>
    </row>
    <row r="611" spans="1:14" x14ac:dyDescent="0.3">
      <c r="A611" s="1" t="s">
        <v>40</v>
      </c>
      <c r="B611">
        <v>6</v>
      </c>
      <c r="C611">
        <v>12</v>
      </c>
      <c r="D611" t="s">
        <v>71</v>
      </c>
      <c r="E611">
        <v>11000000</v>
      </c>
      <c r="F611">
        <f t="shared" si="43"/>
        <v>11000000</v>
      </c>
      <c r="G611">
        <f t="shared" si="44"/>
        <v>35437.687658664196</v>
      </c>
      <c r="H611" t="s">
        <v>72</v>
      </c>
      <c r="I611" s="1" t="s">
        <v>224</v>
      </c>
      <c r="J611" s="1" t="s">
        <v>216</v>
      </c>
      <c r="K611" s="9" t="s">
        <v>20</v>
      </c>
      <c r="L611" t="s">
        <v>21</v>
      </c>
      <c r="M611" t="str">
        <f t="shared" si="42"/>
        <v>ND</v>
      </c>
      <c r="N611" t="str">
        <f t="shared" si="41"/>
        <v>ND</v>
      </c>
    </row>
    <row r="612" spans="1:14" x14ac:dyDescent="0.3">
      <c r="A612" s="1" t="s">
        <v>40</v>
      </c>
      <c r="B612">
        <v>6</v>
      </c>
      <c r="C612">
        <v>12</v>
      </c>
      <c r="D612" t="s">
        <v>71</v>
      </c>
      <c r="E612">
        <v>11000000</v>
      </c>
      <c r="F612">
        <f t="shared" si="43"/>
        <v>11000000</v>
      </c>
      <c r="G612">
        <f t="shared" si="44"/>
        <v>35437.687658664196</v>
      </c>
      <c r="H612" t="s">
        <v>72</v>
      </c>
      <c r="I612" s="1" t="s">
        <v>224</v>
      </c>
      <c r="J612" s="1" t="s">
        <v>216</v>
      </c>
      <c r="K612" s="9" t="s">
        <v>20</v>
      </c>
      <c r="L612" t="s">
        <v>21</v>
      </c>
      <c r="M612" t="str">
        <f t="shared" si="42"/>
        <v>ND</v>
      </c>
      <c r="N612" t="str">
        <f t="shared" si="41"/>
        <v>ND</v>
      </c>
    </row>
    <row r="613" spans="1:14" x14ac:dyDescent="0.3">
      <c r="A613" s="1" t="s">
        <v>40</v>
      </c>
      <c r="B613">
        <v>6</v>
      </c>
      <c r="C613">
        <v>12</v>
      </c>
      <c r="D613" t="s">
        <v>71</v>
      </c>
      <c r="E613">
        <v>11000000</v>
      </c>
      <c r="F613">
        <f t="shared" si="43"/>
        <v>11000000</v>
      </c>
      <c r="G613">
        <f t="shared" si="44"/>
        <v>35437.687658664196</v>
      </c>
      <c r="H613" t="s">
        <v>72</v>
      </c>
      <c r="I613" s="1" t="s">
        <v>224</v>
      </c>
      <c r="J613" s="1" t="s">
        <v>216</v>
      </c>
      <c r="K613" s="9" t="s">
        <v>20</v>
      </c>
      <c r="L613" t="s">
        <v>21</v>
      </c>
      <c r="M613" t="str">
        <f t="shared" si="42"/>
        <v>ND</v>
      </c>
      <c r="N613" t="str">
        <f t="shared" si="41"/>
        <v>ND</v>
      </c>
    </row>
    <row r="614" spans="1:14" x14ac:dyDescent="0.3">
      <c r="A614" s="1" t="s">
        <v>40</v>
      </c>
      <c r="B614">
        <v>6</v>
      </c>
      <c r="C614">
        <v>12</v>
      </c>
      <c r="D614" t="s">
        <v>71</v>
      </c>
      <c r="E614">
        <v>11000000</v>
      </c>
      <c r="F614">
        <f t="shared" si="43"/>
        <v>11000000</v>
      </c>
      <c r="G614">
        <f t="shared" si="44"/>
        <v>35437.687658664196</v>
      </c>
      <c r="H614" t="s">
        <v>72</v>
      </c>
      <c r="I614" s="1" t="s">
        <v>224</v>
      </c>
      <c r="J614" s="1" t="s">
        <v>216</v>
      </c>
      <c r="K614" s="9" t="s">
        <v>20</v>
      </c>
      <c r="L614" t="s">
        <v>21</v>
      </c>
      <c r="M614" t="str">
        <f t="shared" si="42"/>
        <v>ND</v>
      </c>
      <c r="N614" t="str">
        <f t="shared" si="41"/>
        <v>ND</v>
      </c>
    </row>
    <row r="615" spans="1:14" x14ac:dyDescent="0.3">
      <c r="A615" s="1" t="s">
        <v>40</v>
      </c>
      <c r="B615">
        <v>6</v>
      </c>
      <c r="C615">
        <v>12</v>
      </c>
      <c r="D615" t="s">
        <v>71</v>
      </c>
      <c r="E615">
        <v>11000000</v>
      </c>
      <c r="F615">
        <f t="shared" si="43"/>
        <v>11000000</v>
      </c>
      <c r="G615">
        <f t="shared" si="44"/>
        <v>35437.687658664196</v>
      </c>
      <c r="H615" t="s">
        <v>72</v>
      </c>
      <c r="I615" s="1" t="s">
        <v>224</v>
      </c>
      <c r="J615" s="1" t="s">
        <v>216</v>
      </c>
      <c r="K615" s="9" t="s">
        <v>20</v>
      </c>
      <c r="L615" t="s">
        <v>21</v>
      </c>
      <c r="M615" t="str">
        <f t="shared" si="42"/>
        <v>ND</v>
      </c>
      <c r="N615" t="str">
        <f t="shared" si="41"/>
        <v>ND</v>
      </c>
    </row>
    <row r="616" spans="1:14" x14ac:dyDescent="0.3">
      <c r="A616" s="1" t="s">
        <v>40</v>
      </c>
      <c r="B616">
        <v>6</v>
      </c>
      <c r="C616">
        <v>12</v>
      </c>
      <c r="D616" t="s">
        <v>71</v>
      </c>
      <c r="E616">
        <v>11000000</v>
      </c>
      <c r="F616">
        <f t="shared" si="43"/>
        <v>11000000</v>
      </c>
      <c r="G616">
        <f t="shared" si="44"/>
        <v>35437.687658664196</v>
      </c>
      <c r="H616" t="s">
        <v>72</v>
      </c>
      <c r="I616" s="1" t="s">
        <v>224</v>
      </c>
      <c r="J616" s="1" t="s">
        <v>216</v>
      </c>
      <c r="K616" s="9" t="s">
        <v>20</v>
      </c>
      <c r="L616" t="s">
        <v>21</v>
      </c>
      <c r="M616" t="str">
        <f t="shared" si="42"/>
        <v>ND</v>
      </c>
      <c r="N616" t="str">
        <f t="shared" si="41"/>
        <v>ND</v>
      </c>
    </row>
    <row r="617" spans="1:14" x14ac:dyDescent="0.3">
      <c r="A617" s="1" t="s">
        <v>40</v>
      </c>
      <c r="B617">
        <v>6</v>
      </c>
      <c r="C617">
        <v>12</v>
      </c>
      <c r="D617" t="s">
        <v>71</v>
      </c>
      <c r="E617">
        <v>11000000</v>
      </c>
      <c r="F617">
        <f t="shared" si="43"/>
        <v>11000000</v>
      </c>
      <c r="G617">
        <f t="shared" si="44"/>
        <v>35437.687658664196</v>
      </c>
      <c r="H617" t="s">
        <v>72</v>
      </c>
      <c r="I617" s="1" t="s">
        <v>224</v>
      </c>
      <c r="J617" s="1" t="s">
        <v>216</v>
      </c>
      <c r="K617" s="9" t="s">
        <v>20</v>
      </c>
      <c r="L617" t="s">
        <v>21</v>
      </c>
      <c r="M617" t="str">
        <f t="shared" si="42"/>
        <v>ND</v>
      </c>
      <c r="N617" t="str">
        <f t="shared" si="41"/>
        <v>ND</v>
      </c>
    </row>
    <row r="618" spans="1:14" x14ac:dyDescent="0.3">
      <c r="A618" s="1" t="s">
        <v>40</v>
      </c>
      <c r="B618">
        <v>6</v>
      </c>
      <c r="C618">
        <v>12</v>
      </c>
      <c r="D618" t="s">
        <v>71</v>
      </c>
      <c r="E618">
        <v>11000000</v>
      </c>
      <c r="F618">
        <f t="shared" si="43"/>
        <v>11000000</v>
      </c>
      <c r="G618">
        <f t="shared" si="44"/>
        <v>35437.687658664196</v>
      </c>
      <c r="H618" t="s">
        <v>72</v>
      </c>
      <c r="I618" s="1" t="s">
        <v>224</v>
      </c>
      <c r="J618" s="1" t="s">
        <v>216</v>
      </c>
      <c r="K618" s="9" t="s">
        <v>20</v>
      </c>
      <c r="L618" t="s">
        <v>21</v>
      </c>
      <c r="M618" t="str">
        <f t="shared" si="42"/>
        <v>ND</v>
      </c>
      <c r="N618" t="str">
        <f t="shared" si="41"/>
        <v>ND</v>
      </c>
    </row>
    <row r="619" spans="1:14" x14ac:dyDescent="0.3">
      <c r="A619" s="1" t="s">
        <v>40</v>
      </c>
      <c r="B619">
        <v>6</v>
      </c>
      <c r="C619">
        <v>12</v>
      </c>
      <c r="D619" t="s">
        <v>71</v>
      </c>
      <c r="E619">
        <v>11000000</v>
      </c>
      <c r="F619">
        <f t="shared" si="43"/>
        <v>11000000</v>
      </c>
      <c r="G619">
        <f t="shared" si="44"/>
        <v>35437.687658664196</v>
      </c>
      <c r="H619" t="s">
        <v>72</v>
      </c>
      <c r="I619" s="1" t="s">
        <v>224</v>
      </c>
      <c r="J619" s="1" t="s">
        <v>216</v>
      </c>
      <c r="K619" s="9" t="s">
        <v>20</v>
      </c>
      <c r="L619" t="s">
        <v>21</v>
      </c>
      <c r="M619" t="str">
        <f t="shared" si="42"/>
        <v>ND</v>
      </c>
      <c r="N619" t="str">
        <f t="shared" si="41"/>
        <v>ND</v>
      </c>
    </row>
    <row r="620" spans="1:14" x14ac:dyDescent="0.3">
      <c r="A620" s="1" t="s">
        <v>40</v>
      </c>
      <c r="B620">
        <v>6</v>
      </c>
      <c r="C620">
        <v>12</v>
      </c>
      <c r="D620" t="s">
        <v>71</v>
      </c>
      <c r="E620">
        <v>11000000</v>
      </c>
      <c r="F620">
        <f t="shared" si="43"/>
        <v>11000000</v>
      </c>
      <c r="G620">
        <f t="shared" si="44"/>
        <v>35437.687658664196</v>
      </c>
      <c r="H620" t="s">
        <v>72</v>
      </c>
      <c r="I620" s="1" t="s">
        <v>224</v>
      </c>
      <c r="J620" s="1" t="s">
        <v>216</v>
      </c>
      <c r="K620" s="9">
        <v>5.48</v>
      </c>
      <c r="L620" t="s">
        <v>21</v>
      </c>
      <c r="M620">
        <f t="shared" si="42"/>
        <v>5.4800000000000005E-3</v>
      </c>
      <c r="N620">
        <f t="shared" si="41"/>
        <v>1.7010139200000001</v>
      </c>
    </row>
    <row r="621" spans="1:14" x14ac:dyDescent="0.3">
      <c r="A621" s="1" t="s">
        <v>40</v>
      </c>
      <c r="B621">
        <v>6</v>
      </c>
      <c r="C621">
        <v>12</v>
      </c>
      <c r="D621" t="s">
        <v>71</v>
      </c>
      <c r="E621">
        <v>11000000</v>
      </c>
      <c r="F621">
        <f t="shared" si="43"/>
        <v>11000000</v>
      </c>
      <c r="G621">
        <f t="shared" si="44"/>
        <v>35437.687658664196</v>
      </c>
      <c r="H621" t="s">
        <v>72</v>
      </c>
      <c r="I621" s="1" t="s">
        <v>224</v>
      </c>
      <c r="J621" s="1" t="s">
        <v>216</v>
      </c>
      <c r="K621" s="9" t="s">
        <v>20</v>
      </c>
      <c r="L621" t="s">
        <v>21</v>
      </c>
      <c r="M621" t="str">
        <f t="shared" si="42"/>
        <v>ND</v>
      </c>
      <c r="N621" t="str">
        <f t="shared" si="41"/>
        <v>ND</v>
      </c>
    </row>
    <row r="622" spans="1:14" x14ac:dyDescent="0.3">
      <c r="A622" s="1" t="s">
        <v>40</v>
      </c>
      <c r="B622">
        <v>6</v>
      </c>
      <c r="C622">
        <v>12</v>
      </c>
      <c r="D622" t="s">
        <v>71</v>
      </c>
      <c r="E622">
        <v>11000000</v>
      </c>
      <c r="F622">
        <f t="shared" si="43"/>
        <v>11000000</v>
      </c>
      <c r="G622">
        <f t="shared" si="44"/>
        <v>35437.687658664196</v>
      </c>
      <c r="H622" t="s">
        <v>72</v>
      </c>
      <c r="I622" s="1" t="s">
        <v>224</v>
      </c>
      <c r="J622" s="1" t="s">
        <v>216</v>
      </c>
      <c r="K622" s="9">
        <v>5.51</v>
      </c>
      <c r="L622" t="s">
        <v>21</v>
      </c>
      <c r="M622">
        <f t="shared" si="42"/>
        <v>5.5100000000000001E-3</v>
      </c>
      <c r="N622">
        <f t="shared" si="41"/>
        <v>1.7103260399999998</v>
      </c>
    </row>
    <row r="623" spans="1:14" x14ac:dyDescent="0.3">
      <c r="A623" s="1" t="s">
        <v>40</v>
      </c>
      <c r="B623">
        <v>6</v>
      </c>
      <c r="C623">
        <v>12</v>
      </c>
      <c r="D623" t="s">
        <v>71</v>
      </c>
      <c r="E623">
        <v>11000000</v>
      </c>
      <c r="F623">
        <f t="shared" si="43"/>
        <v>11000000</v>
      </c>
      <c r="G623">
        <f t="shared" si="44"/>
        <v>35437.687658664196</v>
      </c>
      <c r="H623" t="s">
        <v>72</v>
      </c>
      <c r="I623" s="1" t="s">
        <v>224</v>
      </c>
      <c r="J623" s="1" t="s">
        <v>216</v>
      </c>
      <c r="K623" s="9">
        <v>5.99</v>
      </c>
      <c r="L623" t="s">
        <v>21</v>
      </c>
      <c r="M623">
        <f t="shared" si="42"/>
        <v>5.9900000000000005E-3</v>
      </c>
      <c r="N623">
        <f t="shared" si="41"/>
        <v>1.8593199599999999</v>
      </c>
    </row>
    <row r="624" spans="1:14" x14ac:dyDescent="0.3">
      <c r="A624" s="1" t="s">
        <v>40</v>
      </c>
      <c r="B624">
        <v>6</v>
      </c>
      <c r="C624">
        <v>12</v>
      </c>
      <c r="D624" t="s">
        <v>71</v>
      </c>
      <c r="E624">
        <v>11000000</v>
      </c>
      <c r="F624">
        <f t="shared" si="43"/>
        <v>11000000</v>
      </c>
      <c r="G624">
        <f t="shared" si="44"/>
        <v>35437.687658664196</v>
      </c>
      <c r="H624" t="s">
        <v>72</v>
      </c>
      <c r="I624" s="1" t="s">
        <v>224</v>
      </c>
      <c r="J624" s="1" t="s">
        <v>216</v>
      </c>
      <c r="K624" s="9" t="s">
        <v>20</v>
      </c>
      <c r="L624" t="s">
        <v>21</v>
      </c>
      <c r="M624" t="str">
        <f t="shared" si="42"/>
        <v>ND</v>
      </c>
      <c r="N624" t="str">
        <f t="shared" si="41"/>
        <v>ND</v>
      </c>
    </row>
    <row r="625" spans="1:14" x14ac:dyDescent="0.3">
      <c r="A625" s="1" t="s">
        <v>40</v>
      </c>
      <c r="B625">
        <v>6</v>
      </c>
      <c r="C625">
        <v>12</v>
      </c>
      <c r="D625" t="s">
        <v>71</v>
      </c>
      <c r="E625">
        <v>11000000</v>
      </c>
      <c r="F625">
        <f t="shared" si="43"/>
        <v>11000000</v>
      </c>
      <c r="G625">
        <f t="shared" si="44"/>
        <v>35437.687658664196</v>
      </c>
      <c r="H625" t="s">
        <v>72</v>
      </c>
      <c r="I625" s="1" t="s">
        <v>224</v>
      </c>
      <c r="J625" s="1" t="s">
        <v>216</v>
      </c>
      <c r="K625" s="9" t="s">
        <v>20</v>
      </c>
      <c r="L625" t="s">
        <v>21</v>
      </c>
      <c r="M625" t="str">
        <f t="shared" si="42"/>
        <v>ND</v>
      </c>
      <c r="N625" t="str">
        <f t="shared" si="41"/>
        <v>ND</v>
      </c>
    </row>
    <row r="626" spans="1:14" x14ac:dyDescent="0.3">
      <c r="A626" s="1" t="s">
        <v>40</v>
      </c>
      <c r="B626">
        <v>6</v>
      </c>
      <c r="C626">
        <v>12</v>
      </c>
      <c r="D626" t="s">
        <v>71</v>
      </c>
      <c r="E626">
        <v>11000000</v>
      </c>
      <c r="F626">
        <f t="shared" si="43"/>
        <v>11000000</v>
      </c>
      <c r="G626">
        <f t="shared" si="44"/>
        <v>35437.687658664196</v>
      </c>
      <c r="H626" t="s">
        <v>72</v>
      </c>
      <c r="I626" s="1" t="s">
        <v>224</v>
      </c>
      <c r="J626" s="1" t="s">
        <v>216</v>
      </c>
      <c r="K626" s="9" t="s">
        <v>20</v>
      </c>
      <c r="L626" t="s">
        <v>21</v>
      </c>
      <c r="M626" t="str">
        <f t="shared" si="42"/>
        <v>ND</v>
      </c>
      <c r="N626" t="str">
        <f t="shared" si="41"/>
        <v>ND</v>
      </c>
    </row>
    <row r="627" spans="1:14" x14ac:dyDescent="0.3">
      <c r="A627" s="1" t="s">
        <v>40</v>
      </c>
      <c r="B627">
        <v>6</v>
      </c>
      <c r="C627">
        <v>12</v>
      </c>
      <c r="D627" t="s">
        <v>71</v>
      </c>
      <c r="E627">
        <v>11000000</v>
      </c>
      <c r="F627">
        <f t="shared" si="43"/>
        <v>11000000</v>
      </c>
      <c r="G627">
        <f t="shared" si="44"/>
        <v>35437.687658664196</v>
      </c>
      <c r="H627" t="s">
        <v>72</v>
      </c>
      <c r="I627" s="1" t="s">
        <v>224</v>
      </c>
      <c r="J627" s="1" t="s">
        <v>216</v>
      </c>
      <c r="K627" s="9" t="s">
        <v>20</v>
      </c>
      <c r="L627" t="s">
        <v>21</v>
      </c>
      <c r="M627" t="str">
        <f t="shared" si="42"/>
        <v>ND</v>
      </c>
      <c r="N627" t="str">
        <f t="shared" si="41"/>
        <v>ND</v>
      </c>
    </row>
    <row r="628" spans="1:14" x14ac:dyDescent="0.3">
      <c r="A628" s="1" t="s">
        <v>40</v>
      </c>
      <c r="B628">
        <v>6</v>
      </c>
      <c r="C628">
        <v>12</v>
      </c>
      <c r="D628" t="s">
        <v>71</v>
      </c>
      <c r="E628">
        <v>11000000</v>
      </c>
      <c r="F628">
        <f t="shared" si="43"/>
        <v>11000000</v>
      </c>
      <c r="G628">
        <f t="shared" si="44"/>
        <v>35437.687658664196</v>
      </c>
      <c r="H628" t="s">
        <v>72</v>
      </c>
      <c r="I628" s="1" t="s">
        <v>224</v>
      </c>
      <c r="J628" s="1" t="s">
        <v>216</v>
      </c>
      <c r="K628" s="9" t="s">
        <v>20</v>
      </c>
      <c r="L628" t="s">
        <v>21</v>
      </c>
      <c r="M628" t="str">
        <f t="shared" si="42"/>
        <v>ND</v>
      </c>
      <c r="N628" t="str">
        <f t="shared" si="41"/>
        <v>ND</v>
      </c>
    </row>
    <row r="629" spans="1:14" x14ac:dyDescent="0.3">
      <c r="A629" s="1" t="s">
        <v>40</v>
      </c>
      <c r="B629">
        <v>6</v>
      </c>
      <c r="C629">
        <v>12</v>
      </c>
      <c r="D629" t="s">
        <v>71</v>
      </c>
      <c r="E629">
        <v>11000000</v>
      </c>
      <c r="F629">
        <f t="shared" si="43"/>
        <v>11000000</v>
      </c>
      <c r="G629">
        <f t="shared" si="44"/>
        <v>35437.687658664196</v>
      </c>
      <c r="H629" t="s">
        <v>72</v>
      </c>
      <c r="I629" s="1" t="s">
        <v>224</v>
      </c>
      <c r="J629" s="1" t="s">
        <v>216</v>
      </c>
      <c r="K629" s="9" t="s">
        <v>20</v>
      </c>
      <c r="L629" t="s">
        <v>21</v>
      </c>
      <c r="M629" t="str">
        <f t="shared" si="42"/>
        <v>ND</v>
      </c>
      <c r="N629" t="str">
        <f t="shared" si="41"/>
        <v>ND</v>
      </c>
    </row>
    <row r="630" spans="1:14" x14ac:dyDescent="0.3">
      <c r="A630" s="1" t="s">
        <v>40</v>
      </c>
      <c r="B630">
        <v>6</v>
      </c>
      <c r="C630">
        <v>12</v>
      </c>
      <c r="D630" t="s">
        <v>71</v>
      </c>
      <c r="E630">
        <v>11000000</v>
      </c>
      <c r="F630">
        <f t="shared" si="43"/>
        <v>11000000</v>
      </c>
      <c r="G630">
        <f t="shared" si="44"/>
        <v>35437.687658664196</v>
      </c>
      <c r="H630" t="s">
        <v>72</v>
      </c>
      <c r="I630" s="1" t="s">
        <v>224</v>
      </c>
      <c r="J630" s="1" t="s">
        <v>216</v>
      </c>
      <c r="K630" s="9" t="s">
        <v>20</v>
      </c>
      <c r="L630" t="s">
        <v>21</v>
      </c>
      <c r="M630" t="str">
        <f t="shared" si="42"/>
        <v>ND</v>
      </c>
      <c r="N630" t="str">
        <f t="shared" si="41"/>
        <v>ND</v>
      </c>
    </row>
    <row r="631" spans="1:14" x14ac:dyDescent="0.3">
      <c r="A631" s="1" t="s">
        <v>40</v>
      </c>
      <c r="B631">
        <v>6</v>
      </c>
      <c r="C631">
        <v>12</v>
      </c>
      <c r="D631" t="s">
        <v>71</v>
      </c>
      <c r="E631">
        <v>11000000</v>
      </c>
      <c r="F631">
        <f t="shared" si="43"/>
        <v>11000000</v>
      </c>
      <c r="G631">
        <f t="shared" si="44"/>
        <v>35437.687658664196</v>
      </c>
      <c r="H631" t="s">
        <v>72</v>
      </c>
      <c r="I631" s="1" t="s">
        <v>224</v>
      </c>
      <c r="J631" s="1" t="s">
        <v>216</v>
      </c>
      <c r="K631" s="9" t="s">
        <v>20</v>
      </c>
      <c r="L631" t="s">
        <v>21</v>
      </c>
      <c r="M631" t="str">
        <f t="shared" si="42"/>
        <v>ND</v>
      </c>
      <c r="N631" t="str">
        <f t="shared" si="41"/>
        <v>ND</v>
      </c>
    </row>
    <row r="632" spans="1:14" x14ac:dyDescent="0.3">
      <c r="A632" s="1" t="s">
        <v>40</v>
      </c>
      <c r="B632">
        <v>6</v>
      </c>
      <c r="C632">
        <v>12</v>
      </c>
      <c r="D632" t="s">
        <v>71</v>
      </c>
      <c r="E632">
        <v>11000000</v>
      </c>
      <c r="F632">
        <f t="shared" si="43"/>
        <v>11000000</v>
      </c>
      <c r="G632">
        <f t="shared" si="44"/>
        <v>35437.687658664196</v>
      </c>
      <c r="H632" t="s">
        <v>72</v>
      </c>
      <c r="I632" s="1" t="s">
        <v>224</v>
      </c>
      <c r="J632" s="1" t="s">
        <v>216</v>
      </c>
      <c r="K632" s="9" t="s">
        <v>20</v>
      </c>
      <c r="L632" t="s">
        <v>21</v>
      </c>
      <c r="M632" t="str">
        <f t="shared" si="42"/>
        <v>ND</v>
      </c>
      <c r="N632" t="str">
        <f t="shared" si="41"/>
        <v>ND</v>
      </c>
    </row>
    <row r="633" spans="1:14" x14ac:dyDescent="0.3">
      <c r="A633" s="1" t="s">
        <v>40</v>
      </c>
      <c r="B633">
        <v>6</v>
      </c>
      <c r="C633">
        <v>12</v>
      </c>
      <c r="D633" t="s">
        <v>71</v>
      </c>
      <c r="E633">
        <v>11000000</v>
      </c>
      <c r="F633">
        <f t="shared" si="43"/>
        <v>11000000</v>
      </c>
      <c r="G633">
        <f t="shared" si="44"/>
        <v>35437.687658664196</v>
      </c>
      <c r="H633" t="s">
        <v>72</v>
      </c>
      <c r="I633" s="1" t="s">
        <v>224</v>
      </c>
      <c r="J633" s="1" t="s">
        <v>216</v>
      </c>
      <c r="K633" s="9" t="s">
        <v>20</v>
      </c>
      <c r="L633" t="s">
        <v>21</v>
      </c>
      <c r="M633" t="str">
        <f t="shared" si="42"/>
        <v>ND</v>
      </c>
      <c r="N633" t="str">
        <f t="shared" si="41"/>
        <v>ND</v>
      </c>
    </row>
    <row r="634" spans="1:14" x14ac:dyDescent="0.3">
      <c r="A634" s="1" t="s">
        <v>40</v>
      </c>
      <c r="B634">
        <v>6</v>
      </c>
      <c r="C634">
        <v>12</v>
      </c>
      <c r="D634" t="s">
        <v>71</v>
      </c>
      <c r="E634">
        <v>11000000</v>
      </c>
      <c r="F634">
        <f t="shared" si="43"/>
        <v>11000000</v>
      </c>
      <c r="G634">
        <f t="shared" si="44"/>
        <v>35437.687658664196</v>
      </c>
      <c r="H634" t="s">
        <v>72</v>
      </c>
      <c r="I634" s="1" t="s">
        <v>224</v>
      </c>
      <c r="J634" s="1" t="s">
        <v>216</v>
      </c>
      <c r="K634" s="9" t="s">
        <v>20</v>
      </c>
      <c r="L634" t="s">
        <v>21</v>
      </c>
      <c r="M634" t="str">
        <f t="shared" si="42"/>
        <v>ND</v>
      </c>
      <c r="N634" t="str">
        <f t="shared" si="41"/>
        <v>ND</v>
      </c>
    </row>
    <row r="635" spans="1:14" x14ac:dyDescent="0.3">
      <c r="A635" s="1" t="s">
        <v>40</v>
      </c>
      <c r="B635">
        <v>6</v>
      </c>
      <c r="C635">
        <v>12</v>
      </c>
      <c r="D635" t="s">
        <v>71</v>
      </c>
      <c r="E635">
        <v>11000000</v>
      </c>
      <c r="F635">
        <f t="shared" si="43"/>
        <v>11000000</v>
      </c>
      <c r="G635">
        <f t="shared" si="44"/>
        <v>35437.687658664196</v>
      </c>
      <c r="H635" t="s">
        <v>72</v>
      </c>
      <c r="I635" s="1" t="s">
        <v>224</v>
      </c>
      <c r="J635" s="1" t="s">
        <v>216</v>
      </c>
      <c r="K635" s="9" t="s">
        <v>20</v>
      </c>
      <c r="L635" t="s">
        <v>21</v>
      </c>
      <c r="M635" t="str">
        <f t="shared" si="42"/>
        <v>ND</v>
      </c>
      <c r="N635" t="str">
        <f t="shared" si="41"/>
        <v>ND</v>
      </c>
    </row>
    <row r="636" spans="1:14" x14ac:dyDescent="0.3">
      <c r="A636" s="1" t="s">
        <v>40</v>
      </c>
      <c r="B636">
        <v>6</v>
      </c>
      <c r="C636">
        <v>12</v>
      </c>
      <c r="D636" t="s">
        <v>71</v>
      </c>
      <c r="E636">
        <v>11000000</v>
      </c>
      <c r="F636">
        <f t="shared" si="43"/>
        <v>11000000</v>
      </c>
      <c r="G636">
        <f t="shared" si="44"/>
        <v>35437.687658664196</v>
      </c>
      <c r="H636" t="s">
        <v>72</v>
      </c>
      <c r="I636" s="1" t="s">
        <v>224</v>
      </c>
      <c r="J636" s="1" t="s">
        <v>216</v>
      </c>
      <c r="K636" s="9" t="s">
        <v>20</v>
      </c>
      <c r="L636" t="s">
        <v>21</v>
      </c>
      <c r="M636" t="str">
        <f t="shared" si="42"/>
        <v>ND</v>
      </c>
      <c r="N636" t="str">
        <f t="shared" si="41"/>
        <v>ND</v>
      </c>
    </row>
    <row r="637" spans="1:14" x14ac:dyDescent="0.3">
      <c r="A637" s="1" t="s">
        <v>40</v>
      </c>
      <c r="B637">
        <v>6</v>
      </c>
      <c r="C637">
        <v>12</v>
      </c>
      <c r="D637" t="s">
        <v>71</v>
      </c>
      <c r="E637">
        <v>11000000</v>
      </c>
      <c r="F637">
        <f t="shared" si="43"/>
        <v>11000000</v>
      </c>
      <c r="G637">
        <f t="shared" si="44"/>
        <v>35437.687658664196</v>
      </c>
      <c r="H637" t="s">
        <v>72</v>
      </c>
      <c r="I637" s="1" t="s">
        <v>224</v>
      </c>
      <c r="J637" s="1" t="s">
        <v>216</v>
      </c>
      <c r="K637" s="9" t="s">
        <v>20</v>
      </c>
      <c r="L637" t="s">
        <v>21</v>
      </c>
      <c r="M637" t="str">
        <f t="shared" si="42"/>
        <v>ND</v>
      </c>
      <c r="N637" t="str">
        <f t="shared" si="41"/>
        <v>ND</v>
      </c>
    </row>
    <row r="638" spans="1:14" x14ac:dyDescent="0.3">
      <c r="A638" s="1" t="s">
        <v>40</v>
      </c>
      <c r="B638">
        <v>6</v>
      </c>
      <c r="C638">
        <v>12</v>
      </c>
      <c r="D638" t="s">
        <v>71</v>
      </c>
      <c r="E638">
        <v>11000000</v>
      </c>
      <c r="F638">
        <f t="shared" si="43"/>
        <v>11000000</v>
      </c>
      <c r="G638">
        <f t="shared" si="44"/>
        <v>35437.687658664196</v>
      </c>
      <c r="H638" t="s">
        <v>72</v>
      </c>
      <c r="I638" s="1" t="s">
        <v>224</v>
      </c>
      <c r="J638" s="1" t="s">
        <v>216</v>
      </c>
      <c r="K638" s="9" t="s">
        <v>20</v>
      </c>
      <c r="L638" t="s">
        <v>21</v>
      </c>
      <c r="M638" t="str">
        <f t="shared" si="42"/>
        <v>ND</v>
      </c>
      <c r="N638" t="str">
        <f t="shared" si="41"/>
        <v>ND</v>
      </c>
    </row>
    <row r="639" spans="1:14" x14ac:dyDescent="0.3">
      <c r="A639" s="1" t="s">
        <v>40</v>
      </c>
      <c r="B639">
        <v>6</v>
      </c>
      <c r="C639">
        <v>12</v>
      </c>
      <c r="D639" t="s">
        <v>71</v>
      </c>
      <c r="E639">
        <v>11000000</v>
      </c>
      <c r="F639">
        <f t="shared" si="43"/>
        <v>11000000</v>
      </c>
      <c r="G639">
        <f t="shared" si="44"/>
        <v>35437.687658664196</v>
      </c>
      <c r="H639" t="s">
        <v>72</v>
      </c>
      <c r="I639" s="1" t="s">
        <v>224</v>
      </c>
      <c r="J639" s="1" t="s">
        <v>216</v>
      </c>
      <c r="K639" s="9" t="s">
        <v>20</v>
      </c>
      <c r="L639" t="s">
        <v>21</v>
      </c>
      <c r="M639" t="str">
        <f t="shared" si="42"/>
        <v>ND</v>
      </c>
      <c r="N639" t="str">
        <f t="shared" si="41"/>
        <v>ND</v>
      </c>
    </row>
    <row r="640" spans="1:14" x14ac:dyDescent="0.3">
      <c r="A640" s="1" t="s">
        <v>40</v>
      </c>
      <c r="B640">
        <v>6</v>
      </c>
      <c r="C640">
        <v>12</v>
      </c>
      <c r="D640" t="s">
        <v>71</v>
      </c>
      <c r="E640">
        <v>11000000</v>
      </c>
      <c r="F640">
        <f t="shared" si="43"/>
        <v>11000000</v>
      </c>
      <c r="G640">
        <f t="shared" si="44"/>
        <v>35437.687658664196</v>
      </c>
      <c r="H640" t="s">
        <v>72</v>
      </c>
      <c r="I640" s="1" t="s">
        <v>224</v>
      </c>
      <c r="J640" s="1" t="s">
        <v>216</v>
      </c>
      <c r="K640" s="9" t="s">
        <v>20</v>
      </c>
      <c r="L640" t="s">
        <v>21</v>
      </c>
      <c r="M640" t="str">
        <f t="shared" si="42"/>
        <v>ND</v>
      </c>
      <c r="N640" t="str">
        <f t="shared" si="41"/>
        <v>ND</v>
      </c>
    </row>
    <row r="641" spans="1:14" x14ac:dyDescent="0.3">
      <c r="A641" s="1" t="s">
        <v>40</v>
      </c>
      <c r="B641">
        <v>6</v>
      </c>
      <c r="C641">
        <v>12</v>
      </c>
      <c r="D641" t="s">
        <v>71</v>
      </c>
      <c r="E641">
        <v>11000000</v>
      </c>
      <c r="F641">
        <f t="shared" si="43"/>
        <v>11000000</v>
      </c>
      <c r="G641">
        <f t="shared" si="44"/>
        <v>35437.687658664196</v>
      </c>
      <c r="H641" t="s">
        <v>72</v>
      </c>
      <c r="I641" s="1" t="s">
        <v>224</v>
      </c>
      <c r="J641" s="1" t="s">
        <v>216</v>
      </c>
      <c r="K641" s="9" t="s">
        <v>20</v>
      </c>
      <c r="L641" t="s">
        <v>21</v>
      </c>
      <c r="M641" t="str">
        <f t="shared" si="42"/>
        <v>ND</v>
      </c>
      <c r="N641" t="str">
        <f t="shared" si="41"/>
        <v>ND</v>
      </c>
    </row>
    <row r="642" spans="1:14" x14ac:dyDescent="0.3">
      <c r="A642" s="1" t="s">
        <v>40</v>
      </c>
      <c r="B642">
        <v>6</v>
      </c>
      <c r="C642">
        <v>12</v>
      </c>
      <c r="D642" t="s">
        <v>71</v>
      </c>
      <c r="E642">
        <v>11000000</v>
      </c>
      <c r="F642">
        <f t="shared" si="43"/>
        <v>11000000</v>
      </c>
      <c r="G642">
        <f t="shared" si="44"/>
        <v>35437.687658664196</v>
      </c>
      <c r="H642" t="s">
        <v>72</v>
      </c>
      <c r="I642" s="1" t="s">
        <v>224</v>
      </c>
      <c r="J642" s="1" t="s">
        <v>216</v>
      </c>
      <c r="K642" s="9">
        <v>152.68</v>
      </c>
      <c r="L642" t="s">
        <v>21</v>
      </c>
      <c r="M642">
        <f t="shared" si="42"/>
        <v>0.15268000000000001</v>
      </c>
      <c r="N642">
        <f t="shared" ref="N642:N705" si="45">IFERROR((M642*F642)/G642,"ND")</f>
        <v>47.392482719999997</v>
      </c>
    </row>
    <row r="643" spans="1:14" x14ac:dyDescent="0.3">
      <c r="A643" s="1" t="s">
        <v>40</v>
      </c>
      <c r="B643">
        <v>6</v>
      </c>
      <c r="C643">
        <v>12</v>
      </c>
      <c r="D643" t="s">
        <v>71</v>
      </c>
      <c r="E643">
        <v>11000000</v>
      </c>
      <c r="F643">
        <f t="shared" si="43"/>
        <v>11000000</v>
      </c>
      <c r="G643">
        <f t="shared" si="44"/>
        <v>35437.687658664196</v>
      </c>
      <c r="H643" t="s">
        <v>72</v>
      </c>
      <c r="I643" s="1" t="s">
        <v>224</v>
      </c>
      <c r="J643" s="1" t="s">
        <v>216</v>
      </c>
      <c r="K643" s="9">
        <v>174.83</v>
      </c>
      <c r="L643" t="s">
        <v>21</v>
      </c>
      <c r="M643">
        <f t="shared" si="42"/>
        <v>0.17483000000000001</v>
      </c>
      <c r="N643">
        <f t="shared" si="45"/>
        <v>54.267931320000002</v>
      </c>
    </row>
    <row r="644" spans="1:14" x14ac:dyDescent="0.3">
      <c r="A644" s="1" t="s">
        <v>40</v>
      </c>
      <c r="B644">
        <v>6</v>
      </c>
      <c r="C644">
        <v>12</v>
      </c>
      <c r="D644" t="s">
        <v>71</v>
      </c>
      <c r="E644">
        <v>11000000</v>
      </c>
      <c r="F644">
        <f t="shared" si="43"/>
        <v>11000000</v>
      </c>
      <c r="G644">
        <f t="shared" si="44"/>
        <v>35437.687658664196</v>
      </c>
      <c r="H644" t="s">
        <v>72</v>
      </c>
      <c r="I644" s="1" t="s">
        <v>224</v>
      </c>
      <c r="J644" s="1" t="s">
        <v>216</v>
      </c>
      <c r="K644" s="9">
        <v>23.57</v>
      </c>
      <c r="L644" t="s">
        <v>21</v>
      </c>
      <c r="M644">
        <f t="shared" si="42"/>
        <v>2.3570000000000001E-2</v>
      </c>
      <c r="N644">
        <f t="shared" si="45"/>
        <v>7.316222279999999</v>
      </c>
    </row>
    <row r="645" spans="1:14" x14ac:dyDescent="0.3">
      <c r="A645" s="1" t="s">
        <v>40</v>
      </c>
      <c r="B645">
        <v>6</v>
      </c>
      <c r="C645">
        <v>12</v>
      </c>
      <c r="D645" t="s">
        <v>71</v>
      </c>
      <c r="E645">
        <v>11000000</v>
      </c>
      <c r="F645">
        <f t="shared" si="43"/>
        <v>11000000</v>
      </c>
      <c r="G645">
        <f t="shared" si="44"/>
        <v>35437.687658664196</v>
      </c>
      <c r="H645" t="s">
        <v>72</v>
      </c>
      <c r="I645" s="1" t="s">
        <v>224</v>
      </c>
      <c r="J645" s="1" t="s">
        <v>216</v>
      </c>
      <c r="K645" s="9">
        <v>199</v>
      </c>
      <c r="L645" t="s">
        <v>21</v>
      </c>
      <c r="M645">
        <f t="shared" si="42"/>
        <v>0.19900000000000001</v>
      </c>
      <c r="N645">
        <f t="shared" si="45"/>
        <v>61.770395999999991</v>
      </c>
    </row>
    <row r="646" spans="1:14" x14ac:dyDescent="0.3">
      <c r="A646" s="1" t="s">
        <v>40</v>
      </c>
      <c r="B646">
        <v>6</v>
      </c>
      <c r="C646">
        <v>12</v>
      </c>
      <c r="D646" t="s">
        <v>71</v>
      </c>
      <c r="E646">
        <v>11000000</v>
      </c>
      <c r="F646">
        <f t="shared" si="43"/>
        <v>11000000</v>
      </c>
      <c r="G646">
        <f t="shared" si="44"/>
        <v>35437.687658664196</v>
      </c>
      <c r="H646" t="s">
        <v>72</v>
      </c>
      <c r="I646" s="1" t="s">
        <v>224</v>
      </c>
      <c r="J646" s="1" t="s">
        <v>216</v>
      </c>
      <c r="K646" s="9">
        <v>126</v>
      </c>
      <c r="L646" t="s">
        <v>21</v>
      </c>
      <c r="M646">
        <f t="shared" si="42"/>
        <v>0.126</v>
      </c>
      <c r="N646">
        <f t="shared" si="45"/>
        <v>39.110903999999998</v>
      </c>
    </row>
    <row r="647" spans="1:14" x14ac:dyDescent="0.3">
      <c r="A647" s="1" t="s">
        <v>40</v>
      </c>
      <c r="B647">
        <v>6</v>
      </c>
      <c r="C647">
        <v>12</v>
      </c>
      <c r="D647" t="s">
        <v>71</v>
      </c>
      <c r="E647">
        <v>11000000</v>
      </c>
      <c r="F647">
        <f t="shared" si="43"/>
        <v>11000000</v>
      </c>
      <c r="G647">
        <f t="shared" si="44"/>
        <v>35437.687658664196</v>
      </c>
      <c r="H647" t="s">
        <v>72</v>
      </c>
      <c r="I647" s="1" t="s">
        <v>224</v>
      </c>
      <c r="J647" s="1" t="s">
        <v>216</v>
      </c>
      <c r="K647" s="9">
        <v>122</v>
      </c>
      <c r="L647" t="s">
        <v>21</v>
      </c>
      <c r="M647">
        <f t="shared" si="42"/>
        <v>0.122</v>
      </c>
      <c r="N647">
        <f t="shared" si="45"/>
        <v>37.869287999999997</v>
      </c>
    </row>
    <row r="648" spans="1:14" x14ac:dyDescent="0.3">
      <c r="A648" s="1" t="s">
        <v>40</v>
      </c>
      <c r="B648">
        <v>6</v>
      </c>
      <c r="C648">
        <v>12</v>
      </c>
      <c r="D648" t="s">
        <v>71</v>
      </c>
      <c r="E648">
        <v>11000000</v>
      </c>
      <c r="F648">
        <f t="shared" si="43"/>
        <v>11000000</v>
      </c>
      <c r="G648">
        <f t="shared" si="44"/>
        <v>35437.687658664196</v>
      </c>
      <c r="H648" t="s">
        <v>72</v>
      </c>
      <c r="I648" s="1" t="s">
        <v>224</v>
      </c>
      <c r="J648" s="1" t="s">
        <v>216</v>
      </c>
      <c r="K648" s="9">
        <v>90.31</v>
      </c>
      <c r="L648" t="s">
        <v>21</v>
      </c>
      <c r="M648">
        <f t="shared" si="42"/>
        <v>9.0310000000000001E-2</v>
      </c>
      <c r="N648">
        <f t="shared" si="45"/>
        <v>28.032585239999996</v>
      </c>
    </row>
    <row r="649" spans="1:14" x14ac:dyDescent="0.3">
      <c r="A649" s="1" t="s">
        <v>40</v>
      </c>
      <c r="B649">
        <v>6</v>
      </c>
      <c r="C649">
        <v>12</v>
      </c>
      <c r="D649" t="s">
        <v>71</v>
      </c>
      <c r="E649">
        <v>11000000</v>
      </c>
      <c r="F649">
        <f t="shared" si="43"/>
        <v>11000000</v>
      </c>
      <c r="G649">
        <f t="shared" si="44"/>
        <v>35437.687658664196</v>
      </c>
      <c r="H649" t="s">
        <v>72</v>
      </c>
      <c r="I649" s="1" t="s">
        <v>224</v>
      </c>
      <c r="J649" s="1" t="s">
        <v>216</v>
      </c>
      <c r="K649" s="9">
        <v>21.7</v>
      </c>
      <c r="L649" t="s">
        <v>21</v>
      </c>
      <c r="M649">
        <f t="shared" si="42"/>
        <v>2.1700000000000001E-2</v>
      </c>
      <c r="N649">
        <f t="shared" si="45"/>
        <v>6.7357667999999995</v>
      </c>
    </row>
    <row r="650" spans="1:14" x14ac:dyDescent="0.3">
      <c r="A650" s="1" t="s">
        <v>40</v>
      </c>
      <c r="B650">
        <v>6</v>
      </c>
      <c r="C650">
        <v>12</v>
      </c>
      <c r="D650" t="s">
        <v>71</v>
      </c>
      <c r="E650">
        <v>11000000</v>
      </c>
      <c r="F650">
        <f t="shared" si="43"/>
        <v>11000000</v>
      </c>
      <c r="G650">
        <f t="shared" si="44"/>
        <v>35437.687658664196</v>
      </c>
      <c r="H650" t="s">
        <v>72</v>
      </c>
      <c r="I650" s="1" t="s">
        <v>224</v>
      </c>
      <c r="J650" s="1" t="s">
        <v>216</v>
      </c>
      <c r="K650" s="9">
        <v>23.42</v>
      </c>
      <c r="L650" t="s">
        <v>21</v>
      </c>
      <c r="M650">
        <f t="shared" si="42"/>
        <v>2.3420000000000003E-2</v>
      </c>
      <c r="N650">
        <f t="shared" si="45"/>
        <v>7.2696616800000005</v>
      </c>
    </row>
    <row r="651" spans="1:14" x14ac:dyDescent="0.3">
      <c r="A651" s="1" t="s">
        <v>40</v>
      </c>
      <c r="B651">
        <v>6</v>
      </c>
      <c r="C651">
        <v>12</v>
      </c>
      <c r="D651" t="s">
        <v>71</v>
      </c>
      <c r="E651">
        <v>11000000</v>
      </c>
      <c r="F651">
        <f t="shared" si="43"/>
        <v>11000000</v>
      </c>
      <c r="G651">
        <f t="shared" si="44"/>
        <v>35437.687658664196</v>
      </c>
      <c r="H651" t="s">
        <v>72</v>
      </c>
      <c r="I651" s="1" t="s">
        <v>224</v>
      </c>
      <c r="J651" s="1" t="s">
        <v>216</v>
      </c>
      <c r="K651" s="9">
        <v>49.77</v>
      </c>
      <c r="L651" t="s">
        <v>21</v>
      </c>
      <c r="M651">
        <f t="shared" si="42"/>
        <v>4.9770000000000002E-2</v>
      </c>
      <c r="N651">
        <f t="shared" si="45"/>
        <v>15.448807079999998</v>
      </c>
    </row>
    <row r="652" spans="1:14" x14ac:dyDescent="0.3">
      <c r="A652" s="1" t="s">
        <v>40</v>
      </c>
      <c r="B652">
        <v>6</v>
      </c>
      <c r="C652">
        <v>12</v>
      </c>
      <c r="D652" t="s">
        <v>71</v>
      </c>
      <c r="E652">
        <v>11000000</v>
      </c>
      <c r="F652">
        <f t="shared" si="43"/>
        <v>11000000</v>
      </c>
      <c r="G652">
        <f t="shared" si="44"/>
        <v>35437.687658664196</v>
      </c>
      <c r="H652" t="s">
        <v>72</v>
      </c>
      <c r="I652" s="1" t="s">
        <v>224</v>
      </c>
      <c r="J652" s="1" t="s">
        <v>216</v>
      </c>
      <c r="K652" s="9">
        <v>25.17</v>
      </c>
      <c r="L652" t="s">
        <v>21</v>
      </c>
      <c r="M652">
        <f t="shared" si="42"/>
        <v>2.5170000000000001E-2</v>
      </c>
      <c r="N652">
        <f t="shared" si="45"/>
        <v>7.8128686799999993</v>
      </c>
    </row>
    <row r="653" spans="1:14" x14ac:dyDescent="0.3">
      <c r="A653" s="1" t="s">
        <v>40</v>
      </c>
      <c r="B653">
        <v>6</v>
      </c>
      <c r="C653">
        <v>12</v>
      </c>
      <c r="D653" t="s">
        <v>71</v>
      </c>
      <c r="E653">
        <v>11000000</v>
      </c>
      <c r="F653">
        <f t="shared" si="43"/>
        <v>11000000</v>
      </c>
      <c r="G653">
        <f t="shared" si="44"/>
        <v>35437.687658664196</v>
      </c>
      <c r="H653" t="s">
        <v>72</v>
      </c>
      <c r="I653" s="1" t="s">
        <v>224</v>
      </c>
      <c r="J653" s="1" t="s">
        <v>216</v>
      </c>
      <c r="K653" s="9">
        <v>301.14999999999998</v>
      </c>
      <c r="L653" t="s">
        <v>21</v>
      </c>
      <c r="M653">
        <f t="shared" si="42"/>
        <v>0.30114999999999997</v>
      </c>
      <c r="N653">
        <f t="shared" si="45"/>
        <v>93.478164599999985</v>
      </c>
    </row>
    <row r="654" spans="1:14" x14ac:dyDescent="0.3">
      <c r="A654" s="1" t="s">
        <v>40</v>
      </c>
      <c r="B654">
        <v>6</v>
      </c>
      <c r="C654">
        <v>12</v>
      </c>
      <c r="D654" t="s">
        <v>71</v>
      </c>
      <c r="E654">
        <v>11000000</v>
      </c>
      <c r="F654">
        <f t="shared" si="43"/>
        <v>11000000</v>
      </c>
      <c r="G654">
        <f t="shared" si="44"/>
        <v>35437.687658664196</v>
      </c>
      <c r="H654" t="s">
        <v>72</v>
      </c>
      <c r="I654" s="1" t="s">
        <v>224</v>
      </c>
      <c r="J654" s="1" t="s">
        <v>216</v>
      </c>
      <c r="K654" s="9">
        <v>23.39</v>
      </c>
      <c r="L654" t="s">
        <v>21</v>
      </c>
      <c r="M654">
        <f t="shared" si="42"/>
        <v>2.3390000000000001E-2</v>
      </c>
      <c r="N654">
        <f t="shared" si="45"/>
        <v>7.260349559999999</v>
      </c>
    </row>
    <row r="655" spans="1:14" x14ac:dyDescent="0.3">
      <c r="A655" s="1" t="s">
        <v>40</v>
      </c>
      <c r="B655">
        <v>6</v>
      </c>
      <c r="C655">
        <v>12</v>
      </c>
      <c r="D655" t="s">
        <v>71</v>
      </c>
      <c r="E655">
        <v>11000000</v>
      </c>
      <c r="F655">
        <f t="shared" si="43"/>
        <v>11000000</v>
      </c>
      <c r="G655">
        <f t="shared" si="44"/>
        <v>35437.687658664196</v>
      </c>
      <c r="H655" t="s">
        <v>72</v>
      </c>
      <c r="I655" s="1" t="s">
        <v>224</v>
      </c>
      <c r="J655" s="1" t="s">
        <v>216</v>
      </c>
      <c r="K655" s="9">
        <v>28.72</v>
      </c>
      <c r="L655" t="s">
        <v>21</v>
      </c>
      <c r="M655">
        <f t="shared" si="42"/>
        <v>2.8719999999999999E-2</v>
      </c>
      <c r="N655">
        <f t="shared" si="45"/>
        <v>8.9148028799999999</v>
      </c>
    </row>
    <row r="656" spans="1:14" x14ac:dyDescent="0.3">
      <c r="A656" s="1" t="s">
        <v>40</v>
      </c>
      <c r="B656">
        <v>6</v>
      </c>
      <c r="C656">
        <v>12</v>
      </c>
      <c r="D656" t="s">
        <v>71</v>
      </c>
      <c r="E656">
        <v>11000000</v>
      </c>
      <c r="F656">
        <f t="shared" si="43"/>
        <v>11000000</v>
      </c>
      <c r="G656">
        <f t="shared" si="44"/>
        <v>35437.687658664196</v>
      </c>
      <c r="H656" t="s">
        <v>72</v>
      </c>
      <c r="I656" s="1" t="s">
        <v>224</v>
      </c>
      <c r="J656" s="1" t="s">
        <v>216</v>
      </c>
      <c r="K656" s="9">
        <v>13.81</v>
      </c>
      <c r="L656" t="s">
        <v>21</v>
      </c>
      <c r="M656">
        <f t="shared" si="42"/>
        <v>1.3810000000000001E-2</v>
      </c>
      <c r="N656">
        <f t="shared" si="45"/>
        <v>4.2866792399999998</v>
      </c>
    </row>
    <row r="657" spans="1:14" x14ac:dyDescent="0.3">
      <c r="A657" s="1" t="s">
        <v>41</v>
      </c>
      <c r="B657">
        <v>6</v>
      </c>
      <c r="C657">
        <v>12</v>
      </c>
      <c r="D657" t="s">
        <v>71</v>
      </c>
      <c r="E657">
        <v>11000000</v>
      </c>
      <c r="F657">
        <f t="shared" si="43"/>
        <v>11000000</v>
      </c>
      <c r="G657">
        <f t="shared" si="44"/>
        <v>35437.687658664196</v>
      </c>
      <c r="H657" t="s">
        <v>72</v>
      </c>
      <c r="I657" s="1" t="s">
        <v>224</v>
      </c>
      <c r="J657" s="1" t="s">
        <v>216</v>
      </c>
      <c r="K657" s="9">
        <v>22.03</v>
      </c>
      <c r="L657" t="s">
        <v>21</v>
      </c>
      <c r="M657">
        <f t="shared" si="42"/>
        <v>2.2030000000000001E-2</v>
      </c>
      <c r="N657">
        <f t="shared" si="45"/>
        <v>6.8382001199999998</v>
      </c>
    </row>
    <row r="658" spans="1:14" x14ac:dyDescent="0.3">
      <c r="A658" s="1" t="s">
        <v>41</v>
      </c>
      <c r="B658">
        <v>6</v>
      </c>
      <c r="C658">
        <v>12</v>
      </c>
      <c r="D658" t="s">
        <v>71</v>
      </c>
      <c r="E658">
        <v>11000000</v>
      </c>
      <c r="F658">
        <f t="shared" si="43"/>
        <v>11000000</v>
      </c>
      <c r="G658">
        <f t="shared" si="44"/>
        <v>35437.687658664196</v>
      </c>
      <c r="H658" t="s">
        <v>72</v>
      </c>
      <c r="I658" s="1" t="s">
        <v>224</v>
      </c>
      <c r="J658" s="1" t="s">
        <v>216</v>
      </c>
      <c r="K658" s="9" t="s">
        <v>20</v>
      </c>
      <c r="L658" t="s">
        <v>21</v>
      </c>
      <c r="M658" t="str">
        <f t="shared" si="42"/>
        <v>ND</v>
      </c>
      <c r="N658" t="str">
        <f t="shared" si="45"/>
        <v>ND</v>
      </c>
    </row>
    <row r="659" spans="1:14" x14ac:dyDescent="0.3">
      <c r="A659" s="1" t="s">
        <v>41</v>
      </c>
      <c r="B659">
        <v>6</v>
      </c>
      <c r="C659">
        <v>12</v>
      </c>
      <c r="D659" t="s">
        <v>71</v>
      </c>
      <c r="E659">
        <v>11000000</v>
      </c>
      <c r="F659">
        <f t="shared" si="43"/>
        <v>11000000</v>
      </c>
      <c r="G659">
        <f t="shared" si="44"/>
        <v>35437.687658664196</v>
      </c>
      <c r="H659" t="s">
        <v>72</v>
      </c>
      <c r="I659" s="1" t="s">
        <v>224</v>
      </c>
      <c r="J659" s="1" t="s">
        <v>216</v>
      </c>
      <c r="K659" s="9" t="s">
        <v>20</v>
      </c>
      <c r="L659" t="s">
        <v>21</v>
      </c>
      <c r="M659" t="str">
        <f t="shared" si="42"/>
        <v>ND</v>
      </c>
      <c r="N659" t="str">
        <f t="shared" si="45"/>
        <v>ND</v>
      </c>
    </row>
    <row r="660" spans="1:14" x14ac:dyDescent="0.3">
      <c r="A660" s="1" t="s">
        <v>41</v>
      </c>
      <c r="B660">
        <v>6</v>
      </c>
      <c r="C660">
        <v>12</v>
      </c>
      <c r="D660" t="s">
        <v>71</v>
      </c>
      <c r="E660">
        <v>11000000</v>
      </c>
      <c r="F660">
        <f t="shared" si="43"/>
        <v>11000000</v>
      </c>
      <c r="G660">
        <f t="shared" si="44"/>
        <v>35437.687658664196</v>
      </c>
      <c r="H660" t="s">
        <v>72</v>
      </c>
      <c r="I660" s="1" t="s">
        <v>224</v>
      </c>
      <c r="J660" s="1" t="s">
        <v>216</v>
      </c>
      <c r="K660" s="9" t="s">
        <v>20</v>
      </c>
      <c r="L660" t="s">
        <v>21</v>
      </c>
      <c r="M660" t="str">
        <f t="shared" si="42"/>
        <v>ND</v>
      </c>
      <c r="N660" t="str">
        <f t="shared" si="45"/>
        <v>ND</v>
      </c>
    </row>
    <row r="661" spans="1:14" x14ac:dyDescent="0.3">
      <c r="A661" s="1" t="s">
        <v>41</v>
      </c>
      <c r="B661">
        <v>6</v>
      </c>
      <c r="C661">
        <v>12</v>
      </c>
      <c r="D661" t="s">
        <v>71</v>
      </c>
      <c r="E661">
        <v>11000000</v>
      </c>
      <c r="F661">
        <f t="shared" si="43"/>
        <v>11000000</v>
      </c>
      <c r="G661">
        <f t="shared" si="44"/>
        <v>35437.687658664196</v>
      </c>
      <c r="H661" t="s">
        <v>72</v>
      </c>
      <c r="I661" s="1" t="s">
        <v>224</v>
      </c>
      <c r="J661" s="1" t="s">
        <v>216</v>
      </c>
      <c r="K661" s="9" t="s">
        <v>20</v>
      </c>
      <c r="L661" t="s">
        <v>21</v>
      </c>
      <c r="M661" t="str">
        <f t="shared" si="42"/>
        <v>ND</v>
      </c>
      <c r="N661" t="str">
        <f t="shared" si="45"/>
        <v>ND</v>
      </c>
    </row>
    <row r="662" spans="1:14" x14ac:dyDescent="0.3">
      <c r="A662" s="1" t="s">
        <v>41</v>
      </c>
      <c r="B662">
        <v>6</v>
      </c>
      <c r="C662">
        <v>12</v>
      </c>
      <c r="D662" t="s">
        <v>71</v>
      </c>
      <c r="E662">
        <v>11000000</v>
      </c>
      <c r="F662">
        <f t="shared" si="43"/>
        <v>11000000</v>
      </c>
      <c r="G662">
        <f t="shared" si="44"/>
        <v>35437.687658664196</v>
      </c>
      <c r="H662" t="s">
        <v>72</v>
      </c>
      <c r="I662" s="1" t="s">
        <v>224</v>
      </c>
      <c r="J662" s="1" t="s">
        <v>216</v>
      </c>
      <c r="K662" s="9" t="s">
        <v>20</v>
      </c>
      <c r="L662" t="s">
        <v>21</v>
      </c>
      <c r="M662" t="str">
        <f t="shared" si="42"/>
        <v>ND</v>
      </c>
      <c r="N662" t="str">
        <f t="shared" si="45"/>
        <v>ND</v>
      </c>
    </row>
    <row r="663" spans="1:14" x14ac:dyDescent="0.3">
      <c r="A663" s="1" t="s">
        <v>41</v>
      </c>
      <c r="B663">
        <v>6</v>
      </c>
      <c r="C663">
        <v>12</v>
      </c>
      <c r="D663" t="s">
        <v>71</v>
      </c>
      <c r="E663">
        <v>11000000</v>
      </c>
      <c r="F663">
        <f t="shared" si="43"/>
        <v>11000000</v>
      </c>
      <c r="G663">
        <f t="shared" si="44"/>
        <v>35437.687658664196</v>
      </c>
      <c r="H663" t="s">
        <v>72</v>
      </c>
      <c r="I663" s="1" t="s">
        <v>224</v>
      </c>
      <c r="J663" s="1" t="s">
        <v>216</v>
      </c>
      <c r="K663" s="9" t="s">
        <v>20</v>
      </c>
      <c r="L663" t="s">
        <v>21</v>
      </c>
      <c r="M663" t="str">
        <f t="shared" ref="M663:M726" si="46">IFERROR(K663/1000,"ND")</f>
        <v>ND</v>
      </c>
      <c r="N663" t="str">
        <f t="shared" si="45"/>
        <v>ND</v>
      </c>
    </row>
    <row r="664" spans="1:14" x14ac:dyDescent="0.3">
      <c r="A664" s="1" t="s">
        <v>41</v>
      </c>
      <c r="B664">
        <v>6</v>
      </c>
      <c r="C664">
        <v>12</v>
      </c>
      <c r="D664" t="s">
        <v>71</v>
      </c>
      <c r="E664">
        <v>11000000</v>
      </c>
      <c r="F664">
        <f t="shared" ref="F664:F727" si="47">E664</f>
        <v>11000000</v>
      </c>
      <c r="G664">
        <f t="shared" ref="G664:G727" si="48">F664/310.404</f>
        <v>35437.687658664196</v>
      </c>
      <c r="H664" t="s">
        <v>72</v>
      </c>
      <c r="I664" s="1" t="s">
        <v>224</v>
      </c>
      <c r="J664" s="1" t="s">
        <v>216</v>
      </c>
      <c r="K664" s="9">
        <v>7.5</v>
      </c>
      <c r="L664" t="s">
        <v>21</v>
      </c>
      <c r="M664">
        <f t="shared" si="46"/>
        <v>7.4999999999999997E-3</v>
      </c>
      <c r="N664">
        <f t="shared" si="45"/>
        <v>2.3280299999999996</v>
      </c>
    </row>
    <row r="665" spans="1:14" x14ac:dyDescent="0.3">
      <c r="A665" s="1" t="s">
        <v>41</v>
      </c>
      <c r="B665">
        <v>6</v>
      </c>
      <c r="C665">
        <v>12</v>
      </c>
      <c r="D665" t="s">
        <v>71</v>
      </c>
      <c r="E665">
        <v>11000000</v>
      </c>
      <c r="F665">
        <f t="shared" si="47"/>
        <v>11000000</v>
      </c>
      <c r="G665">
        <f t="shared" si="48"/>
        <v>35437.687658664196</v>
      </c>
      <c r="H665" t="s">
        <v>72</v>
      </c>
      <c r="I665" s="1" t="s">
        <v>224</v>
      </c>
      <c r="J665" s="1" t="s">
        <v>216</v>
      </c>
      <c r="K665" s="9" t="s">
        <v>20</v>
      </c>
      <c r="L665" t="s">
        <v>21</v>
      </c>
      <c r="M665" t="str">
        <f t="shared" si="46"/>
        <v>ND</v>
      </c>
      <c r="N665" t="str">
        <f t="shared" si="45"/>
        <v>ND</v>
      </c>
    </row>
    <row r="666" spans="1:14" x14ac:dyDescent="0.3">
      <c r="A666" s="1" t="s">
        <v>41</v>
      </c>
      <c r="B666">
        <v>6</v>
      </c>
      <c r="C666">
        <v>12</v>
      </c>
      <c r="D666" t="s">
        <v>71</v>
      </c>
      <c r="E666">
        <v>11000000</v>
      </c>
      <c r="F666">
        <f t="shared" si="47"/>
        <v>11000000</v>
      </c>
      <c r="G666">
        <f t="shared" si="48"/>
        <v>35437.687658664196</v>
      </c>
      <c r="H666" t="s">
        <v>72</v>
      </c>
      <c r="I666" s="1" t="s">
        <v>224</v>
      </c>
      <c r="J666" s="1" t="s">
        <v>216</v>
      </c>
      <c r="K666" s="9">
        <v>6.22</v>
      </c>
      <c r="L666" t="s">
        <v>21</v>
      </c>
      <c r="M666">
        <f t="shared" si="46"/>
        <v>6.2199999999999998E-3</v>
      </c>
      <c r="N666">
        <f t="shared" si="45"/>
        <v>1.9307128799999997</v>
      </c>
    </row>
    <row r="667" spans="1:14" x14ac:dyDescent="0.3">
      <c r="A667" s="1" t="s">
        <v>41</v>
      </c>
      <c r="B667">
        <v>6</v>
      </c>
      <c r="C667">
        <v>12</v>
      </c>
      <c r="D667" t="s">
        <v>71</v>
      </c>
      <c r="E667">
        <v>11000000</v>
      </c>
      <c r="F667">
        <f t="shared" si="47"/>
        <v>11000000</v>
      </c>
      <c r="G667">
        <f t="shared" si="48"/>
        <v>35437.687658664196</v>
      </c>
      <c r="H667" t="s">
        <v>72</v>
      </c>
      <c r="I667" s="1" t="s">
        <v>224</v>
      </c>
      <c r="J667" s="1" t="s">
        <v>216</v>
      </c>
      <c r="K667" s="9" t="s">
        <v>20</v>
      </c>
      <c r="L667" t="s">
        <v>21</v>
      </c>
      <c r="M667" t="str">
        <f t="shared" si="46"/>
        <v>ND</v>
      </c>
      <c r="N667" t="str">
        <f t="shared" si="45"/>
        <v>ND</v>
      </c>
    </row>
    <row r="668" spans="1:14" x14ac:dyDescent="0.3">
      <c r="A668" s="1" t="s">
        <v>41</v>
      </c>
      <c r="B668">
        <v>6</v>
      </c>
      <c r="C668">
        <v>12</v>
      </c>
      <c r="D668" t="s">
        <v>71</v>
      </c>
      <c r="E668">
        <v>11000000</v>
      </c>
      <c r="F668">
        <f t="shared" si="47"/>
        <v>11000000</v>
      </c>
      <c r="G668">
        <f t="shared" si="48"/>
        <v>35437.687658664196</v>
      </c>
      <c r="H668" t="s">
        <v>72</v>
      </c>
      <c r="I668" s="1" t="s">
        <v>224</v>
      </c>
      <c r="J668" s="1" t="s">
        <v>216</v>
      </c>
      <c r="K668" s="9" t="s">
        <v>20</v>
      </c>
      <c r="L668" t="s">
        <v>21</v>
      </c>
      <c r="M668" t="str">
        <f t="shared" si="46"/>
        <v>ND</v>
      </c>
      <c r="N668" t="str">
        <f t="shared" si="45"/>
        <v>ND</v>
      </c>
    </row>
    <row r="669" spans="1:14" x14ac:dyDescent="0.3">
      <c r="A669" s="1" t="s">
        <v>41</v>
      </c>
      <c r="B669">
        <v>6</v>
      </c>
      <c r="C669">
        <v>12</v>
      </c>
      <c r="D669" t="s">
        <v>71</v>
      </c>
      <c r="E669">
        <v>11000000</v>
      </c>
      <c r="F669">
        <f t="shared" si="47"/>
        <v>11000000</v>
      </c>
      <c r="G669">
        <f t="shared" si="48"/>
        <v>35437.687658664196</v>
      </c>
      <c r="H669" t="s">
        <v>72</v>
      </c>
      <c r="I669" s="1" t="s">
        <v>224</v>
      </c>
      <c r="J669" s="1" t="s">
        <v>216</v>
      </c>
      <c r="K669" s="9">
        <v>40.18</v>
      </c>
      <c r="L669" t="s">
        <v>21</v>
      </c>
      <c r="M669">
        <f t="shared" si="46"/>
        <v>4.018E-2</v>
      </c>
      <c r="N669">
        <f t="shared" si="45"/>
        <v>12.47203272</v>
      </c>
    </row>
    <row r="670" spans="1:14" x14ac:dyDescent="0.3">
      <c r="A670" s="1" t="s">
        <v>41</v>
      </c>
      <c r="B670">
        <v>6</v>
      </c>
      <c r="C670">
        <v>12</v>
      </c>
      <c r="D670" t="s">
        <v>71</v>
      </c>
      <c r="E670">
        <v>11000000</v>
      </c>
      <c r="F670">
        <f t="shared" si="47"/>
        <v>11000000</v>
      </c>
      <c r="G670">
        <f t="shared" si="48"/>
        <v>35437.687658664196</v>
      </c>
      <c r="H670" t="s">
        <v>72</v>
      </c>
      <c r="I670" s="1" t="s">
        <v>224</v>
      </c>
      <c r="J670" s="1" t="s">
        <v>216</v>
      </c>
      <c r="K670" s="9">
        <v>27.42</v>
      </c>
      <c r="L670" t="s">
        <v>21</v>
      </c>
      <c r="M670">
        <f t="shared" si="46"/>
        <v>2.7420000000000003E-2</v>
      </c>
      <c r="N670">
        <f t="shared" si="45"/>
        <v>8.511277680000001</v>
      </c>
    </row>
    <row r="671" spans="1:14" x14ac:dyDescent="0.3">
      <c r="A671" s="1" t="s">
        <v>41</v>
      </c>
      <c r="B671">
        <v>6</v>
      </c>
      <c r="C671">
        <v>12</v>
      </c>
      <c r="D671" t="s">
        <v>71</v>
      </c>
      <c r="E671">
        <v>11000000</v>
      </c>
      <c r="F671">
        <f t="shared" si="47"/>
        <v>11000000</v>
      </c>
      <c r="G671">
        <f t="shared" si="48"/>
        <v>35437.687658664196</v>
      </c>
      <c r="H671" t="s">
        <v>72</v>
      </c>
      <c r="I671" s="1" t="s">
        <v>224</v>
      </c>
      <c r="J671" s="1" t="s">
        <v>216</v>
      </c>
      <c r="K671" s="9">
        <v>17.46</v>
      </c>
      <c r="L671" t="s">
        <v>21</v>
      </c>
      <c r="M671">
        <f t="shared" si="46"/>
        <v>1.746E-2</v>
      </c>
      <c r="N671">
        <f t="shared" si="45"/>
        <v>5.4196538399999996</v>
      </c>
    </row>
    <row r="672" spans="1:14" x14ac:dyDescent="0.3">
      <c r="A672" s="1" t="s">
        <v>41</v>
      </c>
      <c r="B672">
        <v>6</v>
      </c>
      <c r="C672">
        <v>12</v>
      </c>
      <c r="D672" t="s">
        <v>71</v>
      </c>
      <c r="E672">
        <v>11000000</v>
      </c>
      <c r="F672">
        <f t="shared" si="47"/>
        <v>11000000</v>
      </c>
      <c r="G672">
        <f t="shared" si="48"/>
        <v>35437.687658664196</v>
      </c>
      <c r="H672" t="s">
        <v>72</v>
      </c>
      <c r="I672" s="1" t="s">
        <v>224</v>
      </c>
      <c r="J672" s="1" t="s">
        <v>216</v>
      </c>
      <c r="K672" s="9">
        <v>27.56</v>
      </c>
      <c r="L672" t="s">
        <v>21</v>
      </c>
      <c r="M672">
        <f t="shared" si="46"/>
        <v>2.7559999999999998E-2</v>
      </c>
      <c r="N672">
        <f t="shared" si="45"/>
        <v>8.5547342399999984</v>
      </c>
    </row>
    <row r="673" spans="1:14" x14ac:dyDescent="0.3">
      <c r="A673" s="1" t="s">
        <v>41</v>
      </c>
      <c r="B673">
        <v>6</v>
      </c>
      <c r="C673">
        <v>12</v>
      </c>
      <c r="D673" t="s">
        <v>71</v>
      </c>
      <c r="E673">
        <v>11000000</v>
      </c>
      <c r="F673">
        <f t="shared" si="47"/>
        <v>11000000</v>
      </c>
      <c r="G673">
        <f t="shared" si="48"/>
        <v>35437.687658664196</v>
      </c>
      <c r="H673" t="s">
        <v>72</v>
      </c>
      <c r="I673" s="1" t="s">
        <v>224</v>
      </c>
      <c r="J673" s="1" t="s">
        <v>216</v>
      </c>
      <c r="K673" s="9">
        <v>71.739999999999995</v>
      </c>
      <c r="L673" t="s">
        <v>21</v>
      </c>
      <c r="M673">
        <f t="shared" si="46"/>
        <v>7.1739999999999998E-2</v>
      </c>
      <c r="N673">
        <f t="shared" si="45"/>
        <v>22.268382959999997</v>
      </c>
    </row>
    <row r="674" spans="1:14" x14ac:dyDescent="0.3">
      <c r="A674" s="1" t="s">
        <v>41</v>
      </c>
      <c r="B674">
        <v>6</v>
      </c>
      <c r="C674">
        <v>12</v>
      </c>
      <c r="D674" t="s">
        <v>71</v>
      </c>
      <c r="E674">
        <v>11000000</v>
      </c>
      <c r="F674">
        <f t="shared" si="47"/>
        <v>11000000</v>
      </c>
      <c r="G674">
        <f t="shared" si="48"/>
        <v>35437.687658664196</v>
      </c>
      <c r="H674" t="s">
        <v>72</v>
      </c>
      <c r="I674" s="1" t="s">
        <v>224</v>
      </c>
      <c r="J674" s="1" t="s">
        <v>216</v>
      </c>
      <c r="K674" s="9">
        <v>30.16</v>
      </c>
      <c r="L674" t="s">
        <v>21</v>
      </c>
      <c r="M674">
        <f t="shared" si="46"/>
        <v>3.0159999999999999E-2</v>
      </c>
      <c r="N674">
        <f t="shared" si="45"/>
        <v>9.3617846399999998</v>
      </c>
    </row>
    <row r="675" spans="1:14" x14ac:dyDescent="0.3">
      <c r="A675" s="1" t="s">
        <v>41</v>
      </c>
      <c r="B675">
        <v>6</v>
      </c>
      <c r="C675">
        <v>12</v>
      </c>
      <c r="D675" t="s">
        <v>71</v>
      </c>
      <c r="E675">
        <v>11000000</v>
      </c>
      <c r="F675">
        <f t="shared" si="47"/>
        <v>11000000</v>
      </c>
      <c r="G675">
        <f t="shared" si="48"/>
        <v>35437.687658664196</v>
      </c>
      <c r="H675" t="s">
        <v>72</v>
      </c>
      <c r="I675" s="1" t="s">
        <v>224</v>
      </c>
      <c r="J675" s="1" t="s">
        <v>216</v>
      </c>
      <c r="K675" s="9">
        <v>35.119999999999997</v>
      </c>
      <c r="L675" t="s">
        <v>21</v>
      </c>
      <c r="M675">
        <f t="shared" si="46"/>
        <v>3.5119999999999998E-2</v>
      </c>
      <c r="N675">
        <f t="shared" si="45"/>
        <v>10.90138848</v>
      </c>
    </row>
    <row r="676" spans="1:14" x14ac:dyDescent="0.3">
      <c r="A676" s="1" t="s">
        <v>41</v>
      </c>
      <c r="B676">
        <v>6</v>
      </c>
      <c r="C676">
        <v>12</v>
      </c>
      <c r="D676" t="s">
        <v>71</v>
      </c>
      <c r="E676">
        <v>11000000</v>
      </c>
      <c r="F676">
        <f t="shared" si="47"/>
        <v>11000000</v>
      </c>
      <c r="G676">
        <f t="shared" si="48"/>
        <v>35437.687658664196</v>
      </c>
      <c r="H676" t="s">
        <v>72</v>
      </c>
      <c r="I676" s="1" t="s">
        <v>224</v>
      </c>
      <c r="J676" s="1" t="s">
        <v>216</v>
      </c>
      <c r="K676" s="9">
        <v>16.54</v>
      </c>
      <c r="L676" t="s">
        <v>21</v>
      </c>
      <c r="M676">
        <f t="shared" si="46"/>
        <v>1.6539999999999999E-2</v>
      </c>
      <c r="N676">
        <f t="shared" si="45"/>
        <v>5.1340821599999993</v>
      </c>
    </row>
    <row r="677" spans="1:14" x14ac:dyDescent="0.3">
      <c r="A677" s="1" t="s">
        <v>41</v>
      </c>
      <c r="B677">
        <v>6</v>
      </c>
      <c r="C677">
        <v>12</v>
      </c>
      <c r="D677" t="s">
        <v>71</v>
      </c>
      <c r="E677">
        <v>11000000</v>
      </c>
      <c r="F677">
        <f t="shared" si="47"/>
        <v>11000000</v>
      </c>
      <c r="G677">
        <f t="shared" si="48"/>
        <v>35437.687658664196</v>
      </c>
      <c r="H677" t="s">
        <v>72</v>
      </c>
      <c r="I677" s="1" t="s">
        <v>224</v>
      </c>
      <c r="J677" s="1" t="s">
        <v>216</v>
      </c>
      <c r="K677" s="9">
        <v>19.809999999999999</v>
      </c>
      <c r="L677" t="s">
        <v>21</v>
      </c>
      <c r="M677">
        <f t="shared" si="46"/>
        <v>1.9809999999999998E-2</v>
      </c>
      <c r="N677">
        <f t="shared" si="45"/>
        <v>6.1491032399999987</v>
      </c>
    </row>
    <row r="678" spans="1:14" x14ac:dyDescent="0.3">
      <c r="A678" s="1" t="s">
        <v>41</v>
      </c>
      <c r="B678">
        <v>6</v>
      </c>
      <c r="C678">
        <v>12</v>
      </c>
      <c r="D678" t="s">
        <v>71</v>
      </c>
      <c r="E678">
        <v>11000000</v>
      </c>
      <c r="F678">
        <f t="shared" si="47"/>
        <v>11000000</v>
      </c>
      <c r="G678">
        <f t="shared" si="48"/>
        <v>35437.687658664196</v>
      </c>
      <c r="H678" t="s">
        <v>72</v>
      </c>
      <c r="I678" s="1" t="s">
        <v>224</v>
      </c>
      <c r="J678" s="1" t="s">
        <v>216</v>
      </c>
      <c r="K678" s="9">
        <v>14.29</v>
      </c>
      <c r="L678" t="s">
        <v>21</v>
      </c>
      <c r="M678">
        <f t="shared" si="46"/>
        <v>1.4289999999999999E-2</v>
      </c>
      <c r="N678">
        <f t="shared" si="45"/>
        <v>4.4356731599999994</v>
      </c>
    </row>
    <row r="679" spans="1:14" x14ac:dyDescent="0.3">
      <c r="A679" s="1" t="s">
        <v>41</v>
      </c>
      <c r="B679">
        <v>6</v>
      </c>
      <c r="C679">
        <v>12</v>
      </c>
      <c r="D679" t="s">
        <v>71</v>
      </c>
      <c r="E679">
        <v>11000000</v>
      </c>
      <c r="F679">
        <f t="shared" si="47"/>
        <v>11000000</v>
      </c>
      <c r="G679">
        <f t="shared" si="48"/>
        <v>35437.687658664196</v>
      </c>
      <c r="H679" t="s">
        <v>72</v>
      </c>
      <c r="I679" s="1" t="s">
        <v>224</v>
      </c>
      <c r="J679" s="1" t="s">
        <v>216</v>
      </c>
      <c r="K679" s="9">
        <v>34.090000000000003</v>
      </c>
      <c r="L679" t="s">
        <v>21</v>
      </c>
      <c r="M679">
        <f t="shared" si="46"/>
        <v>3.4090000000000002E-2</v>
      </c>
      <c r="N679">
        <f t="shared" si="45"/>
        <v>10.581672359999999</v>
      </c>
    </row>
    <row r="680" spans="1:14" x14ac:dyDescent="0.3">
      <c r="A680" s="1" t="s">
        <v>41</v>
      </c>
      <c r="B680">
        <v>6</v>
      </c>
      <c r="C680">
        <v>12</v>
      </c>
      <c r="D680" t="s">
        <v>71</v>
      </c>
      <c r="E680">
        <v>11000000</v>
      </c>
      <c r="F680">
        <f t="shared" si="47"/>
        <v>11000000</v>
      </c>
      <c r="G680">
        <f t="shared" si="48"/>
        <v>35437.687658664196</v>
      </c>
      <c r="H680" t="s">
        <v>72</v>
      </c>
      <c r="I680" s="1" t="s">
        <v>224</v>
      </c>
      <c r="J680" s="1" t="s">
        <v>216</v>
      </c>
      <c r="K680" s="9">
        <v>20.07</v>
      </c>
      <c r="L680" t="s">
        <v>21</v>
      </c>
      <c r="M680">
        <f t="shared" si="46"/>
        <v>2.0070000000000001E-2</v>
      </c>
      <c r="N680">
        <f t="shared" si="45"/>
        <v>6.2298082799999994</v>
      </c>
    </row>
    <row r="681" spans="1:14" x14ac:dyDescent="0.3">
      <c r="A681" s="1" t="s">
        <v>41</v>
      </c>
      <c r="B681">
        <v>6</v>
      </c>
      <c r="C681">
        <v>12</v>
      </c>
      <c r="D681" t="s">
        <v>71</v>
      </c>
      <c r="E681">
        <v>11000000</v>
      </c>
      <c r="F681">
        <f t="shared" si="47"/>
        <v>11000000</v>
      </c>
      <c r="G681">
        <f t="shared" si="48"/>
        <v>35437.687658664196</v>
      </c>
      <c r="H681" t="s">
        <v>72</v>
      </c>
      <c r="I681" s="1" t="s">
        <v>224</v>
      </c>
      <c r="J681" s="1" t="s">
        <v>216</v>
      </c>
      <c r="K681" s="9">
        <v>57.54</v>
      </c>
      <c r="L681" t="s">
        <v>21</v>
      </c>
      <c r="M681">
        <f t="shared" si="46"/>
        <v>5.7540000000000001E-2</v>
      </c>
      <c r="N681">
        <f t="shared" si="45"/>
        <v>17.860646159999998</v>
      </c>
    </row>
    <row r="682" spans="1:14" x14ac:dyDescent="0.3">
      <c r="A682" s="1" t="s">
        <v>41</v>
      </c>
      <c r="B682">
        <v>6</v>
      </c>
      <c r="C682">
        <v>12</v>
      </c>
      <c r="D682" t="s">
        <v>71</v>
      </c>
      <c r="E682">
        <v>11000000</v>
      </c>
      <c r="F682">
        <f t="shared" si="47"/>
        <v>11000000</v>
      </c>
      <c r="G682">
        <f t="shared" si="48"/>
        <v>35437.687658664196</v>
      </c>
      <c r="H682" t="s">
        <v>72</v>
      </c>
      <c r="I682" s="1" t="s">
        <v>224</v>
      </c>
      <c r="J682" s="1" t="s">
        <v>216</v>
      </c>
      <c r="K682" s="9">
        <v>69.53</v>
      </c>
      <c r="L682" t="s">
        <v>21</v>
      </c>
      <c r="M682">
        <f t="shared" si="46"/>
        <v>6.9529999999999995E-2</v>
      </c>
      <c r="N682">
        <f t="shared" si="45"/>
        <v>21.582390119999996</v>
      </c>
    </row>
    <row r="683" spans="1:14" x14ac:dyDescent="0.3">
      <c r="A683" s="1" t="s">
        <v>41</v>
      </c>
      <c r="B683">
        <v>6</v>
      </c>
      <c r="C683">
        <v>12</v>
      </c>
      <c r="D683" t="s">
        <v>71</v>
      </c>
      <c r="E683">
        <v>11000000</v>
      </c>
      <c r="F683">
        <f t="shared" si="47"/>
        <v>11000000</v>
      </c>
      <c r="G683">
        <f t="shared" si="48"/>
        <v>35437.687658664196</v>
      </c>
      <c r="H683" t="s">
        <v>72</v>
      </c>
      <c r="I683" s="1" t="s">
        <v>224</v>
      </c>
      <c r="J683" s="1" t="s">
        <v>216</v>
      </c>
      <c r="K683" s="9" t="s">
        <v>20</v>
      </c>
      <c r="L683" t="s">
        <v>21</v>
      </c>
      <c r="M683" t="str">
        <f t="shared" si="46"/>
        <v>ND</v>
      </c>
      <c r="N683" t="str">
        <f t="shared" si="45"/>
        <v>ND</v>
      </c>
    </row>
    <row r="684" spans="1:14" x14ac:dyDescent="0.3">
      <c r="A684" s="1" t="s">
        <v>41</v>
      </c>
      <c r="B684">
        <v>6</v>
      </c>
      <c r="C684">
        <v>12</v>
      </c>
      <c r="D684" t="s">
        <v>71</v>
      </c>
      <c r="E684">
        <v>11000000</v>
      </c>
      <c r="F684">
        <f t="shared" si="47"/>
        <v>11000000</v>
      </c>
      <c r="G684">
        <f t="shared" si="48"/>
        <v>35437.687658664196</v>
      </c>
      <c r="H684" t="s">
        <v>72</v>
      </c>
      <c r="I684" s="1" t="s">
        <v>224</v>
      </c>
      <c r="J684" s="1" t="s">
        <v>216</v>
      </c>
      <c r="K684" s="9" t="s">
        <v>20</v>
      </c>
      <c r="L684" t="s">
        <v>21</v>
      </c>
      <c r="M684" t="str">
        <f t="shared" si="46"/>
        <v>ND</v>
      </c>
      <c r="N684" t="str">
        <f t="shared" si="45"/>
        <v>ND</v>
      </c>
    </row>
    <row r="685" spans="1:14" x14ac:dyDescent="0.3">
      <c r="A685" s="1" t="s">
        <v>41</v>
      </c>
      <c r="B685">
        <v>6</v>
      </c>
      <c r="C685">
        <v>12</v>
      </c>
      <c r="D685" t="s">
        <v>71</v>
      </c>
      <c r="E685">
        <v>11000000</v>
      </c>
      <c r="F685">
        <f t="shared" si="47"/>
        <v>11000000</v>
      </c>
      <c r="G685">
        <f t="shared" si="48"/>
        <v>35437.687658664196</v>
      </c>
      <c r="H685" t="s">
        <v>72</v>
      </c>
      <c r="I685" s="1" t="s">
        <v>224</v>
      </c>
      <c r="J685" s="1" t="s">
        <v>216</v>
      </c>
      <c r="K685" s="9" t="s">
        <v>20</v>
      </c>
      <c r="L685" t="s">
        <v>21</v>
      </c>
      <c r="M685" t="str">
        <f t="shared" si="46"/>
        <v>ND</v>
      </c>
      <c r="N685" t="str">
        <f t="shared" si="45"/>
        <v>ND</v>
      </c>
    </row>
    <row r="686" spans="1:14" x14ac:dyDescent="0.3">
      <c r="A686" s="1" t="s">
        <v>41</v>
      </c>
      <c r="B686">
        <v>6</v>
      </c>
      <c r="C686">
        <v>12</v>
      </c>
      <c r="D686" t="s">
        <v>71</v>
      </c>
      <c r="E686">
        <v>11000000</v>
      </c>
      <c r="F686">
        <f t="shared" si="47"/>
        <v>11000000</v>
      </c>
      <c r="G686">
        <f t="shared" si="48"/>
        <v>35437.687658664196</v>
      </c>
      <c r="H686" t="s">
        <v>72</v>
      </c>
      <c r="I686" s="1" t="s">
        <v>224</v>
      </c>
      <c r="J686" s="1" t="s">
        <v>216</v>
      </c>
      <c r="K686" s="9" t="s">
        <v>20</v>
      </c>
      <c r="L686" t="s">
        <v>21</v>
      </c>
      <c r="M686" t="str">
        <f t="shared" si="46"/>
        <v>ND</v>
      </c>
      <c r="N686" t="str">
        <f t="shared" si="45"/>
        <v>ND</v>
      </c>
    </row>
    <row r="687" spans="1:14" x14ac:dyDescent="0.3">
      <c r="A687" s="1" t="s">
        <v>41</v>
      </c>
      <c r="B687">
        <v>6</v>
      </c>
      <c r="C687">
        <v>12</v>
      </c>
      <c r="D687" t="s">
        <v>71</v>
      </c>
      <c r="E687">
        <v>11000000</v>
      </c>
      <c r="F687">
        <f t="shared" si="47"/>
        <v>11000000</v>
      </c>
      <c r="G687">
        <f t="shared" si="48"/>
        <v>35437.687658664196</v>
      </c>
      <c r="H687" t="s">
        <v>72</v>
      </c>
      <c r="I687" s="1" t="s">
        <v>224</v>
      </c>
      <c r="J687" s="1" t="s">
        <v>216</v>
      </c>
      <c r="K687" s="9" t="s">
        <v>20</v>
      </c>
      <c r="L687" t="s">
        <v>21</v>
      </c>
      <c r="M687" t="str">
        <f t="shared" si="46"/>
        <v>ND</v>
      </c>
      <c r="N687" t="str">
        <f t="shared" si="45"/>
        <v>ND</v>
      </c>
    </row>
    <row r="688" spans="1:14" x14ac:dyDescent="0.3">
      <c r="A688" s="1" t="s">
        <v>41</v>
      </c>
      <c r="B688">
        <v>6</v>
      </c>
      <c r="C688">
        <v>12</v>
      </c>
      <c r="D688" t="s">
        <v>71</v>
      </c>
      <c r="E688">
        <v>11000000</v>
      </c>
      <c r="F688">
        <f t="shared" si="47"/>
        <v>11000000</v>
      </c>
      <c r="G688">
        <f t="shared" si="48"/>
        <v>35437.687658664196</v>
      </c>
      <c r="H688" t="s">
        <v>72</v>
      </c>
      <c r="I688" s="1" t="s">
        <v>224</v>
      </c>
      <c r="J688" s="1" t="s">
        <v>216</v>
      </c>
      <c r="K688" s="9" t="s">
        <v>20</v>
      </c>
      <c r="L688" t="s">
        <v>21</v>
      </c>
      <c r="M688" t="str">
        <f t="shared" si="46"/>
        <v>ND</v>
      </c>
      <c r="N688" t="str">
        <f t="shared" si="45"/>
        <v>ND</v>
      </c>
    </row>
    <row r="689" spans="1:14" x14ac:dyDescent="0.3">
      <c r="A689" s="1" t="s">
        <v>41</v>
      </c>
      <c r="B689">
        <v>6</v>
      </c>
      <c r="C689">
        <v>12</v>
      </c>
      <c r="D689" t="s">
        <v>71</v>
      </c>
      <c r="E689">
        <v>11000000</v>
      </c>
      <c r="F689">
        <f t="shared" si="47"/>
        <v>11000000</v>
      </c>
      <c r="G689">
        <f t="shared" si="48"/>
        <v>35437.687658664196</v>
      </c>
      <c r="H689" t="s">
        <v>72</v>
      </c>
      <c r="I689" s="1" t="s">
        <v>224</v>
      </c>
      <c r="J689" s="1" t="s">
        <v>216</v>
      </c>
      <c r="K689" s="9" t="s">
        <v>20</v>
      </c>
      <c r="L689" t="s">
        <v>21</v>
      </c>
      <c r="M689" t="str">
        <f t="shared" si="46"/>
        <v>ND</v>
      </c>
      <c r="N689" t="str">
        <f t="shared" si="45"/>
        <v>ND</v>
      </c>
    </row>
    <row r="690" spans="1:14" x14ac:dyDescent="0.3">
      <c r="A690" s="1" t="s">
        <v>41</v>
      </c>
      <c r="B690">
        <v>6</v>
      </c>
      <c r="C690">
        <v>12</v>
      </c>
      <c r="D690" t="s">
        <v>71</v>
      </c>
      <c r="E690">
        <v>11000000</v>
      </c>
      <c r="F690">
        <f t="shared" si="47"/>
        <v>11000000</v>
      </c>
      <c r="G690">
        <f t="shared" si="48"/>
        <v>35437.687658664196</v>
      </c>
      <c r="H690" t="s">
        <v>72</v>
      </c>
      <c r="I690" s="1" t="s">
        <v>224</v>
      </c>
      <c r="J690" s="1" t="s">
        <v>216</v>
      </c>
      <c r="K690" s="9" t="s">
        <v>20</v>
      </c>
      <c r="L690" t="s">
        <v>21</v>
      </c>
      <c r="M690" t="str">
        <f t="shared" si="46"/>
        <v>ND</v>
      </c>
      <c r="N690" t="str">
        <f t="shared" si="45"/>
        <v>ND</v>
      </c>
    </row>
    <row r="691" spans="1:14" x14ac:dyDescent="0.3">
      <c r="A691" s="1" t="s">
        <v>41</v>
      </c>
      <c r="B691">
        <v>6</v>
      </c>
      <c r="C691">
        <v>12</v>
      </c>
      <c r="D691" t="s">
        <v>71</v>
      </c>
      <c r="E691">
        <v>11000000</v>
      </c>
      <c r="F691">
        <f t="shared" si="47"/>
        <v>11000000</v>
      </c>
      <c r="G691">
        <f t="shared" si="48"/>
        <v>35437.687658664196</v>
      </c>
      <c r="H691" t="s">
        <v>72</v>
      </c>
      <c r="I691" s="1" t="s">
        <v>224</v>
      </c>
      <c r="J691" s="1" t="s">
        <v>216</v>
      </c>
      <c r="K691" s="9" t="s">
        <v>20</v>
      </c>
      <c r="L691" t="s">
        <v>21</v>
      </c>
      <c r="M691" t="str">
        <f t="shared" si="46"/>
        <v>ND</v>
      </c>
      <c r="N691" t="str">
        <f t="shared" si="45"/>
        <v>ND</v>
      </c>
    </row>
    <row r="692" spans="1:14" x14ac:dyDescent="0.3">
      <c r="A692" s="1" t="s">
        <v>41</v>
      </c>
      <c r="B692">
        <v>6</v>
      </c>
      <c r="C692">
        <v>12</v>
      </c>
      <c r="D692" t="s">
        <v>71</v>
      </c>
      <c r="E692">
        <v>11000000</v>
      </c>
      <c r="F692">
        <f t="shared" si="47"/>
        <v>11000000</v>
      </c>
      <c r="G692">
        <f t="shared" si="48"/>
        <v>35437.687658664196</v>
      </c>
      <c r="H692" t="s">
        <v>72</v>
      </c>
      <c r="I692" s="1" t="s">
        <v>224</v>
      </c>
      <c r="J692" s="1" t="s">
        <v>216</v>
      </c>
      <c r="K692" s="9">
        <v>201.68</v>
      </c>
      <c r="L692" t="s">
        <v>21</v>
      </c>
      <c r="M692">
        <f t="shared" si="46"/>
        <v>0.20168</v>
      </c>
      <c r="N692">
        <f t="shared" si="45"/>
        <v>62.602278719999994</v>
      </c>
    </row>
    <row r="693" spans="1:14" x14ac:dyDescent="0.3">
      <c r="A693" s="1" t="s">
        <v>41</v>
      </c>
      <c r="B693">
        <v>6</v>
      </c>
      <c r="C693">
        <v>12</v>
      </c>
      <c r="D693" t="s">
        <v>71</v>
      </c>
      <c r="E693">
        <v>11000000</v>
      </c>
      <c r="F693">
        <f t="shared" si="47"/>
        <v>11000000</v>
      </c>
      <c r="G693">
        <f t="shared" si="48"/>
        <v>35437.687658664196</v>
      </c>
      <c r="H693" t="s">
        <v>72</v>
      </c>
      <c r="I693" s="1" t="s">
        <v>224</v>
      </c>
      <c r="J693" s="1" t="s">
        <v>216</v>
      </c>
      <c r="K693" s="9">
        <v>336.83</v>
      </c>
      <c r="L693" t="s">
        <v>21</v>
      </c>
      <c r="M693">
        <f t="shared" si="46"/>
        <v>0.33682999999999996</v>
      </c>
      <c r="N693">
        <f t="shared" si="45"/>
        <v>104.55337931999998</v>
      </c>
    </row>
    <row r="694" spans="1:14" x14ac:dyDescent="0.3">
      <c r="A694" s="1" t="s">
        <v>41</v>
      </c>
      <c r="B694">
        <v>6</v>
      </c>
      <c r="C694">
        <v>12</v>
      </c>
      <c r="D694" t="s">
        <v>71</v>
      </c>
      <c r="E694">
        <v>11000000</v>
      </c>
      <c r="F694">
        <f t="shared" si="47"/>
        <v>11000000</v>
      </c>
      <c r="G694">
        <f t="shared" si="48"/>
        <v>35437.687658664196</v>
      </c>
      <c r="H694" t="s">
        <v>72</v>
      </c>
      <c r="I694" s="1" t="s">
        <v>224</v>
      </c>
      <c r="J694" s="1" t="s">
        <v>216</v>
      </c>
      <c r="K694" s="9">
        <v>285.5</v>
      </c>
      <c r="L694" t="s">
        <v>21</v>
      </c>
      <c r="M694">
        <f t="shared" si="46"/>
        <v>0.28549999999999998</v>
      </c>
      <c r="N694">
        <f t="shared" si="45"/>
        <v>88.62034199999998</v>
      </c>
    </row>
    <row r="695" spans="1:14" x14ac:dyDescent="0.3">
      <c r="A695" s="1" t="s">
        <v>41</v>
      </c>
      <c r="B695">
        <v>6</v>
      </c>
      <c r="C695">
        <v>12</v>
      </c>
      <c r="D695" t="s">
        <v>71</v>
      </c>
      <c r="E695">
        <v>11000000</v>
      </c>
      <c r="F695">
        <f t="shared" si="47"/>
        <v>11000000</v>
      </c>
      <c r="G695">
        <f t="shared" si="48"/>
        <v>35437.687658664196</v>
      </c>
      <c r="H695" t="s">
        <v>72</v>
      </c>
      <c r="I695" s="1" t="s">
        <v>224</v>
      </c>
      <c r="J695" s="1" t="s">
        <v>216</v>
      </c>
      <c r="K695" s="9">
        <v>171</v>
      </c>
      <c r="L695" t="s">
        <v>21</v>
      </c>
      <c r="M695">
        <f t="shared" si="46"/>
        <v>0.17100000000000001</v>
      </c>
      <c r="N695">
        <f t="shared" si="45"/>
        <v>53.079084000000002</v>
      </c>
    </row>
    <row r="696" spans="1:14" x14ac:dyDescent="0.3">
      <c r="A696" s="1" t="s">
        <v>41</v>
      </c>
      <c r="B696">
        <v>6</v>
      </c>
      <c r="C696">
        <v>12</v>
      </c>
      <c r="D696" t="s">
        <v>71</v>
      </c>
      <c r="E696">
        <v>11000000</v>
      </c>
      <c r="F696">
        <f t="shared" si="47"/>
        <v>11000000</v>
      </c>
      <c r="G696">
        <f t="shared" si="48"/>
        <v>35437.687658664196</v>
      </c>
      <c r="H696" t="s">
        <v>72</v>
      </c>
      <c r="I696" s="1" t="s">
        <v>224</v>
      </c>
      <c r="J696" s="1" t="s">
        <v>216</v>
      </c>
      <c r="K696" s="9">
        <v>145</v>
      </c>
      <c r="L696" t="s">
        <v>21</v>
      </c>
      <c r="M696">
        <f t="shared" si="46"/>
        <v>0.14499999999999999</v>
      </c>
      <c r="N696">
        <f t="shared" si="45"/>
        <v>45.008579999999995</v>
      </c>
    </row>
    <row r="697" spans="1:14" x14ac:dyDescent="0.3">
      <c r="A697" s="1" t="s">
        <v>41</v>
      </c>
      <c r="B697">
        <v>6</v>
      </c>
      <c r="C697">
        <v>12</v>
      </c>
      <c r="D697" t="s">
        <v>71</v>
      </c>
      <c r="E697">
        <v>11000000</v>
      </c>
      <c r="F697">
        <f t="shared" si="47"/>
        <v>11000000</v>
      </c>
      <c r="G697">
        <f t="shared" si="48"/>
        <v>35437.687658664196</v>
      </c>
      <c r="H697" t="s">
        <v>72</v>
      </c>
      <c r="I697" s="1" t="s">
        <v>224</v>
      </c>
      <c r="J697" s="1" t="s">
        <v>216</v>
      </c>
      <c r="K697" s="9">
        <v>123</v>
      </c>
      <c r="L697" t="s">
        <v>21</v>
      </c>
      <c r="M697">
        <f t="shared" si="46"/>
        <v>0.123</v>
      </c>
      <c r="N697">
        <f t="shared" si="45"/>
        <v>38.179691999999996</v>
      </c>
    </row>
    <row r="698" spans="1:14" x14ac:dyDescent="0.3">
      <c r="A698" s="1" t="s">
        <v>41</v>
      </c>
      <c r="B698">
        <v>6</v>
      </c>
      <c r="C698">
        <v>12</v>
      </c>
      <c r="D698" t="s">
        <v>71</v>
      </c>
      <c r="E698">
        <v>11000000</v>
      </c>
      <c r="F698">
        <f t="shared" si="47"/>
        <v>11000000</v>
      </c>
      <c r="G698">
        <f t="shared" si="48"/>
        <v>35437.687658664196</v>
      </c>
      <c r="H698" t="s">
        <v>72</v>
      </c>
      <c r="I698" s="1" t="s">
        <v>224</v>
      </c>
      <c r="J698" s="1" t="s">
        <v>216</v>
      </c>
      <c r="K698" s="9">
        <v>106.37</v>
      </c>
      <c r="L698" t="s">
        <v>21</v>
      </c>
      <c r="M698">
        <f t="shared" si="46"/>
        <v>0.10637000000000001</v>
      </c>
      <c r="N698">
        <f t="shared" si="45"/>
        <v>33.017673479999999</v>
      </c>
    </row>
    <row r="699" spans="1:14" x14ac:dyDescent="0.3">
      <c r="A699" s="1" t="s">
        <v>41</v>
      </c>
      <c r="B699">
        <v>6</v>
      </c>
      <c r="C699">
        <v>12</v>
      </c>
      <c r="D699" t="s">
        <v>71</v>
      </c>
      <c r="E699">
        <v>11000000</v>
      </c>
      <c r="F699">
        <f t="shared" si="47"/>
        <v>11000000</v>
      </c>
      <c r="G699">
        <f t="shared" si="48"/>
        <v>35437.687658664196</v>
      </c>
      <c r="H699" t="s">
        <v>72</v>
      </c>
      <c r="I699" s="1" t="s">
        <v>224</v>
      </c>
      <c r="J699" s="1" t="s">
        <v>216</v>
      </c>
      <c r="K699" s="9" t="s">
        <v>20</v>
      </c>
      <c r="L699" t="s">
        <v>21</v>
      </c>
      <c r="M699" t="str">
        <f t="shared" si="46"/>
        <v>ND</v>
      </c>
      <c r="N699" t="str">
        <f t="shared" si="45"/>
        <v>ND</v>
      </c>
    </row>
    <row r="700" spans="1:14" x14ac:dyDescent="0.3">
      <c r="A700" s="1" t="s">
        <v>41</v>
      </c>
      <c r="B700">
        <v>6</v>
      </c>
      <c r="C700">
        <v>12</v>
      </c>
      <c r="D700" t="s">
        <v>71</v>
      </c>
      <c r="E700">
        <v>11000000</v>
      </c>
      <c r="F700">
        <f t="shared" si="47"/>
        <v>11000000</v>
      </c>
      <c r="G700">
        <f t="shared" si="48"/>
        <v>35437.687658664196</v>
      </c>
      <c r="H700" t="s">
        <v>72</v>
      </c>
      <c r="I700" s="1" t="s">
        <v>224</v>
      </c>
      <c r="J700" s="1" t="s">
        <v>216</v>
      </c>
      <c r="K700" s="9">
        <v>9.5</v>
      </c>
      <c r="L700" t="s">
        <v>21</v>
      </c>
      <c r="M700">
        <f t="shared" si="46"/>
        <v>9.4999999999999998E-3</v>
      </c>
      <c r="N700">
        <f t="shared" si="45"/>
        <v>2.9488379999999998</v>
      </c>
    </row>
    <row r="701" spans="1:14" x14ac:dyDescent="0.3">
      <c r="A701" s="1" t="s">
        <v>41</v>
      </c>
      <c r="B701">
        <v>6</v>
      </c>
      <c r="C701">
        <v>12</v>
      </c>
      <c r="D701" t="s">
        <v>71</v>
      </c>
      <c r="E701">
        <v>11000000</v>
      </c>
      <c r="F701">
        <f t="shared" si="47"/>
        <v>11000000</v>
      </c>
      <c r="G701">
        <f t="shared" si="48"/>
        <v>35437.687658664196</v>
      </c>
      <c r="H701" t="s">
        <v>72</v>
      </c>
      <c r="I701" s="1" t="s">
        <v>224</v>
      </c>
      <c r="J701" s="1" t="s">
        <v>216</v>
      </c>
      <c r="K701" s="9" t="s">
        <v>20</v>
      </c>
      <c r="L701" t="s">
        <v>21</v>
      </c>
      <c r="M701" t="str">
        <f t="shared" si="46"/>
        <v>ND</v>
      </c>
      <c r="N701" t="str">
        <f t="shared" si="45"/>
        <v>ND</v>
      </c>
    </row>
    <row r="702" spans="1:14" x14ac:dyDescent="0.3">
      <c r="A702" s="1" t="s">
        <v>41</v>
      </c>
      <c r="B702">
        <v>6</v>
      </c>
      <c r="C702">
        <v>12</v>
      </c>
      <c r="D702" t="s">
        <v>71</v>
      </c>
      <c r="E702">
        <v>11000000</v>
      </c>
      <c r="F702">
        <f t="shared" si="47"/>
        <v>11000000</v>
      </c>
      <c r="G702">
        <f t="shared" si="48"/>
        <v>35437.687658664196</v>
      </c>
      <c r="H702" t="s">
        <v>72</v>
      </c>
      <c r="I702" s="1" t="s">
        <v>224</v>
      </c>
      <c r="J702" s="1" t="s">
        <v>216</v>
      </c>
      <c r="K702" s="9" t="s">
        <v>20</v>
      </c>
      <c r="L702" t="s">
        <v>21</v>
      </c>
      <c r="M702" t="str">
        <f t="shared" si="46"/>
        <v>ND</v>
      </c>
      <c r="N702" t="str">
        <f t="shared" si="45"/>
        <v>ND</v>
      </c>
    </row>
    <row r="703" spans="1:14" x14ac:dyDescent="0.3">
      <c r="A703" s="1" t="s">
        <v>41</v>
      </c>
      <c r="B703">
        <v>6</v>
      </c>
      <c r="C703">
        <v>12</v>
      </c>
      <c r="D703" t="s">
        <v>71</v>
      </c>
      <c r="E703">
        <v>11000000</v>
      </c>
      <c r="F703">
        <f t="shared" si="47"/>
        <v>11000000</v>
      </c>
      <c r="G703">
        <f t="shared" si="48"/>
        <v>35437.687658664196</v>
      </c>
      <c r="H703" t="s">
        <v>72</v>
      </c>
      <c r="I703" s="1" t="s">
        <v>224</v>
      </c>
      <c r="J703" s="1" t="s">
        <v>216</v>
      </c>
      <c r="K703" s="9" t="s">
        <v>20</v>
      </c>
      <c r="L703" t="s">
        <v>21</v>
      </c>
      <c r="M703" t="str">
        <f t="shared" si="46"/>
        <v>ND</v>
      </c>
      <c r="N703" t="str">
        <f t="shared" si="45"/>
        <v>ND</v>
      </c>
    </row>
    <row r="704" spans="1:14" x14ac:dyDescent="0.3">
      <c r="A704" s="1" t="s">
        <v>41</v>
      </c>
      <c r="B704">
        <v>6</v>
      </c>
      <c r="C704">
        <v>12</v>
      </c>
      <c r="D704" t="s">
        <v>71</v>
      </c>
      <c r="E704">
        <v>11000000</v>
      </c>
      <c r="F704">
        <f t="shared" si="47"/>
        <v>11000000</v>
      </c>
      <c r="G704">
        <f t="shared" si="48"/>
        <v>35437.687658664196</v>
      </c>
      <c r="H704" t="s">
        <v>72</v>
      </c>
      <c r="I704" s="1" t="s">
        <v>224</v>
      </c>
      <c r="J704" s="1" t="s">
        <v>216</v>
      </c>
      <c r="K704" s="9">
        <v>1.34</v>
      </c>
      <c r="L704" t="s">
        <v>21</v>
      </c>
      <c r="M704">
        <f t="shared" si="46"/>
        <v>1.34E-3</v>
      </c>
      <c r="N704">
        <f t="shared" si="45"/>
        <v>0.41594135999999998</v>
      </c>
    </row>
    <row r="705" spans="1:14" x14ac:dyDescent="0.3">
      <c r="A705" s="1" t="s">
        <v>41</v>
      </c>
      <c r="B705">
        <v>6</v>
      </c>
      <c r="C705">
        <v>12</v>
      </c>
      <c r="D705" t="s">
        <v>71</v>
      </c>
      <c r="E705">
        <v>11000000</v>
      </c>
      <c r="F705">
        <f t="shared" si="47"/>
        <v>11000000</v>
      </c>
      <c r="G705">
        <f t="shared" si="48"/>
        <v>35437.687658664196</v>
      </c>
      <c r="H705" t="s">
        <v>72</v>
      </c>
      <c r="I705" s="1" t="s">
        <v>224</v>
      </c>
      <c r="J705" s="1" t="s">
        <v>216</v>
      </c>
      <c r="K705" s="9">
        <v>28.79</v>
      </c>
      <c r="L705" t="s">
        <v>21</v>
      </c>
      <c r="M705">
        <f t="shared" si="46"/>
        <v>2.879E-2</v>
      </c>
      <c r="N705">
        <f t="shared" si="45"/>
        <v>8.9365311599999995</v>
      </c>
    </row>
    <row r="706" spans="1:14" x14ac:dyDescent="0.3">
      <c r="A706" s="1" t="s">
        <v>41</v>
      </c>
      <c r="B706">
        <v>6</v>
      </c>
      <c r="C706">
        <v>12</v>
      </c>
      <c r="D706" t="s">
        <v>71</v>
      </c>
      <c r="E706">
        <v>11000000</v>
      </c>
      <c r="F706">
        <f t="shared" si="47"/>
        <v>11000000</v>
      </c>
      <c r="G706">
        <f t="shared" si="48"/>
        <v>35437.687658664196</v>
      </c>
      <c r="H706" t="s">
        <v>72</v>
      </c>
      <c r="I706" s="1" t="s">
        <v>224</v>
      </c>
      <c r="J706" s="1" t="s">
        <v>216</v>
      </c>
      <c r="K706" s="9">
        <v>14.75</v>
      </c>
      <c r="L706" t="s">
        <v>21</v>
      </c>
      <c r="M706">
        <f t="shared" si="46"/>
        <v>1.4749999999999999E-2</v>
      </c>
      <c r="N706">
        <f t="shared" ref="N706:N769" si="49">IFERROR((M706*F706)/G706,"ND")</f>
        <v>4.5784589999999996</v>
      </c>
    </row>
    <row r="707" spans="1:14" x14ac:dyDescent="0.3">
      <c r="A707" s="1" t="s">
        <v>70</v>
      </c>
      <c r="B707">
        <v>6</v>
      </c>
      <c r="C707">
        <v>12</v>
      </c>
      <c r="D707" t="s">
        <v>71</v>
      </c>
      <c r="E707">
        <v>11000000</v>
      </c>
      <c r="F707">
        <f t="shared" si="47"/>
        <v>11000000</v>
      </c>
      <c r="G707">
        <f t="shared" si="48"/>
        <v>35437.687658664196</v>
      </c>
      <c r="H707" t="s">
        <v>72</v>
      </c>
      <c r="I707" s="1" t="s">
        <v>224</v>
      </c>
      <c r="J707" s="1" t="s">
        <v>216</v>
      </c>
      <c r="K707" s="9" t="s">
        <v>20</v>
      </c>
      <c r="L707" t="s">
        <v>21</v>
      </c>
      <c r="M707" t="str">
        <f t="shared" si="46"/>
        <v>ND</v>
      </c>
      <c r="N707" t="str">
        <f t="shared" si="49"/>
        <v>ND</v>
      </c>
    </row>
    <row r="708" spans="1:14" x14ac:dyDescent="0.3">
      <c r="A708" s="1" t="s">
        <v>70</v>
      </c>
      <c r="B708">
        <v>6</v>
      </c>
      <c r="C708">
        <v>12</v>
      </c>
      <c r="D708" t="s">
        <v>71</v>
      </c>
      <c r="E708">
        <v>11000000</v>
      </c>
      <c r="F708">
        <f t="shared" si="47"/>
        <v>11000000</v>
      </c>
      <c r="G708">
        <f t="shared" si="48"/>
        <v>35437.687658664196</v>
      </c>
      <c r="H708" t="s">
        <v>72</v>
      </c>
      <c r="I708" s="1" t="s">
        <v>224</v>
      </c>
      <c r="J708" s="1" t="s">
        <v>216</v>
      </c>
      <c r="K708" s="9" t="s">
        <v>20</v>
      </c>
      <c r="L708" t="s">
        <v>21</v>
      </c>
      <c r="M708" t="str">
        <f t="shared" si="46"/>
        <v>ND</v>
      </c>
      <c r="N708" t="str">
        <f t="shared" si="49"/>
        <v>ND</v>
      </c>
    </row>
    <row r="709" spans="1:14" x14ac:dyDescent="0.3">
      <c r="A709" s="1" t="s">
        <v>70</v>
      </c>
      <c r="B709">
        <v>6</v>
      </c>
      <c r="C709">
        <v>12</v>
      </c>
      <c r="D709" t="s">
        <v>71</v>
      </c>
      <c r="E709">
        <v>11000000</v>
      </c>
      <c r="F709">
        <f t="shared" si="47"/>
        <v>11000000</v>
      </c>
      <c r="G709">
        <f t="shared" si="48"/>
        <v>35437.687658664196</v>
      </c>
      <c r="H709" t="s">
        <v>72</v>
      </c>
      <c r="I709" s="1" t="s">
        <v>224</v>
      </c>
      <c r="J709" s="1" t="s">
        <v>216</v>
      </c>
      <c r="K709" s="9" t="s">
        <v>20</v>
      </c>
      <c r="L709" t="s">
        <v>21</v>
      </c>
      <c r="M709" t="str">
        <f t="shared" si="46"/>
        <v>ND</v>
      </c>
      <c r="N709" t="str">
        <f t="shared" si="49"/>
        <v>ND</v>
      </c>
    </row>
    <row r="710" spans="1:14" x14ac:dyDescent="0.3">
      <c r="A710" s="1" t="s">
        <v>70</v>
      </c>
      <c r="B710">
        <v>6</v>
      </c>
      <c r="C710">
        <v>12</v>
      </c>
      <c r="D710" t="s">
        <v>71</v>
      </c>
      <c r="E710">
        <v>11000000</v>
      </c>
      <c r="F710">
        <f t="shared" si="47"/>
        <v>11000000</v>
      </c>
      <c r="G710">
        <f t="shared" si="48"/>
        <v>35437.687658664196</v>
      </c>
      <c r="H710" t="s">
        <v>72</v>
      </c>
      <c r="I710" s="1" t="s">
        <v>224</v>
      </c>
      <c r="J710" s="1" t="s">
        <v>216</v>
      </c>
      <c r="K710" s="9" t="s">
        <v>20</v>
      </c>
      <c r="L710" t="s">
        <v>21</v>
      </c>
      <c r="M710" t="str">
        <f t="shared" si="46"/>
        <v>ND</v>
      </c>
      <c r="N710" t="str">
        <f t="shared" si="49"/>
        <v>ND</v>
      </c>
    </row>
    <row r="711" spans="1:14" x14ac:dyDescent="0.3">
      <c r="A711" s="1" t="s">
        <v>70</v>
      </c>
      <c r="B711">
        <v>6</v>
      </c>
      <c r="C711">
        <v>12</v>
      </c>
      <c r="D711" t="s">
        <v>71</v>
      </c>
      <c r="E711">
        <v>11000000</v>
      </c>
      <c r="F711">
        <f t="shared" si="47"/>
        <v>11000000</v>
      </c>
      <c r="G711">
        <f t="shared" si="48"/>
        <v>35437.687658664196</v>
      </c>
      <c r="H711" t="s">
        <v>72</v>
      </c>
      <c r="I711" s="1" t="s">
        <v>224</v>
      </c>
      <c r="J711" s="1" t="s">
        <v>216</v>
      </c>
      <c r="K711" s="9" t="s">
        <v>20</v>
      </c>
      <c r="L711" t="s">
        <v>21</v>
      </c>
      <c r="M711" t="str">
        <f t="shared" si="46"/>
        <v>ND</v>
      </c>
      <c r="N711" t="str">
        <f t="shared" si="49"/>
        <v>ND</v>
      </c>
    </row>
    <row r="712" spans="1:14" x14ac:dyDescent="0.3">
      <c r="A712" s="1" t="s">
        <v>70</v>
      </c>
      <c r="B712">
        <v>6</v>
      </c>
      <c r="C712">
        <v>12</v>
      </c>
      <c r="D712" t="s">
        <v>71</v>
      </c>
      <c r="E712">
        <v>11000000</v>
      </c>
      <c r="F712">
        <f t="shared" si="47"/>
        <v>11000000</v>
      </c>
      <c r="G712">
        <f t="shared" si="48"/>
        <v>35437.687658664196</v>
      </c>
      <c r="H712" t="s">
        <v>72</v>
      </c>
      <c r="I712" s="1" t="s">
        <v>224</v>
      </c>
      <c r="J712" s="1" t="s">
        <v>216</v>
      </c>
      <c r="K712" s="9" t="s">
        <v>20</v>
      </c>
      <c r="L712" t="s">
        <v>21</v>
      </c>
      <c r="M712" t="str">
        <f t="shared" si="46"/>
        <v>ND</v>
      </c>
      <c r="N712" t="str">
        <f t="shared" si="49"/>
        <v>ND</v>
      </c>
    </row>
    <row r="713" spans="1:14" x14ac:dyDescent="0.3">
      <c r="A713" s="1" t="s">
        <v>70</v>
      </c>
      <c r="B713">
        <v>6</v>
      </c>
      <c r="C713">
        <v>12</v>
      </c>
      <c r="D713" t="s">
        <v>71</v>
      </c>
      <c r="E713">
        <v>11000000</v>
      </c>
      <c r="F713">
        <f t="shared" si="47"/>
        <v>11000000</v>
      </c>
      <c r="G713">
        <f t="shared" si="48"/>
        <v>35437.687658664196</v>
      </c>
      <c r="H713" t="s">
        <v>72</v>
      </c>
      <c r="I713" s="1" t="s">
        <v>224</v>
      </c>
      <c r="J713" s="1" t="s">
        <v>216</v>
      </c>
      <c r="K713" s="9" t="s">
        <v>20</v>
      </c>
      <c r="L713" t="s">
        <v>21</v>
      </c>
      <c r="M713" t="str">
        <f t="shared" si="46"/>
        <v>ND</v>
      </c>
      <c r="N713" t="str">
        <f t="shared" si="49"/>
        <v>ND</v>
      </c>
    </row>
    <row r="714" spans="1:14" x14ac:dyDescent="0.3">
      <c r="A714" s="1" t="s">
        <v>70</v>
      </c>
      <c r="B714">
        <v>6</v>
      </c>
      <c r="C714">
        <v>12</v>
      </c>
      <c r="D714" t="s">
        <v>71</v>
      </c>
      <c r="E714">
        <v>11000000</v>
      </c>
      <c r="F714">
        <f t="shared" si="47"/>
        <v>11000000</v>
      </c>
      <c r="G714">
        <f t="shared" si="48"/>
        <v>35437.687658664196</v>
      </c>
      <c r="H714" t="s">
        <v>72</v>
      </c>
      <c r="I714" s="1" t="s">
        <v>224</v>
      </c>
      <c r="J714" s="1" t="s">
        <v>216</v>
      </c>
      <c r="K714" s="9" t="s">
        <v>20</v>
      </c>
      <c r="L714" t="s">
        <v>21</v>
      </c>
      <c r="M714" t="str">
        <f t="shared" si="46"/>
        <v>ND</v>
      </c>
      <c r="N714" t="str">
        <f t="shared" si="49"/>
        <v>ND</v>
      </c>
    </row>
    <row r="715" spans="1:14" x14ac:dyDescent="0.3">
      <c r="A715" s="1" t="s">
        <v>70</v>
      </c>
      <c r="B715">
        <v>6</v>
      </c>
      <c r="C715">
        <v>12</v>
      </c>
      <c r="D715" t="s">
        <v>71</v>
      </c>
      <c r="E715">
        <v>11000000</v>
      </c>
      <c r="F715">
        <f t="shared" si="47"/>
        <v>11000000</v>
      </c>
      <c r="G715">
        <f t="shared" si="48"/>
        <v>35437.687658664196</v>
      </c>
      <c r="H715" t="s">
        <v>72</v>
      </c>
      <c r="I715" s="1" t="s">
        <v>224</v>
      </c>
      <c r="J715" s="1" t="s">
        <v>216</v>
      </c>
      <c r="K715" s="9" t="s">
        <v>20</v>
      </c>
      <c r="L715" t="s">
        <v>21</v>
      </c>
      <c r="M715" t="str">
        <f t="shared" si="46"/>
        <v>ND</v>
      </c>
      <c r="N715" t="str">
        <f t="shared" si="49"/>
        <v>ND</v>
      </c>
    </row>
    <row r="716" spans="1:14" x14ac:dyDescent="0.3">
      <c r="A716" s="1" t="s">
        <v>70</v>
      </c>
      <c r="B716">
        <v>6</v>
      </c>
      <c r="C716">
        <v>12</v>
      </c>
      <c r="D716" t="s">
        <v>71</v>
      </c>
      <c r="E716">
        <v>11000000</v>
      </c>
      <c r="F716">
        <f t="shared" si="47"/>
        <v>11000000</v>
      </c>
      <c r="G716">
        <f t="shared" si="48"/>
        <v>35437.687658664196</v>
      </c>
      <c r="H716" t="s">
        <v>72</v>
      </c>
      <c r="I716" s="1" t="s">
        <v>224</v>
      </c>
      <c r="J716" s="1" t="s">
        <v>216</v>
      </c>
      <c r="K716" s="9" t="s">
        <v>20</v>
      </c>
      <c r="L716" t="s">
        <v>21</v>
      </c>
      <c r="M716" t="str">
        <f t="shared" si="46"/>
        <v>ND</v>
      </c>
      <c r="N716" t="str">
        <f t="shared" si="49"/>
        <v>ND</v>
      </c>
    </row>
    <row r="717" spans="1:14" x14ac:dyDescent="0.3">
      <c r="A717" s="1" t="s">
        <v>70</v>
      </c>
      <c r="B717">
        <v>6</v>
      </c>
      <c r="C717">
        <v>12</v>
      </c>
      <c r="D717" t="s">
        <v>71</v>
      </c>
      <c r="E717">
        <v>11000000</v>
      </c>
      <c r="F717">
        <f t="shared" si="47"/>
        <v>11000000</v>
      </c>
      <c r="G717">
        <f t="shared" si="48"/>
        <v>35437.687658664196</v>
      </c>
      <c r="H717" t="s">
        <v>72</v>
      </c>
      <c r="I717" s="1" t="s">
        <v>224</v>
      </c>
      <c r="J717" s="1" t="s">
        <v>216</v>
      </c>
      <c r="K717" s="9" t="s">
        <v>20</v>
      </c>
      <c r="L717" t="s">
        <v>21</v>
      </c>
      <c r="M717" t="str">
        <f t="shared" si="46"/>
        <v>ND</v>
      </c>
      <c r="N717" t="str">
        <f t="shared" si="49"/>
        <v>ND</v>
      </c>
    </row>
    <row r="718" spans="1:14" x14ac:dyDescent="0.3">
      <c r="A718" s="1" t="s">
        <v>70</v>
      </c>
      <c r="B718">
        <v>6</v>
      </c>
      <c r="C718">
        <v>12</v>
      </c>
      <c r="D718" t="s">
        <v>71</v>
      </c>
      <c r="E718">
        <v>11000000</v>
      </c>
      <c r="F718">
        <f t="shared" si="47"/>
        <v>11000000</v>
      </c>
      <c r="G718">
        <f t="shared" si="48"/>
        <v>35437.687658664196</v>
      </c>
      <c r="H718" t="s">
        <v>72</v>
      </c>
      <c r="I718" s="1" t="s">
        <v>224</v>
      </c>
      <c r="J718" s="1" t="s">
        <v>216</v>
      </c>
      <c r="K718" s="9" t="s">
        <v>20</v>
      </c>
      <c r="L718" t="s">
        <v>21</v>
      </c>
      <c r="M718" t="str">
        <f t="shared" si="46"/>
        <v>ND</v>
      </c>
      <c r="N718" t="str">
        <f t="shared" si="49"/>
        <v>ND</v>
      </c>
    </row>
    <row r="719" spans="1:14" x14ac:dyDescent="0.3">
      <c r="A719" s="1" t="s">
        <v>70</v>
      </c>
      <c r="B719">
        <v>6</v>
      </c>
      <c r="C719">
        <v>12</v>
      </c>
      <c r="D719" t="s">
        <v>71</v>
      </c>
      <c r="E719">
        <v>11000000</v>
      </c>
      <c r="F719">
        <f t="shared" si="47"/>
        <v>11000000</v>
      </c>
      <c r="G719">
        <f t="shared" si="48"/>
        <v>35437.687658664196</v>
      </c>
      <c r="H719" t="s">
        <v>72</v>
      </c>
      <c r="I719" s="1" t="s">
        <v>224</v>
      </c>
      <c r="J719" s="1" t="s">
        <v>216</v>
      </c>
      <c r="K719" s="9" t="s">
        <v>20</v>
      </c>
      <c r="L719" t="s">
        <v>21</v>
      </c>
      <c r="M719" t="str">
        <f t="shared" si="46"/>
        <v>ND</v>
      </c>
      <c r="N719" t="str">
        <f t="shared" si="49"/>
        <v>ND</v>
      </c>
    </row>
    <row r="720" spans="1:14" x14ac:dyDescent="0.3">
      <c r="A720" s="1" t="s">
        <v>70</v>
      </c>
      <c r="B720">
        <v>6</v>
      </c>
      <c r="C720">
        <v>12</v>
      </c>
      <c r="D720" t="s">
        <v>71</v>
      </c>
      <c r="E720">
        <v>11000000</v>
      </c>
      <c r="F720">
        <f t="shared" si="47"/>
        <v>11000000</v>
      </c>
      <c r="G720">
        <f t="shared" si="48"/>
        <v>35437.687658664196</v>
      </c>
      <c r="H720" t="s">
        <v>72</v>
      </c>
      <c r="I720" s="1" t="s">
        <v>224</v>
      </c>
      <c r="J720" s="1" t="s">
        <v>216</v>
      </c>
      <c r="K720" s="9" t="s">
        <v>20</v>
      </c>
      <c r="L720" t="s">
        <v>21</v>
      </c>
      <c r="M720" t="str">
        <f t="shared" si="46"/>
        <v>ND</v>
      </c>
      <c r="N720" t="str">
        <f t="shared" si="49"/>
        <v>ND</v>
      </c>
    </row>
    <row r="721" spans="1:14" x14ac:dyDescent="0.3">
      <c r="A721" s="1" t="s">
        <v>70</v>
      </c>
      <c r="B721">
        <v>6</v>
      </c>
      <c r="C721">
        <v>12</v>
      </c>
      <c r="D721" t="s">
        <v>71</v>
      </c>
      <c r="E721">
        <v>11000000</v>
      </c>
      <c r="F721">
        <f t="shared" si="47"/>
        <v>11000000</v>
      </c>
      <c r="G721">
        <f t="shared" si="48"/>
        <v>35437.687658664196</v>
      </c>
      <c r="H721" t="s">
        <v>72</v>
      </c>
      <c r="I721" s="1" t="s">
        <v>224</v>
      </c>
      <c r="J721" s="1" t="s">
        <v>216</v>
      </c>
      <c r="K721" s="9" t="s">
        <v>20</v>
      </c>
      <c r="L721" t="s">
        <v>21</v>
      </c>
      <c r="M721" t="str">
        <f t="shared" si="46"/>
        <v>ND</v>
      </c>
      <c r="N721" t="str">
        <f t="shared" si="49"/>
        <v>ND</v>
      </c>
    </row>
    <row r="722" spans="1:14" x14ac:dyDescent="0.3">
      <c r="A722" s="1" t="s">
        <v>70</v>
      </c>
      <c r="B722">
        <v>6</v>
      </c>
      <c r="C722">
        <v>12</v>
      </c>
      <c r="D722" t="s">
        <v>71</v>
      </c>
      <c r="E722">
        <v>11000000</v>
      </c>
      <c r="F722">
        <f t="shared" si="47"/>
        <v>11000000</v>
      </c>
      <c r="G722">
        <f t="shared" si="48"/>
        <v>35437.687658664196</v>
      </c>
      <c r="H722" t="s">
        <v>72</v>
      </c>
      <c r="I722" s="1" t="s">
        <v>224</v>
      </c>
      <c r="J722" s="1" t="s">
        <v>216</v>
      </c>
      <c r="K722" s="9" t="s">
        <v>20</v>
      </c>
      <c r="L722" t="s">
        <v>21</v>
      </c>
      <c r="M722" t="str">
        <f t="shared" si="46"/>
        <v>ND</v>
      </c>
      <c r="N722" t="str">
        <f t="shared" si="49"/>
        <v>ND</v>
      </c>
    </row>
    <row r="723" spans="1:14" x14ac:dyDescent="0.3">
      <c r="A723" s="1" t="s">
        <v>70</v>
      </c>
      <c r="B723">
        <v>6</v>
      </c>
      <c r="C723">
        <v>12</v>
      </c>
      <c r="D723" t="s">
        <v>71</v>
      </c>
      <c r="E723">
        <v>11000000</v>
      </c>
      <c r="F723">
        <f t="shared" si="47"/>
        <v>11000000</v>
      </c>
      <c r="G723">
        <f t="shared" si="48"/>
        <v>35437.687658664196</v>
      </c>
      <c r="H723" t="s">
        <v>72</v>
      </c>
      <c r="I723" s="1" t="s">
        <v>224</v>
      </c>
      <c r="J723" s="1" t="s">
        <v>216</v>
      </c>
      <c r="K723" s="9" t="s">
        <v>20</v>
      </c>
      <c r="L723" t="s">
        <v>21</v>
      </c>
      <c r="M723" t="str">
        <f t="shared" si="46"/>
        <v>ND</v>
      </c>
      <c r="N723" t="str">
        <f t="shared" si="49"/>
        <v>ND</v>
      </c>
    </row>
    <row r="724" spans="1:14" x14ac:dyDescent="0.3">
      <c r="A724" s="1" t="s">
        <v>70</v>
      </c>
      <c r="B724">
        <v>6</v>
      </c>
      <c r="C724">
        <v>12</v>
      </c>
      <c r="D724" t="s">
        <v>71</v>
      </c>
      <c r="E724">
        <v>11000000</v>
      </c>
      <c r="F724">
        <f t="shared" si="47"/>
        <v>11000000</v>
      </c>
      <c r="G724">
        <f t="shared" si="48"/>
        <v>35437.687658664196</v>
      </c>
      <c r="H724" t="s">
        <v>72</v>
      </c>
      <c r="I724" s="1" t="s">
        <v>224</v>
      </c>
      <c r="J724" s="1" t="s">
        <v>216</v>
      </c>
      <c r="K724" s="9" t="s">
        <v>20</v>
      </c>
      <c r="L724" t="s">
        <v>21</v>
      </c>
      <c r="M724" t="str">
        <f t="shared" si="46"/>
        <v>ND</v>
      </c>
      <c r="N724" t="str">
        <f t="shared" si="49"/>
        <v>ND</v>
      </c>
    </row>
    <row r="725" spans="1:14" x14ac:dyDescent="0.3">
      <c r="A725" s="1" t="s">
        <v>70</v>
      </c>
      <c r="B725">
        <v>6</v>
      </c>
      <c r="C725">
        <v>12</v>
      </c>
      <c r="D725" t="s">
        <v>71</v>
      </c>
      <c r="E725">
        <v>11000000</v>
      </c>
      <c r="F725">
        <f t="shared" si="47"/>
        <v>11000000</v>
      </c>
      <c r="G725">
        <f t="shared" si="48"/>
        <v>35437.687658664196</v>
      </c>
      <c r="H725" t="s">
        <v>72</v>
      </c>
      <c r="I725" s="1" t="s">
        <v>224</v>
      </c>
      <c r="J725" s="1" t="s">
        <v>216</v>
      </c>
      <c r="K725" s="9" t="s">
        <v>20</v>
      </c>
      <c r="L725" t="s">
        <v>21</v>
      </c>
      <c r="M725" t="str">
        <f t="shared" si="46"/>
        <v>ND</v>
      </c>
      <c r="N725" t="str">
        <f t="shared" si="49"/>
        <v>ND</v>
      </c>
    </row>
    <row r="726" spans="1:14" x14ac:dyDescent="0.3">
      <c r="A726" s="1" t="s">
        <v>70</v>
      </c>
      <c r="B726">
        <v>6</v>
      </c>
      <c r="C726">
        <v>12</v>
      </c>
      <c r="D726" t="s">
        <v>71</v>
      </c>
      <c r="E726">
        <v>11000000</v>
      </c>
      <c r="F726">
        <f t="shared" si="47"/>
        <v>11000000</v>
      </c>
      <c r="G726">
        <f t="shared" si="48"/>
        <v>35437.687658664196</v>
      </c>
      <c r="H726" t="s">
        <v>72</v>
      </c>
      <c r="I726" s="1" t="s">
        <v>224</v>
      </c>
      <c r="J726" s="1" t="s">
        <v>216</v>
      </c>
      <c r="K726" s="9" t="s">
        <v>20</v>
      </c>
      <c r="L726" t="s">
        <v>21</v>
      </c>
      <c r="M726" t="str">
        <f t="shared" si="46"/>
        <v>ND</v>
      </c>
      <c r="N726" t="str">
        <f t="shared" si="49"/>
        <v>ND</v>
      </c>
    </row>
    <row r="727" spans="1:14" x14ac:dyDescent="0.3">
      <c r="A727" s="1" t="s">
        <v>70</v>
      </c>
      <c r="B727">
        <v>6</v>
      </c>
      <c r="C727">
        <v>12</v>
      </c>
      <c r="D727" t="s">
        <v>71</v>
      </c>
      <c r="E727">
        <v>11000000</v>
      </c>
      <c r="F727">
        <f t="shared" si="47"/>
        <v>11000000</v>
      </c>
      <c r="G727">
        <f t="shared" si="48"/>
        <v>35437.687658664196</v>
      </c>
      <c r="H727" t="s">
        <v>72</v>
      </c>
      <c r="I727" s="1" t="s">
        <v>224</v>
      </c>
      <c r="J727" s="1" t="s">
        <v>216</v>
      </c>
      <c r="K727" s="9" t="s">
        <v>20</v>
      </c>
      <c r="L727" t="s">
        <v>21</v>
      </c>
      <c r="M727" t="str">
        <f t="shared" ref="M727:M790" si="50">IFERROR(K727/1000,"ND")</f>
        <v>ND</v>
      </c>
      <c r="N727" t="str">
        <f t="shared" si="49"/>
        <v>ND</v>
      </c>
    </row>
    <row r="728" spans="1:14" x14ac:dyDescent="0.3">
      <c r="A728" s="1" t="s">
        <v>70</v>
      </c>
      <c r="B728">
        <v>6</v>
      </c>
      <c r="C728">
        <v>12</v>
      </c>
      <c r="D728" t="s">
        <v>71</v>
      </c>
      <c r="E728">
        <v>11000000</v>
      </c>
      <c r="F728">
        <f t="shared" ref="F728:F756" si="51">E728</f>
        <v>11000000</v>
      </c>
      <c r="G728">
        <f t="shared" ref="G728:G791" si="52">F728/310.404</f>
        <v>35437.687658664196</v>
      </c>
      <c r="H728" t="s">
        <v>72</v>
      </c>
      <c r="I728" s="1" t="s">
        <v>224</v>
      </c>
      <c r="J728" s="1" t="s">
        <v>216</v>
      </c>
      <c r="K728" s="9" t="s">
        <v>20</v>
      </c>
      <c r="L728" t="s">
        <v>21</v>
      </c>
      <c r="M728" t="str">
        <f t="shared" si="50"/>
        <v>ND</v>
      </c>
      <c r="N728" t="str">
        <f t="shared" si="49"/>
        <v>ND</v>
      </c>
    </row>
    <row r="729" spans="1:14" x14ac:dyDescent="0.3">
      <c r="A729" s="1" t="s">
        <v>70</v>
      </c>
      <c r="B729">
        <v>6</v>
      </c>
      <c r="C729">
        <v>12</v>
      </c>
      <c r="D729" t="s">
        <v>71</v>
      </c>
      <c r="E729">
        <v>11000000</v>
      </c>
      <c r="F729">
        <f t="shared" si="51"/>
        <v>11000000</v>
      </c>
      <c r="G729">
        <f t="shared" si="52"/>
        <v>35437.687658664196</v>
      </c>
      <c r="H729" t="s">
        <v>72</v>
      </c>
      <c r="I729" s="1" t="s">
        <v>224</v>
      </c>
      <c r="J729" s="1" t="s">
        <v>216</v>
      </c>
      <c r="K729" s="9" t="s">
        <v>20</v>
      </c>
      <c r="L729" t="s">
        <v>21</v>
      </c>
      <c r="M729" t="str">
        <f t="shared" si="50"/>
        <v>ND</v>
      </c>
      <c r="N729" t="str">
        <f t="shared" si="49"/>
        <v>ND</v>
      </c>
    </row>
    <row r="730" spans="1:14" x14ac:dyDescent="0.3">
      <c r="A730" s="1" t="s">
        <v>70</v>
      </c>
      <c r="B730">
        <v>6</v>
      </c>
      <c r="C730">
        <v>12</v>
      </c>
      <c r="D730" t="s">
        <v>71</v>
      </c>
      <c r="E730">
        <v>11000000</v>
      </c>
      <c r="F730">
        <f t="shared" si="51"/>
        <v>11000000</v>
      </c>
      <c r="G730">
        <f t="shared" si="52"/>
        <v>35437.687658664196</v>
      </c>
      <c r="H730" t="s">
        <v>72</v>
      </c>
      <c r="I730" s="1" t="s">
        <v>224</v>
      </c>
      <c r="J730" s="1" t="s">
        <v>216</v>
      </c>
      <c r="K730" s="9" t="s">
        <v>20</v>
      </c>
      <c r="L730" t="s">
        <v>21</v>
      </c>
      <c r="M730" t="str">
        <f t="shared" si="50"/>
        <v>ND</v>
      </c>
      <c r="N730" t="str">
        <f t="shared" si="49"/>
        <v>ND</v>
      </c>
    </row>
    <row r="731" spans="1:14" x14ac:dyDescent="0.3">
      <c r="A731" s="1" t="s">
        <v>70</v>
      </c>
      <c r="B731">
        <v>6</v>
      </c>
      <c r="C731">
        <v>12</v>
      </c>
      <c r="D731" t="s">
        <v>71</v>
      </c>
      <c r="E731">
        <v>11000000</v>
      </c>
      <c r="F731">
        <f t="shared" si="51"/>
        <v>11000000</v>
      </c>
      <c r="G731">
        <f t="shared" si="52"/>
        <v>35437.687658664196</v>
      </c>
      <c r="H731" t="s">
        <v>72</v>
      </c>
      <c r="I731" s="1" t="s">
        <v>224</v>
      </c>
      <c r="J731" s="1" t="s">
        <v>216</v>
      </c>
      <c r="K731" s="9" t="s">
        <v>20</v>
      </c>
      <c r="L731" t="s">
        <v>21</v>
      </c>
      <c r="M731" t="str">
        <f t="shared" si="50"/>
        <v>ND</v>
      </c>
      <c r="N731" t="str">
        <f t="shared" si="49"/>
        <v>ND</v>
      </c>
    </row>
    <row r="732" spans="1:14" x14ac:dyDescent="0.3">
      <c r="A732" s="1" t="s">
        <v>70</v>
      </c>
      <c r="B732">
        <v>6</v>
      </c>
      <c r="C732">
        <v>12</v>
      </c>
      <c r="D732" t="s">
        <v>71</v>
      </c>
      <c r="E732">
        <v>11000000</v>
      </c>
      <c r="F732">
        <f t="shared" si="51"/>
        <v>11000000</v>
      </c>
      <c r="G732">
        <f t="shared" si="52"/>
        <v>35437.687658664196</v>
      </c>
      <c r="H732" t="s">
        <v>72</v>
      </c>
      <c r="I732" s="1" t="s">
        <v>224</v>
      </c>
      <c r="J732" s="1" t="s">
        <v>216</v>
      </c>
      <c r="K732" s="9" t="s">
        <v>20</v>
      </c>
      <c r="L732" t="s">
        <v>21</v>
      </c>
      <c r="M732" t="str">
        <f t="shared" si="50"/>
        <v>ND</v>
      </c>
      <c r="N732" t="str">
        <f t="shared" si="49"/>
        <v>ND</v>
      </c>
    </row>
    <row r="733" spans="1:14" x14ac:dyDescent="0.3">
      <c r="A733" s="1" t="s">
        <v>70</v>
      </c>
      <c r="B733">
        <v>6</v>
      </c>
      <c r="C733">
        <v>12</v>
      </c>
      <c r="D733" t="s">
        <v>71</v>
      </c>
      <c r="E733">
        <v>11000000</v>
      </c>
      <c r="F733">
        <f t="shared" si="51"/>
        <v>11000000</v>
      </c>
      <c r="G733">
        <f t="shared" si="52"/>
        <v>35437.687658664196</v>
      </c>
      <c r="H733" t="s">
        <v>72</v>
      </c>
      <c r="I733" s="1" t="s">
        <v>224</v>
      </c>
      <c r="J733" s="1" t="s">
        <v>216</v>
      </c>
      <c r="K733" s="9" t="s">
        <v>20</v>
      </c>
      <c r="L733" t="s">
        <v>21</v>
      </c>
      <c r="M733" t="str">
        <f t="shared" si="50"/>
        <v>ND</v>
      </c>
      <c r="N733" t="str">
        <f t="shared" si="49"/>
        <v>ND</v>
      </c>
    </row>
    <row r="734" spans="1:14" x14ac:dyDescent="0.3">
      <c r="A734" s="1" t="s">
        <v>70</v>
      </c>
      <c r="B734">
        <v>6</v>
      </c>
      <c r="C734">
        <v>12</v>
      </c>
      <c r="D734" t="s">
        <v>71</v>
      </c>
      <c r="E734">
        <v>11000000</v>
      </c>
      <c r="F734">
        <f t="shared" si="51"/>
        <v>11000000</v>
      </c>
      <c r="G734">
        <f t="shared" si="52"/>
        <v>35437.687658664196</v>
      </c>
      <c r="H734" t="s">
        <v>72</v>
      </c>
      <c r="I734" s="1" t="s">
        <v>224</v>
      </c>
      <c r="J734" s="1" t="s">
        <v>216</v>
      </c>
      <c r="K734" s="9" t="s">
        <v>20</v>
      </c>
      <c r="L734" t="s">
        <v>21</v>
      </c>
      <c r="M734" t="str">
        <f t="shared" si="50"/>
        <v>ND</v>
      </c>
      <c r="N734" t="str">
        <f t="shared" si="49"/>
        <v>ND</v>
      </c>
    </row>
    <row r="735" spans="1:14" x14ac:dyDescent="0.3">
      <c r="A735" s="1" t="s">
        <v>70</v>
      </c>
      <c r="B735">
        <v>6</v>
      </c>
      <c r="C735">
        <v>12</v>
      </c>
      <c r="D735" t="s">
        <v>71</v>
      </c>
      <c r="E735">
        <v>11000000</v>
      </c>
      <c r="F735">
        <f t="shared" si="51"/>
        <v>11000000</v>
      </c>
      <c r="G735">
        <f t="shared" si="52"/>
        <v>35437.687658664196</v>
      </c>
      <c r="H735" t="s">
        <v>72</v>
      </c>
      <c r="I735" s="1" t="s">
        <v>224</v>
      </c>
      <c r="J735" s="1" t="s">
        <v>216</v>
      </c>
      <c r="K735" s="9" t="s">
        <v>20</v>
      </c>
      <c r="L735" t="s">
        <v>21</v>
      </c>
      <c r="M735" t="str">
        <f t="shared" si="50"/>
        <v>ND</v>
      </c>
      <c r="N735" t="str">
        <f t="shared" si="49"/>
        <v>ND</v>
      </c>
    </row>
    <row r="736" spans="1:14" x14ac:dyDescent="0.3">
      <c r="A736" s="1" t="s">
        <v>70</v>
      </c>
      <c r="B736">
        <v>6</v>
      </c>
      <c r="C736">
        <v>12</v>
      </c>
      <c r="D736" t="s">
        <v>71</v>
      </c>
      <c r="E736">
        <v>11000000</v>
      </c>
      <c r="F736">
        <f t="shared" si="51"/>
        <v>11000000</v>
      </c>
      <c r="G736">
        <f t="shared" si="52"/>
        <v>35437.687658664196</v>
      </c>
      <c r="H736" t="s">
        <v>72</v>
      </c>
      <c r="I736" s="1" t="s">
        <v>224</v>
      </c>
      <c r="J736" s="1" t="s">
        <v>216</v>
      </c>
      <c r="K736" s="9" t="s">
        <v>20</v>
      </c>
      <c r="L736" t="s">
        <v>21</v>
      </c>
      <c r="M736" t="str">
        <f t="shared" si="50"/>
        <v>ND</v>
      </c>
      <c r="N736" t="str">
        <f t="shared" si="49"/>
        <v>ND</v>
      </c>
    </row>
    <row r="737" spans="1:14" x14ac:dyDescent="0.3">
      <c r="A737" s="1" t="s">
        <v>70</v>
      </c>
      <c r="B737">
        <v>6</v>
      </c>
      <c r="C737">
        <v>12</v>
      </c>
      <c r="D737" t="s">
        <v>71</v>
      </c>
      <c r="E737">
        <v>11000000</v>
      </c>
      <c r="F737">
        <f t="shared" si="51"/>
        <v>11000000</v>
      </c>
      <c r="G737">
        <f t="shared" si="52"/>
        <v>35437.687658664196</v>
      </c>
      <c r="H737" t="s">
        <v>72</v>
      </c>
      <c r="I737" s="1" t="s">
        <v>224</v>
      </c>
      <c r="J737" s="1" t="s">
        <v>216</v>
      </c>
      <c r="K737" s="9" t="s">
        <v>20</v>
      </c>
      <c r="L737" t="s">
        <v>21</v>
      </c>
      <c r="M737" t="str">
        <f t="shared" si="50"/>
        <v>ND</v>
      </c>
      <c r="N737" t="str">
        <f t="shared" si="49"/>
        <v>ND</v>
      </c>
    </row>
    <row r="738" spans="1:14" x14ac:dyDescent="0.3">
      <c r="A738" s="1" t="s">
        <v>70</v>
      </c>
      <c r="B738">
        <v>6</v>
      </c>
      <c r="C738">
        <v>12</v>
      </c>
      <c r="D738" t="s">
        <v>71</v>
      </c>
      <c r="E738">
        <v>11000000</v>
      </c>
      <c r="F738">
        <f t="shared" si="51"/>
        <v>11000000</v>
      </c>
      <c r="G738">
        <f t="shared" si="52"/>
        <v>35437.687658664196</v>
      </c>
      <c r="H738" t="s">
        <v>72</v>
      </c>
      <c r="I738" s="1" t="s">
        <v>224</v>
      </c>
      <c r="J738" s="1" t="s">
        <v>216</v>
      </c>
      <c r="K738" s="9" t="s">
        <v>20</v>
      </c>
      <c r="L738" t="s">
        <v>21</v>
      </c>
      <c r="M738" t="str">
        <f t="shared" si="50"/>
        <v>ND</v>
      </c>
      <c r="N738" t="str">
        <f t="shared" si="49"/>
        <v>ND</v>
      </c>
    </row>
    <row r="739" spans="1:14" x14ac:dyDescent="0.3">
      <c r="A739" s="1" t="s">
        <v>70</v>
      </c>
      <c r="B739">
        <v>6</v>
      </c>
      <c r="C739">
        <v>12</v>
      </c>
      <c r="D739" t="s">
        <v>71</v>
      </c>
      <c r="E739">
        <v>11000000</v>
      </c>
      <c r="F739">
        <f t="shared" si="51"/>
        <v>11000000</v>
      </c>
      <c r="G739">
        <f t="shared" si="52"/>
        <v>35437.687658664196</v>
      </c>
      <c r="H739" t="s">
        <v>72</v>
      </c>
      <c r="I739" s="1" t="s">
        <v>224</v>
      </c>
      <c r="J739" s="1" t="s">
        <v>216</v>
      </c>
      <c r="K739" s="9" t="s">
        <v>20</v>
      </c>
      <c r="L739" t="s">
        <v>21</v>
      </c>
      <c r="M739" t="str">
        <f t="shared" si="50"/>
        <v>ND</v>
      </c>
      <c r="N739" t="str">
        <f t="shared" si="49"/>
        <v>ND</v>
      </c>
    </row>
    <row r="740" spans="1:14" x14ac:dyDescent="0.3">
      <c r="A740" s="1" t="s">
        <v>70</v>
      </c>
      <c r="B740">
        <v>6</v>
      </c>
      <c r="C740">
        <v>12</v>
      </c>
      <c r="D740" t="s">
        <v>71</v>
      </c>
      <c r="E740">
        <v>11000000</v>
      </c>
      <c r="F740">
        <f t="shared" si="51"/>
        <v>11000000</v>
      </c>
      <c r="G740">
        <f t="shared" si="52"/>
        <v>35437.687658664196</v>
      </c>
      <c r="H740" t="s">
        <v>72</v>
      </c>
      <c r="I740" s="1" t="s">
        <v>224</v>
      </c>
      <c r="J740" s="1" t="s">
        <v>216</v>
      </c>
      <c r="K740" s="9" t="s">
        <v>20</v>
      </c>
      <c r="L740" t="s">
        <v>21</v>
      </c>
      <c r="M740" t="str">
        <f t="shared" si="50"/>
        <v>ND</v>
      </c>
      <c r="N740" t="str">
        <f t="shared" si="49"/>
        <v>ND</v>
      </c>
    </row>
    <row r="741" spans="1:14" x14ac:dyDescent="0.3">
      <c r="A741" s="1" t="s">
        <v>70</v>
      </c>
      <c r="B741">
        <v>6</v>
      </c>
      <c r="C741">
        <v>12</v>
      </c>
      <c r="D741" t="s">
        <v>71</v>
      </c>
      <c r="E741">
        <v>11000000</v>
      </c>
      <c r="F741">
        <f t="shared" si="51"/>
        <v>11000000</v>
      </c>
      <c r="G741">
        <f t="shared" si="52"/>
        <v>35437.687658664196</v>
      </c>
      <c r="H741" t="s">
        <v>72</v>
      </c>
      <c r="I741" s="1" t="s">
        <v>224</v>
      </c>
      <c r="J741" s="1" t="s">
        <v>216</v>
      </c>
      <c r="K741" s="9" t="s">
        <v>20</v>
      </c>
      <c r="L741" t="s">
        <v>21</v>
      </c>
      <c r="M741" t="str">
        <f t="shared" si="50"/>
        <v>ND</v>
      </c>
      <c r="N741" t="str">
        <f t="shared" si="49"/>
        <v>ND</v>
      </c>
    </row>
    <row r="742" spans="1:14" x14ac:dyDescent="0.3">
      <c r="A742" s="1" t="s">
        <v>70</v>
      </c>
      <c r="B742">
        <v>6</v>
      </c>
      <c r="C742">
        <v>12</v>
      </c>
      <c r="D742" t="s">
        <v>71</v>
      </c>
      <c r="E742">
        <v>11000000</v>
      </c>
      <c r="F742">
        <f t="shared" si="51"/>
        <v>11000000</v>
      </c>
      <c r="G742">
        <f t="shared" si="52"/>
        <v>35437.687658664196</v>
      </c>
      <c r="H742" t="s">
        <v>72</v>
      </c>
      <c r="I742" s="1" t="s">
        <v>224</v>
      </c>
      <c r="J742" s="1" t="s">
        <v>216</v>
      </c>
      <c r="K742" s="9" t="s">
        <v>20</v>
      </c>
      <c r="L742" t="s">
        <v>21</v>
      </c>
      <c r="M742" t="str">
        <f t="shared" si="50"/>
        <v>ND</v>
      </c>
      <c r="N742" t="str">
        <f t="shared" si="49"/>
        <v>ND</v>
      </c>
    </row>
    <row r="743" spans="1:14" x14ac:dyDescent="0.3">
      <c r="A743" s="1" t="s">
        <v>70</v>
      </c>
      <c r="B743">
        <v>6</v>
      </c>
      <c r="C743">
        <v>12</v>
      </c>
      <c r="D743" t="s">
        <v>71</v>
      </c>
      <c r="E743">
        <v>11000000</v>
      </c>
      <c r="F743">
        <f t="shared" si="51"/>
        <v>11000000</v>
      </c>
      <c r="G743">
        <f t="shared" si="52"/>
        <v>35437.687658664196</v>
      </c>
      <c r="H743" t="s">
        <v>72</v>
      </c>
      <c r="I743" s="1" t="s">
        <v>224</v>
      </c>
      <c r="J743" s="1" t="s">
        <v>216</v>
      </c>
      <c r="K743" s="9" t="s">
        <v>20</v>
      </c>
      <c r="L743" t="s">
        <v>21</v>
      </c>
      <c r="M743" t="str">
        <f t="shared" si="50"/>
        <v>ND</v>
      </c>
      <c r="N743" t="str">
        <f t="shared" si="49"/>
        <v>ND</v>
      </c>
    </row>
    <row r="744" spans="1:14" x14ac:dyDescent="0.3">
      <c r="A744" s="1" t="s">
        <v>70</v>
      </c>
      <c r="B744">
        <v>6</v>
      </c>
      <c r="C744">
        <v>12</v>
      </c>
      <c r="D744" t="s">
        <v>71</v>
      </c>
      <c r="E744">
        <v>11000000</v>
      </c>
      <c r="F744">
        <f t="shared" si="51"/>
        <v>11000000</v>
      </c>
      <c r="G744">
        <f t="shared" si="52"/>
        <v>35437.687658664196</v>
      </c>
      <c r="H744" t="s">
        <v>72</v>
      </c>
      <c r="I744" s="1" t="s">
        <v>224</v>
      </c>
      <c r="J744" s="1" t="s">
        <v>216</v>
      </c>
      <c r="K744" s="9" t="s">
        <v>20</v>
      </c>
      <c r="L744" t="s">
        <v>21</v>
      </c>
      <c r="M744" t="str">
        <f t="shared" si="50"/>
        <v>ND</v>
      </c>
      <c r="N744" t="str">
        <f t="shared" si="49"/>
        <v>ND</v>
      </c>
    </row>
    <row r="745" spans="1:14" x14ac:dyDescent="0.3">
      <c r="A745" s="1" t="s">
        <v>70</v>
      </c>
      <c r="B745">
        <v>6</v>
      </c>
      <c r="C745">
        <v>12</v>
      </c>
      <c r="D745" t="s">
        <v>71</v>
      </c>
      <c r="E745">
        <v>11000000</v>
      </c>
      <c r="F745">
        <f t="shared" si="51"/>
        <v>11000000</v>
      </c>
      <c r="G745">
        <f t="shared" si="52"/>
        <v>35437.687658664196</v>
      </c>
      <c r="H745" t="s">
        <v>72</v>
      </c>
      <c r="I745" s="1" t="s">
        <v>224</v>
      </c>
      <c r="J745" s="1" t="s">
        <v>216</v>
      </c>
      <c r="K745" s="9" t="s">
        <v>20</v>
      </c>
      <c r="L745" t="s">
        <v>21</v>
      </c>
      <c r="M745" t="str">
        <f t="shared" si="50"/>
        <v>ND</v>
      </c>
      <c r="N745" t="str">
        <f t="shared" si="49"/>
        <v>ND</v>
      </c>
    </row>
    <row r="746" spans="1:14" x14ac:dyDescent="0.3">
      <c r="A746" s="1" t="s">
        <v>70</v>
      </c>
      <c r="B746">
        <v>6</v>
      </c>
      <c r="C746">
        <v>12</v>
      </c>
      <c r="D746" t="s">
        <v>71</v>
      </c>
      <c r="E746">
        <v>11000000</v>
      </c>
      <c r="F746">
        <f t="shared" si="51"/>
        <v>11000000</v>
      </c>
      <c r="G746">
        <f t="shared" si="52"/>
        <v>35437.687658664196</v>
      </c>
      <c r="H746" t="s">
        <v>72</v>
      </c>
      <c r="I746" s="1" t="s">
        <v>224</v>
      </c>
      <c r="J746" s="1" t="s">
        <v>216</v>
      </c>
      <c r="K746" s="9" t="s">
        <v>20</v>
      </c>
      <c r="L746" t="s">
        <v>21</v>
      </c>
      <c r="M746" t="str">
        <f t="shared" si="50"/>
        <v>ND</v>
      </c>
      <c r="N746" t="str">
        <f t="shared" si="49"/>
        <v>ND</v>
      </c>
    </row>
    <row r="747" spans="1:14" x14ac:dyDescent="0.3">
      <c r="A747" s="1" t="s">
        <v>70</v>
      </c>
      <c r="B747">
        <v>6</v>
      </c>
      <c r="C747">
        <v>12</v>
      </c>
      <c r="D747" t="s">
        <v>71</v>
      </c>
      <c r="E747">
        <v>11000000</v>
      </c>
      <c r="F747">
        <f t="shared" si="51"/>
        <v>11000000</v>
      </c>
      <c r="G747">
        <f t="shared" si="52"/>
        <v>35437.687658664196</v>
      </c>
      <c r="H747" t="s">
        <v>72</v>
      </c>
      <c r="I747" s="1" t="s">
        <v>224</v>
      </c>
      <c r="J747" s="1" t="s">
        <v>216</v>
      </c>
      <c r="K747" s="9" t="s">
        <v>20</v>
      </c>
      <c r="L747" t="s">
        <v>21</v>
      </c>
      <c r="M747" t="str">
        <f t="shared" si="50"/>
        <v>ND</v>
      </c>
      <c r="N747" t="str">
        <f t="shared" si="49"/>
        <v>ND</v>
      </c>
    </row>
    <row r="748" spans="1:14" x14ac:dyDescent="0.3">
      <c r="A748" s="1" t="s">
        <v>70</v>
      </c>
      <c r="B748">
        <v>6</v>
      </c>
      <c r="C748">
        <v>12</v>
      </c>
      <c r="D748" t="s">
        <v>71</v>
      </c>
      <c r="E748">
        <v>11000000</v>
      </c>
      <c r="F748">
        <f t="shared" si="51"/>
        <v>11000000</v>
      </c>
      <c r="G748">
        <f t="shared" si="52"/>
        <v>35437.687658664196</v>
      </c>
      <c r="H748" t="s">
        <v>72</v>
      </c>
      <c r="I748" s="1" t="s">
        <v>224</v>
      </c>
      <c r="J748" s="1" t="s">
        <v>216</v>
      </c>
      <c r="K748" s="9" t="s">
        <v>20</v>
      </c>
      <c r="L748" t="s">
        <v>21</v>
      </c>
      <c r="M748" t="str">
        <f t="shared" si="50"/>
        <v>ND</v>
      </c>
      <c r="N748" t="str">
        <f t="shared" si="49"/>
        <v>ND</v>
      </c>
    </row>
    <row r="749" spans="1:14" x14ac:dyDescent="0.3">
      <c r="A749" s="1" t="s">
        <v>70</v>
      </c>
      <c r="B749">
        <v>6</v>
      </c>
      <c r="C749">
        <v>12</v>
      </c>
      <c r="D749" t="s">
        <v>71</v>
      </c>
      <c r="E749">
        <v>11000000</v>
      </c>
      <c r="F749">
        <f t="shared" si="51"/>
        <v>11000000</v>
      </c>
      <c r="G749">
        <f t="shared" si="52"/>
        <v>35437.687658664196</v>
      </c>
      <c r="H749" t="s">
        <v>72</v>
      </c>
      <c r="I749" s="1" t="s">
        <v>224</v>
      </c>
      <c r="J749" s="1" t="s">
        <v>216</v>
      </c>
      <c r="K749" s="9" t="s">
        <v>20</v>
      </c>
      <c r="L749" t="s">
        <v>21</v>
      </c>
      <c r="M749" t="str">
        <f t="shared" si="50"/>
        <v>ND</v>
      </c>
      <c r="N749" t="str">
        <f t="shared" si="49"/>
        <v>ND</v>
      </c>
    </row>
    <row r="750" spans="1:14" x14ac:dyDescent="0.3">
      <c r="A750" s="1" t="s">
        <v>70</v>
      </c>
      <c r="B750">
        <v>6</v>
      </c>
      <c r="C750">
        <v>12</v>
      </c>
      <c r="D750" t="s">
        <v>71</v>
      </c>
      <c r="E750">
        <v>11000000</v>
      </c>
      <c r="F750">
        <f t="shared" si="51"/>
        <v>11000000</v>
      </c>
      <c r="G750">
        <f t="shared" si="52"/>
        <v>35437.687658664196</v>
      </c>
      <c r="H750" t="s">
        <v>72</v>
      </c>
      <c r="I750" s="1" t="s">
        <v>224</v>
      </c>
      <c r="J750" s="1" t="s">
        <v>216</v>
      </c>
      <c r="K750" s="9" t="s">
        <v>20</v>
      </c>
      <c r="L750" t="s">
        <v>21</v>
      </c>
      <c r="M750" t="str">
        <f t="shared" si="50"/>
        <v>ND</v>
      </c>
      <c r="N750" t="str">
        <f t="shared" si="49"/>
        <v>ND</v>
      </c>
    </row>
    <row r="751" spans="1:14" x14ac:dyDescent="0.3">
      <c r="A751" s="1" t="s">
        <v>70</v>
      </c>
      <c r="B751">
        <v>6</v>
      </c>
      <c r="C751">
        <v>12</v>
      </c>
      <c r="D751" t="s">
        <v>71</v>
      </c>
      <c r="E751">
        <v>11000000</v>
      </c>
      <c r="F751">
        <f t="shared" si="51"/>
        <v>11000000</v>
      </c>
      <c r="G751">
        <f t="shared" si="52"/>
        <v>35437.687658664196</v>
      </c>
      <c r="H751" t="s">
        <v>72</v>
      </c>
      <c r="I751" s="1" t="s">
        <v>224</v>
      </c>
      <c r="J751" s="1" t="s">
        <v>216</v>
      </c>
      <c r="K751" s="9" t="s">
        <v>20</v>
      </c>
      <c r="L751" t="s">
        <v>21</v>
      </c>
      <c r="M751" t="str">
        <f t="shared" si="50"/>
        <v>ND</v>
      </c>
      <c r="N751" t="str">
        <f t="shared" si="49"/>
        <v>ND</v>
      </c>
    </row>
    <row r="752" spans="1:14" x14ac:dyDescent="0.3">
      <c r="A752" s="1" t="s">
        <v>70</v>
      </c>
      <c r="B752">
        <v>6</v>
      </c>
      <c r="C752">
        <v>12</v>
      </c>
      <c r="D752" t="s">
        <v>71</v>
      </c>
      <c r="E752">
        <v>11000000</v>
      </c>
      <c r="F752">
        <f t="shared" si="51"/>
        <v>11000000</v>
      </c>
      <c r="G752">
        <f t="shared" si="52"/>
        <v>35437.687658664196</v>
      </c>
      <c r="H752" t="s">
        <v>72</v>
      </c>
      <c r="I752" s="1" t="s">
        <v>224</v>
      </c>
      <c r="J752" s="1" t="s">
        <v>216</v>
      </c>
      <c r="K752" s="9" t="s">
        <v>20</v>
      </c>
      <c r="L752" t="s">
        <v>21</v>
      </c>
      <c r="M752" t="str">
        <f t="shared" si="50"/>
        <v>ND</v>
      </c>
      <c r="N752" t="str">
        <f t="shared" si="49"/>
        <v>ND</v>
      </c>
    </row>
    <row r="753" spans="1:14" x14ac:dyDescent="0.3">
      <c r="A753" s="1" t="s">
        <v>70</v>
      </c>
      <c r="B753">
        <v>6</v>
      </c>
      <c r="C753">
        <v>12</v>
      </c>
      <c r="D753" t="s">
        <v>71</v>
      </c>
      <c r="E753">
        <v>11000000</v>
      </c>
      <c r="F753">
        <f t="shared" si="51"/>
        <v>11000000</v>
      </c>
      <c r="G753">
        <f t="shared" si="52"/>
        <v>35437.687658664196</v>
      </c>
      <c r="H753" t="s">
        <v>72</v>
      </c>
      <c r="I753" s="1" t="s">
        <v>224</v>
      </c>
      <c r="J753" s="1" t="s">
        <v>216</v>
      </c>
      <c r="K753" s="9" t="s">
        <v>20</v>
      </c>
      <c r="L753" t="s">
        <v>21</v>
      </c>
      <c r="M753" t="str">
        <f t="shared" si="50"/>
        <v>ND</v>
      </c>
      <c r="N753" t="str">
        <f t="shared" si="49"/>
        <v>ND</v>
      </c>
    </row>
    <row r="754" spans="1:14" x14ac:dyDescent="0.3">
      <c r="A754" s="1" t="s">
        <v>70</v>
      </c>
      <c r="B754">
        <v>6</v>
      </c>
      <c r="C754">
        <v>12</v>
      </c>
      <c r="D754" t="s">
        <v>71</v>
      </c>
      <c r="E754">
        <v>11000000</v>
      </c>
      <c r="F754">
        <f t="shared" si="51"/>
        <v>11000000</v>
      </c>
      <c r="G754">
        <f t="shared" si="52"/>
        <v>35437.687658664196</v>
      </c>
      <c r="H754" t="s">
        <v>72</v>
      </c>
      <c r="I754" s="1" t="s">
        <v>224</v>
      </c>
      <c r="J754" s="1" t="s">
        <v>216</v>
      </c>
      <c r="K754" s="9" t="s">
        <v>20</v>
      </c>
      <c r="L754" t="s">
        <v>21</v>
      </c>
      <c r="M754" t="str">
        <f t="shared" si="50"/>
        <v>ND</v>
      </c>
      <c r="N754" t="str">
        <f t="shared" si="49"/>
        <v>ND</v>
      </c>
    </row>
    <row r="755" spans="1:14" x14ac:dyDescent="0.3">
      <c r="A755" s="1" t="s">
        <v>70</v>
      </c>
      <c r="B755">
        <v>6</v>
      </c>
      <c r="C755">
        <v>12</v>
      </c>
      <c r="D755" t="s">
        <v>71</v>
      </c>
      <c r="E755">
        <v>11000000</v>
      </c>
      <c r="F755">
        <f t="shared" si="51"/>
        <v>11000000</v>
      </c>
      <c r="G755">
        <f t="shared" si="52"/>
        <v>35437.687658664196</v>
      </c>
      <c r="H755" t="s">
        <v>72</v>
      </c>
      <c r="I755" s="1" t="s">
        <v>224</v>
      </c>
      <c r="J755" s="1" t="s">
        <v>216</v>
      </c>
      <c r="K755" s="9" t="s">
        <v>20</v>
      </c>
      <c r="L755" t="s">
        <v>21</v>
      </c>
      <c r="M755" t="str">
        <f t="shared" si="50"/>
        <v>ND</v>
      </c>
      <c r="N755" t="str">
        <f t="shared" si="49"/>
        <v>ND</v>
      </c>
    </row>
    <row r="756" spans="1:14" x14ac:dyDescent="0.3">
      <c r="A756" s="1" t="s">
        <v>70</v>
      </c>
      <c r="B756">
        <v>6</v>
      </c>
      <c r="C756">
        <v>12</v>
      </c>
      <c r="D756" t="s">
        <v>71</v>
      </c>
      <c r="E756">
        <v>11000000</v>
      </c>
      <c r="F756">
        <f t="shared" si="51"/>
        <v>11000000</v>
      </c>
      <c r="G756">
        <f t="shared" si="52"/>
        <v>35437.687658664196</v>
      </c>
      <c r="H756" t="s">
        <v>72</v>
      </c>
      <c r="I756" s="1" t="s">
        <v>224</v>
      </c>
      <c r="J756" s="1" t="s">
        <v>216</v>
      </c>
      <c r="K756" s="9" t="s">
        <v>20</v>
      </c>
      <c r="L756" t="s">
        <v>21</v>
      </c>
      <c r="M756" t="str">
        <f t="shared" si="50"/>
        <v>ND</v>
      </c>
      <c r="N756" t="str">
        <f t="shared" si="49"/>
        <v>ND</v>
      </c>
    </row>
    <row r="757" spans="1:14" x14ac:dyDescent="0.3">
      <c r="A757" s="1" t="s">
        <v>23</v>
      </c>
      <c r="B757">
        <v>6</v>
      </c>
      <c r="C757">
        <v>13</v>
      </c>
      <c r="D757" t="s">
        <v>74</v>
      </c>
      <c r="E757">
        <v>23000000</v>
      </c>
      <c r="F757">
        <f>E757</f>
        <v>23000000</v>
      </c>
      <c r="G757">
        <f t="shared" si="52"/>
        <v>74096.983286297851</v>
      </c>
      <c r="H757" t="s">
        <v>72</v>
      </c>
      <c r="I757" s="1" t="s">
        <v>224</v>
      </c>
      <c r="J757" s="1" t="s">
        <v>216</v>
      </c>
      <c r="K757" s="9">
        <v>0.52</v>
      </c>
      <c r="L757" t="s">
        <v>21</v>
      </c>
      <c r="M757">
        <f t="shared" si="50"/>
        <v>5.2000000000000006E-4</v>
      </c>
      <c r="N757">
        <f t="shared" si="49"/>
        <v>0.16141008000000004</v>
      </c>
    </row>
    <row r="758" spans="1:14" x14ac:dyDescent="0.3">
      <c r="A758" s="1" t="s">
        <v>23</v>
      </c>
      <c r="B758">
        <v>6</v>
      </c>
      <c r="C758">
        <v>13</v>
      </c>
      <c r="D758" t="s">
        <v>74</v>
      </c>
      <c r="E758">
        <v>23000000</v>
      </c>
      <c r="F758">
        <f t="shared" ref="F758:F821" si="53">E758</f>
        <v>23000000</v>
      </c>
      <c r="G758">
        <f t="shared" si="52"/>
        <v>74096.983286297851</v>
      </c>
      <c r="H758" t="s">
        <v>72</v>
      </c>
      <c r="I758" s="1" t="s">
        <v>224</v>
      </c>
      <c r="J758" s="1" t="s">
        <v>216</v>
      </c>
      <c r="K758" s="9">
        <v>76.84</v>
      </c>
      <c r="L758" t="s">
        <v>21</v>
      </c>
      <c r="M758">
        <f t="shared" si="50"/>
        <v>7.6840000000000006E-2</v>
      </c>
      <c r="N758">
        <f t="shared" si="49"/>
        <v>23.851443360000005</v>
      </c>
    </row>
    <row r="759" spans="1:14" x14ac:dyDescent="0.3">
      <c r="A759" s="1" t="s">
        <v>23</v>
      </c>
      <c r="B759">
        <v>6</v>
      </c>
      <c r="C759">
        <v>13</v>
      </c>
      <c r="D759" t="s">
        <v>74</v>
      </c>
      <c r="E759">
        <v>23000000</v>
      </c>
      <c r="F759">
        <f t="shared" si="53"/>
        <v>23000000</v>
      </c>
      <c r="G759">
        <f t="shared" si="52"/>
        <v>74096.983286297851</v>
      </c>
      <c r="H759" t="s">
        <v>72</v>
      </c>
      <c r="I759" s="1" t="s">
        <v>224</v>
      </c>
      <c r="J759" s="1" t="s">
        <v>216</v>
      </c>
      <c r="K759" s="9">
        <v>63.49</v>
      </c>
      <c r="L759" t="s">
        <v>21</v>
      </c>
      <c r="M759">
        <f t="shared" si="50"/>
        <v>6.3490000000000005E-2</v>
      </c>
      <c r="N759">
        <f t="shared" si="49"/>
        <v>19.707549960000001</v>
      </c>
    </row>
    <row r="760" spans="1:14" x14ac:dyDescent="0.3">
      <c r="A760" s="1" t="s">
        <v>23</v>
      </c>
      <c r="B760">
        <v>6</v>
      </c>
      <c r="C760">
        <v>13</v>
      </c>
      <c r="D760" t="s">
        <v>74</v>
      </c>
      <c r="E760">
        <v>23000000</v>
      </c>
      <c r="F760">
        <f t="shared" si="53"/>
        <v>23000000</v>
      </c>
      <c r="G760">
        <f t="shared" si="52"/>
        <v>74096.983286297851</v>
      </c>
      <c r="H760" t="s">
        <v>72</v>
      </c>
      <c r="I760" s="1" t="s">
        <v>224</v>
      </c>
      <c r="J760" s="1" t="s">
        <v>216</v>
      </c>
      <c r="K760" s="9">
        <v>82.14</v>
      </c>
      <c r="L760" t="s">
        <v>21</v>
      </c>
      <c r="M760">
        <f t="shared" si="50"/>
        <v>8.2140000000000005E-2</v>
      </c>
      <c r="N760">
        <f t="shared" si="49"/>
        <v>25.496584560000002</v>
      </c>
    </row>
    <row r="761" spans="1:14" x14ac:dyDescent="0.3">
      <c r="A761" s="1" t="s">
        <v>23</v>
      </c>
      <c r="B761">
        <v>6</v>
      </c>
      <c r="C761">
        <v>13</v>
      </c>
      <c r="D761" t="s">
        <v>74</v>
      </c>
      <c r="E761">
        <v>23000000</v>
      </c>
      <c r="F761">
        <f t="shared" si="53"/>
        <v>23000000</v>
      </c>
      <c r="G761">
        <f t="shared" si="52"/>
        <v>74096.983286297851</v>
      </c>
      <c r="H761" t="s">
        <v>72</v>
      </c>
      <c r="I761" s="1" t="s">
        <v>224</v>
      </c>
      <c r="J761" s="1" t="s">
        <v>216</v>
      </c>
      <c r="K761" s="9">
        <v>87.09</v>
      </c>
      <c r="L761" t="s">
        <v>21</v>
      </c>
      <c r="M761">
        <f t="shared" si="50"/>
        <v>8.7090000000000001E-2</v>
      </c>
      <c r="N761">
        <f t="shared" si="49"/>
        <v>27.033084360000004</v>
      </c>
    </row>
    <row r="762" spans="1:14" x14ac:dyDescent="0.3">
      <c r="A762" s="1" t="s">
        <v>23</v>
      </c>
      <c r="B762">
        <v>6</v>
      </c>
      <c r="C762">
        <v>13</v>
      </c>
      <c r="D762" t="s">
        <v>74</v>
      </c>
      <c r="E762">
        <v>23000000</v>
      </c>
      <c r="F762">
        <f t="shared" si="53"/>
        <v>23000000</v>
      </c>
      <c r="G762">
        <f t="shared" si="52"/>
        <v>74096.983286297851</v>
      </c>
      <c r="H762" t="s">
        <v>72</v>
      </c>
      <c r="I762" s="1" t="s">
        <v>224</v>
      </c>
      <c r="J762" s="1" t="s">
        <v>216</v>
      </c>
      <c r="K762" s="9">
        <v>168.88</v>
      </c>
      <c r="L762" t="s">
        <v>21</v>
      </c>
      <c r="M762">
        <f t="shared" si="50"/>
        <v>0.16888</v>
      </c>
      <c r="N762">
        <f t="shared" si="49"/>
        <v>52.421027520000003</v>
      </c>
    </row>
    <row r="763" spans="1:14" x14ac:dyDescent="0.3">
      <c r="A763" s="1" t="s">
        <v>23</v>
      </c>
      <c r="B763">
        <v>6</v>
      </c>
      <c r="C763">
        <v>13</v>
      </c>
      <c r="D763" t="s">
        <v>74</v>
      </c>
      <c r="E763">
        <v>23000000</v>
      </c>
      <c r="F763">
        <f t="shared" si="53"/>
        <v>23000000</v>
      </c>
      <c r="G763">
        <f t="shared" si="52"/>
        <v>74096.983286297851</v>
      </c>
      <c r="H763" t="s">
        <v>72</v>
      </c>
      <c r="I763" s="1" t="s">
        <v>224</v>
      </c>
      <c r="J763" s="1" t="s">
        <v>216</v>
      </c>
      <c r="K763" s="9">
        <v>65.59</v>
      </c>
      <c r="L763" t="s">
        <v>21</v>
      </c>
      <c r="M763">
        <f t="shared" si="50"/>
        <v>6.5590000000000009E-2</v>
      </c>
      <c r="N763">
        <f t="shared" si="49"/>
        <v>20.359398360000004</v>
      </c>
    </row>
    <row r="764" spans="1:14" x14ac:dyDescent="0.3">
      <c r="A764" s="1" t="s">
        <v>23</v>
      </c>
      <c r="B764">
        <v>6</v>
      </c>
      <c r="C764">
        <v>13</v>
      </c>
      <c r="D764" t="s">
        <v>74</v>
      </c>
      <c r="E764">
        <v>23000000</v>
      </c>
      <c r="F764">
        <f t="shared" si="53"/>
        <v>23000000</v>
      </c>
      <c r="G764">
        <f t="shared" si="52"/>
        <v>74096.983286297851</v>
      </c>
      <c r="H764" t="s">
        <v>72</v>
      </c>
      <c r="I764" s="1" t="s">
        <v>224</v>
      </c>
      <c r="J764" s="1" t="s">
        <v>216</v>
      </c>
      <c r="K764" s="9">
        <v>108.16</v>
      </c>
      <c r="L764" t="s">
        <v>21</v>
      </c>
      <c r="M764">
        <f t="shared" si="50"/>
        <v>0.10815999999999999</v>
      </c>
      <c r="N764">
        <f t="shared" si="49"/>
        <v>33.573296640000002</v>
      </c>
    </row>
    <row r="765" spans="1:14" x14ac:dyDescent="0.3">
      <c r="A765" s="1" t="s">
        <v>23</v>
      </c>
      <c r="B765">
        <v>6</v>
      </c>
      <c r="C765">
        <v>13</v>
      </c>
      <c r="D765" t="s">
        <v>74</v>
      </c>
      <c r="E765">
        <v>23000000</v>
      </c>
      <c r="F765">
        <f t="shared" si="53"/>
        <v>23000000</v>
      </c>
      <c r="G765">
        <f t="shared" si="52"/>
        <v>74096.983286297851</v>
      </c>
      <c r="H765" t="s">
        <v>72</v>
      </c>
      <c r="I765" s="1" t="s">
        <v>224</v>
      </c>
      <c r="J765" s="1" t="s">
        <v>216</v>
      </c>
      <c r="K765" s="9">
        <v>77.260000000000005</v>
      </c>
      <c r="L765" t="s">
        <v>21</v>
      </c>
      <c r="M765">
        <f t="shared" si="50"/>
        <v>7.7260000000000009E-2</v>
      </c>
      <c r="N765">
        <f t="shared" si="49"/>
        <v>23.981813040000006</v>
      </c>
    </row>
    <row r="766" spans="1:14" x14ac:dyDescent="0.3">
      <c r="A766" s="1" t="s">
        <v>23</v>
      </c>
      <c r="B766">
        <v>6</v>
      </c>
      <c r="C766">
        <v>13</v>
      </c>
      <c r="D766" t="s">
        <v>74</v>
      </c>
      <c r="E766">
        <v>23000000</v>
      </c>
      <c r="F766">
        <f t="shared" si="53"/>
        <v>23000000</v>
      </c>
      <c r="G766">
        <f t="shared" si="52"/>
        <v>74096.983286297851</v>
      </c>
      <c r="H766" t="s">
        <v>72</v>
      </c>
      <c r="I766" s="1" t="s">
        <v>224</v>
      </c>
      <c r="J766" s="1" t="s">
        <v>216</v>
      </c>
      <c r="K766" s="9">
        <v>179.18</v>
      </c>
      <c r="L766" t="s">
        <v>21</v>
      </c>
      <c r="M766">
        <f t="shared" si="50"/>
        <v>0.17918000000000001</v>
      </c>
      <c r="N766">
        <f t="shared" si="49"/>
        <v>55.618188720000006</v>
      </c>
    </row>
    <row r="767" spans="1:14" x14ac:dyDescent="0.3">
      <c r="A767" s="1" t="s">
        <v>23</v>
      </c>
      <c r="B767">
        <v>6</v>
      </c>
      <c r="C767">
        <v>13</v>
      </c>
      <c r="D767" t="s">
        <v>74</v>
      </c>
      <c r="E767">
        <v>23000000</v>
      </c>
      <c r="F767">
        <f t="shared" si="53"/>
        <v>23000000</v>
      </c>
      <c r="G767">
        <f t="shared" si="52"/>
        <v>74096.983286297851</v>
      </c>
      <c r="H767" t="s">
        <v>72</v>
      </c>
      <c r="I767" s="1" t="s">
        <v>224</v>
      </c>
      <c r="J767" s="1" t="s">
        <v>216</v>
      </c>
      <c r="K767" s="9">
        <v>211.9</v>
      </c>
      <c r="L767" t="s">
        <v>21</v>
      </c>
      <c r="M767">
        <f t="shared" si="50"/>
        <v>0.21190000000000001</v>
      </c>
      <c r="N767">
        <f t="shared" si="49"/>
        <v>65.77460760000001</v>
      </c>
    </row>
    <row r="768" spans="1:14" x14ac:dyDescent="0.3">
      <c r="A768" s="1" t="s">
        <v>23</v>
      </c>
      <c r="B768">
        <v>6</v>
      </c>
      <c r="C768">
        <v>13</v>
      </c>
      <c r="D768" t="s">
        <v>74</v>
      </c>
      <c r="E768">
        <v>23000000</v>
      </c>
      <c r="F768">
        <f t="shared" si="53"/>
        <v>23000000</v>
      </c>
      <c r="G768">
        <f t="shared" si="52"/>
        <v>74096.983286297851</v>
      </c>
      <c r="H768" t="s">
        <v>72</v>
      </c>
      <c r="I768" s="1" t="s">
        <v>224</v>
      </c>
      <c r="J768" s="1" t="s">
        <v>216</v>
      </c>
      <c r="K768" s="9">
        <v>188.78</v>
      </c>
      <c r="L768" t="s">
        <v>21</v>
      </c>
      <c r="M768">
        <f t="shared" si="50"/>
        <v>0.18878</v>
      </c>
      <c r="N768">
        <f t="shared" si="49"/>
        <v>58.598067120000003</v>
      </c>
    </row>
    <row r="769" spans="1:14" x14ac:dyDescent="0.3">
      <c r="A769" s="1" t="s">
        <v>23</v>
      </c>
      <c r="B769">
        <v>6</v>
      </c>
      <c r="C769">
        <v>13</v>
      </c>
      <c r="D769" t="s">
        <v>74</v>
      </c>
      <c r="E769">
        <v>23000000</v>
      </c>
      <c r="F769">
        <f t="shared" si="53"/>
        <v>23000000</v>
      </c>
      <c r="G769">
        <f t="shared" si="52"/>
        <v>74096.983286297851</v>
      </c>
      <c r="H769" t="s">
        <v>72</v>
      </c>
      <c r="I769" s="1" t="s">
        <v>224</v>
      </c>
      <c r="J769" s="1" t="s">
        <v>216</v>
      </c>
      <c r="K769" s="9">
        <v>189.32</v>
      </c>
      <c r="L769" t="s">
        <v>21</v>
      </c>
      <c r="M769">
        <f t="shared" si="50"/>
        <v>0.18931999999999999</v>
      </c>
      <c r="N769">
        <f t="shared" si="49"/>
        <v>58.765685280000007</v>
      </c>
    </row>
    <row r="770" spans="1:14" x14ac:dyDescent="0.3">
      <c r="A770" s="1" t="s">
        <v>23</v>
      </c>
      <c r="B770">
        <v>6</v>
      </c>
      <c r="C770">
        <v>13</v>
      </c>
      <c r="D770" t="s">
        <v>74</v>
      </c>
      <c r="E770">
        <v>23000000</v>
      </c>
      <c r="F770">
        <f t="shared" si="53"/>
        <v>23000000</v>
      </c>
      <c r="G770">
        <f t="shared" si="52"/>
        <v>74096.983286297851</v>
      </c>
      <c r="H770" t="s">
        <v>72</v>
      </c>
      <c r="I770" s="1" t="s">
        <v>224</v>
      </c>
      <c r="J770" s="1" t="s">
        <v>216</v>
      </c>
      <c r="K770" s="9">
        <v>203.68</v>
      </c>
      <c r="L770" t="s">
        <v>21</v>
      </c>
      <c r="M770">
        <f t="shared" si="50"/>
        <v>0.20368</v>
      </c>
      <c r="N770">
        <f t="shared" ref="N770:N833" si="54">IFERROR((M770*F770)/G770,"ND")</f>
        <v>63.223086720000005</v>
      </c>
    </row>
    <row r="771" spans="1:14" x14ac:dyDescent="0.3">
      <c r="A771" s="1" t="s">
        <v>23</v>
      </c>
      <c r="B771">
        <v>6</v>
      </c>
      <c r="C771">
        <v>13</v>
      </c>
      <c r="D771" t="s">
        <v>74</v>
      </c>
      <c r="E771">
        <v>23000000</v>
      </c>
      <c r="F771">
        <f t="shared" si="53"/>
        <v>23000000</v>
      </c>
      <c r="G771">
        <f t="shared" si="52"/>
        <v>74096.983286297851</v>
      </c>
      <c r="H771" t="s">
        <v>72</v>
      </c>
      <c r="I771" s="1" t="s">
        <v>224</v>
      </c>
      <c r="J771" s="1" t="s">
        <v>216</v>
      </c>
      <c r="K771" s="9">
        <v>201.86</v>
      </c>
      <c r="L771" t="s">
        <v>21</v>
      </c>
      <c r="M771">
        <f t="shared" si="50"/>
        <v>0.20186000000000001</v>
      </c>
      <c r="N771">
        <f t="shared" si="54"/>
        <v>62.658151440000005</v>
      </c>
    </row>
    <row r="772" spans="1:14" x14ac:dyDescent="0.3">
      <c r="A772" s="1" t="s">
        <v>23</v>
      </c>
      <c r="B772">
        <v>6</v>
      </c>
      <c r="C772">
        <v>13</v>
      </c>
      <c r="D772" t="s">
        <v>74</v>
      </c>
      <c r="E772">
        <v>23000000</v>
      </c>
      <c r="F772">
        <f t="shared" si="53"/>
        <v>23000000</v>
      </c>
      <c r="G772">
        <f t="shared" si="52"/>
        <v>74096.983286297851</v>
      </c>
      <c r="H772" t="s">
        <v>72</v>
      </c>
      <c r="I772" s="1" t="s">
        <v>224</v>
      </c>
      <c r="J772" s="1" t="s">
        <v>216</v>
      </c>
      <c r="K772" s="9">
        <v>1.31</v>
      </c>
      <c r="L772" t="s">
        <v>21</v>
      </c>
      <c r="M772">
        <f t="shared" si="50"/>
        <v>1.31E-3</v>
      </c>
      <c r="N772">
        <f t="shared" si="54"/>
        <v>0.40662924000000006</v>
      </c>
    </row>
    <row r="773" spans="1:14" x14ac:dyDescent="0.3">
      <c r="A773" s="1" t="s">
        <v>23</v>
      </c>
      <c r="B773">
        <v>6</v>
      </c>
      <c r="C773">
        <v>13</v>
      </c>
      <c r="D773" t="s">
        <v>74</v>
      </c>
      <c r="E773">
        <v>23000000</v>
      </c>
      <c r="F773">
        <f t="shared" si="53"/>
        <v>23000000</v>
      </c>
      <c r="G773">
        <f t="shared" si="52"/>
        <v>74096.983286297851</v>
      </c>
      <c r="H773" t="s">
        <v>72</v>
      </c>
      <c r="I773" s="1" t="s">
        <v>224</v>
      </c>
      <c r="J773" s="1" t="s">
        <v>216</v>
      </c>
      <c r="K773" s="9">
        <v>248.35</v>
      </c>
      <c r="L773" t="s">
        <v>21</v>
      </c>
      <c r="M773">
        <f t="shared" si="50"/>
        <v>0.24834999999999999</v>
      </c>
      <c r="N773">
        <f t="shared" si="54"/>
        <v>77.088833400000013</v>
      </c>
    </row>
    <row r="774" spans="1:14" x14ac:dyDescent="0.3">
      <c r="A774" s="1" t="s">
        <v>23</v>
      </c>
      <c r="B774">
        <v>6</v>
      </c>
      <c r="C774">
        <v>13</v>
      </c>
      <c r="D774" t="s">
        <v>74</v>
      </c>
      <c r="E774">
        <v>23000000</v>
      </c>
      <c r="F774">
        <f t="shared" si="53"/>
        <v>23000000</v>
      </c>
      <c r="G774">
        <f t="shared" si="52"/>
        <v>74096.983286297851</v>
      </c>
      <c r="H774" t="s">
        <v>72</v>
      </c>
      <c r="I774" s="1" t="s">
        <v>224</v>
      </c>
      <c r="J774" s="1" t="s">
        <v>216</v>
      </c>
      <c r="K774" s="9">
        <v>69.290000000000006</v>
      </c>
      <c r="L774" t="s">
        <v>21</v>
      </c>
      <c r="M774">
        <f t="shared" si="50"/>
        <v>6.9290000000000004E-2</v>
      </c>
      <c r="N774">
        <f t="shared" si="54"/>
        <v>21.507893160000002</v>
      </c>
    </row>
    <row r="775" spans="1:14" x14ac:dyDescent="0.3">
      <c r="A775" s="1" t="s">
        <v>23</v>
      </c>
      <c r="B775">
        <v>6</v>
      </c>
      <c r="C775">
        <v>13</v>
      </c>
      <c r="D775" t="s">
        <v>74</v>
      </c>
      <c r="E775">
        <v>23000000</v>
      </c>
      <c r="F775">
        <f t="shared" si="53"/>
        <v>23000000</v>
      </c>
      <c r="G775">
        <f t="shared" si="52"/>
        <v>74096.983286297851</v>
      </c>
      <c r="H775" t="s">
        <v>72</v>
      </c>
      <c r="I775" s="1" t="s">
        <v>224</v>
      </c>
      <c r="J775" s="1" t="s">
        <v>216</v>
      </c>
      <c r="K775" s="9">
        <v>77.19</v>
      </c>
      <c r="L775" t="s">
        <v>21</v>
      </c>
      <c r="M775">
        <f t="shared" si="50"/>
        <v>7.7189999999999995E-2</v>
      </c>
      <c r="N775">
        <f t="shared" si="54"/>
        <v>23.960084759999997</v>
      </c>
    </row>
    <row r="776" spans="1:14" x14ac:dyDescent="0.3">
      <c r="A776" s="1" t="s">
        <v>23</v>
      </c>
      <c r="B776">
        <v>6</v>
      </c>
      <c r="C776">
        <v>13</v>
      </c>
      <c r="D776" t="s">
        <v>74</v>
      </c>
      <c r="E776">
        <v>23000000</v>
      </c>
      <c r="F776">
        <f t="shared" si="53"/>
        <v>23000000</v>
      </c>
      <c r="G776">
        <f t="shared" si="52"/>
        <v>74096.983286297851</v>
      </c>
      <c r="H776" t="s">
        <v>72</v>
      </c>
      <c r="I776" s="1" t="s">
        <v>224</v>
      </c>
      <c r="J776" s="1" t="s">
        <v>216</v>
      </c>
      <c r="K776" s="9">
        <v>93.41</v>
      </c>
      <c r="L776" t="s">
        <v>21</v>
      </c>
      <c r="M776">
        <f t="shared" si="50"/>
        <v>9.3409999999999993E-2</v>
      </c>
      <c r="N776">
        <f t="shared" si="54"/>
        <v>28.994837640000004</v>
      </c>
    </row>
    <row r="777" spans="1:14" x14ac:dyDescent="0.3">
      <c r="A777" s="1" t="s">
        <v>23</v>
      </c>
      <c r="B777">
        <v>6</v>
      </c>
      <c r="C777">
        <v>13</v>
      </c>
      <c r="D777" t="s">
        <v>74</v>
      </c>
      <c r="E777">
        <v>23000000</v>
      </c>
      <c r="F777">
        <f t="shared" si="53"/>
        <v>23000000</v>
      </c>
      <c r="G777">
        <f t="shared" si="52"/>
        <v>74096.983286297851</v>
      </c>
      <c r="H777" t="s">
        <v>72</v>
      </c>
      <c r="I777" s="1" t="s">
        <v>224</v>
      </c>
      <c r="J777" s="1" t="s">
        <v>216</v>
      </c>
      <c r="K777" s="9">
        <v>21.29</v>
      </c>
      <c r="L777" t="s">
        <v>21</v>
      </c>
      <c r="M777">
        <f t="shared" si="50"/>
        <v>2.129E-2</v>
      </c>
      <c r="N777">
        <f t="shared" si="54"/>
        <v>6.6085011600000003</v>
      </c>
    </row>
    <row r="778" spans="1:14" x14ac:dyDescent="0.3">
      <c r="A778" s="1" t="s">
        <v>23</v>
      </c>
      <c r="B778">
        <v>6</v>
      </c>
      <c r="C778">
        <v>13</v>
      </c>
      <c r="D778" t="s">
        <v>74</v>
      </c>
      <c r="E778">
        <v>23000000</v>
      </c>
      <c r="F778">
        <f t="shared" si="53"/>
        <v>23000000</v>
      </c>
      <c r="G778">
        <f t="shared" si="52"/>
        <v>74096.983286297851</v>
      </c>
      <c r="H778" t="s">
        <v>72</v>
      </c>
      <c r="I778" s="1" t="s">
        <v>224</v>
      </c>
      <c r="J778" s="1" t="s">
        <v>216</v>
      </c>
      <c r="K778" s="9">
        <v>75.790000000000006</v>
      </c>
      <c r="L778" t="s">
        <v>21</v>
      </c>
      <c r="M778">
        <f t="shared" si="50"/>
        <v>7.579000000000001E-2</v>
      </c>
      <c r="N778">
        <f t="shared" si="54"/>
        <v>23.525519160000005</v>
      </c>
    </row>
    <row r="779" spans="1:14" x14ac:dyDescent="0.3">
      <c r="A779" s="1" t="s">
        <v>23</v>
      </c>
      <c r="B779">
        <v>6</v>
      </c>
      <c r="C779">
        <v>13</v>
      </c>
      <c r="D779" t="s">
        <v>74</v>
      </c>
      <c r="E779">
        <v>23000000</v>
      </c>
      <c r="F779">
        <f t="shared" si="53"/>
        <v>23000000</v>
      </c>
      <c r="G779">
        <f t="shared" si="52"/>
        <v>74096.983286297851</v>
      </c>
      <c r="H779" t="s">
        <v>72</v>
      </c>
      <c r="I779" s="1" t="s">
        <v>224</v>
      </c>
      <c r="J779" s="1" t="s">
        <v>216</v>
      </c>
      <c r="K779" s="9">
        <v>11.72</v>
      </c>
      <c r="L779" t="s">
        <v>21</v>
      </c>
      <c r="M779">
        <f t="shared" si="50"/>
        <v>1.1720000000000001E-2</v>
      </c>
      <c r="N779">
        <f t="shared" si="54"/>
        <v>3.6379348800000004</v>
      </c>
    </row>
    <row r="780" spans="1:14" x14ac:dyDescent="0.3">
      <c r="A780" s="1" t="s">
        <v>23</v>
      </c>
      <c r="B780">
        <v>6</v>
      </c>
      <c r="C780">
        <v>13</v>
      </c>
      <c r="D780" t="s">
        <v>74</v>
      </c>
      <c r="E780">
        <v>23000000</v>
      </c>
      <c r="F780">
        <f t="shared" si="53"/>
        <v>23000000</v>
      </c>
      <c r="G780">
        <f t="shared" si="52"/>
        <v>74096.983286297851</v>
      </c>
      <c r="H780" t="s">
        <v>72</v>
      </c>
      <c r="I780" s="1" t="s">
        <v>224</v>
      </c>
      <c r="J780" s="1" t="s">
        <v>216</v>
      </c>
      <c r="K780" s="9">
        <v>15.41</v>
      </c>
      <c r="L780" t="s">
        <v>21</v>
      </c>
      <c r="M780">
        <f t="shared" si="50"/>
        <v>1.541E-2</v>
      </c>
      <c r="N780">
        <f t="shared" si="54"/>
        <v>4.7833256400000002</v>
      </c>
    </row>
    <row r="781" spans="1:14" x14ac:dyDescent="0.3">
      <c r="A781" s="1" t="s">
        <v>23</v>
      </c>
      <c r="B781">
        <v>6</v>
      </c>
      <c r="C781">
        <v>13</v>
      </c>
      <c r="D781" t="s">
        <v>74</v>
      </c>
      <c r="E781">
        <v>23000000</v>
      </c>
      <c r="F781">
        <f t="shared" si="53"/>
        <v>23000000</v>
      </c>
      <c r="G781">
        <f t="shared" si="52"/>
        <v>74096.983286297851</v>
      </c>
      <c r="H781" t="s">
        <v>72</v>
      </c>
      <c r="I781" s="1" t="s">
        <v>224</v>
      </c>
      <c r="J781" s="1" t="s">
        <v>216</v>
      </c>
      <c r="K781" s="9">
        <v>254.19</v>
      </c>
      <c r="L781" t="s">
        <v>21</v>
      </c>
      <c r="M781">
        <f t="shared" si="50"/>
        <v>0.25418999999999997</v>
      </c>
      <c r="N781">
        <f t="shared" si="54"/>
        <v>78.90159276</v>
      </c>
    </row>
    <row r="782" spans="1:14" x14ac:dyDescent="0.3">
      <c r="A782" s="1" t="s">
        <v>23</v>
      </c>
      <c r="B782">
        <v>6</v>
      </c>
      <c r="C782">
        <v>13</v>
      </c>
      <c r="D782" t="s">
        <v>74</v>
      </c>
      <c r="E782">
        <v>23000000</v>
      </c>
      <c r="F782">
        <f t="shared" si="53"/>
        <v>23000000</v>
      </c>
      <c r="G782">
        <f t="shared" si="52"/>
        <v>74096.983286297851</v>
      </c>
      <c r="H782" t="s">
        <v>72</v>
      </c>
      <c r="I782" s="1" t="s">
        <v>224</v>
      </c>
      <c r="J782" s="1" t="s">
        <v>216</v>
      </c>
      <c r="K782" s="9">
        <v>75.3</v>
      </c>
      <c r="L782" t="s">
        <v>21</v>
      </c>
      <c r="M782">
        <f t="shared" si="50"/>
        <v>7.5299999999999992E-2</v>
      </c>
      <c r="N782">
        <f t="shared" si="54"/>
        <v>23.373421199999999</v>
      </c>
    </row>
    <row r="783" spans="1:14" x14ac:dyDescent="0.3">
      <c r="A783" s="1" t="s">
        <v>23</v>
      </c>
      <c r="B783">
        <v>6</v>
      </c>
      <c r="C783">
        <v>13</v>
      </c>
      <c r="D783" t="s">
        <v>74</v>
      </c>
      <c r="E783">
        <v>23000000</v>
      </c>
      <c r="F783">
        <f t="shared" si="53"/>
        <v>23000000</v>
      </c>
      <c r="G783">
        <f t="shared" si="52"/>
        <v>74096.983286297851</v>
      </c>
      <c r="H783" t="s">
        <v>72</v>
      </c>
      <c r="I783" s="1" t="s">
        <v>224</v>
      </c>
      <c r="J783" s="1" t="s">
        <v>216</v>
      </c>
      <c r="K783" s="9">
        <v>65.290000000000006</v>
      </c>
      <c r="L783" t="s">
        <v>21</v>
      </c>
      <c r="M783">
        <f t="shared" si="50"/>
        <v>6.5290000000000001E-2</v>
      </c>
      <c r="N783">
        <f t="shared" si="54"/>
        <v>20.266277160000001</v>
      </c>
    </row>
    <row r="784" spans="1:14" x14ac:dyDescent="0.3">
      <c r="A784" s="1" t="s">
        <v>23</v>
      </c>
      <c r="B784">
        <v>6</v>
      </c>
      <c r="C784">
        <v>13</v>
      </c>
      <c r="D784" t="s">
        <v>74</v>
      </c>
      <c r="E784">
        <v>23000000</v>
      </c>
      <c r="F784">
        <f t="shared" si="53"/>
        <v>23000000</v>
      </c>
      <c r="G784">
        <f t="shared" si="52"/>
        <v>74096.983286297851</v>
      </c>
      <c r="H784" t="s">
        <v>72</v>
      </c>
      <c r="I784" s="1" t="s">
        <v>224</v>
      </c>
      <c r="J784" s="1" t="s">
        <v>216</v>
      </c>
      <c r="K784" s="9">
        <v>68.7</v>
      </c>
      <c r="L784" t="s">
        <v>21</v>
      </c>
      <c r="M784">
        <f t="shared" si="50"/>
        <v>6.8699999999999997E-2</v>
      </c>
      <c r="N784">
        <f t="shared" si="54"/>
        <v>21.324754800000001</v>
      </c>
    </row>
    <row r="785" spans="1:14" x14ac:dyDescent="0.3">
      <c r="A785" s="1" t="s">
        <v>23</v>
      </c>
      <c r="B785">
        <v>6</v>
      </c>
      <c r="C785">
        <v>13</v>
      </c>
      <c r="D785" t="s">
        <v>74</v>
      </c>
      <c r="E785">
        <v>23000000</v>
      </c>
      <c r="F785">
        <f t="shared" si="53"/>
        <v>23000000</v>
      </c>
      <c r="G785">
        <f t="shared" si="52"/>
        <v>74096.983286297851</v>
      </c>
      <c r="H785" t="s">
        <v>72</v>
      </c>
      <c r="I785" s="1" t="s">
        <v>224</v>
      </c>
      <c r="J785" s="1" t="s">
        <v>216</v>
      </c>
      <c r="K785" s="9">
        <v>2927.23</v>
      </c>
      <c r="L785" t="s">
        <v>21</v>
      </c>
      <c r="M785">
        <f t="shared" si="50"/>
        <v>2.9272300000000002</v>
      </c>
      <c r="N785">
        <f t="shared" si="54"/>
        <v>908.6239009200001</v>
      </c>
    </row>
    <row r="786" spans="1:14" x14ac:dyDescent="0.3">
      <c r="A786" s="1" t="s">
        <v>23</v>
      </c>
      <c r="B786">
        <v>6</v>
      </c>
      <c r="C786">
        <v>13</v>
      </c>
      <c r="D786" t="s">
        <v>74</v>
      </c>
      <c r="E786">
        <v>23000000</v>
      </c>
      <c r="F786">
        <f t="shared" si="53"/>
        <v>23000000</v>
      </c>
      <c r="G786">
        <f t="shared" si="52"/>
        <v>74096.983286297851</v>
      </c>
      <c r="H786" t="s">
        <v>72</v>
      </c>
      <c r="I786" s="1" t="s">
        <v>224</v>
      </c>
      <c r="J786" s="1" t="s">
        <v>216</v>
      </c>
      <c r="K786" s="9">
        <v>8652.92</v>
      </c>
      <c r="L786" t="s">
        <v>21</v>
      </c>
      <c r="M786">
        <f t="shared" si="50"/>
        <v>8.6529199999999999</v>
      </c>
      <c r="N786">
        <f t="shared" si="54"/>
        <v>2685.9009796800001</v>
      </c>
    </row>
    <row r="787" spans="1:14" x14ac:dyDescent="0.3">
      <c r="A787" s="1" t="s">
        <v>23</v>
      </c>
      <c r="B787">
        <v>6</v>
      </c>
      <c r="C787">
        <v>13</v>
      </c>
      <c r="D787" t="s">
        <v>74</v>
      </c>
      <c r="E787">
        <v>23000000</v>
      </c>
      <c r="F787">
        <f t="shared" si="53"/>
        <v>23000000</v>
      </c>
      <c r="G787">
        <f t="shared" si="52"/>
        <v>74096.983286297851</v>
      </c>
      <c r="H787" t="s">
        <v>72</v>
      </c>
      <c r="I787" s="1" t="s">
        <v>224</v>
      </c>
      <c r="J787" s="1" t="s">
        <v>216</v>
      </c>
      <c r="K787" s="9">
        <v>2744.9</v>
      </c>
      <c r="L787" t="s">
        <v>21</v>
      </c>
      <c r="M787">
        <f t="shared" si="50"/>
        <v>2.7448999999999999</v>
      </c>
      <c r="N787">
        <f t="shared" si="54"/>
        <v>852.02793960000008</v>
      </c>
    </row>
    <row r="788" spans="1:14" x14ac:dyDescent="0.3">
      <c r="A788" s="1" t="s">
        <v>23</v>
      </c>
      <c r="B788">
        <v>6</v>
      </c>
      <c r="C788">
        <v>13</v>
      </c>
      <c r="D788" t="s">
        <v>74</v>
      </c>
      <c r="E788">
        <v>23000000</v>
      </c>
      <c r="F788">
        <f t="shared" si="53"/>
        <v>23000000</v>
      </c>
      <c r="G788">
        <f t="shared" si="52"/>
        <v>74096.983286297851</v>
      </c>
      <c r="H788" t="s">
        <v>72</v>
      </c>
      <c r="I788" s="1" t="s">
        <v>224</v>
      </c>
      <c r="J788" s="1" t="s">
        <v>216</v>
      </c>
      <c r="K788" s="9">
        <v>1612.63</v>
      </c>
      <c r="L788" t="s">
        <v>21</v>
      </c>
      <c r="M788">
        <f t="shared" si="50"/>
        <v>1.61263</v>
      </c>
      <c r="N788">
        <f t="shared" si="54"/>
        <v>500.56680252000007</v>
      </c>
    </row>
    <row r="789" spans="1:14" x14ac:dyDescent="0.3">
      <c r="A789" s="1" t="s">
        <v>23</v>
      </c>
      <c r="B789">
        <v>6</v>
      </c>
      <c r="C789">
        <v>13</v>
      </c>
      <c r="D789" t="s">
        <v>74</v>
      </c>
      <c r="E789">
        <v>23000000</v>
      </c>
      <c r="F789">
        <f t="shared" si="53"/>
        <v>23000000</v>
      </c>
      <c r="G789">
        <f t="shared" si="52"/>
        <v>74096.983286297851</v>
      </c>
      <c r="H789" t="s">
        <v>72</v>
      </c>
      <c r="I789" s="1" t="s">
        <v>224</v>
      </c>
      <c r="J789" s="1" t="s">
        <v>216</v>
      </c>
      <c r="K789" s="9">
        <v>7325.93</v>
      </c>
      <c r="L789" t="s">
        <v>21</v>
      </c>
      <c r="M789">
        <f t="shared" si="50"/>
        <v>7.3259300000000005</v>
      </c>
      <c r="N789">
        <f t="shared" si="54"/>
        <v>2273.9979757200003</v>
      </c>
    </row>
    <row r="790" spans="1:14" x14ac:dyDescent="0.3">
      <c r="A790" s="1" t="s">
        <v>23</v>
      </c>
      <c r="B790">
        <v>6</v>
      </c>
      <c r="C790">
        <v>13</v>
      </c>
      <c r="D790" t="s">
        <v>74</v>
      </c>
      <c r="E790">
        <v>23000000</v>
      </c>
      <c r="F790">
        <f t="shared" si="53"/>
        <v>23000000</v>
      </c>
      <c r="G790">
        <f t="shared" si="52"/>
        <v>74096.983286297851</v>
      </c>
      <c r="H790" t="s">
        <v>72</v>
      </c>
      <c r="I790" s="1" t="s">
        <v>224</v>
      </c>
      <c r="J790" s="1" t="s">
        <v>216</v>
      </c>
      <c r="K790" s="9">
        <v>7494.88</v>
      </c>
      <c r="L790" t="s">
        <v>21</v>
      </c>
      <c r="M790">
        <f t="shared" si="50"/>
        <v>7.4948800000000002</v>
      </c>
      <c r="N790">
        <f t="shared" si="54"/>
        <v>2326.4407315200001</v>
      </c>
    </row>
    <row r="791" spans="1:14" x14ac:dyDescent="0.3">
      <c r="A791" s="1" t="s">
        <v>23</v>
      </c>
      <c r="B791">
        <v>6</v>
      </c>
      <c r="C791">
        <v>13</v>
      </c>
      <c r="D791" t="s">
        <v>74</v>
      </c>
      <c r="E791">
        <v>23000000</v>
      </c>
      <c r="F791">
        <f t="shared" si="53"/>
        <v>23000000</v>
      </c>
      <c r="G791">
        <f t="shared" si="52"/>
        <v>74096.983286297851</v>
      </c>
      <c r="H791" t="s">
        <v>72</v>
      </c>
      <c r="I791" s="1" t="s">
        <v>224</v>
      </c>
      <c r="J791" s="1" t="s">
        <v>216</v>
      </c>
      <c r="K791" s="9">
        <v>3130.45</v>
      </c>
      <c r="L791" t="s">
        <v>21</v>
      </c>
      <c r="M791">
        <f t="shared" ref="M791:M854" si="55">IFERROR(K791/1000,"ND")</f>
        <v>3.1304499999999997</v>
      </c>
      <c r="N791">
        <f t="shared" si="54"/>
        <v>971.70420180000008</v>
      </c>
    </row>
    <row r="792" spans="1:14" x14ac:dyDescent="0.3">
      <c r="A792" s="1" t="s">
        <v>23</v>
      </c>
      <c r="B792">
        <v>6</v>
      </c>
      <c r="C792">
        <v>13</v>
      </c>
      <c r="D792" t="s">
        <v>74</v>
      </c>
      <c r="E792">
        <v>23000000</v>
      </c>
      <c r="F792">
        <f t="shared" si="53"/>
        <v>23000000</v>
      </c>
      <c r="G792">
        <f t="shared" ref="G792:G855" si="56">F792/310.404</f>
        <v>74096.983286297851</v>
      </c>
      <c r="H792" t="s">
        <v>72</v>
      </c>
      <c r="I792" s="1" t="s">
        <v>224</v>
      </c>
      <c r="J792" s="1" t="s">
        <v>216</v>
      </c>
      <c r="K792" s="9">
        <v>20054.509999999998</v>
      </c>
      <c r="L792" t="s">
        <v>21</v>
      </c>
      <c r="M792">
        <f t="shared" si="55"/>
        <v>20.054509999999997</v>
      </c>
      <c r="N792">
        <f t="shared" si="54"/>
        <v>6225.00012204</v>
      </c>
    </row>
    <row r="793" spans="1:14" x14ac:dyDescent="0.3">
      <c r="A793" s="1" t="s">
        <v>23</v>
      </c>
      <c r="B793">
        <v>6</v>
      </c>
      <c r="C793">
        <v>13</v>
      </c>
      <c r="D793" t="s">
        <v>74</v>
      </c>
      <c r="E793">
        <v>23000000</v>
      </c>
      <c r="F793">
        <f t="shared" si="53"/>
        <v>23000000</v>
      </c>
      <c r="G793">
        <f t="shared" si="56"/>
        <v>74096.983286297851</v>
      </c>
      <c r="H793" t="s">
        <v>72</v>
      </c>
      <c r="I793" s="1" t="s">
        <v>224</v>
      </c>
      <c r="J793" s="1" t="s">
        <v>216</v>
      </c>
      <c r="K793" s="9">
        <v>5677.46</v>
      </c>
      <c r="L793" t="s">
        <v>21</v>
      </c>
      <c r="M793">
        <f t="shared" si="55"/>
        <v>5.67746</v>
      </c>
      <c r="N793">
        <f t="shared" si="54"/>
        <v>1762.3062938400001</v>
      </c>
    </row>
    <row r="794" spans="1:14" x14ac:dyDescent="0.3">
      <c r="A794" s="1" t="s">
        <v>23</v>
      </c>
      <c r="B794">
        <v>6</v>
      </c>
      <c r="C794">
        <v>13</v>
      </c>
      <c r="D794" t="s">
        <v>74</v>
      </c>
      <c r="E794">
        <v>23000000</v>
      </c>
      <c r="F794">
        <f t="shared" si="53"/>
        <v>23000000</v>
      </c>
      <c r="G794">
        <f t="shared" si="56"/>
        <v>74096.983286297851</v>
      </c>
      <c r="H794" t="s">
        <v>72</v>
      </c>
      <c r="I794" s="1" t="s">
        <v>224</v>
      </c>
      <c r="J794" s="1" t="s">
        <v>216</v>
      </c>
      <c r="K794" s="9">
        <v>13215.26</v>
      </c>
      <c r="L794" t="s">
        <v>21</v>
      </c>
      <c r="M794">
        <f t="shared" si="55"/>
        <v>13.215260000000001</v>
      </c>
      <c r="N794">
        <f t="shared" si="54"/>
        <v>4102.0695650400003</v>
      </c>
    </row>
    <row r="795" spans="1:14" x14ac:dyDescent="0.3">
      <c r="A795" s="1" t="s">
        <v>23</v>
      </c>
      <c r="B795">
        <v>6</v>
      </c>
      <c r="C795">
        <v>13</v>
      </c>
      <c r="D795" t="s">
        <v>74</v>
      </c>
      <c r="E795">
        <v>23000000</v>
      </c>
      <c r="F795">
        <f t="shared" si="53"/>
        <v>23000000</v>
      </c>
      <c r="G795">
        <f t="shared" si="56"/>
        <v>74096.983286297851</v>
      </c>
      <c r="H795" t="s">
        <v>72</v>
      </c>
      <c r="I795" s="1" t="s">
        <v>224</v>
      </c>
      <c r="J795" s="1" t="s">
        <v>216</v>
      </c>
      <c r="K795" s="9">
        <v>12739.38</v>
      </c>
      <c r="L795" t="s">
        <v>21</v>
      </c>
      <c r="M795">
        <f t="shared" si="55"/>
        <v>12.739379999999999</v>
      </c>
      <c r="N795">
        <f t="shared" si="54"/>
        <v>3954.3545095200002</v>
      </c>
    </row>
    <row r="796" spans="1:14" x14ac:dyDescent="0.3">
      <c r="A796" s="1" t="s">
        <v>23</v>
      </c>
      <c r="B796">
        <v>6</v>
      </c>
      <c r="C796">
        <v>13</v>
      </c>
      <c r="D796" t="s">
        <v>74</v>
      </c>
      <c r="E796">
        <v>23000000</v>
      </c>
      <c r="F796">
        <f t="shared" si="53"/>
        <v>23000000</v>
      </c>
      <c r="G796">
        <f t="shared" si="56"/>
        <v>74096.983286297851</v>
      </c>
      <c r="H796" t="s">
        <v>72</v>
      </c>
      <c r="I796" s="1" t="s">
        <v>224</v>
      </c>
      <c r="J796" s="1" t="s">
        <v>216</v>
      </c>
      <c r="K796" s="9">
        <v>19316.490000000002</v>
      </c>
      <c r="L796" t="s">
        <v>21</v>
      </c>
      <c r="M796">
        <f t="shared" si="55"/>
        <v>19.316490000000002</v>
      </c>
      <c r="N796">
        <f t="shared" si="54"/>
        <v>5995.915761960001</v>
      </c>
    </row>
    <row r="797" spans="1:14" x14ac:dyDescent="0.3">
      <c r="A797" s="1" t="s">
        <v>23</v>
      </c>
      <c r="B797">
        <v>6</v>
      </c>
      <c r="C797">
        <v>13</v>
      </c>
      <c r="D797" t="s">
        <v>74</v>
      </c>
      <c r="E797">
        <v>23000000</v>
      </c>
      <c r="F797">
        <f t="shared" si="53"/>
        <v>23000000</v>
      </c>
      <c r="G797">
        <f t="shared" si="56"/>
        <v>74096.983286297851</v>
      </c>
      <c r="H797" t="s">
        <v>72</v>
      </c>
      <c r="I797" s="1" t="s">
        <v>224</v>
      </c>
      <c r="J797" s="1" t="s">
        <v>216</v>
      </c>
      <c r="K797" s="9">
        <v>13153.98</v>
      </c>
      <c r="L797" t="s">
        <v>21</v>
      </c>
      <c r="M797">
        <f t="shared" si="55"/>
        <v>13.153979999999999</v>
      </c>
      <c r="N797">
        <f t="shared" si="54"/>
        <v>4083.0480079200001</v>
      </c>
    </row>
    <row r="798" spans="1:14" x14ac:dyDescent="0.3">
      <c r="A798" s="1" t="s">
        <v>23</v>
      </c>
      <c r="B798">
        <v>6</v>
      </c>
      <c r="C798">
        <v>13</v>
      </c>
      <c r="D798" t="s">
        <v>74</v>
      </c>
      <c r="E798">
        <v>23000000</v>
      </c>
      <c r="F798">
        <f t="shared" si="53"/>
        <v>23000000</v>
      </c>
      <c r="G798">
        <f t="shared" si="56"/>
        <v>74096.983286297851</v>
      </c>
      <c r="H798" t="s">
        <v>72</v>
      </c>
      <c r="I798" s="1" t="s">
        <v>224</v>
      </c>
      <c r="J798" s="1" t="s">
        <v>216</v>
      </c>
      <c r="K798" s="9">
        <v>24633.39</v>
      </c>
      <c r="L798" t="s">
        <v>21</v>
      </c>
      <c r="M798">
        <f t="shared" si="55"/>
        <v>24.633389999999999</v>
      </c>
      <c r="N798">
        <f t="shared" si="54"/>
        <v>7646.3027895600007</v>
      </c>
    </row>
    <row r="799" spans="1:14" x14ac:dyDescent="0.3">
      <c r="A799" s="1" t="s">
        <v>23</v>
      </c>
      <c r="B799">
        <v>6</v>
      </c>
      <c r="C799">
        <v>13</v>
      </c>
      <c r="D799" t="s">
        <v>74</v>
      </c>
      <c r="E799">
        <v>23000000</v>
      </c>
      <c r="F799">
        <f t="shared" si="53"/>
        <v>23000000</v>
      </c>
      <c r="G799">
        <f t="shared" si="56"/>
        <v>74096.983286297851</v>
      </c>
      <c r="H799" t="s">
        <v>72</v>
      </c>
      <c r="I799" s="1" t="s">
        <v>224</v>
      </c>
      <c r="J799" s="1" t="s">
        <v>216</v>
      </c>
      <c r="K799" s="9">
        <v>6074.74</v>
      </c>
      <c r="L799" t="s">
        <v>21</v>
      </c>
      <c r="M799">
        <f t="shared" si="55"/>
        <v>6.0747399999999994</v>
      </c>
      <c r="N799">
        <f t="shared" si="54"/>
        <v>1885.6235949600002</v>
      </c>
    </row>
    <row r="800" spans="1:14" x14ac:dyDescent="0.3">
      <c r="A800" s="1" t="s">
        <v>23</v>
      </c>
      <c r="B800">
        <v>6</v>
      </c>
      <c r="C800">
        <v>13</v>
      </c>
      <c r="D800" t="s">
        <v>74</v>
      </c>
      <c r="E800">
        <v>23000000</v>
      </c>
      <c r="F800">
        <f t="shared" si="53"/>
        <v>23000000</v>
      </c>
      <c r="G800">
        <f t="shared" si="56"/>
        <v>74096.983286297851</v>
      </c>
      <c r="H800" t="s">
        <v>72</v>
      </c>
      <c r="I800" s="1" t="s">
        <v>224</v>
      </c>
      <c r="J800" s="1" t="s">
        <v>216</v>
      </c>
      <c r="K800" s="9">
        <v>5510.52</v>
      </c>
      <c r="L800" t="s">
        <v>21</v>
      </c>
      <c r="M800">
        <f t="shared" si="55"/>
        <v>5.5105200000000005</v>
      </c>
      <c r="N800">
        <f t="shared" si="54"/>
        <v>1710.4874500800004</v>
      </c>
    </row>
    <row r="801" spans="1:14" x14ac:dyDescent="0.3">
      <c r="A801" s="1" t="s">
        <v>23</v>
      </c>
      <c r="B801">
        <v>6</v>
      </c>
      <c r="C801">
        <v>13</v>
      </c>
      <c r="D801" t="s">
        <v>74</v>
      </c>
      <c r="E801">
        <v>23000000</v>
      </c>
      <c r="F801">
        <f t="shared" si="53"/>
        <v>23000000</v>
      </c>
      <c r="G801">
        <f t="shared" si="56"/>
        <v>74096.983286297851</v>
      </c>
      <c r="H801" t="s">
        <v>72</v>
      </c>
      <c r="I801" s="1" t="s">
        <v>224</v>
      </c>
      <c r="J801" s="1" t="s">
        <v>216</v>
      </c>
      <c r="K801" s="9">
        <v>6414.84</v>
      </c>
      <c r="L801" t="s">
        <v>21</v>
      </c>
      <c r="M801">
        <f t="shared" si="55"/>
        <v>6.4148399999999999</v>
      </c>
      <c r="N801">
        <f t="shared" si="54"/>
        <v>1991.1919953600002</v>
      </c>
    </row>
    <row r="802" spans="1:14" x14ac:dyDescent="0.3">
      <c r="A802" s="1" t="s">
        <v>23</v>
      </c>
      <c r="B802">
        <v>6</v>
      </c>
      <c r="C802">
        <v>13</v>
      </c>
      <c r="D802" t="s">
        <v>74</v>
      </c>
      <c r="E802">
        <v>23000000</v>
      </c>
      <c r="F802">
        <f t="shared" si="53"/>
        <v>23000000</v>
      </c>
      <c r="G802">
        <f t="shared" si="56"/>
        <v>74096.983286297851</v>
      </c>
      <c r="H802" t="s">
        <v>72</v>
      </c>
      <c r="I802" s="1" t="s">
        <v>224</v>
      </c>
      <c r="J802" s="1" t="s">
        <v>216</v>
      </c>
      <c r="K802" s="9">
        <v>6069.82</v>
      </c>
      <c r="L802" t="s">
        <v>21</v>
      </c>
      <c r="M802">
        <f t="shared" si="55"/>
        <v>6.06982</v>
      </c>
      <c r="N802">
        <f t="shared" si="54"/>
        <v>1884.0964072800002</v>
      </c>
    </row>
    <row r="803" spans="1:14" x14ac:dyDescent="0.3">
      <c r="A803" s="1" t="s">
        <v>23</v>
      </c>
      <c r="B803">
        <v>6</v>
      </c>
      <c r="C803">
        <v>13</v>
      </c>
      <c r="D803" t="s">
        <v>74</v>
      </c>
      <c r="E803">
        <v>23000000</v>
      </c>
      <c r="F803">
        <f t="shared" si="53"/>
        <v>23000000</v>
      </c>
      <c r="G803">
        <f t="shared" si="56"/>
        <v>74096.983286297851</v>
      </c>
      <c r="H803" t="s">
        <v>72</v>
      </c>
      <c r="I803" s="1" t="s">
        <v>224</v>
      </c>
      <c r="J803" s="1" t="s">
        <v>216</v>
      </c>
      <c r="K803" s="9">
        <v>5638.97</v>
      </c>
      <c r="L803" t="s">
        <v>21</v>
      </c>
      <c r="M803">
        <f t="shared" si="55"/>
        <v>5.6389700000000005</v>
      </c>
      <c r="N803">
        <f t="shared" si="54"/>
        <v>1750.3588438800004</v>
      </c>
    </row>
    <row r="804" spans="1:14" x14ac:dyDescent="0.3">
      <c r="A804" s="1" t="s">
        <v>23</v>
      </c>
      <c r="B804">
        <v>6</v>
      </c>
      <c r="C804">
        <v>13</v>
      </c>
      <c r="D804" t="s">
        <v>74</v>
      </c>
      <c r="E804">
        <v>23000000</v>
      </c>
      <c r="F804">
        <f t="shared" si="53"/>
        <v>23000000</v>
      </c>
      <c r="G804">
        <f t="shared" si="56"/>
        <v>74096.983286297851</v>
      </c>
      <c r="H804" t="s">
        <v>72</v>
      </c>
      <c r="I804" s="1" t="s">
        <v>224</v>
      </c>
      <c r="J804" s="1" t="s">
        <v>216</v>
      </c>
      <c r="K804" s="9" t="s">
        <v>20</v>
      </c>
      <c r="L804" t="s">
        <v>21</v>
      </c>
      <c r="M804" t="str">
        <f t="shared" si="55"/>
        <v>ND</v>
      </c>
      <c r="N804" t="str">
        <f t="shared" si="54"/>
        <v>ND</v>
      </c>
    </row>
    <row r="805" spans="1:14" x14ac:dyDescent="0.3">
      <c r="A805" s="1" t="s">
        <v>23</v>
      </c>
      <c r="B805">
        <v>6</v>
      </c>
      <c r="C805">
        <v>13</v>
      </c>
      <c r="D805" t="s">
        <v>74</v>
      </c>
      <c r="E805">
        <v>23000000</v>
      </c>
      <c r="F805">
        <f t="shared" si="53"/>
        <v>23000000</v>
      </c>
      <c r="G805">
        <f t="shared" si="56"/>
        <v>74096.983286297851</v>
      </c>
      <c r="H805" t="s">
        <v>72</v>
      </c>
      <c r="I805" s="1" t="s">
        <v>224</v>
      </c>
      <c r="J805" s="1" t="s">
        <v>216</v>
      </c>
      <c r="K805" s="9">
        <v>20563.2</v>
      </c>
      <c r="L805" t="s">
        <v>21</v>
      </c>
      <c r="M805">
        <f t="shared" si="55"/>
        <v>20.563200000000002</v>
      </c>
      <c r="N805">
        <f t="shared" si="54"/>
        <v>6382.899532800001</v>
      </c>
    </row>
    <row r="806" spans="1:14" x14ac:dyDescent="0.3">
      <c r="A806" s="1" t="s">
        <v>23</v>
      </c>
      <c r="B806">
        <v>6</v>
      </c>
      <c r="C806">
        <v>13</v>
      </c>
      <c r="D806" t="s">
        <v>74</v>
      </c>
      <c r="E806">
        <v>23000000</v>
      </c>
      <c r="F806">
        <f t="shared" si="53"/>
        <v>23000000</v>
      </c>
      <c r="G806">
        <f t="shared" si="56"/>
        <v>74096.983286297851</v>
      </c>
      <c r="H806" t="s">
        <v>72</v>
      </c>
      <c r="I806" s="1" t="s">
        <v>224</v>
      </c>
      <c r="J806" s="1" t="s">
        <v>216</v>
      </c>
      <c r="K806" s="9">
        <v>7257.39</v>
      </c>
      <c r="L806" t="s">
        <v>21</v>
      </c>
      <c r="M806">
        <f t="shared" si="55"/>
        <v>7.25739</v>
      </c>
      <c r="N806">
        <f t="shared" si="54"/>
        <v>2252.7228855600001</v>
      </c>
    </row>
    <row r="807" spans="1:14" x14ac:dyDescent="0.3">
      <c r="A807" s="1" t="s">
        <v>35</v>
      </c>
      <c r="B807">
        <v>6</v>
      </c>
      <c r="C807">
        <v>13</v>
      </c>
      <c r="D807" t="s">
        <v>74</v>
      </c>
      <c r="E807">
        <v>23000000</v>
      </c>
      <c r="F807">
        <f t="shared" si="53"/>
        <v>23000000</v>
      </c>
      <c r="G807">
        <f t="shared" si="56"/>
        <v>74096.983286297851</v>
      </c>
      <c r="H807" t="s">
        <v>72</v>
      </c>
      <c r="I807" s="1" t="s">
        <v>224</v>
      </c>
      <c r="J807" s="1" t="s">
        <v>216</v>
      </c>
      <c r="K807" s="9">
        <v>1183.8499999999999</v>
      </c>
      <c r="L807" t="s">
        <v>21</v>
      </c>
      <c r="M807">
        <f t="shared" si="55"/>
        <v>1.1838499999999998</v>
      </c>
      <c r="N807">
        <f t="shared" si="54"/>
        <v>367.47177539999996</v>
      </c>
    </row>
    <row r="808" spans="1:14" x14ac:dyDescent="0.3">
      <c r="A808" s="1" t="s">
        <v>35</v>
      </c>
      <c r="B808">
        <v>6</v>
      </c>
      <c r="C808">
        <v>13</v>
      </c>
      <c r="D808" t="s">
        <v>74</v>
      </c>
      <c r="E808">
        <v>23000000</v>
      </c>
      <c r="F808">
        <f t="shared" si="53"/>
        <v>23000000</v>
      </c>
      <c r="G808">
        <f t="shared" si="56"/>
        <v>74096.983286297851</v>
      </c>
      <c r="H808" t="s">
        <v>72</v>
      </c>
      <c r="I808" s="1" t="s">
        <v>224</v>
      </c>
      <c r="J808" s="1" t="s">
        <v>216</v>
      </c>
      <c r="K808" s="9">
        <v>768.91</v>
      </c>
      <c r="L808" t="s">
        <v>21</v>
      </c>
      <c r="M808">
        <f t="shared" si="55"/>
        <v>0.76890999999999998</v>
      </c>
      <c r="N808">
        <f t="shared" si="54"/>
        <v>238.67273964000003</v>
      </c>
    </row>
    <row r="809" spans="1:14" x14ac:dyDescent="0.3">
      <c r="A809" s="1" t="s">
        <v>35</v>
      </c>
      <c r="B809">
        <v>6</v>
      </c>
      <c r="C809">
        <v>13</v>
      </c>
      <c r="D809" t="s">
        <v>74</v>
      </c>
      <c r="E809">
        <v>23000000</v>
      </c>
      <c r="F809">
        <f t="shared" si="53"/>
        <v>23000000</v>
      </c>
      <c r="G809">
        <f t="shared" si="56"/>
        <v>74096.983286297851</v>
      </c>
      <c r="H809" t="s">
        <v>72</v>
      </c>
      <c r="I809" s="1" t="s">
        <v>224</v>
      </c>
      <c r="J809" s="1" t="s">
        <v>216</v>
      </c>
      <c r="K809" s="9">
        <v>289.26</v>
      </c>
      <c r="L809" t="s">
        <v>21</v>
      </c>
      <c r="M809">
        <f t="shared" si="55"/>
        <v>0.28926000000000002</v>
      </c>
      <c r="N809">
        <f t="shared" si="54"/>
        <v>89.787461040000011</v>
      </c>
    </row>
    <row r="810" spans="1:14" x14ac:dyDescent="0.3">
      <c r="A810" s="1" t="s">
        <v>35</v>
      </c>
      <c r="B810">
        <v>6</v>
      </c>
      <c r="C810">
        <v>13</v>
      </c>
      <c r="D810" t="s">
        <v>74</v>
      </c>
      <c r="E810">
        <v>23000000</v>
      </c>
      <c r="F810">
        <f t="shared" si="53"/>
        <v>23000000</v>
      </c>
      <c r="G810">
        <f t="shared" si="56"/>
        <v>74096.983286297851</v>
      </c>
      <c r="H810" t="s">
        <v>72</v>
      </c>
      <c r="I810" s="1" t="s">
        <v>224</v>
      </c>
      <c r="J810" s="1" t="s">
        <v>216</v>
      </c>
      <c r="K810" s="9">
        <v>787.75</v>
      </c>
      <c r="L810" t="s">
        <v>21</v>
      </c>
      <c r="M810">
        <f t="shared" si="55"/>
        <v>0.78774999999999995</v>
      </c>
      <c r="N810">
        <f t="shared" si="54"/>
        <v>244.52075100000002</v>
      </c>
    </row>
    <row r="811" spans="1:14" x14ac:dyDescent="0.3">
      <c r="A811" s="1" t="s">
        <v>35</v>
      </c>
      <c r="B811">
        <v>6</v>
      </c>
      <c r="C811">
        <v>13</v>
      </c>
      <c r="D811" t="s">
        <v>74</v>
      </c>
      <c r="E811">
        <v>23000000</v>
      </c>
      <c r="F811">
        <f t="shared" si="53"/>
        <v>23000000</v>
      </c>
      <c r="G811">
        <f t="shared" si="56"/>
        <v>74096.983286297851</v>
      </c>
      <c r="H811" t="s">
        <v>72</v>
      </c>
      <c r="I811" s="1" t="s">
        <v>224</v>
      </c>
      <c r="J811" s="1" t="s">
        <v>216</v>
      </c>
      <c r="K811" s="9">
        <v>656.99</v>
      </c>
      <c r="L811" t="s">
        <v>21</v>
      </c>
      <c r="M811">
        <f t="shared" si="55"/>
        <v>0.65698999999999996</v>
      </c>
      <c r="N811">
        <f t="shared" si="54"/>
        <v>203.93232396000002</v>
      </c>
    </row>
    <row r="812" spans="1:14" x14ac:dyDescent="0.3">
      <c r="A812" s="1" t="s">
        <v>35</v>
      </c>
      <c r="B812">
        <v>6</v>
      </c>
      <c r="C812">
        <v>13</v>
      </c>
      <c r="D812" t="s">
        <v>74</v>
      </c>
      <c r="E812">
        <v>23000000</v>
      </c>
      <c r="F812">
        <f t="shared" si="53"/>
        <v>23000000</v>
      </c>
      <c r="G812">
        <f t="shared" si="56"/>
        <v>74096.983286297851</v>
      </c>
      <c r="H812" t="s">
        <v>72</v>
      </c>
      <c r="I812" s="1" t="s">
        <v>224</v>
      </c>
      <c r="J812" s="1" t="s">
        <v>216</v>
      </c>
      <c r="K812" s="9">
        <v>1013.35</v>
      </c>
      <c r="L812" t="s">
        <v>21</v>
      </c>
      <c r="M812">
        <f t="shared" si="55"/>
        <v>1.01335</v>
      </c>
      <c r="N812">
        <f t="shared" si="54"/>
        <v>314.54789340000002</v>
      </c>
    </row>
    <row r="813" spans="1:14" x14ac:dyDescent="0.3">
      <c r="A813" s="1" t="s">
        <v>35</v>
      </c>
      <c r="B813">
        <v>6</v>
      </c>
      <c r="C813">
        <v>13</v>
      </c>
      <c r="D813" t="s">
        <v>74</v>
      </c>
      <c r="E813">
        <v>23000000</v>
      </c>
      <c r="F813">
        <f t="shared" si="53"/>
        <v>23000000</v>
      </c>
      <c r="G813">
        <f t="shared" si="56"/>
        <v>74096.983286297851</v>
      </c>
      <c r="H813" t="s">
        <v>72</v>
      </c>
      <c r="I813" s="1" t="s">
        <v>224</v>
      </c>
      <c r="J813" s="1" t="s">
        <v>216</v>
      </c>
      <c r="K813" s="9">
        <v>660.37</v>
      </c>
      <c r="L813" t="s">
        <v>21</v>
      </c>
      <c r="M813">
        <f t="shared" si="55"/>
        <v>0.66037000000000001</v>
      </c>
      <c r="N813">
        <f t="shared" si="54"/>
        <v>204.98148948000002</v>
      </c>
    </row>
    <row r="814" spans="1:14" x14ac:dyDescent="0.3">
      <c r="A814" s="1" t="s">
        <v>35</v>
      </c>
      <c r="B814">
        <v>6</v>
      </c>
      <c r="C814">
        <v>13</v>
      </c>
      <c r="D814" t="s">
        <v>74</v>
      </c>
      <c r="E814">
        <v>23000000</v>
      </c>
      <c r="F814">
        <f t="shared" si="53"/>
        <v>23000000</v>
      </c>
      <c r="G814">
        <f t="shared" si="56"/>
        <v>74096.983286297851</v>
      </c>
      <c r="H814" t="s">
        <v>72</v>
      </c>
      <c r="I814" s="1" t="s">
        <v>224</v>
      </c>
      <c r="J814" s="1" t="s">
        <v>216</v>
      </c>
      <c r="K814" s="9">
        <v>1285.67</v>
      </c>
      <c r="L814" t="s">
        <v>21</v>
      </c>
      <c r="M814">
        <f t="shared" si="55"/>
        <v>1.2856700000000001</v>
      </c>
      <c r="N814">
        <f t="shared" si="54"/>
        <v>399.07711068000009</v>
      </c>
    </row>
    <row r="815" spans="1:14" x14ac:dyDescent="0.3">
      <c r="A815" s="1" t="s">
        <v>35</v>
      </c>
      <c r="B815">
        <v>6</v>
      </c>
      <c r="C815">
        <v>13</v>
      </c>
      <c r="D815" t="s">
        <v>74</v>
      </c>
      <c r="E815">
        <v>23000000</v>
      </c>
      <c r="F815">
        <f t="shared" si="53"/>
        <v>23000000</v>
      </c>
      <c r="G815">
        <f t="shared" si="56"/>
        <v>74096.983286297851</v>
      </c>
      <c r="H815" t="s">
        <v>72</v>
      </c>
      <c r="I815" s="1" t="s">
        <v>224</v>
      </c>
      <c r="J815" s="1" t="s">
        <v>216</v>
      </c>
      <c r="K815" s="9">
        <v>939.39</v>
      </c>
      <c r="L815" t="s">
        <v>21</v>
      </c>
      <c r="M815">
        <f t="shared" si="55"/>
        <v>0.93938999999999995</v>
      </c>
      <c r="N815">
        <f t="shared" si="54"/>
        <v>291.59041356</v>
      </c>
    </row>
    <row r="816" spans="1:14" x14ac:dyDescent="0.3">
      <c r="A816" s="1" t="s">
        <v>35</v>
      </c>
      <c r="B816">
        <v>6</v>
      </c>
      <c r="C816">
        <v>13</v>
      </c>
      <c r="D816" t="s">
        <v>74</v>
      </c>
      <c r="E816">
        <v>23000000</v>
      </c>
      <c r="F816">
        <f t="shared" si="53"/>
        <v>23000000</v>
      </c>
      <c r="G816">
        <f t="shared" si="56"/>
        <v>74096.983286297851</v>
      </c>
      <c r="H816" t="s">
        <v>72</v>
      </c>
      <c r="I816" s="1" t="s">
        <v>224</v>
      </c>
      <c r="J816" s="1" t="s">
        <v>216</v>
      </c>
      <c r="K816" s="9">
        <v>1320.17</v>
      </c>
      <c r="L816" t="s">
        <v>21</v>
      </c>
      <c r="M816">
        <f t="shared" si="55"/>
        <v>1.3201700000000001</v>
      </c>
      <c r="N816">
        <f t="shared" si="54"/>
        <v>409.78604868000002</v>
      </c>
    </row>
    <row r="817" spans="1:14" x14ac:dyDescent="0.3">
      <c r="A817" s="1" t="s">
        <v>35</v>
      </c>
      <c r="B817">
        <v>6</v>
      </c>
      <c r="C817">
        <v>13</v>
      </c>
      <c r="D817" t="s">
        <v>74</v>
      </c>
      <c r="E817">
        <v>23000000</v>
      </c>
      <c r="F817">
        <f t="shared" si="53"/>
        <v>23000000</v>
      </c>
      <c r="G817">
        <f t="shared" si="56"/>
        <v>74096.983286297851</v>
      </c>
      <c r="H817" t="s">
        <v>72</v>
      </c>
      <c r="I817" s="1" t="s">
        <v>224</v>
      </c>
      <c r="J817" s="1" t="s">
        <v>216</v>
      </c>
      <c r="K817" s="9">
        <v>1155.6400000000001</v>
      </c>
      <c r="L817" t="s">
        <v>21</v>
      </c>
      <c r="M817">
        <f t="shared" si="55"/>
        <v>1.15564</v>
      </c>
      <c r="N817">
        <f t="shared" si="54"/>
        <v>358.71527856</v>
      </c>
    </row>
    <row r="818" spans="1:14" x14ac:dyDescent="0.3">
      <c r="A818" s="1" t="s">
        <v>35</v>
      </c>
      <c r="B818">
        <v>6</v>
      </c>
      <c r="C818">
        <v>13</v>
      </c>
      <c r="D818" t="s">
        <v>74</v>
      </c>
      <c r="E818">
        <v>23000000</v>
      </c>
      <c r="F818">
        <f t="shared" si="53"/>
        <v>23000000</v>
      </c>
      <c r="G818">
        <f t="shared" si="56"/>
        <v>74096.983286297851</v>
      </c>
      <c r="H818" t="s">
        <v>72</v>
      </c>
      <c r="I818" s="1" t="s">
        <v>224</v>
      </c>
      <c r="J818" s="1" t="s">
        <v>216</v>
      </c>
      <c r="K818" s="9">
        <v>778.6</v>
      </c>
      <c r="L818" t="s">
        <v>21</v>
      </c>
      <c r="M818">
        <f t="shared" si="55"/>
        <v>0.77860000000000007</v>
      </c>
      <c r="N818">
        <f t="shared" si="54"/>
        <v>241.68055440000001</v>
      </c>
    </row>
    <row r="819" spans="1:14" x14ac:dyDescent="0.3">
      <c r="A819" s="1" t="s">
        <v>35</v>
      </c>
      <c r="B819">
        <v>6</v>
      </c>
      <c r="C819">
        <v>13</v>
      </c>
      <c r="D819" t="s">
        <v>74</v>
      </c>
      <c r="E819">
        <v>23000000</v>
      </c>
      <c r="F819">
        <f t="shared" si="53"/>
        <v>23000000</v>
      </c>
      <c r="G819">
        <f t="shared" si="56"/>
        <v>74096.983286297851</v>
      </c>
      <c r="H819" t="s">
        <v>72</v>
      </c>
      <c r="I819" s="1" t="s">
        <v>224</v>
      </c>
      <c r="J819" s="1" t="s">
        <v>216</v>
      </c>
      <c r="K819" s="9">
        <v>928.22</v>
      </c>
      <c r="L819" t="s">
        <v>21</v>
      </c>
      <c r="M819">
        <f t="shared" si="55"/>
        <v>0.92822000000000005</v>
      </c>
      <c r="N819">
        <f t="shared" si="54"/>
        <v>288.12320088000001</v>
      </c>
    </row>
    <row r="820" spans="1:14" x14ac:dyDescent="0.3">
      <c r="A820" s="1" t="s">
        <v>35</v>
      </c>
      <c r="B820">
        <v>6</v>
      </c>
      <c r="C820">
        <v>13</v>
      </c>
      <c r="D820" t="s">
        <v>74</v>
      </c>
      <c r="E820">
        <v>23000000</v>
      </c>
      <c r="F820">
        <f t="shared" si="53"/>
        <v>23000000</v>
      </c>
      <c r="G820">
        <f t="shared" si="56"/>
        <v>74096.983286297851</v>
      </c>
      <c r="H820" t="s">
        <v>72</v>
      </c>
      <c r="I820" s="1" t="s">
        <v>224</v>
      </c>
      <c r="J820" s="1" t="s">
        <v>216</v>
      </c>
      <c r="K820" s="9">
        <v>958.69</v>
      </c>
      <c r="L820" t="s">
        <v>21</v>
      </c>
      <c r="M820">
        <f t="shared" si="55"/>
        <v>0.95869000000000004</v>
      </c>
      <c r="N820">
        <f t="shared" si="54"/>
        <v>297.58121076000003</v>
      </c>
    </row>
    <row r="821" spans="1:14" x14ac:dyDescent="0.3">
      <c r="A821" s="1" t="s">
        <v>35</v>
      </c>
      <c r="B821">
        <v>6</v>
      </c>
      <c r="C821">
        <v>13</v>
      </c>
      <c r="D821" t="s">
        <v>74</v>
      </c>
      <c r="E821">
        <v>23000000</v>
      </c>
      <c r="F821">
        <f t="shared" si="53"/>
        <v>23000000</v>
      </c>
      <c r="G821">
        <f t="shared" si="56"/>
        <v>74096.983286297851</v>
      </c>
      <c r="H821" t="s">
        <v>72</v>
      </c>
      <c r="I821" s="1" t="s">
        <v>224</v>
      </c>
      <c r="J821" s="1" t="s">
        <v>216</v>
      </c>
      <c r="K821" s="9">
        <v>982.73</v>
      </c>
      <c r="L821" t="s">
        <v>21</v>
      </c>
      <c r="M821">
        <f t="shared" si="55"/>
        <v>0.98272999999999999</v>
      </c>
      <c r="N821">
        <f t="shared" si="54"/>
        <v>305.04332292000004</v>
      </c>
    </row>
    <row r="822" spans="1:14" x14ac:dyDescent="0.3">
      <c r="A822" s="1" t="s">
        <v>35</v>
      </c>
      <c r="B822">
        <v>6</v>
      </c>
      <c r="C822">
        <v>13</v>
      </c>
      <c r="D822" t="s">
        <v>74</v>
      </c>
      <c r="E822">
        <v>23000000</v>
      </c>
      <c r="F822">
        <f t="shared" ref="F822:F885" si="57">E822</f>
        <v>23000000</v>
      </c>
      <c r="G822">
        <f t="shared" si="56"/>
        <v>74096.983286297851</v>
      </c>
      <c r="H822" t="s">
        <v>72</v>
      </c>
      <c r="I822" s="1" t="s">
        <v>224</v>
      </c>
      <c r="J822" s="1" t="s">
        <v>216</v>
      </c>
      <c r="K822" s="9">
        <v>19.649999999999999</v>
      </c>
      <c r="L822" t="s">
        <v>21</v>
      </c>
      <c r="M822">
        <f t="shared" si="55"/>
        <v>1.9649999999999997E-2</v>
      </c>
      <c r="N822">
        <f t="shared" si="54"/>
        <v>6.0994386</v>
      </c>
    </row>
    <row r="823" spans="1:14" x14ac:dyDescent="0.3">
      <c r="A823" s="1" t="s">
        <v>35</v>
      </c>
      <c r="B823">
        <v>6</v>
      </c>
      <c r="C823">
        <v>13</v>
      </c>
      <c r="D823" t="s">
        <v>74</v>
      </c>
      <c r="E823">
        <v>23000000</v>
      </c>
      <c r="F823">
        <f t="shared" si="57"/>
        <v>23000000</v>
      </c>
      <c r="G823">
        <f t="shared" si="56"/>
        <v>74096.983286297851</v>
      </c>
      <c r="H823" t="s">
        <v>72</v>
      </c>
      <c r="I823" s="1" t="s">
        <v>224</v>
      </c>
      <c r="J823" s="1" t="s">
        <v>216</v>
      </c>
      <c r="K823" s="9">
        <v>916.49</v>
      </c>
      <c r="L823" t="s">
        <v>21</v>
      </c>
      <c r="M823">
        <f t="shared" si="55"/>
        <v>0.91649000000000003</v>
      </c>
      <c r="N823">
        <f t="shared" si="54"/>
        <v>284.48216196000004</v>
      </c>
    </row>
    <row r="824" spans="1:14" x14ac:dyDescent="0.3">
      <c r="A824" s="1" t="s">
        <v>35</v>
      </c>
      <c r="B824">
        <v>6</v>
      </c>
      <c r="C824">
        <v>13</v>
      </c>
      <c r="D824" t="s">
        <v>74</v>
      </c>
      <c r="E824">
        <v>23000000</v>
      </c>
      <c r="F824">
        <f t="shared" si="57"/>
        <v>23000000</v>
      </c>
      <c r="G824">
        <f t="shared" si="56"/>
        <v>74096.983286297851</v>
      </c>
      <c r="H824" t="s">
        <v>72</v>
      </c>
      <c r="I824" s="1" t="s">
        <v>224</v>
      </c>
      <c r="J824" s="1" t="s">
        <v>216</v>
      </c>
      <c r="K824" s="9">
        <v>918.52</v>
      </c>
      <c r="L824" t="s">
        <v>21</v>
      </c>
      <c r="M824">
        <f t="shared" si="55"/>
        <v>0.91852</v>
      </c>
      <c r="N824">
        <f t="shared" si="54"/>
        <v>285.11228208</v>
      </c>
    </row>
    <row r="825" spans="1:14" x14ac:dyDescent="0.3">
      <c r="A825" s="1" t="s">
        <v>35</v>
      </c>
      <c r="B825">
        <v>6</v>
      </c>
      <c r="C825">
        <v>13</v>
      </c>
      <c r="D825" t="s">
        <v>74</v>
      </c>
      <c r="E825">
        <v>23000000</v>
      </c>
      <c r="F825">
        <f t="shared" si="57"/>
        <v>23000000</v>
      </c>
      <c r="G825">
        <f t="shared" si="56"/>
        <v>74096.983286297851</v>
      </c>
      <c r="H825" t="s">
        <v>72</v>
      </c>
      <c r="I825" s="1" t="s">
        <v>224</v>
      </c>
      <c r="J825" s="1" t="s">
        <v>216</v>
      </c>
      <c r="K825" s="9">
        <v>684.7</v>
      </c>
      <c r="L825" t="s">
        <v>21</v>
      </c>
      <c r="M825">
        <f t="shared" si="55"/>
        <v>0.68470000000000009</v>
      </c>
      <c r="N825">
        <f t="shared" si="54"/>
        <v>212.53361880000006</v>
      </c>
    </row>
    <row r="826" spans="1:14" x14ac:dyDescent="0.3">
      <c r="A826" s="1" t="s">
        <v>35</v>
      </c>
      <c r="B826">
        <v>6</v>
      </c>
      <c r="C826">
        <v>13</v>
      </c>
      <c r="D826" t="s">
        <v>74</v>
      </c>
      <c r="E826">
        <v>23000000</v>
      </c>
      <c r="F826">
        <f t="shared" si="57"/>
        <v>23000000</v>
      </c>
      <c r="G826">
        <f t="shared" si="56"/>
        <v>74096.983286297851</v>
      </c>
      <c r="H826" t="s">
        <v>72</v>
      </c>
      <c r="I826" s="1" t="s">
        <v>224</v>
      </c>
      <c r="J826" s="1" t="s">
        <v>216</v>
      </c>
      <c r="K826" s="9">
        <v>343.4</v>
      </c>
      <c r="L826" t="s">
        <v>21</v>
      </c>
      <c r="M826">
        <f t="shared" si="55"/>
        <v>0.34339999999999998</v>
      </c>
      <c r="N826">
        <f t="shared" si="54"/>
        <v>106.5927336</v>
      </c>
    </row>
    <row r="827" spans="1:14" x14ac:dyDescent="0.3">
      <c r="A827" s="1" t="s">
        <v>35</v>
      </c>
      <c r="B827">
        <v>6</v>
      </c>
      <c r="C827">
        <v>13</v>
      </c>
      <c r="D827" t="s">
        <v>74</v>
      </c>
      <c r="E827">
        <v>23000000</v>
      </c>
      <c r="F827">
        <f t="shared" si="57"/>
        <v>23000000</v>
      </c>
      <c r="G827">
        <f t="shared" si="56"/>
        <v>74096.983286297851</v>
      </c>
      <c r="H827" t="s">
        <v>72</v>
      </c>
      <c r="I827" s="1" t="s">
        <v>224</v>
      </c>
      <c r="J827" s="1" t="s">
        <v>216</v>
      </c>
      <c r="K827" s="9">
        <v>208.82</v>
      </c>
      <c r="L827" t="s">
        <v>21</v>
      </c>
      <c r="M827">
        <f t="shared" si="55"/>
        <v>0.20882000000000001</v>
      </c>
      <c r="N827">
        <f t="shared" si="54"/>
        <v>64.818563280000006</v>
      </c>
    </row>
    <row r="828" spans="1:14" x14ac:dyDescent="0.3">
      <c r="A828" s="1" t="s">
        <v>35</v>
      </c>
      <c r="B828">
        <v>6</v>
      </c>
      <c r="C828">
        <v>13</v>
      </c>
      <c r="D828" t="s">
        <v>74</v>
      </c>
      <c r="E828">
        <v>23000000</v>
      </c>
      <c r="F828">
        <f t="shared" si="57"/>
        <v>23000000</v>
      </c>
      <c r="G828">
        <f t="shared" si="56"/>
        <v>74096.983286297851</v>
      </c>
      <c r="H828" t="s">
        <v>72</v>
      </c>
      <c r="I828" s="1" t="s">
        <v>224</v>
      </c>
      <c r="J828" s="1" t="s">
        <v>216</v>
      </c>
      <c r="K828" s="9">
        <v>341.86</v>
      </c>
      <c r="L828" t="s">
        <v>21</v>
      </c>
      <c r="M828">
        <f t="shared" si="55"/>
        <v>0.34186</v>
      </c>
      <c r="N828">
        <f t="shared" si="54"/>
        <v>106.11471144000001</v>
      </c>
    </row>
    <row r="829" spans="1:14" x14ac:dyDescent="0.3">
      <c r="A829" s="1" t="s">
        <v>35</v>
      </c>
      <c r="B829">
        <v>6</v>
      </c>
      <c r="C829">
        <v>13</v>
      </c>
      <c r="D829" t="s">
        <v>74</v>
      </c>
      <c r="E829">
        <v>23000000</v>
      </c>
      <c r="F829">
        <f t="shared" si="57"/>
        <v>23000000</v>
      </c>
      <c r="G829">
        <f t="shared" si="56"/>
        <v>74096.983286297851</v>
      </c>
      <c r="H829" t="s">
        <v>72</v>
      </c>
      <c r="I829" s="1" t="s">
        <v>224</v>
      </c>
      <c r="J829" s="1" t="s">
        <v>216</v>
      </c>
      <c r="K829" s="9">
        <v>223.37</v>
      </c>
      <c r="L829" t="s">
        <v>21</v>
      </c>
      <c r="M829">
        <f t="shared" si="55"/>
        <v>0.22337000000000001</v>
      </c>
      <c r="N829">
        <f t="shared" si="54"/>
        <v>69.334941480000012</v>
      </c>
    </row>
    <row r="830" spans="1:14" x14ac:dyDescent="0.3">
      <c r="A830" s="1" t="s">
        <v>35</v>
      </c>
      <c r="B830">
        <v>6</v>
      </c>
      <c r="C830">
        <v>13</v>
      </c>
      <c r="D830" t="s">
        <v>74</v>
      </c>
      <c r="E830">
        <v>23000000</v>
      </c>
      <c r="F830">
        <f t="shared" si="57"/>
        <v>23000000</v>
      </c>
      <c r="G830">
        <f t="shared" si="56"/>
        <v>74096.983286297851</v>
      </c>
      <c r="H830" t="s">
        <v>72</v>
      </c>
      <c r="I830" s="1" t="s">
        <v>224</v>
      </c>
      <c r="J830" s="1" t="s">
        <v>216</v>
      </c>
      <c r="K830" s="9">
        <v>256.83</v>
      </c>
      <c r="L830" t="s">
        <v>21</v>
      </c>
      <c r="M830">
        <f t="shared" si="55"/>
        <v>0.25683</v>
      </c>
      <c r="N830">
        <f t="shared" si="54"/>
        <v>79.721059320000009</v>
      </c>
    </row>
    <row r="831" spans="1:14" x14ac:dyDescent="0.3">
      <c r="A831" s="1" t="s">
        <v>35</v>
      </c>
      <c r="B831">
        <v>6</v>
      </c>
      <c r="C831">
        <v>13</v>
      </c>
      <c r="D831" t="s">
        <v>74</v>
      </c>
      <c r="E831">
        <v>23000000</v>
      </c>
      <c r="F831">
        <f t="shared" si="57"/>
        <v>23000000</v>
      </c>
      <c r="G831">
        <f t="shared" si="56"/>
        <v>74096.983286297851</v>
      </c>
      <c r="H831" t="s">
        <v>72</v>
      </c>
      <c r="I831" s="1" t="s">
        <v>224</v>
      </c>
      <c r="J831" s="1" t="s">
        <v>216</v>
      </c>
      <c r="K831" s="9">
        <v>1038.95</v>
      </c>
      <c r="L831" t="s">
        <v>21</v>
      </c>
      <c r="M831">
        <f t="shared" si="55"/>
        <v>1.03895</v>
      </c>
      <c r="N831">
        <f t="shared" si="54"/>
        <v>322.49423580000001</v>
      </c>
    </row>
    <row r="832" spans="1:14" x14ac:dyDescent="0.3">
      <c r="A832" s="1" t="s">
        <v>35</v>
      </c>
      <c r="B832">
        <v>6</v>
      </c>
      <c r="C832">
        <v>13</v>
      </c>
      <c r="D832" t="s">
        <v>74</v>
      </c>
      <c r="E832">
        <v>23000000</v>
      </c>
      <c r="F832">
        <f t="shared" si="57"/>
        <v>23000000</v>
      </c>
      <c r="G832">
        <f t="shared" si="56"/>
        <v>74096.983286297851</v>
      </c>
      <c r="H832" t="s">
        <v>72</v>
      </c>
      <c r="I832" s="1" t="s">
        <v>224</v>
      </c>
      <c r="J832" s="1" t="s">
        <v>216</v>
      </c>
      <c r="K832" s="9">
        <v>623.77</v>
      </c>
      <c r="L832" t="s">
        <v>21</v>
      </c>
      <c r="M832">
        <f t="shared" si="55"/>
        <v>0.62376999999999994</v>
      </c>
      <c r="N832">
        <f t="shared" si="54"/>
        <v>193.62070308</v>
      </c>
    </row>
    <row r="833" spans="1:14" x14ac:dyDescent="0.3">
      <c r="A833" s="1" t="s">
        <v>35</v>
      </c>
      <c r="B833">
        <v>6</v>
      </c>
      <c r="C833">
        <v>13</v>
      </c>
      <c r="D833" t="s">
        <v>74</v>
      </c>
      <c r="E833">
        <v>23000000</v>
      </c>
      <c r="F833">
        <f t="shared" si="57"/>
        <v>23000000</v>
      </c>
      <c r="G833">
        <f t="shared" si="56"/>
        <v>74096.983286297851</v>
      </c>
      <c r="H833" t="s">
        <v>72</v>
      </c>
      <c r="I833" s="1" t="s">
        <v>224</v>
      </c>
      <c r="J833" s="1" t="s">
        <v>216</v>
      </c>
      <c r="K833" s="9">
        <v>532.29</v>
      </c>
      <c r="L833" t="s">
        <v>21</v>
      </c>
      <c r="M833">
        <f t="shared" si="55"/>
        <v>0.53228999999999993</v>
      </c>
      <c r="N833">
        <f t="shared" si="54"/>
        <v>165.22494515999998</v>
      </c>
    </row>
    <row r="834" spans="1:14" x14ac:dyDescent="0.3">
      <c r="A834" s="1" t="s">
        <v>35</v>
      </c>
      <c r="B834">
        <v>6</v>
      </c>
      <c r="C834">
        <v>13</v>
      </c>
      <c r="D834" t="s">
        <v>74</v>
      </c>
      <c r="E834">
        <v>23000000</v>
      </c>
      <c r="F834">
        <f t="shared" si="57"/>
        <v>23000000</v>
      </c>
      <c r="G834">
        <f t="shared" si="56"/>
        <v>74096.983286297851</v>
      </c>
      <c r="H834" t="s">
        <v>72</v>
      </c>
      <c r="I834" s="1" t="s">
        <v>224</v>
      </c>
      <c r="J834" s="1" t="s">
        <v>216</v>
      </c>
      <c r="K834" s="9">
        <v>660.17</v>
      </c>
      <c r="L834" t="s">
        <v>21</v>
      </c>
      <c r="M834">
        <f t="shared" si="55"/>
        <v>0.66016999999999992</v>
      </c>
      <c r="N834">
        <f t="shared" ref="N834:N897" si="58">IFERROR((M834*F834)/G834,"ND")</f>
        <v>204.91940868</v>
      </c>
    </row>
    <row r="835" spans="1:14" x14ac:dyDescent="0.3">
      <c r="A835" s="1" t="s">
        <v>35</v>
      </c>
      <c r="B835">
        <v>6</v>
      </c>
      <c r="C835">
        <v>13</v>
      </c>
      <c r="D835" t="s">
        <v>74</v>
      </c>
      <c r="E835">
        <v>23000000</v>
      </c>
      <c r="F835">
        <f t="shared" si="57"/>
        <v>23000000</v>
      </c>
      <c r="G835">
        <f t="shared" si="56"/>
        <v>74096.983286297851</v>
      </c>
      <c r="H835" t="s">
        <v>72</v>
      </c>
      <c r="I835" s="1" t="s">
        <v>224</v>
      </c>
      <c r="J835" s="1" t="s">
        <v>216</v>
      </c>
      <c r="K835" s="9">
        <v>7579.08</v>
      </c>
      <c r="L835" t="s">
        <v>21</v>
      </c>
      <c r="M835">
        <f t="shared" si="55"/>
        <v>7.5790800000000003</v>
      </c>
      <c r="N835">
        <f t="shared" si="58"/>
        <v>2352.5767483200002</v>
      </c>
    </row>
    <row r="836" spans="1:14" x14ac:dyDescent="0.3">
      <c r="A836" s="1" t="s">
        <v>35</v>
      </c>
      <c r="B836">
        <v>6</v>
      </c>
      <c r="C836">
        <v>13</v>
      </c>
      <c r="D836" t="s">
        <v>74</v>
      </c>
      <c r="E836">
        <v>23000000</v>
      </c>
      <c r="F836">
        <f t="shared" si="57"/>
        <v>23000000</v>
      </c>
      <c r="G836">
        <f t="shared" si="56"/>
        <v>74096.983286297851</v>
      </c>
      <c r="H836" t="s">
        <v>72</v>
      </c>
      <c r="I836" s="1" t="s">
        <v>224</v>
      </c>
      <c r="J836" s="1" t="s">
        <v>216</v>
      </c>
      <c r="K836" s="9">
        <v>8383.0300000000007</v>
      </c>
      <c r="L836" t="s">
        <v>21</v>
      </c>
      <c r="M836">
        <f t="shared" si="55"/>
        <v>8.3830300000000015</v>
      </c>
      <c r="N836">
        <f t="shared" si="58"/>
        <v>2602.1260441200006</v>
      </c>
    </row>
    <row r="837" spans="1:14" x14ac:dyDescent="0.3">
      <c r="A837" s="1" t="s">
        <v>35</v>
      </c>
      <c r="B837">
        <v>6</v>
      </c>
      <c r="C837">
        <v>13</v>
      </c>
      <c r="D837" t="s">
        <v>74</v>
      </c>
      <c r="E837">
        <v>23000000</v>
      </c>
      <c r="F837">
        <f t="shared" si="57"/>
        <v>23000000</v>
      </c>
      <c r="G837">
        <f t="shared" si="56"/>
        <v>74096.983286297851</v>
      </c>
      <c r="H837" t="s">
        <v>72</v>
      </c>
      <c r="I837" s="1" t="s">
        <v>224</v>
      </c>
      <c r="J837" s="1" t="s">
        <v>216</v>
      </c>
      <c r="K837" s="9">
        <v>6769.93</v>
      </c>
      <c r="L837" t="s">
        <v>21</v>
      </c>
      <c r="M837">
        <f t="shared" si="55"/>
        <v>6.7699300000000004</v>
      </c>
      <c r="N837">
        <f t="shared" si="58"/>
        <v>2101.4133517200003</v>
      </c>
    </row>
    <row r="838" spans="1:14" x14ac:dyDescent="0.3">
      <c r="A838" s="1" t="s">
        <v>35</v>
      </c>
      <c r="B838">
        <v>6</v>
      </c>
      <c r="C838">
        <v>13</v>
      </c>
      <c r="D838" t="s">
        <v>74</v>
      </c>
      <c r="E838">
        <v>23000000</v>
      </c>
      <c r="F838">
        <f t="shared" si="57"/>
        <v>23000000</v>
      </c>
      <c r="G838">
        <f t="shared" si="56"/>
        <v>74096.983286297851</v>
      </c>
      <c r="H838" t="s">
        <v>72</v>
      </c>
      <c r="I838" s="1" t="s">
        <v>224</v>
      </c>
      <c r="J838" s="1" t="s">
        <v>216</v>
      </c>
      <c r="K838" s="9">
        <v>5478.52</v>
      </c>
      <c r="L838" t="s">
        <v>21</v>
      </c>
      <c r="M838">
        <f t="shared" si="55"/>
        <v>5.4785200000000005</v>
      </c>
      <c r="N838">
        <f t="shared" si="58"/>
        <v>1700.5545220800004</v>
      </c>
    </row>
    <row r="839" spans="1:14" x14ac:dyDescent="0.3">
      <c r="A839" s="1" t="s">
        <v>35</v>
      </c>
      <c r="B839">
        <v>6</v>
      </c>
      <c r="C839">
        <v>13</v>
      </c>
      <c r="D839" t="s">
        <v>74</v>
      </c>
      <c r="E839">
        <v>23000000</v>
      </c>
      <c r="F839">
        <f t="shared" si="57"/>
        <v>23000000</v>
      </c>
      <c r="G839">
        <f t="shared" si="56"/>
        <v>74096.983286297851</v>
      </c>
      <c r="H839" t="s">
        <v>72</v>
      </c>
      <c r="I839" s="1" t="s">
        <v>224</v>
      </c>
      <c r="J839" s="1" t="s">
        <v>216</v>
      </c>
      <c r="K839" s="9">
        <v>5921.38</v>
      </c>
      <c r="L839" t="s">
        <v>21</v>
      </c>
      <c r="M839">
        <f t="shared" si="55"/>
        <v>5.9213800000000001</v>
      </c>
      <c r="N839">
        <f t="shared" si="58"/>
        <v>1838.0200375200002</v>
      </c>
    </row>
    <row r="840" spans="1:14" x14ac:dyDescent="0.3">
      <c r="A840" s="1" t="s">
        <v>35</v>
      </c>
      <c r="B840">
        <v>6</v>
      </c>
      <c r="C840">
        <v>13</v>
      </c>
      <c r="D840" t="s">
        <v>74</v>
      </c>
      <c r="E840">
        <v>23000000</v>
      </c>
      <c r="F840">
        <f t="shared" si="57"/>
        <v>23000000</v>
      </c>
      <c r="G840">
        <f t="shared" si="56"/>
        <v>74096.983286297851</v>
      </c>
      <c r="H840" t="s">
        <v>72</v>
      </c>
      <c r="I840" s="1" t="s">
        <v>224</v>
      </c>
      <c r="J840" s="1" t="s">
        <v>216</v>
      </c>
      <c r="K840" s="9">
        <v>7827.77</v>
      </c>
      <c r="L840" t="s">
        <v>21</v>
      </c>
      <c r="M840">
        <f t="shared" si="55"/>
        <v>7.8277700000000001</v>
      </c>
      <c r="N840">
        <f t="shared" si="58"/>
        <v>2429.7711190800001</v>
      </c>
    </row>
    <row r="841" spans="1:14" x14ac:dyDescent="0.3">
      <c r="A841" s="1" t="s">
        <v>35</v>
      </c>
      <c r="B841">
        <v>6</v>
      </c>
      <c r="C841">
        <v>13</v>
      </c>
      <c r="D841" t="s">
        <v>74</v>
      </c>
      <c r="E841">
        <v>23000000</v>
      </c>
      <c r="F841">
        <f t="shared" si="57"/>
        <v>23000000</v>
      </c>
      <c r="G841">
        <f t="shared" si="56"/>
        <v>74096.983286297851</v>
      </c>
      <c r="H841" t="s">
        <v>72</v>
      </c>
      <c r="I841" s="1" t="s">
        <v>224</v>
      </c>
      <c r="J841" s="1" t="s">
        <v>216</v>
      </c>
      <c r="K841" s="9">
        <v>5599.6</v>
      </c>
      <c r="L841" t="s">
        <v>21</v>
      </c>
      <c r="M841">
        <f t="shared" si="55"/>
        <v>5.5996000000000006</v>
      </c>
      <c r="N841">
        <f t="shared" si="58"/>
        <v>1738.1382384000003</v>
      </c>
    </row>
    <row r="842" spans="1:14" x14ac:dyDescent="0.3">
      <c r="A842" s="1" t="s">
        <v>35</v>
      </c>
      <c r="B842">
        <v>6</v>
      </c>
      <c r="C842">
        <v>13</v>
      </c>
      <c r="D842" t="s">
        <v>74</v>
      </c>
      <c r="E842">
        <v>23000000</v>
      </c>
      <c r="F842">
        <f t="shared" si="57"/>
        <v>23000000</v>
      </c>
      <c r="G842">
        <f t="shared" si="56"/>
        <v>74096.983286297851</v>
      </c>
      <c r="H842" t="s">
        <v>72</v>
      </c>
      <c r="I842" s="1" t="s">
        <v>224</v>
      </c>
      <c r="J842" s="1" t="s">
        <v>216</v>
      </c>
      <c r="K842" s="9">
        <v>12838.74</v>
      </c>
      <c r="L842" t="s">
        <v>21</v>
      </c>
      <c r="M842">
        <f t="shared" si="55"/>
        <v>12.83874</v>
      </c>
      <c r="N842">
        <f t="shared" si="58"/>
        <v>3985.1962509600003</v>
      </c>
    </row>
    <row r="843" spans="1:14" x14ac:dyDescent="0.3">
      <c r="A843" s="1" t="s">
        <v>35</v>
      </c>
      <c r="B843">
        <v>6</v>
      </c>
      <c r="C843">
        <v>13</v>
      </c>
      <c r="D843" t="s">
        <v>74</v>
      </c>
      <c r="E843">
        <v>23000000</v>
      </c>
      <c r="F843">
        <f t="shared" si="57"/>
        <v>23000000</v>
      </c>
      <c r="G843">
        <f t="shared" si="56"/>
        <v>74096.983286297851</v>
      </c>
      <c r="H843" t="s">
        <v>72</v>
      </c>
      <c r="I843" s="1" t="s">
        <v>224</v>
      </c>
      <c r="J843" s="1" t="s">
        <v>216</v>
      </c>
      <c r="K843" s="9">
        <v>11291.08</v>
      </c>
      <c r="L843" t="s">
        <v>21</v>
      </c>
      <c r="M843">
        <f t="shared" si="55"/>
        <v>11.291079999999999</v>
      </c>
      <c r="N843">
        <f t="shared" si="58"/>
        <v>3504.79639632</v>
      </c>
    </row>
    <row r="844" spans="1:14" x14ac:dyDescent="0.3">
      <c r="A844" s="1" t="s">
        <v>35</v>
      </c>
      <c r="B844">
        <v>6</v>
      </c>
      <c r="C844">
        <v>13</v>
      </c>
      <c r="D844" t="s">
        <v>74</v>
      </c>
      <c r="E844">
        <v>23000000</v>
      </c>
      <c r="F844">
        <f t="shared" si="57"/>
        <v>23000000</v>
      </c>
      <c r="G844">
        <f t="shared" si="56"/>
        <v>74096.983286297851</v>
      </c>
      <c r="H844" t="s">
        <v>72</v>
      </c>
      <c r="I844" s="1" t="s">
        <v>224</v>
      </c>
      <c r="J844" s="1" t="s">
        <v>216</v>
      </c>
      <c r="K844" s="9">
        <v>7931</v>
      </c>
      <c r="L844" t="s">
        <v>21</v>
      </c>
      <c r="M844">
        <f t="shared" si="55"/>
        <v>7.931</v>
      </c>
      <c r="N844">
        <f t="shared" si="58"/>
        <v>2461.814124</v>
      </c>
    </row>
    <row r="845" spans="1:14" x14ac:dyDescent="0.3">
      <c r="A845" s="1" t="s">
        <v>35</v>
      </c>
      <c r="B845">
        <v>6</v>
      </c>
      <c r="C845">
        <v>13</v>
      </c>
      <c r="D845" t="s">
        <v>74</v>
      </c>
      <c r="E845">
        <v>23000000</v>
      </c>
      <c r="F845">
        <f t="shared" si="57"/>
        <v>23000000</v>
      </c>
      <c r="G845">
        <f t="shared" si="56"/>
        <v>74096.983286297851</v>
      </c>
      <c r="H845" t="s">
        <v>72</v>
      </c>
      <c r="I845" s="1" t="s">
        <v>224</v>
      </c>
      <c r="J845" s="1" t="s">
        <v>216</v>
      </c>
      <c r="K845" s="9">
        <v>11362.87</v>
      </c>
      <c r="L845" t="s">
        <v>21</v>
      </c>
      <c r="M845">
        <f t="shared" si="55"/>
        <v>11.362870000000001</v>
      </c>
      <c r="N845">
        <f t="shared" si="58"/>
        <v>3527.0802994800006</v>
      </c>
    </row>
    <row r="846" spans="1:14" x14ac:dyDescent="0.3">
      <c r="A846" s="1" t="s">
        <v>35</v>
      </c>
      <c r="B846">
        <v>6</v>
      </c>
      <c r="C846">
        <v>13</v>
      </c>
      <c r="D846" t="s">
        <v>74</v>
      </c>
      <c r="E846">
        <v>23000000</v>
      </c>
      <c r="F846">
        <f t="shared" si="57"/>
        <v>23000000</v>
      </c>
      <c r="G846">
        <f t="shared" si="56"/>
        <v>74096.983286297851</v>
      </c>
      <c r="H846" t="s">
        <v>72</v>
      </c>
      <c r="I846" s="1" t="s">
        <v>224</v>
      </c>
      <c r="J846" s="1" t="s">
        <v>216</v>
      </c>
      <c r="K846" s="9">
        <v>12471.09</v>
      </c>
      <c r="L846" t="s">
        <v>21</v>
      </c>
      <c r="M846">
        <f t="shared" si="55"/>
        <v>12.47109</v>
      </c>
      <c r="N846">
        <f t="shared" si="58"/>
        <v>3871.0762203600002</v>
      </c>
    </row>
    <row r="847" spans="1:14" x14ac:dyDescent="0.3">
      <c r="A847" s="1" t="s">
        <v>35</v>
      </c>
      <c r="B847">
        <v>6</v>
      </c>
      <c r="C847">
        <v>13</v>
      </c>
      <c r="D847" t="s">
        <v>74</v>
      </c>
      <c r="E847">
        <v>23000000</v>
      </c>
      <c r="F847">
        <f t="shared" si="57"/>
        <v>23000000</v>
      </c>
      <c r="G847">
        <f t="shared" si="56"/>
        <v>74096.983286297851</v>
      </c>
      <c r="H847" t="s">
        <v>72</v>
      </c>
      <c r="I847" s="1" t="s">
        <v>224</v>
      </c>
      <c r="J847" s="1" t="s">
        <v>216</v>
      </c>
      <c r="K847" s="9">
        <v>9254.35</v>
      </c>
      <c r="L847" t="s">
        <v>21</v>
      </c>
      <c r="M847">
        <f t="shared" si="55"/>
        <v>9.2543500000000005</v>
      </c>
      <c r="N847">
        <f t="shared" si="58"/>
        <v>2872.5872574000005</v>
      </c>
    </row>
    <row r="848" spans="1:14" x14ac:dyDescent="0.3">
      <c r="A848" s="1" t="s">
        <v>35</v>
      </c>
      <c r="B848">
        <v>6</v>
      </c>
      <c r="C848">
        <v>13</v>
      </c>
      <c r="D848" t="s">
        <v>74</v>
      </c>
      <c r="E848">
        <v>23000000</v>
      </c>
      <c r="F848">
        <f t="shared" si="57"/>
        <v>23000000</v>
      </c>
      <c r="G848">
        <f t="shared" si="56"/>
        <v>74096.983286297851</v>
      </c>
      <c r="H848" t="s">
        <v>72</v>
      </c>
      <c r="I848" s="1" t="s">
        <v>224</v>
      </c>
      <c r="J848" s="1" t="s">
        <v>216</v>
      </c>
      <c r="K848" s="9">
        <v>13077.4</v>
      </c>
      <c r="L848" t="s">
        <v>21</v>
      </c>
      <c r="M848">
        <f t="shared" si="55"/>
        <v>13.077399999999999</v>
      </c>
      <c r="N848">
        <f t="shared" si="58"/>
        <v>4059.2772696000002</v>
      </c>
    </row>
    <row r="849" spans="1:14" x14ac:dyDescent="0.3">
      <c r="A849" s="1" t="s">
        <v>35</v>
      </c>
      <c r="B849">
        <v>6</v>
      </c>
      <c r="C849">
        <v>13</v>
      </c>
      <c r="D849" t="s">
        <v>74</v>
      </c>
      <c r="E849">
        <v>23000000</v>
      </c>
      <c r="F849">
        <f t="shared" si="57"/>
        <v>23000000</v>
      </c>
      <c r="G849">
        <f t="shared" si="56"/>
        <v>74096.983286297851</v>
      </c>
      <c r="H849" t="s">
        <v>72</v>
      </c>
      <c r="I849" s="1" t="s">
        <v>224</v>
      </c>
      <c r="J849" s="1" t="s">
        <v>216</v>
      </c>
      <c r="K849" s="9">
        <v>10738.56</v>
      </c>
      <c r="L849" t="s">
        <v>21</v>
      </c>
      <c r="M849">
        <f t="shared" si="55"/>
        <v>10.73856</v>
      </c>
      <c r="N849">
        <f t="shared" si="58"/>
        <v>3333.2919782400004</v>
      </c>
    </row>
    <row r="850" spans="1:14" x14ac:dyDescent="0.3">
      <c r="A850" s="1" t="s">
        <v>35</v>
      </c>
      <c r="B850">
        <v>6</v>
      </c>
      <c r="C850">
        <v>13</v>
      </c>
      <c r="D850" t="s">
        <v>74</v>
      </c>
      <c r="E850">
        <v>23000000</v>
      </c>
      <c r="F850">
        <f t="shared" si="57"/>
        <v>23000000</v>
      </c>
      <c r="G850">
        <f t="shared" si="56"/>
        <v>74096.983286297851</v>
      </c>
      <c r="H850" t="s">
        <v>72</v>
      </c>
      <c r="I850" s="1" t="s">
        <v>224</v>
      </c>
      <c r="J850" s="1" t="s">
        <v>216</v>
      </c>
      <c r="K850" s="9">
        <v>10417.77</v>
      </c>
      <c r="L850" t="s">
        <v>21</v>
      </c>
      <c r="M850">
        <f t="shared" si="55"/>
        <v>10.417770000000001</v>
      </c>
      <c r="N850">
        <f t="shared" si="58"/>
        <v>3233.7174790800009</v>
      </c>
    </row>
    <row r="851" spans="1:14" x14ac:dyDescent="0.3">
      <c r="A851" s="1" t="s">
        <v>35</v>
      </c>
      <c r="B851">
        <v>6</v>
      </c>
      <c r="C851">
        <v>13</v>
      </c>
      <c r="D851" t="s">
        <v>74</v>
      </c>
      <c r="E851">
        <v>23000000</v>
      </c>
      <c r="F851">
        <f t="shared" si="57"/>
        <v>23000000</v>
      </c>
      <c r="G851">
        <f t="shared" si="56"/>
        <v>74096.983286297851</v>
      </c>
      <c r="H851" t="s">
        <v>72</v>
      </c>
      <c r="I851" s="1" t="s">
        <v>224</v>
      </c>
      <c r="J851" s="1" t="s">
        <v>216</v>
      </c>
      <c r="K851" s="9">
        <v>10799.05</v>
      </c>
      <c r="L851" t="s">
        <v>21</v>
      </c>
      <c r="M851">
        <f t="shared" si="55"/>
        <v>10.799049999999999</v>
      </c>
      <c r="N851">
        <f t="shared" si="58"/>
        <v>3352.0683162000005</v>
      </c>
    </row>
    <row r="852" spans="1:14" x14ac:dyDescent="0.3">
      <c r="A852" s="1" t="s">
        <v>35</v>
      </c>
      <c r="B852">
        <v>6</v>
      </c>
      <c r="C852">
        <v>13</v>
      </c>
      <c r="D852" t="s">
        <v>74</v>
      </c>
      <c r="E852">
        <v>23000000</v>
      </c>
      <c r="F852">
        <f t="shared" si="57"/>
        <v>23000000</v>
      </c>
      <c r="G852">
        <f t="shared" si="56"/>
        <v>74096.983286297851</v>
      </c>
      <c r="H852" t="s">
        <v>72</v>
      </c>
      <c r="I852" s="1" t="s">
        <v>224</v>
      </c>
      <c r="J852" s="1" t="s">
        <v>216</v>
      </c>
      <c r="K852" s="9">
        <v>11118.82</v>
      </c>
      <c r="L852" t="s">
        <v>21</v>
      </c>
      <c r="M852">
        <f t="shared" si="55"/>
        <v>11.118819999999999</v>
      </c>
      <c r="N852">
        <f t="shared" si="58"/>
        <v>3451.3262032800003</v>
      </c>
    </row>
    <row r="853" spans="1:14" x14ac:dyDescent="0.3">
      <c r="A853" s="1" t="s">
        <v>35</v>
      </c>
      <c r="B853">
        <v>6</v>
      </c>
      <c r="C853">
        <v>13</v>
      </c>
      <c r="D853" t="s">
        <v>74</v>
      </c>
      <c r="E853">
        <v>23000000</v>
      </c>
      <c r="F853">
        <f t="shared" si="57"/>
        <v>23000000</v>
      </c>
      <c r="G853">
        <f t="shared" si="56"/>
        <v>74096.983286297851</v>
      </c>
      <c r="H853" t="s">
        <v>72</v>
      </c>
      <c r="I853" s="1" t="s">
        <v>224</v>
      </c>
      <c r="J853" s="1" t="s">
        <v>216</v>
      </c>
      <c r="K853" s="9">
        <v>6651.38</v>
      </c>
      <c r="L853" t="s">
        <v>21</v>
      </c>
      <c r="M853">
        <f t="shared" si="55"/>
        <v>6.6513800000000005</v>
      </c>
      <c r="N853">
        <f t="shared" si="58"/>
        <v>2064.6149575200002</v>
      </c>
    </row>
    <row r="854" spans="1:14" x14ac:dyDescent="0.3">
      <c r="A854" s="1" t="s">
        <v>35</v>
      </c>
      <c r="B854">
        <v>6</v>
      </c>
      <c r="C854">
        <v>13</v>
      </c>
      <c r="D854" t="s">
        <v>74</v>
      </c>
      <c r="E854">
        <v>23000000</v>
      </c>
      <c r="F854">
        <f t="shared" si="57"/>
        <v>23000000</v>
      </c>
      <c r="G854">
        <f t="shared" si="56"/>
        <v>74096.983286297851</v>
      </c>
      <c r="H854" t="s">
        <v>72</v>
      </c>
      <c r="I854" s="1" t="s">
        <v>224</v>
      </c>
      <c r="J854" s="1" t="s">
        <v>216</v>
      </c>
      <c r="K854" s="9">
        <v>11127.44</v>
      </c>
      <c r="L854" t="s">
        <v>21</v>
      </c>
      <c r="M854">
        <f t="shared" si="55"/>
        <v>11.12744</v>
      </c>
      <c r="N854">
        <f t="shared" si="58"/>
        <v>3454.0018857600003</v>
      </c>
    </row>
    <row r="855" spans="1:14" x14ac:dyDescent="0.3">
      <c r="A855" s="1" t="s">
        <v>35</v>
      </c>
      <c r="B855">
        <v>6</v>
      </c>
      <c r="C855">
        <v>13</v>
      </c>
      <c r="D855" t="s">
        <v>74</v>
      </c>
      <c r="E855">
        <v>23000000</v>
      </c>
      <c r="F855">
        <f t="shared" si="57"/>
        <v>23000000</v>
      </c>
      <c r="G855">
        <f t="shared" si="56"/>
        <v>74096.983286297851</v>
      </c>
      <c r="H855" t="s">
        <v>72</v>
      </c>
      <c r="I855" s="1" t="s">
        <v>224</v>
      </c>
      <c r="J855" s="1" t="s">
        <v>216</v>
      </c>
      <c r="K855" s="9">
        <v>18190.349999999999</v>
      </c>
      <c r="L855" t="s">
        <v>21</v>
      </c>
      <c r="M855">
        <f t="shared" ref="M855:M918" si="59">IFERROR(K855/1000,"ND")</f>
        <v>18.190349999999999</v>
      </c>
      <c r="N855">
        <f t="shared" si="58"/>
        <v>5646.3574013999996</v>
      </c>
    </row>
    <row r="856" spans="1:14" x14ac:dyDescent="0.3">
      <c r="A856" s="1" t="s">
        <v>35</v>
      </c>
      <c r="B856">
        <v>6</v>
      </c>
      <c r="C856">
        <v>13</v>
      </c>
      <c r="D856" t="s">
        <v>74</v>
      </c>
      <c r="E856">
        <v>23000000</v>
      </c>
      <c r="F856">
        <f t="shared" si="57"/>
        <v>23000000</v>
      </c>
      <c r="G856">
        <f t="shared" ref="G856:G919" si="60">F856/310.404</f>
        <v>74096.983286297851</v>
      </c>
      <c r="H856" t="s">
        <v>72</v>
      </c>
      <c r="I856" s="1" t="s">
        <v>224</v>
      </c>
      <c r="J856" s="1" t="s">
        <v>216</v>
      </c>
      <c r="K856" s="9">
        <v>16972.52</v>
      </c>
      <c r="L856" t="s">
        <v>21</v>
      </c>
      <c r="M856">
        <f t="shared" si="59"/>
        <v>16.972519999999999</v>
      </c>
      <c r="N856">
        <f t="shared" si="58"/>
        <v>5268.3380980800002</v>
      </c>
    </row>
    <row r="857" spans="1:14" x14ac:dyDescent="0.3">
      <c r="A857" s="1" t="s">
        <v>68</v>
      </c>
      <c r="B857">
        <v>6</v>
      </c>
      <c r="C857">
        <v>13</v>
      </c>
      <c r="D857" t="s">
        <v>74</v>
      </c>
      <c r="E857">
        <v>23000000</v>
      </c>
      <c r="F857">
        <f t="shared" si="57"/>
        <v>23000000</v>
      </c>
      <c r="G857">
        <f t="shared" si="60"/>
        <v>74096.983286297851</v>
      </c>
      <c r="H857" t="s">
        <v>72</v>
      </c>
      <c r="I857" s="1" t="s">
        <v>224</v>
      </c>
      <c r="J857" s="1" t="s">
        <v>216</v>
      </c>
      <c r="K857" s="9">
        <v>8.56</v>
      </c>
      <c r="L857" t="s">
        <v>21</v>
      </c>
      <c r="M857">
        <f t="shared" si="59"/>
        <v>8.5599999999999999E-3</v>
      </c>
      <c r="N857">
        <f t="shared" si="58"/>
        <v>2.65705824</v>
      </c>
    </row>
    <row r="858" spans="1:14" x14ac:dyDescent="0.3">
      <c r="A858" s="1" t="s">
        <v>68</v>
      </c>
      <c r="B858">
        <v>6</v>
      </c>
      <c r="C858">
        <v>13</v>
      </c>
      <c r="D858" t="s">
        <v>74</v>
      </c>
      <c r="E858">
        <v>23000000</v>
      </c>
      <c r="F858">
        <f t="shared" si="57"/>
        <v>23000000</v>
      </c>
      <c r="G858">
        <f t="shared" si="60"/>
        <v>74096.983286297851</v>
      </c>
      <c r="H858" t="s">
        <v>72</v>
      </c>
      <c r="I858" s="1" t="s">
        <v>224</v>
      </c>
      <c r="J858" s="1" t="s">
        <v>216</v>
      </c>
      <c r="K858" s="9">
        <v>5.27</v>
      </c>
      <c r="L858" t="s">
        <v>21</v>
      </c>
      <c r="M858">
        <f t="shared" si="59"/>
        <v>5.2699999999999995E-3</v>
      </c>
      <c r="N858">
        <f t="shared" si="58"/>
        <v>1.6358290799999999</v>
      </c>
    </row>
    <row r="859" spans="1:14" x14ac:dyDescent="0.3">
      <c r="A859" s="1" t="s">
        <v>68</v>
      </c>
      <c r="B859">
        <v>6</v>
      </c>
      <c r="C859">
        <v>13</v>
      </c>
      <c r="D859" t="s">
        <v>74</v>
      </c>
      <c r="E859">
        <v>23000000</v>
      </c>
      <c r="F859">
        <f t="shared" si="57"/>
        <v>23000000</v>
      </c>
      <c r="G859">
        <f t="shared" si="60"/>
        <v>74096.983286297851</v>
      </c>
      <c r="H859" t="s">
        <v>72</v>
      </c>
      <c r="I859" s="1" t="s">
        <v>224</v>
      </c>
      <c r="J859" s="1" t="s">
        <v>216</v>
      </c>
      <c r="K859" s="9">
        <v>5.05</v>
      </c>
      <c r="L859" t="s">
        <v>21</v>
      </c>
      <c r="M859">
        <f t="shared" si="59"/>
        <v>5.0499999999999998E-3</v>
      </c>
      <c r="N859">
        <f t="shared" si="58"/>
        <v>1.5675402000000001</v>
      </c>
    </row>
    <row r="860" spans="1:14" x14ac:dyDescent="0.3">
      <c r="A860" s="1" t="s">
        <v>68</v>
      </c>
      <c r="B860">
        <v>6</v>
      </c>
      <c r="C860">
        <v>13</v>
      </c>
      <c r="D860" t="s">
        <v>74</v>
      </c>
      <c r="E860">
        <v>23000000</v>
      </c>
      <c r="F860">
        <f t="shared" si="57"/>
        <v>23000000</v>
      </c>
      <c r="G860">
        <f t="shared" si="60"/>
        <v>74096.983286297851</v>
      </c>
      <c r="H860" t="s">
        <v>72</v>
      </c>
      <c r="I860" s="1" t="s">
        <v>224</v>
      </c>
      <c r="J860" s="1" t="s">
        <v>216</v>
      </c>
      <c r="K860" s="9">
        <v>7.44</v>
      </c>
      <c r="L860" t="s">
        <v>21</v>
      </c>
      <c r="M860">
        <f t="shared" si="59"/>
        <v>7.4400000000000004E-3</v>
      </c>
      <c r="N860">
        <f t="shared" si="58"/>
        <v>2.3094057600000002</v>
      </c>
    </row>
    <row r="861" spans="1:14" x14ac:dyDescent="0.3">
      <c r="A861" s="1" t="s">
        <v>68</v>
      </c>
      <c r="B861">
        <v>6</v>
      </c>
      <c r="C861">
        <v>13</v>
      </c>
      <c r="D861" t="s">
        <v>74</v>
      </c>
      <c r="E861">
        <v>23000000</v>
      </c>
      <c r="F861">
        <f t="shared" si="57"/>
        <v>23000000</v>
      </c>
      <c r="G861">
        <f t="shared" si="60"/>
        <v>74096.983286297851</v>
      </c>
      <c r="H861" t="s">
        <v>72</v>
      </c>
      <c r="I861" s="1" t="s">
        <v>224</v>
      </c>
      <c r="J861" s="1" t="s">
        <v>216</v>
      </c>
      <c r="K861" s="9">
        <v>7.01</v>
      </c>
      <c r="L861" t="s">
        <v>21</v>
      </c>
      <c r="M861">
        <f t="shared" si="59"/>
        <v>7.0099999999999997E-3</v>
      </c>
      <c r="N861">
        <f t="shared" si="58"/>
        <v>2.1759320400000002</v>
      </c>
    </row>
    <row r="862" spans="1:14" x14ac:dyDescent="0.3">
      <c r="A862" s="1" t="s">
        <v>68</v>
      </c>
      <c r="B862">
        <v>6</v>
      </c>
      <c r="C862">
        <v>13</v>
      </c>
      <c r="D862" t="s">
        <v>74</v>
      </c>
      <c r="E862">
        <v>23000000</v>
      </c>
      <c r="F862">
        <f t="shared" si="57"/>
        <v>23000000</v>
      </c>
      <c r="G862">
        <f t="shared" si="60"/>
        <v>74096.983286297851</v>
      </c>
      <c r="H862" t="s">
        <v>72</v>
      </c>
      <c r="I862" s="1" t="s">
        <v>224</v>
      </c>
      <c r="J862" s="1" t="s">
        <v>216</v>
      </c>
      <c r="K862" s="9" t="s">
        <v>20</v>
      </c>
      <c r="L862" t="s">
        <v>21</v>
      </c>
      <c r="M862" t="str">
        <f t="shared" si="59"/>
        <v>ND</v>
      </c>
      <c r="N862" t="str">
        <f t="shared" si="58"/>
        <v>ND</v>
      </c>
    </row>
    <row r="863" spans="1:14" x14ac:dyDescent="0.3">
      <c r="A863" s="1" t="s">
        <v>68</v>
      </c>
      <c r="B863">
        <v>6</v>
      </c>
      <c r="C863">
        <v>13</v>
      </c>
      <c r="D863" t="s">
        <v>74</v>
      </c>
      <c r="E863">
        <v>23000000</v>
      </c>
      <c r="F863">
        <f t="shared" si="57"/>
        <v>23000000</v>
      </c>
      <c r="G863">
        <f t="shared" si="60"/>
        <v>74096.983286297851</v>
      </c>
      <c r="H863" t="s">
        <v>72</v>
      </c>
      <c r="I863" s="1" t="s">
        <v>224</v>
      </c>
      <c r="J863" s="1" t="s">
        <v>216</v>
      </c>
      <c r="K863" s="9" t="s">
        <v>20</v>
      </c>
      <c r="L863" t="s">
        <v>21</v>
      </c>
      <c r="M863" t="str">
        <f t="shared" si="59"/>
        <v>ND</v>
      </c>
      <c r="N863" t="str">
        <f t="shared" si="58"/>
        <v>ND</v>
      </c>
    </row>
    <row r="864" spans="1:14" x14ac:dyDescent="0.3">
      <c r="A864" s="1" t="s">
        <v>68</v>
      </c>
      <c r="B864">
        <v>6</v>
      </c>
      <c r="C864">
        <v>13</v>
      </c>
      <c r="D864" t="s">
        <v>74</v>
      </c>
      <c r="E864">
        <v>23000000</v>
      </c>
      <c r="F864">
        <f t="shared" si="57"/>
        <v>23000000</v>
      </c>
      <c r="G864">
        <f t="shared" si="60"/>
        <v>74096.983286297851</v>
      </c>
      <c r="H864" t="s">
        <v>72</v>
      </c>
      <c r="I864" s="1" t="s">
        <v>224</v>
      </c>
      <c r="J864" s="1" t="s">
        <v>216</v>
      </c>
      <c r="K864" s="9" t="s">
        <v>20</v>
      </c>
      <c r="L864" t="s">
        <v>21</v>
      </c>
      <c r="M864" t="str">
        <f t="shared" si="59"/>
        <v>ND</v>
      </c>
      <c r="N864" t="str">
        <f t="shared" si="58"/>
        <v>ND</v>
      </c>
    </row>
    <row r="865" spans="1:14" x14ac:dyDescent="0.3">
      <c r="A865" s="1" t="s">
        <v>68</v>
      </c>
      <c r="B865">
        <v>6</v>
      </c>
      <c r="C865">
        <v>13</v>
      </c>
      <c r="D865" t="s">
        <v>74</v>
      </c>
      <c r="E865">
        <v>23000000</v>
      </c>
      <c r="F865">
        <f t="shared" si="57"/>
        <v>23000000</v>
      </c>
      <c r="G865">
        <f t="shared" si="60"/>
        <v>74096.983286297851</v>
      </c>
      <c r="H865" t="s">
        <v>72</v>
      </c>
      <c r="I865" s="1" t="s">
        <v>224</v>
      </c>
      <c r="J865" s="1" t="s">
        <v>216</v>
      </c>
      <c r="K865" s="9">
        <v>5.1100000000000003</v>
      </c>
      <c r="L865" t="s">
        <v>21</v>
      </c>
      <c r="M865">
        <f t="shared" si="59"/>
        <v>5.11E-3</v>
      </c>
      <c r="N865">
        <f t="shared" si="58"/>
        <v>1.5861644400000001</v>
      </c>
    </row>
    <row r="866" spans="1:14" x14ac:dyDescent="0.3">
      <c r="A866" s="1" t="s">
        <v>68</v>
      </c>
      <c r="B866">
        <v>6</v>
      </c>
      <c r="C866">
        <v>13</v>
      </c>
      <c r="D866" t="s">
        <v>74</v>
      </c>
      <c r="E866">
        <v>23000000</v>
      </c>
      <c r="F866">
        <f t="shared" si="57"/>
        <v>23000000</v>
      </c>
      <c r="G866">
        <f t="shared" si="60"/>
        <v>74096.983286297851</v>
      </c>
      <c r="H866" t="s">
        <v>72</v>
      </c>
      <c r="I866" s="1" t="s">
        <v>224</v>
      </c>
      <c r="J866" s="1" t="s">
        <v>216</v>
      </c>
      <c r="K866" s="9" t="s">
        <v>20</v>
      </c>
      <c r="L866" t="s">
        <v>21</v>
      </c>
      <c r="M866" t="str">
        <f t="shared" si="59"/>
        <v>ND</v>
      </c>
      <c r="N866" t="str">
        <f t="shared" si="58"/>
        <v>ND</v>
      </c>
    </row>
    <row r="867" spans="1:14" x14ac:dyDescent="0.3">
      <c r="A867" s="1" t="s">
        <v>68</v>
      </c>
      <c r="B867">
        <v>6</v>
      </c>
      <c r="C867">
        <v>13</v>
      </c>
      <c r="D867" t="s">
        <v>74</v>
      </c>
      <c r="E867">
        <v>23000000</v>
      </c>
      <c r="F867">
        <f t="shared" si="57"/>
        <v>23000000</v>
      </c>
      <c r="G867">
        <f t="shared" si="60"/>
        <v>74096.983286297851</v>
      </c>
      <c r="H867" t="s">
        <v>72</v>
      </c>
      <c r="I867" s="1" t="s">
        <v>224</v>
      </c>
      <c r="J867" s="1" t="s">
        <v>216</v>
      </c>
      <c r="K867" s="9" t="s">
        <v>20</v>
      </c>
      <c r="L867" t="s">
        <v>21</v>
      </c>
      <c r="M867" t="str">
        <f t="shared" si="59"/>
        <v>ND</v>
      </c>
      <c r="N867" t="str">
        <f t="shared" si="58"/>
        <v>ND</v>
      </c>
    </row>
    <row r="868" spans="1:14" x14ac:dyDescent="0.3">
      <c r="A868" s="1" t="s">
        <v>68</v>
      </c>
      <c r="B868">
        <v>6</v>
      </c>
      <c r="C868">
        <v>13</v>
      </c>
      <c r="D868" t="s">
        <v>74</v>
      </c>
      <c r="E868">
        <v>23000000</v>
      </c>
      <c r="F868">
        <f t="shared" si="57"/>
        <v>23000000</v>
      </c>
      <c r="G868">
        <f t="shared" si="60"/>
        <v>74096.983286297851</v>
      </c>
      <c r="H868" t="s">
        <v>72</v>
      </c>
      <c r="I868" s="1" t="s">
        <v>224</v>
      </c>
      <c r="J868" s="1" t="s">
        <v>216</v>
      </c>
      <c r="K868" s="9" t="s">
        <v>20</v>
      </c>
      <c r="L868" t="s">
        <v>21</v>
      </c>
      <c r="M868" t="str">
        <f t="shared" si="59"/>
        <v>ND</v>
      </c>
      <c r="N868" t="str">
        <f t="shared" si="58"/>
        <v>ND</v>
      </c>
    </row>
    <row r="869" spans="1:14" x14ac:dyDescent="0.3">
      <c r="A869" s="1" t="s">
        <v>68</v>
      </c>
      <c r="B869">
        <v>6</v>
      </c>
      <c r="C869">
        <v>13</v>
      </c>
      <c r="D869" t="s">
        <v>74</v>
      </c>
      <c r="E869">
        <v>23000000</v>
      </c>
      <c r="F869">
        <f t="shared" si="57"/>
        <v>23000000</v>
      </c>
      <c r="G869">
        <f t="shared" si="60"/>
        <v>74096.983286297851</v>
      </c>
      <c r="H869" t="s">
        <v>72</v>
      </c>
      <c r="I869" s="1" t="s">
        <v>224</v>
      </c>
      <c r="J869" s="1" t="s">
        <v>216</v>
      </c>
      <c r="K869" s="9">
        <v>5.65</v>
      </c>
      <c r="L869" t="s">
        <v>21</v>
      </c>
      <c r="M869">
        <f t="shared" si="59"/>
        <v>5.6500000000000005E-3</v>
      </c>
      <c r="N869">
        <f t="shared" si="58"/>
        <v>1.7537826000000003</v>
      </c>
    </row>
    <row r="870" spans="1:14" x14ac:dyDescent="0.3">
      <c r="A870" s="1" t="s">
        <v>68</v>
      </c>
      <c r="B870">
        <v>6</v>
      </c>
      <c r="C870">
        <v>13</v>
      </c>
      <c r="D870" t="s">
        <v>74</v>
      </c>
      <c r="E870">
        <v>23000000</v>
      </c>
      <c r="F870">
        <f t="shared" si="57"/>
        <v>23000000</v>
      </c>
      <c r="G870">
        <f t="shared" si="60"/>
        <v>74096.983286297851</v>
      </c>
      <c r="H870" t="s">
        <v>72</v>
      </c>
      <c r="I870" s="1" t="s">
        <v>224</v>
      </c>
      <c r="J870" s="1" t="s">
        <v>216</v>
      </c>
      <c r="K870" s="9">
        <v>7.09</v>
      </c>
      <c r="L870" t="s">
        <v>21</v>
      </c>
      <c r="M870">
        <f t="shared" si="59"/>
        <v>7.0899999999999999E-3</v>
      </c>
      <c r="N870">
        <f t="shared" si="58"/>
        <v>2.20076436</v>
      </c>
    </row>
    <row r="871" spans="1:14" x14ac:dyDescent="0.3">
      <c r="A871" s="1" t="s">
        <v>68</v>
      </c>
      <c r="B871">
        <v>6</v>
      </c>
      <c r="C871">
        <v>13</v>
      </c>
      <c r="D871" t="s">
        <v>74</v>
      </c>
      <c r="E871">
        <v>23000000</v>
      </c>
      <c r="F871">
        <f t="shared" si="57"/>
        <v>23000000</v>
      </c>
      <c r="G871">
        <f t="shared" si="60"/>
        <v>74096.983286297851</v>
      </c>
      <c r="H871" t="s">
        <v>72</v>
      </c>
      <c r="I871" s="1" t="s">
        <v>224</v>
      </c>
      <c r="J871" s="1" t="s">
        <v>216</v>
      </c>
      <c r="K871" s="9" t="s">
        <v>20</v>
      </c>
      <c r="L871" t="s">
        <v>21</v>
      </c>
      <c r="M871" t="str">
        <f t="shared" si="59"/>
        <v>ND</v>
      </c>
      <c r="N871" t="str">
        <f t="shared" si="58"/>
        <v>ND</v>
      </c>
    </row>
    <row r="872" spans="1:14" x14ac:dyDescent="0.3">
      <c r="A872" s="1" t="s">
        <v>68</v>
      </c>
      <c r="B872">
        <v>6</v>
      </c>
      <c r="C872">
        <v>13</v>
      </c>
      <c r="D872" t="s">
        <v>74</v>
      </c>
      <c r="E872">
        <v>23000000</v>
      </c>
      <c r="F872">
        <f t="shared" si="57"/>
        <v>23000000</v>
      </c>
      <c r="G872">
        <f t="shared" si="60"/>
        <v>74096.983286297851</v>
      </c>
      <c r="H872" t="s">
        <v>72</v>
      </c>
      <c r="I872" s="1" t="s">
        <v>224</v>
      </c>
      <c r="J872" s="1" t="s">
        <v>216</v>
      </c>
      <c r="K872" s="9" t="s">
        <v>20</v>
      </c>
      <c r="L872" t="s">
        <v>21</v>
      </c>
      <c r="M872" t="str">
        <f t="shared" si="59"/>
        <v>ND</v>
      </c>
      <c r="N872" t="str">
        <f t="shared" si="58"/>
        <v>ND</v>
      </c>
    </row>
    <row r="873" spans="1:14" x14ac:dyDescent="0.3">
      <c r="A873" s="1" t="s">
        <v>68</v>
      </c>
      <c r="B873">
        <v>6</v>
      </c>
      <c r="C873">
        <v>13</v>
      </c>
      <c r="D873" t="s">
        <v>74</v>
      </c>
      <c r="E873">
        <v>23000000</v>
      </c>
      <c r="F873">
        <f t="shared" si="57"/>
        <v>23000000</v>
      </c>
      <c r="G873">
        <f t="shared" si="60"/>
        <v>74096.983286297851</v>
      </c>
      <c r="H873" t="s">
        <v>72</v>
      </c>
      <c r="I873" s="1" t="s">
        <v>224</v>
      </c>
      <c r="J873" s="1" t="s">
        <v>216</v>
      </c>
      <c r="K873" s="9" t="s">
        <v>20</v>
      </c>
      <c r="L873" t="s">
        <v>21</v>
      </c>
      <c r="M873" t="str">
        <f t="shared" si="59"/>
        <v>ND</v>
      </c>
      <c r="N873" t="str">
        <f t="shared" si="58"/>
        <v>ND</v>
      </c>
    </row>
    <row r="874" spans="1:14" x14ac:dyDescent="0.3">
      <c r="A874" s="1" t="s">
        <v>68</v>
      </c>
      <c r="B874">
        <v>6</v>
      </c>
      <c r="C874">
        <v>13</v>
      </c>
      <c r="D874" t="s">
        <v>74</v>
      </c>
      <c r="E874">
        <v>23000000</v>
      </c>
      <c r="F874">
        <f t="shared" si="57"/>
        <v>23000000</v>
      </c>
      <c r="G874">
        <f t="shared" si="60"/>
        <v>74096.983286297851</v>
      </c>
      <c r="H874" t="s">
        <v>72</v>
      </c>
      <c r="I874" s="1" t="s">
        <v>224</v>
      </c>
      <c r="J874" s="1" t="s">
        <v>216</v>
      </c>
      <c r="K874" s="9">
        <v>5.53</v>
      </c>
      <c r="L874" t="s">
        <v>21</v>
      </c>
      <c r="M874">
        <f t="shared" si="59"/>
        <v>5.5300000000000002E-3</v>
      </c>
      <c r="N874">
        <f t="shared" si="58"/>
        <v>1.7165341200000002</v>
      </c>
    </row>
    <row r="875" spans="1:14" x14ac:dyDescent="0.3">
      <c r="A875" s="1" t="s">
        <v>68</v>
      </c>
      <c r="B875">
        <v>6</v>
      </c>
      <c r="C875">
        <v>13</v>
      </c>
      <c r="D875" t="s">
        <v>74</v>
      </c>
      <c r="E875">
        <v>23000000</v>
      </c>
      <c r="F875">
        <f t="shared" si="57"/>
        <v>23000000</v>
      </c>
      <c r="G875">
        <f t="shared" si="60"/>
        <v>74096.983286297851</v>
      </c>
      <c r="H875" t="s">
        <v>72</v>
      </c>
      <c r="I875" s="1" t="s">
        <v>224</v>
      </c>
      <c r="J875" s="1" t="s">
        <v>216</v>
      </c>
      <c r="K875" s="9">
        <v>8.44</v>
      </c>
      <c r="L875" t="s">
        <v>21</v>
      </c>
      <c r="M875">
        <f t="shared" si="59"/>
        <v>8.4399999999999996E-3</v>
      </c>
      <c r="N875">
        <f t="shared" si="58"/>
        <v>2.6198097600000003</v>
      </c>
    </row>
    <row r="876" spans="1:14" x14ac:dyDescent="0.3">
      <c r="A876" s="1" t="s">
        <v>68</v>
      </c>
      <c r="B876">
        <v>6</v>
      </c>
      <c r="C876">
        <v>13</v>
      </c>
      <c r="D876" t="s">
        <v>74</v>
      </c>
      <c r="E876">
        <v>23000000</v>
      </c>
      <c r="F876">
        <f t="shared" si="57"/>
        <v>23000000</v>
      </c>
      <c r="G876">
        <f t="shared" si="60"/>
        <v>74096.983286297851</v>
      </c>
      <c r="H876" t="s">
        <v>72</v>
      </c>
      <c r="I876" s="1" t="s">
        <v>224</v>
      </c>
      <c r="J876" s="1" t="s">
        <v>216</v>
      </c>
      <c r="K876" s="9" t="s">
        <v>20</v>
      </c>
      <c r="L876" t="s">
        <v>21</v>
      </c>
      <c r="M876" t="str">
        <f t="shared" si="59"/>
        <v>ND</v>
      </c>
      <c r="N876" t="str">
        <f t="shared" si="58"/>
        <v>ND</v>
      </c>
    </row>
    <row r="877" spans="1:14" x14ac:dyDescent="0.3">
      <c r="A877" s="1" t="s">
        <v>68</v>
      </c>
      <c r="B877">
        <v>6</v>
      </c>
      <c r="C877">
        <v>13</v>
      </c>
      <c r="D877" t="s">
        <v>74</v>
      </c>
      <c r="E877">
        <v>23000000</v>
      </c>
      <c r="F877">
        <f t="shared" si="57"/>
        <v>23000000</v>
      </c>
      <c r="G877">
        <f t="shared" si="60"/>
        <v>74096.983286297851</v>
      </c>
      <c r="H877" t="s">
        <v>72</v>
      </c>
      <c r="I877" s="1" t="s">
        <v>224</v>
      </c>
      <c r="J877" s="1" t="s">
        <v>216</v>
      </c>
      <c r="K877" s="9" t="s">
        <v>20</v>
      </c>
      <c r="L877" t="s">
        <v>21</v>
      </c>
      <c r="M877" t="str">
        <f t="shared" si="59"/>
        <v>ND</v>
      </c>
      <c r="N877" t="str">
        <f t="shared" si="58"/>
        <v>ND</v>
      </c>
    </row>
    <row r="878" spans="1:14" x14ac:dyDescent="0.3">
      <c r="A878" s="1" t="s">
        <v>68</v>
      </c>
      <c r="B878">
        <v>6</v>
      </c>
      <c r="C878">
        <v>13</v>
      </c>
      <c r="D878" t="s">
        <v>74</v>
      </c>
      <c r="E878">
        <v>23000000</v>
      </c>
      <c r="F878">
        <f t="shared" si="57"/>
        <v>23000000</v>
      </c>
      <c r="G878">
        <f t="shared" si="60"/>
        <v>74096.983286297851</v>
      </c>
      <c r="H878" t="s">
        <v>72</v>
      </c>
      <c r="I878" s="1" t="s">
        <v>224</v>
      </c>
      <c r="J878" s="1" t="s">
        <v>216</v>
      </c>
      <c r="K878" s="9" t="s">
        <v>20</v>
      </c>
      <c r="L878" t="s">
        <v>21</v>
      </c>
      <c r="M878" t="str">
        <f t="shared" si="59"/>
        <v>ND</v>
      </c>
      <c r="N878" t="str">
        <f t="shared" si="58"/>
        <v>ND</v>
      </c>
    </row>
    <row r="879" spans="1:14" x14ac:dyDescent="0.3">
      <c r="A879" s="1" t="s">
        <v>68</v>
      </c>
      <c r="B879">
        <v>6</v>
      </c>
      <c r="C879">
        <v>13</v>
      </c>
      <c r="D879" t="s">
        <v>74</v>
      </c>
      <c r="E879">
        <v>23000000</v>
      </c>
      <c r="F879">
        <f t="shared" si="57"/>
        <v>23000000</v>
      </c>
      <c r="G879">
        <f t="shared" si="60"/>
        <v>74096.983286297851</v>
      </c>
      <c r="H879" t="s">
        <v>72</v>
      </c>
      <c r="I879" s="1" t="s">
        <v>224</v>
      </c>
      <c r="J879" s="1" t="s">
        <v>216</v>
      </c>
      <c r="K879" s="9" t="s">
        <v>20</v>
      </c>
      <c r="L879" t="s">
        <v>21</v>
      </c>
      <c r="M879" t="str">
        <f t="shared" si="59"/>
        <v>ND</v>
      </c>
      <c r="N879" t="str">
        <f t="shared" si="58"/>
        <v>ND</v>
      </c>
    </row>
    <row r="880" spans="1:14" x14ac:dyDescent="0.3">
      <c r="A880" s="1" t="s">
        <v>68</v>
      </c>
      <c r="B880">
        <v>6</v>
      </c>
      <c r="C880">
        <v>13</v>
      </c>
      <c r="D880" t="s">
        <v>74</v>
      </c>
      <c r="E880">
        <v>23000000</v>
      </c>
      <c r="F880">
        <f t="shared" si="57"/>
        <v>23000000</v>
      </c>
      <c r="G880">
        <f t="shared" si="60"/>
        <v>74096.983286297851</v>
      </c>
      <c r="H880" t="s">
        <v>72</v>
      </c>
      <c r="I880" s="1" t="s">
        <v>224</v>
      </c>
      <c r="J880" s="1" t="s">
        <v>216</v>
      </c>
      <c r="K880" s="9" t="s">
        <v>20</v>
      </c>
      <c r="L880" t="s">
        <v>21</v>
      </c>
      <c r="M880" t="str">
        <f t="shared" si="59"/>
        <v>ND</v>
      </c>
      <c r="N880" t="str">
        <f t="shared" si="58"/>
        <v>ND</v>
      </c>
    </row>
    <row r="881" spans="1:14" x14ac:dyDescent="0.3">
      <c r="A881" s="1" t="s">
        <v>68</v>
      </c>
      <c r="B881">
        <v>6</v>
      </c>
      <c r="C881">
        <v>13</v>
      </c>
      <c r="D881" t="s">
        <v>74</v>
      </c>
      <c r="E881">
        <v>23000000</v>
      </c>
      <c r="F881">
        <f t="shared" si="57"/>
        <v>23000000</v>
      </c>
      <c r="G881">
        <f t="shared" si="60"/>
        <v>74096.983286297851</v>
      </c>
      <c r="H881" t="s">
        <v>72</v>
      </c>
      <c r="I881" s="1" t="s">
        <v>224</v>
      </c>
      <c r="J881" s="1" t="s">
        <v>216</v>
      </c>
      <c r="K881" s="9" t="s">
        <v>20</v>
      </c>
      <c r="L881" t="s">
        <v>21</v>
      </c>
      <c r="M881" t="str">
        <f t="shared" si="59"/>
        <v>ND</v>
      </c>
      <c r="N881" t="str">
        <f t="shared" si="58"/>
        <v>ND</v>
      </c>
    </row>
    <row r="882" spans="1:14" x14ac:dyDescent="0.3">
      <c r="A882" s="1" t="s">
        <v>68</v>
      </c>
      <c r="B882">
        <v>6</v>
      </c>
      <c r="C882">
        <v>13</v>
      </c>
      <c r="D882" t="s">
        <v>74</v>
      </c>
      <c r="E882">
        <v>23000000</v>
      </c>
      <c r="F882">
        <f t="shared" si="57"/>
        <v>23000000</v>
      </c>
      <c r="G882">
        <f t="shared" si="60"/>
        <v>74096.983286297851</v>
      </c>
      <c r="H882" t="s">
        <v>72</v>
      </c>
      <c r="I882" s="1" t="s">
        <v>224</v>
      </c>
      <c r="J882" s="1" t="s">
        <v>216</v>
      </c>
      <c r="K882" s="9" t="s">
        <v>20</v>
      </c>
      <c r="L882" t="s">
        <v>21</v>
      </c>
      <c r="M882" t="str">
        <f t="shared" si="59"/>
        <v>ND</v>
      </c>
      <c r="N882" t="str">
        <f t="shared" si="58"/>
        <v>ND</v>
      </c>
    </row>
    <row r="883" spans="1:14" x14ac:dyDescent="0.3">
      <c r="A883" s="1" t="s">
        <v>68</v>
      </c>
      <c r="B883">
        <v>6</v>
      </c>
      <c r="C883">
        <v>13</v>
      </c>
      <c r="D883" t="s">
        <v>74</v>
      </c>
      <c r="E883">
        <v>23000000</v>
      </c>
      <c r="F883">
        <f t="shared" si="57"/>
        <v>23000000</v>
      </c>
      <c r="G883">
        <f t="shared" si="60"/>
        <v>74096.983286297851</v>
      </c>
      <c r="H883" t="s">
        <v>72</v>
      </c>
      <c r="I883" s="1" t="s">
        <v>224</v>
      </c>
      <c r="J883" s="1" t="s">
        <v>216</v>
      </c>
      <c r="K883" s="9" t="s">
        <v>20</v>
      </c>
      <c r="L883" t="s">
        <v>21</v>
      </c>
      <c r="M883" t="str">
        <f t="shared" si="59"/>
        <v>ND</v>
      </c>
      <c r="N883" t="str">
        <f t="shared" si="58"/>
        <v>ND</v>
      </c>
    </row>
    <row r="884" spans="1:14" x14ac:dyDescent="0.3">
      <c r="A884" s="1" t="s">
        <v>68</v>
      </c>
      <c r="B884">
        <v>6</v>
      </c>
      <c r="C884">
        <v>13</v>
      </c>
      <c r="D884" t="s">
        <v>74</v>
      </c>
      <c r="E884">
        <v>23000000</v>
      </c>
      <c r="F884">
        <f t="shared" si="57"/>
        <v>23000000</v>
      </c>
      <c r="G884">
        <f t="shared" si="60"/>
        <v>74096.983286297851</v>
      </c>
      <c r="H884" t="s">
        <v>72</v>
      </c>
      <c r="I884" s="1" t="s">
        <v>224</v>
      </c>
      <c r="J884" s="1" t="s">
        <v>216</v>
      </c>
      <c r="K884" s="9" t="s">
        <v>20</v>
      </c>
      <c r="L884" t="s">
        <v>21</v>
      </c>
      <c r="M884" t="str">
        <f t="shared" si="59"/>
        <v>ND</v>
      </c>
      <c r="N884" t="str">
        <f t="shared" si="58"/>
        <v>ND</v>
      </c>
    </row>
    <row r="885" spans="1:14" x14ac:dyDescent="0.3">
      <c r="A885" s="1" t="s">
        <v>68</v>
      </c>
      <c r="B885">
        <v>6</v>
      </c>
      <c r="C885">
        <v>13</v>
      </c>
      <c r="D885" t="s">
        <v>74</v>
      </c>
      <c r="E885">
        <v>23000000</v>
      </c>
      <c r="F885">
        <f t="shared" si="57"/>
        <v>23000000</v>
      </c>
      <c r="G885">
        <f t="shared" si="60"/>
        <v>74096.983286297851</v>
      </c>
      <c r="H885" t="s">
        <v>72</v>
      </c>
      <c r="I885" s="1" t="s">
        <v>224</v>
      </c>
      <c r="J885" s="1" t="s">
        <v>216</v>
      </c>
      <c r="K885" s="9" t="s">
        <v>20</v>
      </c>
      <c r="L885" t="s">
        <v>21</v>
      </c>
      <c r="M885" t="str">
        <f t="shared" si="59"/>
        <v>ND</v>
      </c>
      <c r="N885" t="str">
        <f t="shared" si="58"/>
        <v>ND</v>
      </c>
    </row>
    <row r="886" spans="1:14" x14ac:dyDescent="0.3">
      <c r="A886" s="1" t="s">
        <v>68</v>
      </c>
      <c r="B886">
        <v>6</v>
      </c>
      <c r="C886">
        <v>13</v>
      </c>
      <c r="D886" t="s">
        <v>74</v>
      </c>
      <c r="E886">
        <v>23000000</v>
      </c>
      <c r="F886">
        <f t="shared" ref="F886:F949" si="61">E886</f>
        <v>23000000</v>
      </c>
      <c r="G886">
        <f t="shared" si="60"/>
        <v>74096.983286297851</v>
      </c>
      <c r="H886" t="s">
        <v>72</v>
      </c>
      <c r="I886" s="1" t="s">
        <v>224</v>
      </c>
      <c r="J886" s="1" t="s">
        <v>216</v>
      </c>
      <c r="K886" s="9" t="s">
        <v>20</v>
      </c>
      <c r="L886" t="s">
        <v>21</v>
      </c>
      <c r="M886" t="str">
        <f t="shared" si="59"/>
        <v>ND</v>
      </c>
      <c r="N886" t="str">
        <f t="shared" si="58"/>
        <v>ND</v>
      </c>
    </row>
    <row r="887" spans="1:14" x14ac:dyDescent="0.3">
      <c r="A887" s="1" t="s">
        <v>68</v>
      </c>
      <c r="B887">
        <v>6</v>
      </c>
      <c r="C887">
        <v>13</v>
      </c>
      <c r="D887" t="s">
        <v>74</v>
      </c>
      <c r="E887">
        <v>23000000</v>
      </c>
      <c r="F887">
        <f t="shared" si="61"/>
        <v>23000000</v>
      </c>
      <c r="G887">
        <f t="shared" si="60"/>
        <v>74096.983286297851</v>
      </c>
      <c r="H887" t="s">
        <v>72</v>
      </c>
      <c r="I887" s="1" t="s">
        <v>224</v>
      </c>
      <c r="J887" s="1" t="s">
        <v>216</v>
      </c>
      <c r="K887" s="9">
        <v>20.72</v>
      </c>
      <c r="L887" t="s">
        <v>21</v>
      </c>
      <c r="M887">
        <f t="shared" si="59"/>
        <v>2.0719999999999999E-2</v>
      </c>
      <c r="N887">
        <f t="shared" si="58"/>
        <v>6.4315708800000007</v>
      </c>
    </row>
    <row r="888" spans="1:14" x14ac:dyDescent="0.3">
      <c r="A888" s="1" t="s">
        <v>68</v>
      </c>
      <c r="B888">
        <v>6</v>
      </c>
      <c r="C888">
        <v>13</v>
      </c>
      <c r="D888" t="s">
        <v>74</v>
      </c>
      <c r="E888">
        <v>23000000</v>
      </c>
      <c r="F888">
        <f t="shared" si="61"/>
        <v>23000000</v>
      </c>
      <c r="G888">
        <f t="shared" si="60"/>
        <v>74096.983286297851</v>
      </c>
      <c r="H888" t="s">
        <v>72</v>
      </c>
      <c r="I888" s="1" t="s">
        <v>224</v>
      </c>
      <c r="J888" s="1" t="s">
        <v>216</v>
      </c>
      <c r="K888" s="9">
        <v>16.97</v>
      </c>
      <c r="L888" t="s">
        <v>21</v>
      </c>
      <c r="M888">
        <f t="shared" si="59"/>
        <v>1.6969999999999999E-2</v>
      </c>
      <c r="N888">
        <f t="shared" si="58"/>
        <v>5.2675558800000006</v>
      </c>
    </row>
    <row r="889" spans="1:14" x14ac:dyDescent="0.3">
      <c r="A889" s="1" t="s">
        <v>68</v>
      </c>
      <c r="B889">
        <v>6</v>
      </c>
      <c r="C889">
        <v>13</v>
      </c>
      <c r="D889" t="s">
        <v>74</v>
      </c>
      <c r="E889">
        <v>23000000</v>
      </c>
      <c r="F889">
        <f t="shared" si="61"/>
        <v>23000000</v>
      </c>
      <c r="G889">
        <f t="shared" si="60"/>
        <v>74096.983286297851</v>
      </c>
      <c r="H889" t="s">
        <v>72</v>
      </c>
      <c r="I889" s="1" t="s">
        <v>224</v>
      </c>
      <c r="J889" s="1" t="s">
        <v>216</v>
      </c>
      <c r="K889" s="9">
        <v>18.61</v>
      </c>
      <c r="L889" t="s">
        <v>21</v>
      </c>
      <c r="M889">
        <f t="shared" si="59"/>
        <v>1.8609999999999998E-2</v>
      </c>
      <c r="N889">
        <f t="shared" si="58"/>
        <v>5.77661844</v>
      </c>
    </row>
    <row r="890" spans="1:14" x14ac:dyDescent="0.3">
      <c r="A890" s="1" t="s">
        <v>68</v>
      </c>
      <c r="B890">
        <v>6</v>
      </c>
      <c r="C890">
        <v>13</v>
      </c>
      <c r="D890" t="s">
        <v>74</v>
      </c>
      <c r="E890">
        <v>23000000</v>
      </c>
      <c r="F890">
        <f t="shared" si="61"/>
        <v>23000000</v>
      </c>
      <c r="G890">
        <f t="shared" si="60"/>
        <v>74096.983286297851</v>
      </c>
      <c r="H890" t="s">
        <v>72</v>
      </c>
      <c r="I890" s="1" t="s">
        <v>224</v>
      </c>
      <c r="J890" s="1" t="s">
        <v>216</v>
      </c>
      <c r="K890" s="9">
        <v>16.11</v>
      </c>
      <c r="L890" t="s">
        <v>21</v>
      </c>
      <c r="M890">
        <f t="shared" si="59"/>
        <v>1.6109999999999999E-2</v>
      </c>
      <c r="N890">
        <f t="shared" si="58"/>
        <v>5.0006084400000006</v>
      </c>
    </row>
    <row r="891" spans="1:14" x14ac:dyDescent="0.3">
      <c r="A891" s="1" t="s">
        <v>68</v>
      </c>
      <c r="B891">
        <v>6</v>
      </c>
      <c r="C891">
        <v>13</v>
      </c>
      <c r="D891" t="s">
        <v>74</v>
      </c>
      <c r="E891">
        <v>23000000</v>
      </c>
      <c r="F891">
        <f t="shared" si="61"/>
        <v>23000000</v>
      </c>
      <c r="G891">
        <f t="shared" si="60"/>
        <v>74096.983286297851</v>
      </c>
      <c r="H891" t="s">
        <v>72</v>
      </c>
      <c r="I891" s="1" t="s">
        <v>224</v>
      </c>
      <c r="J891" s="1" t="s">
        <v>216</v>
      </c>
      <c r="K891" s="9" t="s">
        <v>20</v>
      </c>
      <c r="L891" t="s">
        <v>21</v>
      </c>
      <c r="M891" t="str">
        <f t="shared" si="59"/>
        <v>ND</v>
      </c>
      <c r="N891" t="str">
        <f t="shared" si="58"/>
        <v>ND</v>
      </c>
    </row>
    <row r="892" spans="1:14" x14ac:dyDescent="0.3">
      <c r="A892" s="1" t="s">
        <v>68</v>
      </c>
      <c r="B892">
        <v>6</v>
      </c>
      <c r="C892">
        <v>13</v>
      </c>
      <c r="D892" t="s">
        <v>74</v>
      </c>
      <c r="E892">
        <v>23000000</v>
      </c>
      <c r="F892">
        <f t="shared" si="61"/>
        <v>23000000</v>
      </c>
      <c r="G892">
        <f t="shared" si="60"/>
        <v>74096.983286297851</v>
      </c>
      <c r="H892" t="s">
        <v>72</v>
      </c>
      <c r="I892" s="1" t="s">
        <v>224</v>
      </c>
      <c r="J892" s="1" t="s">
        <v>216</v>
      </c>
      <c r="K892" s="9">
        <v>5.97</v>
      </c>
      <c r="L892" t="s">
        <v>21</v>
      </c>
      <c r="M892">
        <f t="shared" si="59"/>
        <v>5.9699999999999996E-3</v>
      </c>
      <c r="N892">
        <f t="shared" si="58"/>
        <v>1.8531118800000002</v>
      </c>
    </row>
    <row r="893" spans="1:14" x14ac:dyDescent="0.3">
      <c r="A893" s="1" t="s">
        <v>68</v>
      </c>
      <c r="B893">
        <v>6</v>
      </c>
      <c r="C893">
        <v>13</v>
      </c>
      <c r="D893" t="s">
        <v>74</v>
      </c>
      <c r="E893">
        <v>23000000</v>
      </c>
      <c r="F893">
        <f t="shared" si="61"/>
        <v>23000000</v>
      </c>
      <c r="G893">
        <f t="shared" si="60"/>
        <v>74096.983286297851</v>
      </c>
      <c r="H893" t="s">
        <v>72</v>
      </c>
      <c r="I893" s="1" t="s">
        <v>224</v>
      </c>
      <c r="J893" s="1" t="s">
        <v>216</v>
      </c>
      <c r="K893" s="9">
        <v>5.36</v>
      </c>
      <c r="L893" t="s">
        <v>21</v>
      </c>
      <c r="M893">
        <f t="shared" si="59"/>
        <v>5.3600000000000002E-3</v>
      </c>
      <c r="N893">
        <f t="shared" si="58"/>
        <v>1.6637654400000002</v>
      </c>
    </row>
    <row r="894" spans="1:14" x14ac:dyDescent="0.3">
      <c r="A894" s="1" t="s">
        <v>68</v>
      </c>
      <c r="B894">
        <v>6</v>
      </c>
      <c r="C894">
        <v>13</v>
      </c>
      <c r="D894" t="s">
        <v>74</v>
      </c>
      <c r="E894">
        <v>23000000</v>
      </c>
      <c r="F894">
        <f t="shared" si="61"/>
        <v>23000000</v>
      </c>
      <c r="G894">
        <f t="shared" si="60"/>
        <v>74096.983286297851</v>
      </c>
      <c r="H894" t="s">
        <v>72</v>
      </c>
      <c r="I894" s="1" t="s">
        <v>224</v>
      </c>
      <c r="J894" s="1" t="s">
        <v>216</v>
      </c>
      <c r="K894" s="9">
        <v>6.49</v>
      </c>
      <c r="L894" t="s">
        <v>21</v>
      </c>
      <c r="M894">
        <f t="shared" si="59"/>
        <v>6.4900000000000001E-3</v>
      </c>
      <c r="N894">
        <f t="shared" si="58"/>
        <v>2.0145219600000002</v>
      </c>
    </row>
    <row r="895" spans="1:14" x14ac:dyDescent="0.3">
      <c r="A895" s="1" t="s">
        <v>68</v>
      </c>
      <c r="B895">
        <v>6</v>
      </c>
      <c r="C895">
        <v>13</v>
      </c>
      <c r="D895" t="s">
        <v>74</v>
      </c>
      <c r="E895">
        <v>23000000</v>
      </c>
      <c r="F895">
        <f t="shared" si="61"/>
        <v>23000000</v>
      </c>
      <c r="G895">
        <f t="shared" si="60"/>
        <v>74096.983286297851</v>
      </c>
      <c r="H895" t="s">
        <v>72</v>
      </c>
      <c r="I895" s="1" t="s">
        <v>224</v>
      </c>
      <c r="J895" s="1" t="s">
        <v>216</v>
      </c>
      <c r="K895" s="9">
        <v>5.9</v>
      </c>
      <c r="L895" t="s">
        <v>21</v>
      </c>
      <c r="M895">
        <f t="shared" si="59"/>
        <v>5.9000000000000007E-3</v>
      </c>
      <c r="N895">
        <f t="shared" si="58"/>
        <v>1.8313836000000006</v>
      </c>
    </row>
    <row r="896" spans="1:14" x14ac:dyDescent="0.3">
      <c r="A896" s="1" t="s">
        <v>68</v>
      </c>
      <c r="B896">
        <v>6</v>
      </c>
      <c r="C896">
        <v>13</v>
      </c>
      <c r="D896" t="s">
        <v>74</v>
      </c>
      <c r="E896">
        <v>23000000</v>
      </c>
      <c r="F896">
        <f t="shared" si="61"/>
        <v>23000000</v>
      </c>
      <c r="G896">
        <f t="shared" si="60"/>
        <v>74096.983286297851</v>
      </c>
      <c r="H896" t="s">
        <v>72</v>
      </c>
      <c r="I896" s="1" t="s">
        <v>224</v>
      </c>
      <c r="J896" s="1" t="s">
        <v>216</v>
      </c>
      <c r="K896" s="9">
        <v>20.7</v>
      </c>
      <c r="L896" t="s">
        <v>21</v>
      </c>
      <c r="M896">
        <f t="shared" si="59"/>
        <v>2.07E-2</v>
      </c>
      <c r="N896">
        <f t="shared" si="58"/>
        <v>6.4253628000000003</v>
      </c>
    </row>
    <row r="897" spans="1:14" x14ac:dyDescent="0.3">
      <c r="A897" s="1" t="s">
        <v>68</v>
      </c>
      <c r="B897">
        <v>6</v>
      </c>
      <c r="C897">
        <v>13</v>
      </c>
      <c r="D897" t="s">
        <v>74</v>
      </c>
      <c r="E897">
        <v>23000000</v>
      </c>
      <c r="F897">
        <f t="shared" si="61"/>
        <v>23000000</v>
      </c>
      <c r="G897">
        <f t="shared" si="60"/>
        <v>74096.983286297851</v>
      </c>
      <c r="H897" t="s">
        <v>72</v>
      </c>
      <c r="I897" s="1" t="s">
        <v>224</v>
      </c>
      <c r="J897" s="1" t="s">
        <v>216</v>
      </c>
      <c r="K897" s="9">
        <v>5.25</v>
      </c>
      <c r="L897" t="s">
        <v>21</v>
      </c>
      <c r="M897">
        <f t="shared" si="59"/>
        <v>5.2500000000000003E-3</v>
      </c>
      <c r="N897">
        <f t="shared" si="58"/>
        <v>1.6296210000000004</v>
      </c>
    </row>
    <row r="898" spans="1:14" x14ac:dyDescent="0.3">
      <c r="A898" s="1" t="s">
        <v>68</v>
      </c>
      <c r="B898">
        <v>6</v>
      </c>
      <c r="C898">
        <v>13</v>
      </c>
      <c r="D898" t="s">
        <v>74</v>
      </c>
      <c r="E898">
        <v>23000000</v>
      </c>
      <c r="F898">
        <f t="shared" si="61"/>
        <v>23000000</v>
      </c>
      <c r="G898">
        <f t="shared" si="60"/>
        <v>74096.983286297851</v>
      </c>
      <c r="H898" t="s">
        <v>72</v>
      </c>
      <c r="I898" s="1" t="s">
        <v>224</v>
      </c>
      <c r="J898" s="1" t="s">
        <v>216</v>
      </c>
      <c r="K898" s="9">
        <v>2.23</v>
      </c>
      <c r="L898" t="s">
        <v>21</v>
      </c>
      <c r="M898">
        <f t="shared" si="59"/>
        <v>2.2299999999999998E-3</v>
      </c>
      <c r="N898">
        <f t="shared" ref="N898:N961" si="62">IFERROR((M898*F898)/G898,"ND")</f>
        <v>0.69220092</v>
      </c>
    </row>
    <row r="899" spans="1:14" x14ac:dyDescent="0.3">
      <c r="A899" s="1" t="s">
        <v>68</v>
      </c>
      <c r="B899">
        <v>6</v>
      </c>
      <c r="C899">
        <v>13</v>
      </c>
      <c r="D899" t="s">
        <v>74</v>
      </c>
      <c r="E899">
        <v>23000000</v>
      </c>
      <c r="F899">
        <f t="shared" si="61"/>
        <v>23000000</v>
      </c>
      <c r="G899">
        <f t="shared" si="60"/>
        <v>74096.983286297851</v>
      </c>
      <c r="H899" t="s">
        <v>72</v>
      </c>
      <c r="I899" s="1" t="s">
        <v>224</v>
      </c>
      <c r="J899" s="1" t="s">
        <v>216</v>
      </c>
      <c r="K899" s="9">
        <v>6.23</v>
      </c>
      <c r="L899" t="s">
        <v>21</v>
      </c>
      <c r="M899">
        <f t="shared" si="59"/>
        <v>6.2300000000000003E-3</v>
      </c>
      <c r="N899">
        <f t="shared" si="62"/>
        <v>1.9338169200000002</v>
      </c>
    </row>
    <row r="900" spans="1:14" x14ac:dyDescent="0.3">
      <c r="A900" s="1" t="s">
        <v>68</v>
      </c>
      <c r="B900">
        <v>6</v>
      </c>
      <c r="C900">
        <v>13</v>
      </c>
      <c r="D900" t="s">
        <v>74</v>
      </c>
      <c r="E900">
        <v>23000000</v>
      </c>
      <c r="F900">
        <f t="shared" si="61"/>
        <v>23000000</v>
      </c>
      <c r="G900">
        <f t="shared" si="60"/>
        <v>74096.983286297851</v>
      </c>
      <c r="H900" t="s">
        <v>72</v>
      </c>
      <c r="I900" s="1" t="s">
        <v>224</v>
      </c>
      <c r="J900" s="1" t="s">
        <v>216</v>
      </c>
      <c r="K900" s="9" t="s">
        <v>20</v>
      </c>
      <c r="L900" t="s">
        <v>21</v>
      </c>
      <c r="M900" t="str">
        <f t="shared" si="59"/>
        <v>ND</v>
      </c>
      <c r="N900" t="str">
        <f t="shared" si="62"/>
        <v>ND</v>
      </c>
    </row>
    <row r="901" spans="1:14" x14ac:dyDescent="0.3">
      <c r="A901" s="1" t="s">
        <v>68</v>
      </c>
      <c r="B901">
        <v>6</v>
      </c>
      <c r="C901">
        <v>13</v>
      </c>
      <c r="D901" t="s">
        <v>74</v>
      </c>
      <c r="E901">
        <v>23000000</v>
      </c>
      <c r="F901">
        <f t="shared" si="61"/>
        <v>23000000</v>
      </c>
      <c r="G901">
        <f t="shared" si="60"/>
        <v>74096.983286297851</v>
      </c>
      <c r="H901" t="s">
        <v>72</v>
      </c>
      <c r="I901" s="1" t="s">
        <v>224</v>
      </c>
      <c r="J901" s="1" t="s">
        <v>216</v>
      </c>
      <c r="K901" s="9" t="s">
        <v>20</v>
      </c>
      <c r="L901" t="s">
        <v>21</v>
      </c>
      <c r="M901" t="str">
        <f t="shared" si="59"/>
        <v>ND</v>
      </c>
      <c r="N901" t="str">
        <f t="shared" si="62"/>
        <v>ND</v>
      </c>
    </row>
    <row r="902" spans="1:14" x14ac:dyDescent="0.3">
      <c r="A902" s="1" t="s">
        <v>68</v>
      </c>
      <c r="B902">
        <v>6</v>
      </c>
      <c r="C902">
        <v>13</v>
      </c>
      <c r="D902" t="s">
        <v>74</v>
      </c>
      <c r="E902">
        <v>23000000</v>
      </c>
      <c r="F902">
        <f t="shared" si="61"/>
        <v>23000000</v>
      </c>
      <c r="G902">
        <f t="shared" si="60"/>
        <v>74096.983286297851</v>
      </c>
      <c r="H902" t="s">
        <v>72</v>
      </c>
      <c r="I902" s="1" t="s">
        <v>224</v>
      </c>
      <c r="J902" s="1" t="s">
        <v>216</v>
      </c>
      <c r="K902" s="9" t="s">
        <v>20</v>
      </c>
      <c r="L902" t="s">
        <v>21</v>
      </c>
      <c r="M902" t="str">
        <f t="shared" si="59"/>
        <v>ND</v>
      </c>
      <c r="N902" t="str">
        <f t="shared" si="62"/>
        <v>ND</v>
      </c>
    </row>
    <row r="903" spans="1:14" x14ac:dyDescent="0.3">
      <c r="A903" s="1" t="s">
        <v>68</v>
      </c>
      <c r="B903">
        <v>6</v>
      </c>
      <c r="C903">
        <v>13</v>
      </c>
      <c r="D903" t="s">
        <v>74</v>
      </c>
      <c r="E903">
        <v>23000000</v>
      </c>
      <c r="F903">
        <f t="shared" si="61"/>
        <v>23000000</v>
      </c>
      <c r="G903">
        <f t="shared" si="60"/>
        <v>74096.983286297851</v>
      </c>
      <c r="H903" t="s">
        <v>72</v>
      </c>
      <c r="I903" s="1" t="s">
        <v>224</v>
      </c>
      <c r="J903" s="1" t="s">
        <v>216</v>
      </c>
      <c r="K903" s="9" t="s">
        <v>20</v>
      </c>
      <c r="L903" t="s">
        <v>21</v>
      </c>
      <c r="M903" t="str">
        <f t="shared" si="59"/>
        <v>ND</v>
      </c>
      <c r="N903" t="str">
        <f t="shared" si="62"/>
        <v>ND</v>
      </c>
    </row>
    <row r="904" spans="1:14" x14ac:dyDescent="0.3">
      <c r="A904" s="1" t="s">
        <v>68</v>
      </c>
      <c r="B904">
        <v>6</v>
      </c>
      <c r="C904">
        <v>13</v>
      </c>
      <c r="D904" t="s">
        <v>74</v>
      </c>
      <c r="E904">
        <v>23000000</v>
      </c>
      <c r="F904">
        <f t="shared" si="61"/>
        <v>23000000</v>
      </c>
      <c r="G904">
        <f t="shared" si="60"/>
        <v>74096.983286297851</v>
      </c>
      <c r="H904" t="s">
        <v>72</v>
      </c>
      <c r="I904" s="1" t="s">
        <v>224</v>
      </c>
      <c r="J904" s="1" t="s">
        <v>216</v>
      </c>
      <c r="K904" s="9" t="s">
        <v>20</v>
      </c>
      <c r="L904" t="s">
        <v>21</v>
      </c>
      <c r="M904" t="str">
        <f t="shared" si="59"/>
        <v>ND</v>
      </c>
      <c r="N904" t="str">
        <f t="shared" si="62"/>
        <v>ND</v>
      </c>
    </row>
    <row r="905" spans="1:14" x14ac:dyDescent="0.3">
      <c r="A905" s="1" t="s">
        <v>68</v>
      </c>
      <c r="B905">
        <v>6</v>
      </c>
      <c r="C905">
        <v>13</v>
      </c>
      <c r="D905" t="s">
        <v>74</v>
      </c>
      <c r="E905">
        <v>23000000</v>
      </c>
      <c r="F905">
        <f t="shared" si="61"/>
        <v>23000000</v>
      </c>
      <c r="G905">
        <f t="shared" si="60"/>
        <v>74096.983286297851</v>
      </c>
      <c r="H905" t="s">
        <v>72</v>
      </c>
      <c r="I905" s="1" t="s">
        <v>224</v>
      </c>
      <c r="J905" s="1" t="s">
        <v>216</v>
      </c>
      <c r="K905" s="9" t="s">
        <v>20</v>
      </c>
      <c r="L905" t="s">
        <v>21</v>
      </c>
      <c r="M905" t="str">
        <f t="shared" si="59"/>
        <v>ND</v>
      </c>
      <c r="N905" t="str">
        <f t="shared" si="62"/>
        <v>ND</v>
      </c>
    </row>
    <row r="906" spans="1:14" x14ac:dyDescent="0.3">
      <c r="A906" s="1" t="s">
        <v>68</v>
      </c>
      <c r="B906">
        <v>6</v>
      </c>
      <c r="C906">
        <v>13</v>
      </c>
      <c r="D906" t="s">
        <v>74</v>
      </c>
      <c r="E906">
        <v>23000000</v>
      </c>
      <c r="F906">
        <f t="shared" si="61"/>
        <v>23000000</v>
      </c>
      <c r="G906">
        <f t="shared" si="60"/>
        <v>74096.983286297851</v>
      </c>
      <c r="H906" t="s">
        <v>72</v>
      </c>
      <c r="I906" s="1" t="s">
        <v>224</v>
      </c>
      <c r="J906" s="1" t="s">
        <v>216</v>
      </c>
      <c r="K906" s="9" t="s">
        <v>20</v>
      </c>
      <c r="L906" t="s">
        <v>21</v>
      </c>
      <c r="M906" t="str">
        <f t="shared" si="59"/>
        <v>ND</v>
      </c>
      <c r="N906" t="str">
        <f t="shared" si="62"/>
        <v>ND</v>
      </c>
    </row>
    <row r="907" spans="1:14" x14ac:dyDescent="0.3">
      <c r="A907" s="1" t="s">
        <v>69</v>
      </c>
      <c r="B907">
        <v>6</v>
      </c>
      <c r="C907">
        <v>13</v>
      </c>
      <c r="D907" t="s">
        <v>74</v>
      </c>
      <c r="E907">
        <v>23000000</v>
      </c>
      <c r="F907">
        <f t="shared" si="61"/>
        <v>23000000</v>
      </c>
      <c r="G907">
        <f t="shared" si="60"/>
        <v>74096.983286297851</v>
      </c>
      <c r="H907" t="s">
        <v>72</v>
      </c>
      <c r="I907" s="1" t="s">
        <v>224</v>
      </c>
      <c r="J907" s="1" t="s">
        <v>216</v>
      </c>
      <c r="K907" s="9" t="s">
        <v>20</v>
      </c>
      <c r="L907" t="s">
        <v>21</v>
      </c>
      <c r="M907" t="str">
        <f t="shared" si="59"/>
        <v>ND</v>
      </c>
      <c r="N907" t="str">
        <f t="shared" si="62"/>
        <v>ND</v>
      </c>
    </row>
    <row r="908" spans="1:14" x14ac:dyDescent="0.3">
      <c r="A908" s="1" t="s">
        <v>69</v>
      </c>
      <c r="B908">
        <v>6</v>
      </c>
      <c r="C908">
        <v>13</v>
      </c>
      <c r="D908" t="s">
        <v>74</v>
      </c>
      <c r="E908">
        <v>23000000</v>
      </c>
      <c r="F908">
        <f t="shared" si="61"/>
        <v>23000000</v>
      </c>
      <c r="G908">
        <f t="shared" si="60"/>
        <v>74096.983286297851</v>
      </c>
      <c r="H908" t="s">
        <v>72</v>
      </c>
      <c r="I908" s="1" t="s">
        <v>224</v>
      </c>
      <c r="J908" s="1" t="s">
        <v>216</v>
      </c>
      <c r="K908" s="9" t="s">
        <v>20</v>
      </c>
      <c r="L908" t="s">
        <v>21</v>
      </c>
      <c r="M908" t="str">
        <f t="shared" si="59"/>
        <v>ND</v>
      </c>
      <c r="N908" t="str">
        <f t="shared" si="62"/>
        <v>ND</v>
      </c>
    </row>
    <row r="909" spans="1:14" x14ac:dyDescent="0.3">
      <c r="A909" s="1" t="s">
        <v>69</v>
      </c>
      <c r="B909">
        <v>6</v>
      </c>
      <c r="C909">
        <v>13</v>
      </c>
      <c r="D909" t="s">
        <v>74</v>
      </c>
      <c r="E909">
        <v>23000000</v>
      </c>
      <c r="F909">
        <f t="shared" si="61"/>
        <v>23000000</v>
      </c>
      <c r="G909">
        <f t="shared" si="60"/>
        <v>74096.983286297851</v>
      </c>
      <c r="H909" t="s">
        <v>72</v>
      </c>
      <c r="I909" s="1" t="s">
        <v>224</v>
      </c>
      <c r="J909" s="1" t="s">
        <v>216</v>
      </c>
      <c r="K909" s="9" t="s">
        <v>20</v>
      </c>
      <c r="L909" t="s">
        <v>21</v>
      </c>
      <c r="M909" t="str">
        <f t="shared" si="59"/>
        <v>ND</v>
      </c>
      <c r="N909" t="str">
        <f t="shared" si="62"/>
        <v>ND</v>
      </c>
    </row>
    <row r="910" spans="1:14" x14ac:dyDescent="0.3">
      <c r="A910" s="1" t="s">
        <v>69</v>
      </c>
      <c r="B910">
        <v>6</v>
      </c>
      <c r="C910">
        <v>13</v>
      </c>
      <c r="D910" t="s">
        <v>74</v>
      </c>
      <c r="E910">
        <v>23000000</v>
      </c>
      <c r="F910">
        <f t="shared" si="61"/>
        <v>23000000</v>
      </c>
      <c r="G910">
        <f t="shared" si="60"/>
        <v>74096.983286297851</v>
      </c>
      <c r="H910" t="s">
        <v>72</v>
      </c>
      <c r="I910" s="1" t="s">
        <v>224</v>
      </c>
      <c r="J910" s="1" t="s">
        <v>216</v>
      </c>
      <c r="K910" s="9" t="s">
        <v>20</v>
      </c>
      <c r="L910" t="s">
        <v>21</v>
      </c>
      <c r="M910" t="str">
        <f t="shared" si="59"/>
        <v>ND</v>
      </c>
      <c r="N910" t="str">
        <f t="shared" si="62"/>
        <v>ND</v>
      </c>
    </row>
    <row r="911" spans="1:14" x14ac:dyDescent="0.3">
      <c r="A911" s="1" t="s">
        <v>69</v>
      </c>
      <c r="B911">
        <v>6</v>
      </c>
      <c r="C911">
        <v>13</v>
      </c>
      <c r="D911" t="s">
        <v>74</v>
      </c>
      <c r="E911">
        <v>23000000</v>
      </c>
      <c r="F911">
        <f t="shared" si="61"/>
        <v>23000000</v>
      </c>
      <c r="G911">
        <f t="shared" si="60"/>
        <v>74096.983286297851</v>
      </c>
      <c r="H911" t="s">
        <v>72</v>
      </c>
      <c r="I911" s="1" t="s">
        <v>224</v>
      </c>
      <c r="J911" s="1" t="s">
        <v>216</v>
      </c>
      <c r="K911" s="9" t="s">
        <v>20</v>
      </c>
      <c r="L911" t="s">
        <v>21</v>
      </c>
      <c r="M911" t="str">
        <f t="shared" si="59"/>
        <v>ND</v>
      </c>
      <c r="N911" t="str">
        <f t="shared" si="62"/>
        <v>ND</v>
      </c>
    </row>
    <row r="912" spans="1:14" x14ac:dyDescent="0.3">
      <c r="A912" s="1" t="s">
        <v>69</v>
      </c>
      <c r="B912">
        <v>6</v>
      </c>
      <c r="C912">
        <v>13</v>
      </c>
      <c r="D912" t="s">
        <v>74</v>
      </c>
      <c r="E912">
        <v>23000000</v>
      </c>
      <c r="F912">
        <f t="shared" si="61"/>
        <v>23000000</v>
      </c>
      <c r="G912">
        <f t="shared" si="60"/>
        <v>74096.983286297851</v>
      </c>
      <c r="H912" t="s">
        <v>72</v>
      </c>
      <c r="I912" s="1" t="s">
        <v>224</v>
      </c>
      <c r="J912" s="1" t="s">
        <v>216</v>
      </c>
      <c r="K912" s="9" t="s">
        <v>20</v>
      </c>
      <c r="L912" t="s">
        <v>21</v>
      </c>
      <c r="M912" t="str">
        <f t="shared" si="59"/>
        <v>ND</v>
      </c>
      <c r="N912" t="str">
        <f t="shared" si="62"/>
        <v>ND</v>
      </c>
    </row>
    <row r="913" spans="1:14" x14ac:dyDescent="0.3">
      <c r="A913" s="1" t="s">
        <v>69</v>
      </c>
      <c r="B913">
        <v>6</v>
      </c>
      <c r="C913">
        <v>13</v>
      </c>
      <c r="D913" t="s">
        <v>74</v>
      </c>
      <c r="E913">
        <v>23000000</v>
      </c>
      <c r="F913">
        <f t="shared" si="61"/>
        <v>23000000</v>
      </c>
      <c r="G913">
        <f t="shared" si="60"/>
        <v>74096.983286297851</v>
      </c>
      <c r="H913" t="s">
        <v>72</v>
      </c>
      <c r="I913" s="1" t="s">
        <v>224</v>
      </c>
      <c r="J913" s="1" t="s">
        <v>216</v>
      </c>
      <c r="K913" s="9" t="s">
        <v>20</v>
      </c>
      <c r="L913" t="s">
        <v>21</v>
      </c>
      <c r="M913" t="str">
        <f t="shared" si="59"/>
        <v>ND</v>
      </c>
      <c r="N913" t="str">
        <f t="shared" si="62"/>
        <v>ND</v>
      </c>
    </row>
    <row r="914" spans="1:14" x14ac:dyDescent="0.3">
      <c r="A914" s="1" t="s">
        <v>69</v>
      </c>
      <c r="B914">
        <v>6</v>
      </c>
      <c r="C914">
        <v>13</v>
      </c>
      <c r="D914" t="s">
        <v>74</v>
      </c>
      <c r="E914">
        <v>23000000</v>
      </c>
      <c r="F914">
        <f t="shared" si="61"/>
        <v>23000000</v>
      </c>
      <c r="G914">
        <f t="shared" si="60"/>
        <v>74096.983286297851</v>
      </c>
      <c r="H914" t="s">
        <v>72</v>
      </c>
      <c r="I914" s="1" t="s">
        <v>224</v>
      </c>
      <c r="J914" s="1" t="s">
        <v>216</v>
      </c>
      <c r="K914" s="9" t="s">
        <v>20</v>
      </c>
      <c r="L914" t="s">
        <v>21</v>
      </c>
      <c r="M914" t="str">
        <f t="shared" si="59"/>
        <v>ND</v>
      </c>
      <c r="N914" t="str">
        <f t="shared" si="62"/>
        <v>ND</v>
      </c>
    </row>
    <row r="915" spans="1:14" x14ac:dyDescent="0.3">
      <c r="A915" s="1" t="s">
        <v>69</v>
      </c>
      <c r="B915">
        <v>6</v>
      </c>
      <c r="C915">
        <v>13</v>
      </c>
      <c r="D915" t="s">
        <v>74</v>
      </c>
      <c r="E915">
        <v>23000000</v>
      </c>
      <c r="F915">
        <f t="shared" si="61"/>
        <v>23000000</v>
      </c>
      <c r="G915">
        <f t="shared" si="60"/>
        <v>74096.983286297851</v>
      </c>
      <c r="H915" t="s">
        <v>72</v>
      </c>
      <c r="I915" s="1" t="s">
        <v>224</v>
      </c>
      <c r="J915" s="1" t="s">
        <v>216</v>
      </c>
      <c r="K915" s="9" t="s">
        <v>20</v>
      </c>
      <c r="L915" t="s">
        <v>21</v>
      </c>
      <c r="M915" t="str">
        <f t="shared" si="59"/>
        <v>ND</v>
      </c>
      <c r="N915" t="str">
        <f t="shared" si="62"/>
        <v>ND</v>
      </c>
    </row>
    <row r="916" spans="1:14" x14ac:dyDescent="0.3">
      <c r="A916" s="1" t="s">
        <v>69</v>
      </c>
      <c r="B916">
        <v>6</v>
      </c>
      <c r="C916">
        <v>13</v>
      </c>
      <c r="D916" t="s">
        <v>74</v>
      </c>
      <c r="E916">
        <v>23000000</v>
      </c>
      <c r="F916">
        <f t="shared" si="61"/>
        <v>23000000</v>
      </c>
      <c r="G916">
        <f t="shared" si="60"/>
        <v>74096.983286297851</v>
      </c>
      <c r="H916" t="s">
        <v>72</v>
      </c>
      <c r="I916" s="1" t="s">
        <v>224</v>
      </c>
      <c r="J916" s="1" t="s">
        <v>216</v>
      </c>
      <c r="K916" s="9" t="s">
        <v>20</v>
      </c>
      <c r="L916" t="s">
        <v>21</v>
      </c>
      <c r="M916" t="str">
        <f t="shared" si="59"/>
        <v>ND</v>
      </c>
      <c r="N916" t="str">
        <f t="shared" si="62"/>
        <v>ND</v>
      </c>
    </row>
    <row r="917" spans="1:14" x14ac:dyDescent="0.3">
      <c r="A917" s="1" t="s">
        <v>69</v>
      </c>
      <c r="B917">
        <v>6</v>
      </c>
      <c r="C917">
        <v>13</v>
      </c>
      <c r="D917" t="s">
        <v>74</v>
      </c>
      <c r="E917">
        <v>23000000</v>
      </c>
      <c r="F917">
        <f t="shared" si="61"/>
        <v>23000000</v>
      </c>
      <c r="G917">
        <f t="shared" si="60"/>
        <v>74096.983286297851</v>
      </c>
      <c r="H917" t="s">
        <v>72</v>
      </c>
      <c r="I917" s="1" t="s">
        <v>224</v>
      </c>
      <c r="J917" s="1" t="s">
        <v>216</v>
      </c>
      <c r="K917" s="9" t="s">
        <v>20</v>
      </c>
      <c r="L917" t="s">
        <v>21</v>
      </c>
      <c r="M917" t="str">
        <f t="shared" si="59"/>
        <v>ND</v>
      </c>
      <c r="N917" t="str">
        <f t="shared" si="62"/>
        <v>ND</v>
      </c>
    </row>
    <row r="918" spans="1:14" x14ac:dyDescent="0.3">
      <c r="A918" s="1" t="s">
        <v>69</v>
      </c>
      <c r="B918">
        <v>6</v>
      </c>
      <c r="C918">
        <v>13</v>
      </c>
      <c r="D918" t="s">
        <v>74</v>
      </c>
      <c r="E918">
        <v>23000000</v>
      </c>
      <c r="F918">
        <f t="shared" si="61"/>
        <v>23000000</v>
      </c>
      <c r="G918">
        <f t="shared" si="60"/>
        <v>74096.983286297851</v>
      </c>
      <c r="H918" t="s">
        <v>72</v>
      </c>
      <c r="I918" s="1" t="s">
        <v>224</v>
      </c>
      <c r="J918" s="1" t="s">
        <v>216</v>
      </c>
      <c r="K918" s="9" t="s">
        <v>20</v>
      </c>
      <c r="L918" t="s">
        <v>21</v>
      </c>
      <c r="M918" t="str">
        <f t="shared" si="59"/>
        <v>ND</v>
      </c>
      <c r="N918" t="str">
        <f t="shared" si="62"/>
        <v>ND</v>
      </c>
    </row>
    <row r="919" spans="1:14" x14ac:dyDescent="0.3">
      <c r="A919" s="1" t="s">
        <v>69</v>
      </c>
      <c r="B919">
        <v>6</v>
      </c>
      <c r="C919">
        <v>13</v>
      </c>
      <c r="D919" t="s">
        <v>74</v>
      </c>
      <c r="E919">
        <v>23000000</v>
      </c>
      <c r="F919">
        <f t="shared" si="61"/>
        <v>23000000</v>
      </c>
      <c r="G919">
        <f t="shared" si="60"/>
        <v>74096.983286297851</v>
      </c>
      <c r="H919" t="s">
        <v>72</v>
      </c>
      <c r="I919" s="1" t="s">
        <v>224</v>
      </c>
      <c r="J919" s="1" t="s">
        <v>216</v>
      </c>
      <c r="K919" s="9" t="s">
        <v>20</v>
      </c>
      <c r="L919" t="s">
        <v>21</v>
      </c>
      <c r="M919" t="str">
        <f t="shared" ref="M919:M982" si="63">IFERROR(K919/1000,"ND")</f>
        <v>ND</v>
      </c>
      <c r="N919" t="str">
        <f t="shared" si="62"/>
        <v>ND</v>
      </c>
    </row>
    <row r="920" spans="1:14" x14ac:dyDescent="0.3">
      <c r="A920" s="1" t="s">
        <v>69</v>
      </c>
      <c r="B920">
        <v>6</v>
      </c>
      <c r="C920">
        <v>13</v>
      </c>
      <c r="D920" t="s">
        <v>74</v>
      </c>
      <c r="E920">
        <v>23000000</v>
      </c>
      <c r="F920">
        <f t="shared" si="61"/>
        <v>23000000</v>
      </c>
      <c r="G920">
        <f t="shared" ref="G920:G983" si="64">F920/310.404</f>
        <v>74096.983286297851</v>
      </c>
      <c r="H920" t="s">
        <v>72</v>
      </c>
      <c r="I920" s="1" t="s">
        <v>224</v>
      </c>
      <c r="J920" s="1" t="s">
        <v>216</v>
      </c>
      <c r="K920" s="9" t="s">
        <v>20</v>
      </c>
      <c r="L920" t="s">
        <v>21</v>
      </c>
      <c r="M920" t="str">
        <f t="shared" si="63"/>
        <v>ND</v>
      </c>
      <c r="N920" t="str">
        <f t="shared" si="62"/>
        <v>ND</v>
      </c>
    </row>
    <row r="921" spans="1:14" x14ac:dyDescent="0.3">
      <c r="A921" s="1" t="s">
        <v>69</v>
      </c>
      <c r="B921">
        <v>6</v>
      </c>
      <c r="C921">
        <v>13</v>
      </c>
      <c r="D921" t="s">
        <v>74</v>
      </c>
      <c r="E921">
        <v>23000000</v>
      </c>
      <c r="F921">
        <f t="shared" si="61"/>
        <v>23000000</v>
      </c>
      <c r="G921">
        <f t="shared" si="64"/>
        <v>74096.983286297851</v>
      </c>
      <c r="H921" t="s">
        <v>72</v>
      </c>
      <c r="I921" s="1" t="s">
        <v>224</v>
      </c>
      <c r="J921" s="1" t="s">
        <v>216</v>
      </c>
      <c r="K921" s="9" t="s">
        <v>20</v>
      </c>
      <c r="L921" t="s">
        <v>21</v>
      </c>
      <c r="M921" t="str">
        <f t="shared" si="63"/>
        <v>ND</v>
      </c>
      <c r="N921" t="str">
        <f t="shared" si="62"/>
        <v>ND</v>
      </c>
    </row>
    <row r="922" spans="1:14" x14ac:dyDescent="0.3">
      <c r="A922" s="1" t="s">
        <v>69</v>
      </c>
      <c r="B922">
        <v>6</v>
      </c>
      <c r="C922">
        <v>13</v>
      </c>
      <c r="D922" t="s">
        <v>74</v>
      </c>
      <c r="E922">
        <v>23000000</v>
      </c>
      <c r="F922">
        <f t="shared" si="61"/>
        <v>23000000</v>
      </c>
      <c r="G922">
        <f t="shared" si="64"/>
        <v>74096.983286297851</v>
      </c>
      <c r="H922" t="s">
        <v>72</v>
      </c>
      <c r="I922" s="1" t="s">
        <v>224</v>
      </c>
      <c r="J922" s="1" t="s">
        <v>216</v>
      </c>
      <c r="K922" s="9" t="s">
        <v>20</v>
      </c>
      <c r="L922" t="s">
        <v>21</v>
      </c>
      <c r="M922" t="str">
        <f t="shared" si="63"/>
        <v>ND</v>
      </c>
      <c r="N922" t="str">
        <f t="shared" si="62"/>
        <v>ND</v>
      </c>
    </row>
    <row r="923" spans="1:14" x14ac:dyDescent="0.3">
      <c r="A923" s="1" t="s">
        <v>69</v>
      </c>
      <c r="B923">
        <v>6</v>
      </c>
      <c r="C923">
        <v>13</v>
      </c>
      <c r="D923" t="s">
        <v>74</v>
      </c>
      <c r="E923">
        <v>23000000</v>
      </c>
      <c r="F923">
        <f t="shared" si="61"/>
        <v>23000000</v>
      </c>
      <c r="G923">
        <f t="shared" si="64"/>
        <v>74096.983286297851</v>
      </c>
      <c r="H923" t="s">
        <v>72</v>
      </c>
      <c r="I923" s="1" t="s">
        <v>224</v>
      </c>
      <c r="J923" s="1" t="s">
        <v>216</v>
      </c>
      <c r="K923" s="9" t="s">
        <v>20</v>
      </c>
      <c r="L923" t="s">
        <v>21</v>
      </c>
      <c r="M923" t="str">
        <f t="shared" si="63"/>
        <v>ND</v>
      </c>
      <c r="N923" t="str">
        <f t="shared" si="62"/>
        <v>ND</v>
      </c>
    </row>
    <row r="924" spans="1:14" x14ac:dyDescent="0.3">
      <c r="A924" s="1" t="s">
        <v>69</v>
      </c>
      <c r="B924">
        <v>6</v>
      </c>
      <c r="C924">
        <v>13</v>
      </c>
      <c r="D924" t="s">
        <v>74</v>
      </c>
      <c r="E924">
        <v>23000000</v>
      </c>
      <c r="F924">
        <f t="shared" si="61"/>
        <v>23000000</v>
      </c>
      <c r="G924">
        <f t="shared" si="64"/>
        <v>74096.983286297851</v>
      </c>
      <c r="H924" t="s">
        <v>72</v>
      </c>
      <c r="I924" s="1" t="s">
        <v>224</v>
      </c>
      <c r="J924" s="1" t="s">
        <v>216</v>
      </c>
      <c r="K924" s="9" t="s">
        <v>20</v>
      </c>
      <c r="L924" t="s">
        <v>21</v>
      </c>
      <c r="M924" t="str">
        <f t="shared" si="63"/>
        <v>ND</v>
      </c>
      <c r="N924" t="str">
        <f t="shared" si="62"/>
        <v>ND</v>
      </c>
    </row>
    <row r="925" spans="1:14" x14ac:dyDescent="0.3">
      <c r="A925" s="1" t="s">
        <v>69</v>
      </c>
      <c r="B925">
        <v>6</v>
      </c>
      <c r="C925">
        <v>13</v>
      </c>
      <c r="D925" t="s">
        <v>74</v>
      </c>
      <c r="E925">
        <v>23000000</v>
      </c>
      <c r="F925">
        <f t="shared" si="61"/>
        <v>23000000</v>
      </c>
      <c r="G925">
        <f t="shared" si="64"/>
        <v>74096.983286297851</v>
      </c>
      <c r="H925" t="s">
        <v>72</v>
      </c>
      <c r="I925" s="1" t="s">
        <v>224</v>
      </c>
      <c r="J925" s="1" t="s">
        <v>216</v>
      </c>
      <c r="K925" s="9" t="s">
        <v>20</v>
      </c>
      <c r="L925" t="s">
        <v>21</v>
      </c>
      <c r="M925" t="str">
        <f t="shared" si="63"/>
        <v>ND</v>
      </c>
      <c r="N925" t="str">
        <f t="shared" si="62"/>
        <v>ND</v>
      </c>
    </row>
    <row r="926" spans="1:14" x14ac:dyDescent="0.3">
      <c r="A926" s="1" t="s">
        <v>69</v>
      </c>
      <c r="B926">
        <v>6</v>
      </c>
      <c r="C926">
        <v>13</v>
      </c>
      <c r="D926" t="s">
        <v>74</v>
      </c>
      <c r="E926">
        <v>23000000</v>
      </c>
      <c r="F926">
        <f t="shared" si="61"/>
        <v>23000000</v>
      </c>
      <c r="G926">
        <f t="shared" si="64"/>
        <v>74096.983286297851</v>
      </c>
      <c r="H926" t="s">
        <v>72</v>
      </c>
      <c r="I926" s="1" t="s">
        <v>224</v>
      </c>
      <c r="J926" s="1" t="s">
        <v>216</v>
      </c>
      <c r="K926" s="9" t="s">
        <v>20</v>
      </c>
      <c r="L926" t="s">
        <v>21</v>
      </c>
      <c r="M926" t="str">
        <f t="shared" si="63"/>
        <v>ND</v>
      </c>
      <c r="N926" t="str">
        <f t="shared" si="62"/>
        <v>ND</v>
      </c>
    </row>
    <row r="927" spans="1:14" x14ac:dyDescent="0.3">
      <c r="A927" s="1" t="s">
        <v>69</v>
      </c>
      <c r="B927">
        <v>6</v>
      </c>
      <c r="C927">
        <v>13</v>
      </c>
      <c r="D927" t="s">
        <v>74</v>
      </c>
      <c r="E927">
        <v>23000000</v>
      </c>
      <c r="F927">
        <f t="shared" si="61"/>
        <v>23000000</v>
      </c>
      <c r="G927">
        <f t="shared" si="64"/>
        <v>74096.983286297851</v>
      </c>
      <c r="H927" t="s">
        <v>72</v>
      </c>
      <c r="I927" s="1" t="s">
        <v>224</v>
      </c>
      <c r="J927" s="1" t="s">
        <v>216</v>
      </c>
      <c r="K927" s="9" t="s">
        <v>20</v>
      </c>
      <c r="L927" t="s">
        <v>21</v>
      </c>
      <c r="M927" t="str">
        <f t="shared" si="63"/>
        <v>ND</v>
      </c>
      <c r="N927" t="str">
        <f t="shared" si="62"/>
        <v>ND</v>
      </c>
    </row>
    <row r="928" spans="1:14" x14ac:dyDescent="0.3">
      <c r="A928" s="1" t="s">
        <v>69</v>
      </c>
      <c r="B928">
        <v>6</v>
      </c>
      <c r="C928">
        <v>13</v>
      </c>
      <c r="D928" t="s">
        <v>74</v>
      </c>
      <c r="E928">
        <v>23000000</v>
      </c>
      <c r="F928">
        <f t="shared" si="61"/>
        <v>23000000</v>
      </c>
      <c r="G928">
        <f t="shared" si="64"/>
        <v>74096.983286297851</v>
      </c>
      <c r="H928" t="s">
        <v>72</v>
      </c>
      <c r="I928" s="1" t="s">
        <v>224</v>
      </c>
      <c r="J928" s="1" t="s">
        <v>216</v>
      </c>
      <c r="K928" s="9" t="s">
        <v>20</v>
      </c>
      <c r="L928" t="s">
        <v>21</v>
      </c>
      <c r="M928" t="str">
        <f t="shared" si="63"/>
        <v>ND</v>
      </c>
      <c r="N928" t="str">
        <f t="shared" si="62"/>
        <v>ND</v>
      </c>
    </row>
    <row r="929" spans="1:14" x14ac:dyDescent="0.3">
      <c r="A929" s="1" t="s">
        <v>69</v>
      </c>
      <c r="B929">
        <v>6</v>
      </c>
      <c r="C929">
        <v>13</v>
      </c>
      <c r="D929" t="s">
        <v>74</v>
      </c>
      <c r="E929">
        <v>23000000</v>
      </c>
      <c r="F929">
        <f t="shared" si="61"/>
        <v>23000000</v>
      </c>
      <c r="G929">
        <f t="shared" si="64"/>
        <v>74096.983286297851</v>
      </c>
      <c r="H929" t="s">
        <v>72</v>
      </c>
      <c r="I929" s="1" t="s">
        <v>224</v>
      </c>
      <c r="J929" s="1" t="s">
        <v>216</v>
      </c>
      <c r="K929" s="9" t="s">
        <v>20</v>
      </c>
      <c r="L929" t="s">
        <v>21</v>
      </c>
      <c r="M929" t="str">
        <f t="shared" si="63"/>
        <v>ND</v>
      </c>
      <c r="N929" t="str">
        <f t="shared" si="62"/>
        <v>ND</v>
      </c>
    </row>
    <row r="930" spans="1:14" x14ac:dyDescent="0.3">
      <c r="A930" s="1" t="s">
        <v>69</v>
      </c>
      <c r="B930">
        <v>6</v>
      </c>
      <c r="C930">
        <v>13</v>
      </c>
      <c r="D930" t="s">
        <v>74</v>
      </c>
      <c r="E930">
        <v>23000000</v>
      </c>
      <c r="F930">
        <f t="shared" si="61"/>
        <v>23000000</v>
      </c>
      <c r="G930">
        <f t="shared" si="64"/>
        <v>74096.983286297851</v>
      </c>
      <c r="H930" t="s">
        <v>72</v>
      </c>
      <c r="I930" s="1" t="s">
        <v>224</v>
      </c>
      <c r="J930" s="1" t="s">
        <v>216</v>
      </c>
      <c r="K930" s="9" t="s">
        <v>20</v>
      </c>
      <c r="L930" t="s">
        <v>21</v>
      </c>
      <c r="M930" t="str">
        <f t="shared" si="63"/>
        <v>ND</v>
      </c>
      <c r="N930" t="str">
        <f t="shared" si="62"/>
        <v>ND</v>
      </c>
    </row>
    <row r="931" spans="1:14" x14ac:dyDescent="0.3">
      <c r="A931" s="1" t="s">
        <v>69</v>
      </c>
      <c r="B931">
        <v>6</v>
      </c>
      <c r="C931">
        <v>13</v>
      </c>
      <c r="D931" t="s">
        <v>74</v>
      </c>
      <c r="E931">
        <v>23000000</v>
      </c>
      <c r="F931">
        <f t="shared" si="61"/>
        <v>23000000</v>
      </c>
      <c r="G931">
        <f t="shared" si="64"/>
        <v>74096.983286297851</v>
      </c>
      <c r="H931" t="s">
        <v>72</v>
      </c>
      <c r="I931" s="1" t="s">
        <v>224</v>
      </c>
      <c r="J931" s="1" t="s">
        <v>216</v>
      </c>
      <c r="K931" s="9" t="s">
        <v>20</v>
      </c>
      <c r="L931" t="s">
        <v>21</v>
      </c>
      <c r="M931" t="str">
        <f t="shared" si="63"/>
        <v>ND</v>
      </c>
      <c r="N931" t="str">
        <f t="shared" si="62"/>
        <v>ND</v>
      </c>
    </row>
    <row r="932" spans="1:14" x14ac:dyDescent="0.3">
      <c r="A932" s="1" t="s">
        <v>69</v>
      </c>
      <c r="B932">
        <v>6</v>
      </c>
      <c r="C932">
        <v>13</v>
      </c>
      <c r="D932" t="s">
        <v>74</v>
      </c>
      <c r="E932">
        <v>23000000</v>
      </c>
      <c r="F932">
        <f t="shared" si="61"/>
        <v>23000000</v>
      </c>
      <c r="G932">
        <f t="shared" si="64"/>
        <v>74096.983286297851</v>
      </c>
      <c r="H932" t="s">
        <v>72</v>
      </c>
      <c r="I932" s="1" t="s">
        <v>224</v>
      </c>
      <c r="J932" s="1" t="s">
        <v>216</v>
      </c>
      <c r="K932" s="9" t="s">
        <v>20</v>
      </c>
      <c r="L932" t="s">
        <v>21</v>
      </c>
      <c r="M932" t="str">
        <f t="shared" si="63"/>
        <v>ND</v>
      </c>
      <c r="N932" t="str">
        <f t="shared" si="62"/>
        <v>ND</v>
      </c>
    </row>
    <row r="933" spans="1:14" x14ac:dyDescent="0.3">
      <c r="A933" s="1" t="s">
        <v>69</v>
      </c>
      <c r="B933">
        <v>6</v>
      </c>
      <c r="C933">
        <v>13</v>
      </c>
      <c r="D933" t="s">
        <v>74</v>
      </c>
      <c r="E933">
        <v>23000000</v>
      </c>
      <c r="F933">
        <f t="shared" si="61"/>
        <v>23000000</v>
      </c>
      <c r="G933">
        <f t="shared" si="64"/>
        <v>74096.983286297851</v>
      </c>
      <c r="H933" t="s">
        <v>72</v>
      </c>
      <c r="I933" s="1" t="s">
        <v>224</v>
      </c>
      <c r="J933" s="1" t="s">
        <v>216</v>
      </c>
      <c r="K933" s="9" t="s">
        <v>20</v>
      </c>
      <c r="L933" t="s">
        <v>21</v>
      </c>
      <c r="M933" t="str">
        <f t="shared" si="63"/>
        <v>ND</v>
      </c>
      <c r="N933" t="str">
        <f t="shared" si="62"/>
        <v>ND</v>
      </c>
    </row>
    <row r="934" spans="1:14" x14ac:dyDescent="0.3">
      <c r="A934" s="1" t="s">
        <v>69</v>
      </c>
      <c r="B934">
        <v>6</v>
      </c>
      <c r="C934">
        <v>13</v>
      </c>
      <c r="D934" t="s">
        <v>74</v>
      </c>
      <c r="E934">
        <v>23000000</v>
      </c>
      <c r="F934">
        <f t="shared" si="61"/>
        <v>23000000</v>
      </c>
      <c r="G934">
        <f t="shared" si="64"/>
        <v>74096.983286297851</v>
      </c>
      <c r="H934" t="s">
        <v>72</v>
      </c>
      <c r="I934" s="1" t="s">
        <v>224</v>
      </c>
      <c r="J934" s="1" t="s">
        <v>216</v>
      </c>
      <c r="K934" s="9" t="s">
        <v>20</v>
      </c>
      <c r="L934" t="s">
        <v>21</v>
      </c>
      <c r="M934" t="str">
        <f t="shared" si="63"/>
        <v>ND</v>
      </c>
      <c r="N934" t="str">
        <f t="shared" si="62"/>
        <v>ND</v>
      </c>
    </row>
    <row r="935" spans="1:14" x14ac:dyDescent="0.3">
      <c r="A935" s="1" t="s">
        <v>69</v>
      </c>
      <c r="B935">
        <v>6</v>
      </c>
      <c r="C935">
        <v>13</v>
      </c>
      <c r="D935" t="s">
        <v>74</v>
      </c>
      <c r="E935">
        <v>23000000</v>
      </c>
      <c r="F935">
        <f t="shared" si="61"/>
        <v>23000000</v>
      </c>
      <c r="G935">
        <f t="shared" si="64"/>
        <v>74096.983286297851</v>
      </c>
      <c r="H935" t="s">
        <v>72</v>
      </c>
      <c r="I935" s="1" t="s">
        <v>224</v>
      </c>
      <c r="J935" s="1" t="s">
        <v>216</v>
      </c>
      <c r="K935" s="9" t="s">
        <v>20</v>
      </c>
      <c r="L935" t="s">
        <v>21</v>
      </c>
      <c r="M935" t="str">
        <f t="shared" si="63"/>
        <v>ND</v>
      </c>
      <c r="N935" t="str">
        <f t="shared" si="62"/>
        <v>ND</v>
      </c>
    </row>
    <row r="936" spans="1:14" x14ac:dyDescent="0.3">
      <c r="A936" s="1" t="s">
        <v>69</v>
      </c>
      <c r="B936">
        <v>6</v>
      </c>
      <c r="C936">
        <v>13</v>
      </c>
      <c r="D936" t="s">
        <v>74</v>
      </c>
      <c r="E936">
        <v>23000000</v>
      </c>
      <c r="F936">
        <f t="shared" si="61"/>
        <v>23000000</v>
      </c>
      <c r="G936">
        <f t="shared" si="64"/>
        <v>74096.983286297851</v>
      </c>
      <c r="H936" t="s">
        <v>72</v>
      </c>
      <c r="I936" s="1" t="s">
        <v>224</v>
      </c>
      <c r="J936" s="1" t="s">
        <v>216</v>
      </c>
      <c r="K936" s="9" t="s">
        <v>20</v>
      </c>
      <c r="L936" t="s">
        <v>21</v>
      </c>
      <c r="M936" t="str">
        <f t="shared" si="63"/>
        <v>ND</v>
      </c>
      <c r="N936" t="str">
        <f t="shared" si="62"/>
        <v>ND</v>
      </c>
    </row>
    <row r="937" spans="1:14" x14ac:dyDescent="0.3">
      <c r="A937" s="1" t="s">
        <v>69</v>
      </c>
      <c r="B937">
        <v>6</v>
      </c>
      <c r="C937">
        <v>13</v>
      </c>
      <c r="D937" t="s">
        <v>74</v>
      </c>
      <c r="E937">
        <v>23000000</v>
      </c>
      <c r="F937">
        <f t="shared" si="61"/>
        <v>23000000</v>
      </c>
      <c r="G937">
        <f t="shared" si="64"/>
        <v>74096.983286297851</v>
      </c>
      <c r="H937" t="s">
        <v>72</v>
      </c>
      <c r="I937" s="1" t="s">
        <v>224</v>
      </c>
      <c r="J937" s="1" t="s">
        <v>216</v>
      </c>
      <c r="K937" s="9" t="s">
        <v>20</v>
      </c>
      <c r="L937" t="s">
        <v>21</v>
      </c>
      <c r="M937" t="str">
        <f t="shared" si="63"/>
        <v>ND</v>
      </c>
      <c r="N937" t="str">
        <f t="shared" si="62"/>
        <v>ND</v>
      </c>
    </row>
    <row r="938" spans="1:14" x14ac:dyDescent="0.3">
      <c r="A938" s="1" t="s">
        <v>69</v>
      </c>
      <c r="B938">
        <v>6</v>
      </c>
      <c r="C938">
        <v>13</v>
      </c>
      <c r="D938" t="s">
        <v>74</v>
      </c>
      <c r="E938">
        <v>23000000</v>
      </c>
      <c r="F938">
        <f t="shared" si="61"/>
        <v>23000000</v>
      </c>
      <c r="G938">
        <f t="shared" si="64"/>
        <v>74096.983286297851</v>
      </c>
      <c r="H938" t="s">
        <v>72</v>
      </c>
      <c r="I938" s="1" t="s">
        <v>224</v>
      </c>
      <c r="J938" s="1" t="s">
        <v>216</v>
      </c>
      <c r="K938" s="9" t="s">
        <v>20</v>
      </c>
      <c r="L938" t="s">
        <v>21</v>
      </c>
      <c r="M938" t="str">
        <f t="shared" si="63"/>
        <v>ND</v>
      </c>
      <c r="N938" t="str">
        <f t="shared" si="62"/>
        <v>ND</v>
      </c>
    </row>
    <row r="939" spans="1:14" x14ac:dyDescent="0.3">
      <c r="A939" s="1" t="s">
        <v>69</v>
      </c>
      <c r="B939">
        <v>6</v>
      </c>
      <c r="C939">
        <v>13</v>
      </c>
      <c r="D939" t="s">
        <v>74</v>
      </c>
      <c r="E939">
        <v>23000000</v>
      </c>
      <c r="F939">
        <f t="shared" si="61"/>
        <v>23000000</v>
      </c>
      <c r="G939">
        <f t="shared" si="64"/>
        <v>74096.983286297851</v>
      </c>
      <c r="H939" t="s">
        <v>72</v>
      </c>
      <c r="I939" s="1" t="s">
        <v>224</v>
      </c>
      <c r="J939" s="1" t="s">
        <v>216</v>
      </c>
      <c r="K939" s="9" t="s">
        <v>20</v>
      </c>
      <c r="L939" t="s">
        <v>21</v>
      </c>
      <c r="M939" t="str">
        <f t="shared" si="63"/>
        <v>ND</v>
      </c>
      <c r="N939" t="str">
        <f t="shared" si="62"/>
        <v>ND</v>
      </c>
    </row>
    <row r="940" spans="1:14" x14ac:dyDescent="0.3">
      <c r="A940" s="1" t="s">
        <v>69</v>
      </c>
      <c r="B940">
        <v>6</v>
      </c>
      <c r="C940">
        <v>13</v>
      </c>
      <c r="D940" t="s">
        <v>74</v>
      </c>
      <c r="E940">
        <v>23000000</v>
      </c>
      <c r="F940">
        <f t="shared" si="61"/>
        <v>23000000</v>
      </c>
      <c r="G940">
        <f t="shared" si="64"/>
        <v>74096.983286297851</v>
      </c>
      <c r="H940" t="s">
        <v>72</v>
      </c>
      <c r="I940" s="1" t="s">
        <v>224</v>
      </c>
      <c r="J940" s="1" t="s">
        <v>216</v>
      </c>
      <c r="K940" s="9" t="s">
        <v>20</v>
      </c>
      <c r="L940" t="s">
        <v>21</v>
      </c>
      <c r="M940" t="str">
        <f t="shared" si="63"/>
        <v>ND</v>
      </c>
      <c r="N940" t="str">
        <f t="shared" si="62"/>
        <v>ND</v>
      </c>
    </row>
    <row r="941" spans="1:14" x14ac:dyDescent="0.3">
      <c r="A941" s="1" t="s">
        <v>69</v>
      </c>
      <c r="B941">
        <v>6</v>
      </c>
      <c r="C941">
        <v>13</v>
      </c>
      <c r="D941" t="s">
        <v>74</v>
      </c>
      <c r="E941">
        <v>23000000</v>
      </c>
      <c r="F941">
        <f t="shared" si="61"/>
        <v>23000000</v>
      </c>
      <c r="G941">
        <f t="shared" si="64"/>
        <v>74096.983286297851</v>
      </c>
      <c r="H941" t="s">
        <v>72</v>
      </c>
      <c r="I941" s="1" t="s">
        <v>224</v>
      </c>
      <c r="J941" s="1" t="s">
        <v>216</v>
      </c>
      <c r="K941" s="9" t="s">
        <v>20</v>
      </c>
      <c r="L941" t="s">
        <v>21</v>
      </c>
      <c r="M941" t="str">
        <f t="shared" si="63"/>
        <v>ND</v>
      </c>
      <c r="N941" t="str">
        <f t="shared" si="62"/>
        <v>ND</v>
      </c>
    </row>
    <row r="942" spans="1:14" x14ac:dyDescent="0.3">
      <c r="A942" s="1" t="s">
        <v>69</v>
      </c>
      <c r="B942">
        <v>6</v>
      </c>
      <c r="C942">
        <v>13</v>
      </c>
      <c r="D942" t="s">
        <v>74</v>
      </c>
      <c r="E942">
        <v>23000000</v>
      </c>
      <c r="F942">
        <f t="shared" si="61"/>
        <v>23000000</v>
      </c>
      <c r="G942">
        <f t="shared" si="64"/>
        <v>74096.983286297851</v>
      </c>
      <c r="H942" t="s">
        <v>72</v>
      </c>
      <c r="I942" s="1" t="s">
        <v>224</v>
      </c>
      <c r="J942" s="1" t="s">
        <v>216</v>
      </c>
      <c r="K942" s="9" t="s">
        <v>20</v>
      </c>
      <c r="L942" t="s">
        <v>21</v>
      </c>
      <c r="M942" t="str">
        <f t="shared" si="63"/>
        <v>ND</v>
      </c>
      <c r="N942" t="str">
        <f t="shared" si="62"/>
        <v>ND</v>
      </c>
    </row>
    <row r="943" spans="1:14" x14ac:dyDescent="0.3">
      <c r="A943" s="1" t="s">
        <v>69</v>
      </c>
      <c r="B943">
        <v>6</v>
      </c>
      <c r="C943">
        <v>13</v>
      </c>
      <c r="D943" t="s">
        <v>74</v>
      </c>
      <c r="E943">
        <v>23000000</v>
      </c>
      <c r="F943">
        <f t="shared" si="61"/>
        <v>23000000</v>
      </c>
      <c r="G943">
        <f t="shared" si="64"/>
        <v>74096.983286297851</v>
      </c>
      <c r="H943" t="s">
        <v>72</v>
      </c>
      <c r="I943" s="1" t="s">
        <v>224</v>
      </c>
      <c r="J943" s="1" t="s">
        <v>216</v>
      </c>
      <c r="K943" s="9" t="s">
        <v>20</v>
      </c>
      <c r="L943" t="s">
        <v>21</v>
      </c>
      <c r="M943" t="str">
        <f t="shared" si="63"/>
        <v>ND</v>
      </c>
      <c r="N943" t="str">
        <f t="shared" si="62"/>
        <v>ND</v>
      </c>
    </row>
    <row r="944" spans="1:14" x14ac:dyDescent="0.3">
      <c r="A944" s="1" t="s">
        <v>69</v>
      </c>
      <c r="B944">
        <v>6</v>
      </c>
      <c r="C944">
        <v>13</v>
      </c>
      <c r="D944" t="s">
        <v>74</v>
      </c>
      <c r="E944">
        <v>23000000</v>
      </c>
      <c r="F944">
        <f t="shared" si="61"/>
        <v>23000000</v>
      </c>
      <c r="G944">
        <f t="shared" si="64"/>
        <v>74096.983286297851</v>
      </c>
      <c r="H944" t="s">
        <v>72</v>
      </c>
      <c r="I944" s="1" t="s">
        <v>224</v>
      </c>
      <c r="J944" s="1" t="s">
        <v>216</v>
      </c>
      <c r="K944" s="9" t="s">
        <v>20</v>
      </c>
      <c r="L944" t="s">
        <v>21</v>
      </c>
      <c r="M944" t="str">
        <f t="shared" si="63"/>
        <v>ND</v>
      </c>
      <c r="N944" t="str">
        <f t="shared" si="62"/>
        <v>ND</v>
      </c>
    </row>
    <row r="945" spans="1:14" x14ac:dyDescent="0.3">
      <c r="A945" s="1" t="s">
        <v>69</v>
      </c>
      <c r="B945">
        <v>6</v>
      </c>
      <c r="C945">
        <v>13</v>
      </c>
      <c r="D945" t="s">
        <v>74</v>
      </c>
      <c r="E945">
        <v>23000000</v>
      </c>
      <c r="F945">
        <f t="shared" si="61"/>
        <v>23000000</v>
      </c>
      <c r="G945">
        <f t="shared" si="64"/>
        <v>74096.983286297851</v>
      </c>
      <c r="H945" t="s">
        <v>72</v>
      </c>
      <c r="I945" s="1" t="s">
        <v>224</v>
      </c>
      <c r="J945" s="1" t="s">
        <v>216</v>
      </c>
      <c r="K945" s="9" t="s">
        <v>20</v>
      </c>
      <c r="L945" t="s">
        <v>21</v>
      </c>
      <c r="M945" t="str">
        <f t="shared" si="63"/>
        <v>ND</v>
      </c>
      <c r="N945" t="str">
        <f t="shared" si="62"/>
        <v>ND</v>
      </c>
    </row>
    <row r="946" spans="1:14" x14ac:dyDescent="0.3">
      <c r="A946" s="1" t="s">
        <v>69</v>
      </c>
      <c r="B946">
        <v>6</v>
      </c>
      <c r="C946">
        <v>13</v>
      </c>
      <c r="D946" t="s">
        <v>74</v>
      </c>
      <c r="E946">
        <v>23000000</v>
      </c>
      <c r="F946">
        <f t="shared" si="61"/>
        <v>23000000</v>
      </c>
      <c r="G946">
        <f t="shared" si="64"/>
        <v>74096.983286297851</v>
      </c>
      <c r="H946" t="s">
        <v>72</v>
      </c>
      <c r="I946" s="1" t="s">
        <v>224</v>
      </c>
      <c r="J946" s="1" t="s">
        <v>216</v>
      </c>
      <c r="K946" s="9" t="s">
        <v>20</v>
      </c>
      <c r="L946" t="s">
        <v>21</v>
      </c>
      <c r="M946" t="str">
        <f t="shared" si="63"/>
        <v>ND</v>
      </c>
      <c r="N946" t="str">
        <f t="shared" si="62"/>
        <v>ND</v>
      </c>
    </row>
    <row r="947" spans="1:14" x14ac:dyDescent="0.3">
      <c r="A947" s="1" t="s">
        <v>69</v>
      </c>
      <c r="B947">
        <v>6</v>
      </c>
      <c r="C947">
        <v>13</v>
      </c>
      <c r="D947" t="s">
        <v>74</v>
      </c>
      <c r="E947">
        <v>23000000</v>
      </c>
      <c r="F947">
        <f t="shared" si="61"/>
        <v>23000000</v>
      </c>
      <c r="G947">
        <f t="shared" si="64"/>
        <v>74096.983286297851</v>
      </c>
      <c r="H947" t="s">
        <v>72</v>
      </c>
      <c r="I947" s="1" t="s">
        <v>224</v>
      </c>
      <c r="J947" s="1" t="s">
        <v>216</v>
      </c>
      <c r="K947" s="9" t="s">
        <v>20</v>
      </c>
      <c r="L947" t="s">
        <v>21</v>
      </c>
      <c r="M947" t="str">
        <f t="shared" si="63"/>
        <v>ND</v>
      </c>
      <c r="N947" t="str">
        <f t="shared" si="62"/>
        <v>ND</v>
      </c>
    </row>
    <row r="948" spans="1:14" x14ac:dyDescent="0.3">
      <c r="A948" s="1" t="s">
        <v>69</v>
      </c>
      <c r="B948">
        <v>6</v>
      </c>
      <c r="C948">
        <v>13</v>
      </c>
      <c r="D948" t="s">
        <v>74</v>
      </c>
      <c r="E948">
        <v>23000000</v>
      </c>
      <c r="F948">
        <f t="shared" si="61"/>
        <v>23000000</v>
      </c>
      <c r="G948">
        <f t="shared" si="64"/>
        <v>74096.983286297851</v>
      </c>
      <c r="H948" t="s">
        <v>72</v>
      </c>
      <c r="I948" s="1" t="s">
        <v>224</v>
      </c>
      <c r="J948" s="1" t="s">
        <v>216</v>
      </c>
      <c r="K948" s="9" t="s">
        <v>20</v>
      </c>
      <c r="L948" t="s">
        <v>21</v>
      </c>
      <c r="M948" t="str">
        <f t="shared" si="63"/>
        <v>ND</v>
      </c>
      <c r="N948" t="str">
        <f t="shared" si="62"/>
        <v>ND</v>
      </c>
    </row>
    <row r="949" spans="1:14" x14ac:dyDescent="0.3">
      <c r="A949" s="1" t="s">
        <v>69</v>
      </c>
      <c r="B949">
        <v>6</v>
      </c>
      <c r="C949">
        <v>13</v>
      </c>
      <c r="D949" t="s">
        <v>74</v>
      </c>
      <c r="E949">
        <v>23000000</v>
      </c>
      <c r="F949">
        <f t="shared" si="61"/>
        <v>23000000</v>
      </c>
      <c r="G949">
        <f t="shared" si="64"/>
        <v>74096.983286297851</v>
      </c>
      <c r="H949" t="s">
        <v>72</v>
      </c>
      <c r="I949" s="1" t="s">
        <v>224</v>
      </c>
      <c r="J949" s="1" t="s">
        <v>216</v>
      </c>
      <c r="K949" s="9" t="s">
        <v>20</v>
      </c>
      <c r="L949" t="s">
        <v>21</v>
      </c>
      <c r="M949" t="str">
        <f t="shared" si="63"/>
        <v>ND</v>
      </c>
      <c r="N949" t="str">
        <f t="shared" si="62"/>
        <v>ND</v>
      </c>
    </row>
    <row r="950" spans="1:14" x14ac:dyDescent="0.3">
      <c r="A950" s="1" t="s">
        <v>69</v>
      </c>
      <c r="B950">
        <v>6</v>
      </c>
      <c r="C950">
        <v>13</v>
      </c>
      <c r="D950" t="s">
        <v>74</v>
      </c>
      <c r="E950">
        <v>23000000</v>
      </c>
      <c r="F950">
        <f t="shared" ref="F950:F1013" si="65">E950</f>
        <v>23000000</v>
      </c>
      <c r="G950">
        <f t="shared" si="64"/>
        <v>74096.983286297851</v>
      </c>
      <c r="H950" t="s">
        <v>72</v>
      </c>
      <c r="I950" s="1" t="s">
        <v>224</v>
      </c>
      <c r="J950" s="1" t="s">
        <v>216</v>
      </c>
      <c r="K950" s="9" t="s">
        <v>20</v>
      </c>
      <c r="L950" t="s">
        <v>21</v>
      </c>
      <c r="M950" t="str">
        <f t="shared" si="63"/>
        <v>ND</v>
      </c>
      <c r="N950" t="str">
        <f t="shared" si="62"/>
        <v>ND</v>
      </c>
    </row>
    <row r="951" spans="1:14" x14ac:dyDescent="0.3">
      <c r="A951" s="1" t="s">
        <v>69</v>
      </c>
      <c r="B951">
        <v>6</v>
      </c>
      <c r="C951">
        <v>13</v>
      </c>
      <c r="D951" t="s">
        <v>74</v>
      </c>
      <c r="E951">
        <v>23000000</v>
      </c>
      <c r="F951">
        <f t="shared" si="65"/>
        <v>23000000</v>
      </c>
      <c r="G951">
        <f t="shared" si="64"/>
        <v>74096.983286297851</v>
      </c>
      <c r="H951" t="s">
        <v>72</v>
      </c>
      <c r="I951" s="1" t="s">
        <v>224</v>
      </c>
      <c r="J951" s="1" t="s">
        <v>216</v>
      </c>
      <c r="K951" s="9" t="s">
        <v>20</v>
      </c>
      <c r="L951" t="s">
        <v>21</v>
      </c>
      <c r="M951" t="str">
        <f t="shared" si="63"/>
        <v>ND</v>
      </c>
      <c r="N951" t="str">
        <f t="shared" si="62"/>
        <v>ND</v>
      </c>
    </row>
    <row r="952" spans="1:14" x14ac:dyDescent="0.3">
      <c r="A952" s="1" t="s">
        <v>69</v>
      </c>
      <c r="B952">
        <v>6</v>
      </c>
      <c r="C952">
        <v>13</v>
      </c>
      <c r="D952" t="s">
        <v>74</v>
      </c>
      <c r="E952">
        <v>23000000</v>
      </c>
      <c r="F952">
        <f t="shared" si="65"/>
        <v>23000000</v>
      </c>
      <c r="G952">
        <f t="shared" si="64"/>
        <v>74096.983286297851</v>
      </c>
      <c r="H952" t="s">
        <v>72</v>
      </c>
      <c r="I952" s="1" t="s">
        <v>224</v>
      </c>
      <c r="J952" s="1" t="s">
        <v>216</v>
      </c>
      <c r="K952" s="9" t="s">
        <v>20</v>
      </c>
      <c r="L952" t="s">
        <v>21</v>
      </c>
      <c r="M952" t="str">
        <f t="shared" si="63"/>
        <v>ND</v>
      </c>
      <c r="N952" t="str">
        <f t="shared" si="62"/>
        <v>ND</v>
      </c>
    </row>
    <row r="953" spans="1:14" x14ac:dyDescent="0.3">
      <c r="A953" s="1" t="s">
        <v>69</v>
      </c>
      <c r="B953">
        <v>6</v>
      </c>
      <c r="C953">
        <v>13</v>
      </c>
      <c r="D953" t="s">
        <v>74</v>
      </c>
      <c r="E953">
        <v>23000000</v>
      </c>
      <c r="F953">
        <f t="shared" si="65"/>
        <v>23000000</v>
      </c>
      <c r="G953">
        <f t="shared" si="64"/>
        <v>74096.983286297851</v>
      </c>
      <c r="H953" t="s">
        <v>72</v>
      </c>
      <c r="I953" s="1" t="s">
        <v>224</v>
      </c>
      <c r="J953" s="1" t="s">
        <v>216</v>
      </c>
      <c r="K953" s="9" t="s">
        <v>20</v>
      </c>
      <c r="L953" t="s">
        <v>21</v>
      </c>
      <c r="M953" t="str">
        <f t="shared" si="63"/>
        <v>ND</v>
      </c>
      <c r="N953" t="str">
        <f t="shared" si="62"/>
        <v>ND</v>
      </c>
    </row>
    <row r="954" spans="1:14" x14ac:dyDescent="0.3">
      <c r="A954" s="1" t="s">
        <v>69</v>
      </c>
      <c r="B954">
        <v>6</v>
      </c>
      <c r="C954">
        <v>13</v>
      </c>
      <c r="D954" t="s">
        <v>74</v>
      </c>
      <c r="E954">
        <v>23000000</v>
      </c>
      <c r="F954">
        <f t="shared" si="65"/>
        <v>23000000</v>
      </c>
      <c r="G954">
        <f t="shared" si="64"/>
        <v>74096.983286297851</v>
      </c>
      <c r="H954" t="s">
        <v>72</v>
      </c>
      <c r="I954" s="1" t="s">
        <v>224</v>
      </c>
      <c r="J954" s="1" t="s">
        <v>216</v>
      </c>
      <c r="K954" s="9" t="s">
        <v>20</v>
      </c>
      <c r="L954" t="s">
        <v>21</v>
      </c>
      <c r="M954" t="str">
        <f t="shared" si="63"/>
        <v>ND</v>
      </c>
      <c r="N954" t="str">
        <f t="shared" si="62"/>
        <v>ND</v>
      </c>
    </row>
    <row r="955" spans="1:14" x14ac:dyDescent="0.3">
      <c r="A955" s="1" t="s">
        <v>69</v>
      </c>
      <c r="B955">
        <v>6</v>
      </c>
      <c r="C955">
        <v>13</v>
      </c>
      <c r="D955" t="s">
        <v>74</v>
      </c>
      <c r="E955">
        <v>23000000</v>
      </c>
      <c r="F955">
        <f t="shared" si="65"/>
        <v>23000000</v>
      </c>
      <c r="G955">
        <f t="shared" si="64"/>
        <v>74096.983286297851</v>
      </c>
      <c r="H955" t="s">
        <v>72</v>
      </c>
      <c r="I955" s="1" t="s">
        <v>224</v>
      </c>
      <c r="J955" s="1" t="s">
        <v>216</v>
      </c>
      <c r="K955" s="9" t="s">
        <v>20</v>
      </c>
      <c r="L955" t="s">
        <v>21</v>
      </c>
      <c r="M955" t="str">
        <f t="shared" si="63"/>
        <v>ND</v>
      </c>
      <c r="N955" t="str">
        <f t="shared" si="62"/>
        <v>ND</v>
      </c>
    </row>
    <row r="956" spans="1:14" x14ac:dyDescent="0.3">
      <c r="A956" s="1" t="s">
        <v>69</v>
      </c>
      <c r="B956">
        <v>6</v>
      </c>
      <c r="C956">
        <v>13</v>
      </c>
      <c r="D956" t="s">
        <v>74</v>
      </c>
      <c r="E956">
        <v>23000000</v>
      </c>
      <c r="F956">
        <f t="shared" si="65"/>
        <v>23000000</v>
      </c>
      <c r="G956">
        <f t="shared" si="64"/>
        <v>74096.983286297851</v>
      </c>
      <c r="H956" t="s">
        <v>72</v>
      </c>
      <c r="I956" s="1" t="s">
        <v>224</v>
      </c>
      <c r="J956" s="1" t="s">
        <v>216</v>
      </c>
      <c r="K956" s="9" t="s">
        <v>20</v>
      </c>
      <c r="L956" t="s">
        <v>21</v>
      </c>
      <c r="M956" t="str">
        <f t="shared" si="63"/>
        <v>ND</v>
      </c>
      <c r="N956" t="str">
        <f t="shared" si="62"/>
        <v>ND</v>
      </c>
    </row>
    <row r="957" spans="1:14" x14ac:dyDescent="0.3">
      <c r="A957" s="1" t="s">
        <v>40</v>
      </c>
      <c r="B957">
        <v>6</v>
      </c>
      <c r="C957">
        <v>13</v>
      </c>
      <c r="D957" t="s">
        <v>74</v>
      </c>
      <c r="E957">
        <v>23000000</v>
      </c>
      <c r="F957">
        <f t="shared" si="65"/>
        <v>23000000</v>
      </c>
      <c r="G957">
        <f t="shared" si="64"/>
        <v>74096.983286297851</v>
      </c>
      <c r="H957" t="s">
        <v>72</v>
      </c>
      <c r="I957" s="1" t="s">
        <v>224</v>
      </c>
      <c r="J957" s="1" t="s">
        <v>216</v>
      </c>
      <c r="K957" s="9">
        <v>8.56</v>
      </c>
      <c r="L957" t="s">
        <v>21</v>
      </c>
      <c r="M957">
        <f t="shared" si="63"/>
        <v>8.5599999999999999E-3</v>
      </c>
      <c r="N957">
        <f t="shared" si="62"/>
        <v>2.65705824</v>
      </c>
    </row>
    <row r="958" spans="1:14" x14ac:dyDescent="0.3">
      <c r="A958" s="1" t="s">
        <v>40</v>
      </c>
      <c r="B958">
        <v>6</v>
      </c>
      <c r="C958">
        <v>13</v>
      </c>
      <c r="D958" t="s">
        <v>74</v>
      </c>
      <c r="E958">
        <v>23000000</v>
      </c>
      <c r="F958">
        <f t="shared" si="65"/>
        <v>23000000</v>
      </c>
      <c r="G958">
        <f t="shared" si="64"/>
        <v>74096.983286297851</v>
      </c>
      <c r="H958" t="s">
        <v>72</v>
      </c>
      <c r="I958" s="1" t="s">
        <v>224</v>
      </c>
      <c r="J958" s="1" t="s">
        <v>216</v>
      </c>
      <c r="K958" s="9" t="s">
        <v>20</v>
      </c>
      <c r="L958" t="s">
        <v>21</v>
      </c>
      <c r="M958" t="str">
        <f t="shared" si="63"/>
        <v>ND</v>
      </c>
      <c r="N958" t="str">
        <f t="shared" si="62"/>
        <v>ND</v>
      </c>
    </row>
    <row r="959" spans="1:14" x14ac:dyDescent="0.3">
      <c r="A959" s="1" t="s">
        <v>40</v>
      </c>
      <c r="B959">
        <v>6</v>
      </c>
      <c r="C959">
        <v>13</v>
      </c>
      <c r="D959" t="s">
        <v>74</v>
      </c>
      <c r="E959">
        <v>23000000</v>
      </c>
      <c r="F959">
        <f t="shared" si="65"/>
        <v>23000000</v>
      </c>
      <c r="G959">
        <f t="shared" si="64"/>
        <v>74096.983286297851</v>
      </c>
      <c r="H959" t="s">
        <v>72</v>
      </c>
      <c r="I959" s="1" t="s">
        <v>224</v>
      </c>
      <c r="J959" s="1" t="s">
        <v>216</v>
      </c>
      <c r="K959" s="9">
        <v>5.05</v>
      </c>
      <c r="L959" t="s">
        <v>21</v>
      </c>
      <c r="M959">
        <f t="shared" si="63"/>
        <v>5.0499999999999998E-3</v>
      </c>
      <c r="N959">
        <f t="shared" si="62"/>
        <v>1.5675402000000001</v>
      </c>
    </row>
    <row r="960" spans="1:14" x14ac:dyDescent="0.3">
      <c r="A960" s="1" t="s">
        <v>40</v>
      </c>
      <c r="B960">
        <v>6</v>
      </c>
      <c r="C960">
        <v>13</v>
      </c>
      <c r="D960" t="s">
        <v>74</v>
      </c>
      <c r="E960">
        <v>23000000</v>
      </c>
      <c r="F960">
        <f t="shared" si="65"/>
        <v>23000000</v>
      </c>
      <c r="G960">
        <f t="shared" si="64"/>
        <v>74096.983286297851</v>
      </c>
      <c r="H960" t="s">
        <v>72</v>
      </c>
      <c r="I960" s="1" t="s">
        <v>224</v>
      </c>
      <c r="J960" s="1" t="s">
        <v>216</v>
      </c>
      <c r="K960" s="9">
        <v>7.44</v>
      </c>
      <c r="L960" t="s">
        <v>21</v>
      </c>
      <c r="M960">
        <f t="shared" si="63"/>
        <v>7.4400000000000004E-3</v>
      </c>
      <c r="N960">
        <f t="shared" si="62"/>
        <v>2.3094057600000002</v>
      </c>
    </row>
    <row r="961" spans="1:14" x14ac:dyDescent="0.3">
      <c r="A961" s="1" t="s">
        <v>40</v>
      </c>
      <c r="B961">
        <v>6</v>
      </c>
      <c r="C961">
        <v>13</v>
      </c>
      <c r="D961" t="s">
        <v>74</v>
      </c>
      <c r="E961">
        <v>23000000</v>
      </c>
      <c r="F961">
        <f t="shared" si="65"/>
        <v>23000000</v>
      </c>
      <c r="G961">
        <f t="shared" si="64"/>
        <v>74096.983286297851</v>
      </c>
      <c r="H961" t="s">
        <v>72</v>
      </c>
      <c r="I961" s="1" t="s">
        <v>224</v>
      </c>
      <c r="J961" s="1" t="s">
        <v>216</v>
      </c>
      <c r="K961" s="9">
        <v>7.01</v>
      </c>
      <c r="L961" t="s">
        <v>21</v>
      </c>
      <c r="M961">
        <f t="shared" si="63"/>
        <v>7.0099999999999997E-3</v>
      </c>
      <c r="N961">
        <f t="shared" si="62"/>
        <v>2.1759320400000002</v>
      </c>
    </row>
    <row r="962" spans="1:14" x14ac:dyDescent="0.3">
      <c r="A962" s="1" t="s">
        <v>40</v>
      </c>
      <c r="B962">
        <v>6</v>
      </c>
      <c r="C962">
        <v>13</v>
      </c>
      <c r="D962" t="s">
        <v>74</v>
      </c>
      <c r="E962">
        <v>23000000</v>
      </c>
      <c r="F962">
        <f t="shared" si="65"/>
        <v>23000000</v>
      </c>
      <c r="G962">
        <f t="shared" si="64"/>
        <v>74096.983286297851</v>
      </c>
      <c r="H962" t="s">
        <v>72</v>
      </c>
      <c r="I962" s="1" t="s">
        <v>224</v>
      </c>
      <c r="J962" s="1" t="s">
        <v>216</v>
      </c>
      <c r="K962" s="9">
        <v>31.82</v>
      </c>
      <c r="L962" t="s">
        <v>21</v>
      </c>
      <c r="M962">
        <f t="shared" si="63"/>
        <v>3.1820000000000001E-2</v>
      </c>
      <c r="N962">
        <f t="shared" ref="N962:N1025" si="66">IFERROR((M962*F962)/G962,"ND")</f>
        <v>9.8770552800000004</v>
      </c>
    </row>
    <row r="963" spans="1:14" x14ac:dyDescent="0.3">
      <c r="A963" s="1" t="s">
        <v>40</v>
      </c>
      <c r="B963">
        <v>6</v>
      </c>
      <c r="C963">
        <v>13</v>
      </c>
      <c r="D963" t="s">
        <v>74</v>
      </c>
      <c r="E963">
        <v>23000000</v>
      </c>
      <c r="F963">
        <f t="shared" si="65"/>
        <v>23000000</v>
      </c>
      <c r="G963">
        <f t="shared" si="64"/>
        <v>74096.983286297851</v>
      </c>
      <c r="H963" t="s">
        <v>72</v>
      </c>
      <c r="I963" s="1" t="s">
        <v>224</v>
      </c>
      <c r="J963" s="1" t="s">
        <v>216</v>
      </c>
      <c r="K963" s="9">
        <v>26.83</v>
      </c>
      <c r="L963" t="s">
        <v>21</v>
      </c>
      <c r="M963">
        <f t="shared" si="63"/>
        <v>2.683E-2</v>
      </c>
      <c r="N963">
        <f t="shared" si="66"/>
        <v>8.32813932</v>
      </c>
    </row>
    <row r="964" spans="1:14" x14ac:dyDescent="0.3">
      <c r="A964" s="1" t="s">
        <v>40</v>
      </c>
      <c r="B964">
        <v>6</v>
      </c>
      <c r="C964">
        <v>13</v>
      </c>
      <c r="D964" t="s">
        <v>74</v>
      </c>
      <c r="E964">
        <v>23000000</v>
      </c>
      <c r="F964">
        <f t="shared" si="65"/>
        <v>23000000</v>
      </c>
      <c r="G964">
        <f t="shared" si="64"/>
        <v>74096.983286297851</v>
      </c>
      <c r="H964" t="s">
        <v>72</v>
      </c>
      <c r="I964" s="1" t="s">
        <v>224</v>
      </c>
      <c r="J964" s="1" t="s">
        <v>216</v>
      </c>
      <c r="K964" s="9">
        <v>19.46</v>
      </c>
      <c r="L964" t="s">
        <v>21</v>
      </c>
      <c r="M964">
        <f t="shared" si="63"/>
        <v>1.9460000000000002E-2</v>
      </c>
      <c r="N964">
        <f t="shared" si="66"/>
        <v>6.0404618400000016</v>
      </c>
    </row>
    <row r="965" spans="1:14" x14ac:dyDescent="0.3">
      <c r="A965" s="1" t="s">
        <v>40</v>
      </c>
      <c r="B965">
        <v>6</v>
      </c>
      <c r="C965">
        <v>13</v>
      </c>
      <c r="D965" t="s">
        <v>74</v>
      </c>
      <c r="E965">
        <v>23000000</v>
      </c>
      <c r="F965">
        <f t="shared" si="65"/>
        <v>23000000</v>
      </c>
      <c r="G965">
        <f t="shared" si="64"/>
        <v>74096.983286297851</v>
      </c>
      <c r="H965" t="s">
        <v>72</v>
      </c>
      <c r="I965" s="1" t="s">
        <v>224</v>
      </c>
      <c r="J965" s="1" t="s">
        <v>216</v>
      </c>
      <c r="K965" s="9">
        <v>5.1100000000000003</v>
      </c>
      <c r="L965" t="s">
        <v>21</v>
      </c>
      <c r="M965">
        <f t="shared" si="63"/>
        <v>5.11E-3</v>
      </c>
      <c r="N965">
        <f t="shared" si="66"/>
        <v>1.5861644400000001</v>
      </c>
    </row>
    <row r="966" spans="1:14" x14ac:dyDescent="0.3">
      <c r="A966" s="1" t="s">
        <v>40</v>
      </c>
      <c r="B966">
        <v>6</v>
      </c>
      <c r="C966">
        <v>13</v>
      </c>
      <c r="D966" t="s">
        <v>74</v>
      </c>
      <c r="E966">
        <v>23000000</v>
      </c>
      <c r="F966">
        <f t="shared" si="65"/>
        <v>23000000</v>
      </c>
      <c r="G966">
        <f t="shared" si="64"/>
        <v>74096.983286297851</v>
      </c>
      <c r="H966" t="s">
        <v>72</v>
      </c>
      <c r="I966" s="1" t="s">
        <v>224</v>
      </c>
      <c r="J966" s="1" t="s">
        <v>216</v>
      </c>
      <c r="K966" s="9">
        <v>53.94</v>
      </c>
      <c r="L966" t="s">
        <v>21</v>
      </c>
      <c r="M966">
        <f t="shared" si="63"/>
        <v>5.3939999999999995E-2</v>
      </c>
      <c r="N966">
        <f t="shared" si="66"/>
        <v>16.743191759999998</v>
      </c>
    </row>
    <row r="967" spans="1:14" x14ac:dyDescent="0.3">
      <c r="A967" s="1" t="s">
        <v>40</v>
      </c>
      <c r="B967">
        <v>6</v>
      </c>
      <c r="C967">
        <v>13</v>
      </c>
      <c r="D967" t="s">
        <v>74</v>
      </c>
      <c r="E967">
        <v>23000000</v>
      </c>
      <c r="F967">
        <f t="shared" si="65"/>
        <v>23000000</v>
      </c>
      <c r="G967">
        <f t="shared" si="64"/>
        <v>74096.983286297851</v>
      </c>
      <c r="H967" t="s">
        <v>72</v>
      </c>
      <c r="I967" s="1" t="s">
        <v>224</v>
      </c>
      <c r="J967" s="1" t="s">
        <v>216</v>
      </c>
      <c r="K967" s="9">
        <v>44.21</v>
      </c>
      <c r="L967" t="s">
        <v>21</v>
      </c>
      <c r="M967">
        <f t="shared" si="63"/>
        <v>4.4209999999999999E-2</v>
      </c>
      <c r="N967">
        <f t="shared" si="66"/>
        <v>13.722960840000001</v>
      </c>
    </row>
    <row r="968" spans="1:14" x14ac:dyDescent="0.3">
      <c r="A968" s="1" t="s">
        <v>40</v>
      </c>
      <c r="B968">
        <v>6</v>
      </c>
      <c r="C968">
        <v>13</v>
      </c>
      <c r="D968" t="s">
        <v>74</v>
      </c>
      <c r="E968">
        <v>23000000</v>
      </c>
      <c r="F968">
        <f t="shared" si="65"/>
        <v>23000000</v>
      </c>
      <c r="G968">
        <f t="shared" si="64"/>
        <v>74096.983286297851</v>
      </c>
      <c r="H968" t="s">
        <v>72</v>
      </c>
      <c r="I968" s="1" t="s">
        <v>224</v>
      </c>
      <c r="J968" s="1" t="s">
        <v>216</v>
      </c>
      <c r="K968" s="9">
        <v>43.82</v>
      </c>
      <c r="L968" t="s">
        <v>21</v>
      </c>
      <c r="M968">
        <f t="shared" si="63"/>
        <v>4.3819999999999998E-2</v>
      </c>
      <c r="N968">
        <f t="shared" si="66"/>
        <v>13.601903280000002</v>
      </c>
    </row>
    <row r="969" spans="1:14" x14ac:dyDescent="0.3">
      <c r="A969" s="1" t="s">
        <v>40</v>
      </c>
      <c r="B969">
        <v>6</v>
      </c>
      <c r="C969">
        <v>13</v>
      </c>
      <c r="D969" t="s">
        <v>74</v>
      </c>
      <c r="E969">
        <v>23000000</v>
      </c>
      <c r="F969">
        <f t="shared" si="65"/>
        <v>23000000</v>
      </c>
      <c r="G969">
        <f t="shared" si="64"/>
        <v>74096.983286297851</v>
      </c>
      <c r="H969" t="s">
        <v>72</v>
      </c>
      <c r="I969" s="1" t="s">
        <v>224</v>
      </c>
      <c r="J969" s="1" t="s">
        <v>216</v>
      </c>
      <c r="K969" s="9">
        <v>28.24</v>
      </c>
      <c r="L969" t="s">
        <v>21</v>
      </c>
      <c r="M969">
        <f t="shared" si="63"/>
        <v>2.8239999999999998E-2</v>
      </c>
      <c r="N969">
        <f t="shared" si="66"/>
        <v>8.7658089600000011</v>
      </c>
    </row>
    <row r="970" spans="1:14" x14ac:dyDescent="0.3">
      <c r="A970" s="1" t="s">
        <v>40</v>
      </c>
      <c r="B970">
        <v>6</v>
      </c>
      <c r="C970">
        <v>13</v>
      </c>
      <c r="D970" t="s">
        <v>74</v>
      </c>
      <c r="E970">
        <v>23000000</v>
      </c>
      <c r="F970">
        <f t="shared" si="65"/>
        <v>23000000</v>
      </c>
      <c r="G970">
        <f t="shared" si="64"/>
        <v>74096.983286297851</v>
      </c>
      <c r="H970" t="s">
        <v>72</v>
      </c>
      <c r="I970" s="1" t="s">
        <v>224</v>
      </c>
      <c r="J970" s="1" t="s">
        <v>216</v>
      </c>
      <c r="K970" s="9">
        <v>35.46</v>
      </c>
      <c r="L970" t="s">
        <v>21</v>
      </c>
      <c r="M970">
        <f t="shared" si="63"/>
        <v>3.5459999999999998E-2</v>
      </c>
      <c r="N970">
        <f t="shared" si="66"/>
        <v>11.006925840000001</v>
      </c>
    </row>
    <row r="971" spans="1:14" x14ac:dyDescent="0.3">
      <c r="A971" s="1" t="s">
        <v>40</v>
      </c>
      <c r="B971">
        <v>6</v>
      </c>
      <c r="C971">
        <v>13</v>
      </c>
      <c r="D971" t="s">
        <v>74</v>
      </c>
      <c r="E971">
        <v>23000000</v>
      </c>
      <c r="F971">
        <f t="shared" si="65"/>
        <v>23000000</v>
      </c>
      <c r="G971">
        <f t="shared" si="64"/>
        <v>74096.983286297851</v>
      </c>
      <c r="H971" t="s">
        <v>72</v>
      </c>
      <c r="I971" s="1" t="s">
        <v>224</v>
      </c>
      <c r="J971" s="1" t="s">
        <v>216</v>
      </c>
      <c r="K971" s="9">
        <v>35.92</v>
      </c>
      <c r="L971" t="s">
        <v>21</v>
      </c>
      <c r="M971">
        <f t="shared" si="63"/>
        <v>3.5920000000000001E-2</v>
      </c>
      <c r="N971">
        <f t="shared" si="66"/>
        <v>11.149711680000001</v>
      </c>
    </row>
    <row r="972" spans="1:14" x14ac:dyDescent="0.3">
      <c r="A972" s="1" t="s">
        <v>40</v>
      </c>
      <c r="B972">
        <v>6</v>
      </c>
      <c r="C972">
        <v>13</v>
      </c>
      <c r="D972" t="s">
        <v>74</v>
      </c>
      <c r="E972">
        <v>23000000</v>
      </c>
      <c r="F972">
        <f t="shared" si="65"/>
        <v>23000000</v>
      </c>
      <c r="G972">
        <f t="shared" si="64"/>
        <v>74096.983286297851</v>
      </c>
      <c r="H972" t="s">
        <v>72</v>
      </c>
      <c r="I972" s="1" t="s">
        <v>224</v>
      </c>
      <c r="J972" s="1" t="s">
        <v>216</v>
      </c>
      <c r="K972" s="9">
        <v>32.75</v>
      </c>
      <c r="L972" t="s">
        <v>21</v>
      </c>
      <c r="M972">
        <f t="shared" si="63"/>
        <v>3.2750000000000001E-2</v>
      </c>
      <c r="N972">
        <f t="shared" si="66"/>
        <v>10.165731000000001</v>
      </c>
    </row>
    <row r="973" spans="1:14" x14ac:dyDescent="0.3">
      <c r="A973" s="1" t="s">
        <v>40</v>
      </c>
      <c r="B973">
        <v>6</v>
      </c>
      <c r="C973">
        <v>13</v>
      </c>
      <c r="D973" t="s">
        <v>74</v>
      </c>
      <c r="E973">
        <v>23000000</v>
      </c>
      <c r="F973">
        <f t="shared" si="65"/>
        <v>23000000</v>
      </c>
      <c r="G973">
        <f t="shared" si="64"/>
        <v>74096.983286297851</v>
      </c>
      <c r="H973" t="s">
        <v>72</v>
      </c>
      <c r="I973" s="1" t="s">
        <v>224</v>
      </c>
      <c r="J973" s="1" t="s">
        <v>216</v>
      </c>
      <c r="K973" s="9">
        <v>29.31</v>
      </c>
      <c r="L973" t="s">
        <v>21</v>
      </c>
      <c r="M973">
        <f t="shared" si="63"/>
        <v>2.9309999999999999E-2</v>
      </c>
      <c r="N973">
        <f t="shared" si="66"/>
        <v>9.0979412400000008</v>
      </c>
    </row>
    <row r="974" spans="1:14" x14ac:dyDescent="0.3">
      <c r="A974" s="1" t="s">
        <v>40</v>
      </c>
      <c r="B974">
        <v>6</v>
      </c>
      <c r="C974">
        <v>13</v>
      </c>
      <c r="D974" t="s">
        <v>74</v>
      </c>
      <c r="E974">
        <v>23000000</v>
      </c>
      <c r="F974">
        <f t="shared" si="65"/>
        <v>23000000</v>
      </c>
      <c r="G974">
        <f t="shared" si="64"/>
        <v>74096.983286297851</v>
      </c>
      <c r="H974" t="s">
        <v>72</v>
      </c>
      <c r="I974" s="1" t="s">
        <v>224</v>
      </c>
      <c r="J974" s="1" t="s">
        <v>216</v>
      </c>
      <c r="K974" s="9">
        <v>5.53</v>
      </c>
      <c r="L974" t="s">
        <v>21</v>
      </c>
      <c r="M974">
        <f t="shared" si="63"/>
        <v>5.5300000000000002E-3</v>
      </c>
      <c r="N974">
        <f t="shared" si="66"/>
        <v>1.7165341200000002</v>
      </c>
    </row>
    <row r="975" spans="1:14" x14ac:dyDescent="0.3">
      <c r="A975" s="1" t="s">
        <v>40</v>
      </c>
      <c r="B975">
        <v>6</v>
      </c>
      <c r="C975">
        <v>13</v>
      </c>
      <c r="D975" t="s">
        <v>74</v>
      </c>
      <c r="E975">
        <v>23000000</v>
      </c>
      <c r="F975">
        <f t="shared" si="65"/>
        <v>23000000</v>
      </c>
      <c r="G975">
        <f t="shared" si="64"/>
        <v>74096.983286297851</v>
      </c>
      <c r="H975" t="s">
        <v>72</v>
      </c>
      <c r="I975" s="1" t="s">
        <v>224</v>
      </c>
      <c r="J975" s="1" t="s">
        <v>216</v>
      </c>
      <c r="K975" s="9" t="s">
        <v>20</v>
      </c>
      <c r="L975" t="s">
        <v>21</v>
      </c>
      <c r="M975" t="str">
        <f t="shared" si="63"/>
        <v>ND</v>
      </c>
      <c r="N975" t="str">
        <f t="shared" si="66"/>
        <v>ND</v>
      </c>
    </row>
    <row r="976" spans="1:14" x14ac:dyDescent="0.3">
      <c r="A976" s="1" t="s">
        <v>40</v>
      </c>
      <c r="B976">
        <v>6</v>
      </c>
      <c r="C976">
        <v>13</v>
      </c>
      <c r="D976" t="s">
        <v>74</v>
      </c>
      <c r="E976">
        <v>23000000</v>
      </c>
      <c r="F976">
        <f t="shared" si="65"/>
        <v>23000000</v>
      </c>
      <c r="G976">
        <f t="shared" si="64"/>
        <v>74096.983286297851</v>
      </c>
      <c r="H976" t="s">
        <v>72</v>
      </c>
      <c r="I976" s="1" t="s">
        <v>224</v>
      </c>
      <c r="J976" s="1" t="s">
        <v>216</v>
      </c>
      <c r="K976" s="9" t="s">
        <v>20</v>
      </c>
      <c r="L976" t="s">
        <v>21</v>
      </c>
      <c r="M976" t="str">
        <f t="shared" si="63"/>
        <v>ND</v>
      </c>
      <c r="N976" t="str">
        <f t="shared" si="66"/>
        <v>ND</v>
      </c>
    </row>
    <row r="977" spans="1:14" x14ac:dyDescent="0.3">
      <c r="A977" s="1" t="s">
        <v>40</v>
      </c>
      <c r="B977">
        <v>6</v>
      </c>
      <c r="C977">
        <v>13</v>
      </c>
      <c r="D977" t="s">
        <v>74</v>
      </c>
      <c r="E977">
        <v>23000000</v>
      </c>
      <c r="F977">
        <f t="shared" si="65"/>
        <v>23000000</v>
      </c>
      <c r="G977">
        <f t="shared" si="64"/>
        <v>74096.983286297851</v>
      </c>
      <c r="H977" t="s">
        <v>72</v>
      </c>
      <c r="I977" s="1" t="s">
        <v>224</v>
      </c>
      <c r="J977" s="1" t="s">
        <v>216</v>
      </c>
      <c r="K977" s="9" t="s">
        <v>20</v>
      </c>
      <c r="L977" t="s">
        <v>21</v>
      </c>
      <c r="M977" t="str">
        <f t="shared" si="63"/>
        <v>ND</v>
      </c>
      <c r="N977" t="str">
        <f t="shared" si="66"/>
        <v>ND</v>
      </c>
    </row>
    <row r="978" spans="1:14" x14ac:dyDescent="0.3">
      <c r="A978" s="1" t="s">
        <v>40</v>
      </c>
      <c r="B978">
        <v>6</v>
      </c>
      <c r="C978">
        <v>13</v>
      </c>
      <c r="D978" t="s">
        <v>74</v>
      </c>
      <c r="E978">
        <v>23000000</v>
      </c>
      <c r="F978">
        <f t="shared" si="65"/>
        <v>23000000</v>
      </c>
      <c r="G978">
        <f t="shared" si="64"/>
        <v>74096.983286297851</v>
      </c>
      <c r="H978" t="s">
        <v>72</v>
      </c>
      <c r="I978" s="1" t="s">
        <v>224</v>
      </c>
      <c r="J978" s="1" t="s">
        <v>216</v>
      </c>
      <c r="K978" s="9" t="s">
        <v>20</v>
      </c>
      <c r="L978" t="s">
        <v>21</v>
      </c>
      <c r="M978" t="str">
        <f t="shared" si="63"/>
        <v>ND</v>
      </c>
      <c r="N978" t="str">
        <f t="shared" si="66"/>
        <v>ND</v>
      </c>
    </row>
    <row r="979" spans="1:14" x14ac:dyDescent="0.3">
      <c r="A979" s="1" t="s">
        <v>40</v>
      </c>
      <c r="B979">
        <v>6</v>
      </c>
      <c r="C979">
        <v>13</v>
      </c>
      <c r="D979" t="s">
        <v>74</v>
      </c>
      <c r="E979">
        <v>23000000</v>
      </c>
      <c r="F979">
        <f t="shared" si="65"/>
        <v>23000000</v>
      </c>
      <c r="G979">
        <f t="shared" si="64"/>
        <v>74096.983286297851</v>
      </c>
      <c r="H979" t="s">
        <v>72</v>
      </c>
      <c r="I979" s="1" t="s">
        <v>224</v>
      </c>
      <c r="J979" s="1" t="s">
        <v>216</v>
      </c>
      <c r="K979" s="9" t="s">
        <v>20</v>
      </c>
      <c r="L979" t="s">
        <v>21</v>
      </c>
      <c r="M979" t="str">
        <f t="shared" si="63"/>
        <v>ND</v>
      </c>
      <c r="N979" t="str">
        <f t="shared" si="66"/>
        <v>ND</v>
      </c>
    </row>
    <row r="980" spans="1:14" x14ac:dyDescent="0.3">
      <c r="A980" s="1" t="s">
        <v>40</v>
      </c>
      <c r="B980">
        <v>6</v>
      </c>
      <c r="C980">
        <v>13</v>
      </c>
      <c r="D980" t="s">
        <v>74</v>
      </c>
      <c r="E980">
        <v>23000000</v>
      </c>
      <c r="F980">
        <f t="shared" si="65"/>
        <v>23000000</v>
      </c>
      <c r="G980">
        <f t="shared" si="64"/>
        <v>74096.983286297851</v>
      </c>
      <c r="H980" t="s">
        <v>72</v>
      </c>
      <c r="I980" s="1" t="s">
        <v>224</v>
      </c>
      <c r="J980" s="1" t="s">
        <v>216</v>
      </c>
      <c r="K980" s="9" t="s">
        <v>20</v>
      </c>
      <c r="L980" t="s">
        <v>21</v>
      </c>
      <c r="M980" t="str">
        <f t="shared" si="63"/>
        <v>ND</v>
      </c>
      <c r="N980" t="str">
        <f t="shared" si="66"/>
        <v>ND</v>
      </c>
    </row>
    <row r="981" spans="1:14" x14ac:dyDescent="0.3">
      <c r="A981" s="1" t="s">
        <v>40</v>
      </c>
      <c r="B981">
        <v>6</v>
      </c>
      <c r="C981">
        <v>13</v>
      </c>
      <c r="D981" t="s">
        <v>74</v>
      </c>
      <c r="E981">
        <v>23000000</v>
      </c>
      <c r="F981">
        <f t="shared" si="65"/>
        <v>23000000</v>
      </c>
      <c r="G981">
        <f t="shared" si="64"/>
        <v>74096.983286297851</v>
      </c>
      <c r="H981" t="s">
        <v>72</v>
      </c>
      <c r="I981" s="1" t="s">
        <v>224</v>
      </c>
      <c r="J981" s="1" t="s">
        <v>216</v>
      </c>
      <c r="K981" s="9">
        <v>22.13</v>
      </c>
      <c r="L981" t="s">
        <v>21</v>
      </c>
      <c r="M981">
        <f t="shared" si="63"/>
        <v>2.213E-2</v>
      </c>
      <c r="N981">
        <f t="shared" si="66"/>
        <v>6.8692405200000008</v>
      </c>
    </row>
    <row r="982" spans="1:14" x14ac:dyDescent="0.3">
      <c r="A982" s="1" t="s">
        <v>40</v>
      </c>
      <c r="B982">
        <v>6</v>
      </c>
      <c r="C982">
        <v>13</v>
      </c>
      <c r="D982" t="s">
        <v>74</v>
      </c>
      <c r="E982">
        <v>23000000</v>
      </c>
      <c r="F982">
        <f t="shared" si="65"/>
        <v>23000000</v>
      </c>
      <c r="G982">
        <f t="shared" si="64"/>
        <v>74096.983286297851</v>
      </c>
      <c r="H982" t="s">
        <v>72</v>
      </c>
      <c r="I982" s="1" t="s">
        <v>224</v>
      </c>
      <c r="J982" s="1" t="s">
        <v>216</v>
      </c>
      <c r="K982" s="9" t="s">
        <v>20</v>
      </c>
      <c r="L982" t="s">
        <v>21</v>
      </c>
      <c r="M982" t="str">
        <f t="shared" si="63"/>
        <v>ND</v>
      </c>
      <c r="N982" t="str">
        <f t="shared" si="66"/>
        <v>ND</v>
      </c>
    </row>
    <row r="983" spans="1:14" x14ac:dyDescent="0.3">
      <c r="A983" s="1" t="s">
        <v>40</v>
      </c>
      <c r="B983">
        <v>6</v>
      </c>
      <c r="C983">
        <v>13</v>
      </c>
      <c r="D983" t="s">
        <v>74</v>
      </c>
      <c r="E983">
        <v>23000000</v>
      </c>
      <c r="F983">
        <f t="shared" si="65"/>
        <v>23000000</v>
      </c>
      <c r="G983">
        <f t="shared" si="64"/>
        <v>74096.983286297851</v>
      </c>
      <c r="H983" t="s">
        <v>72</v>
      </c>
      <c r="I983" s="1" t="s">
        <v>224</v>
      </c>
      <c r="J983" s="1" t="s">
        <v>216</v>
      </c>
      <c r="K983" s="9" t="s">
        <v>20</v>
      </c>
      <c r="L983" t="s">
        <v>21</v>
      </c>
      <c r="M983" t="str">
        <f t="shared" ref="M983:M1046" si="67">IFERROR(K983/1000,"ND")</f>
        <v>ND</v>
      </c>
      <c r="N983" t="str">
        <f t="shared" si="66"/>
        <v>ND</v>
      </c>
    </row>
    <row r="984" spans="1:14" x14ac:dyDescent="0.3">
      <c r="A984" s="1" t="s">
        <v>40</v>
      </c>
      <c r="B984">
        <v>6</v>
      </c>
      <c r="C984">
        <v>13</v>
      </c>
      <c r="D984" t="s">
        <v>74</v>
      </c>
      <c r="E984">
        <v>23000000</v>
      </c>
      <c r="F984">
        <f t="shared" si="65"/>
        <v>23000000</v>
      </c>
      <c r="G984">
        <f t="shared" ref="G984:G1047" si="68">F984/310.404</f>
        <v>74096.983286297851</v>
      </c>
      <c r="H984" t="s">
        <v>72</v>
      </c>
      <c r="I984" s="1" t="s">
        <v>224</v>
      </c>
      <c r="J984" s="1" t="s">
        <v>216</v>
      </c>
      <c r="K984" s="9" t="s">
        <v>20</v>
      </c>
      <c r="L984" t="s">
        <v>21</v>
      </c>
      <c r="M984" t="str">
        <f t="shared" si="67"/>
        <v>ND</v>
      </c>
      <c r="N984" t="str">
        <f t="shared" si="66"/>
        <v>ND</v>
      </c>
    </row>
    <row r="985" spans="1:14" x14ac:dyDescent="0.3">
      <c r="A985" s="1" t="s">
        <v>40</v>
      </c>
      <c r="B985">
        <v>6</v>
      </c>
      <c r="C985">
        <v>13</v>
      </c>
      <c r="D985" t="s">
        <v>74</v>
      </c>
      <c r="E985">
        <v>23000000</v>
      </c>
      <c r="F985">
        <f t="shared" si="65"/>
        <v>23000000</v>
      </c>
      <c r="G985">
        <f t="shared" si="68"/>
        <v>74096.983286297851</v>
      </c>
      <c r="H985" t="s">
        <v>72</v>
      </c>
      <c r="I985" s="1" t="s">
        <v>224</v>
      </c>
      <c r="J985" s="1" t="s">
        <v>216</v>
      </c>
      <c r="K985" s="9" t="s">
        <v>20</v>
      </c>
      <c r="L985" t="s">
        <v>21</v>
      </c>
      <c r="M985" t="str">
        <f t="shared" si="67"/>
        <v>ND</v>
      </c>
      <c r="N985" t="str">
        <f t="shared" si="66"/>
        <v>ND</v>
      </c>
    </row>
    <row r="986" spans="1:14" x14ac:dyDescent="0.3">
      <c r="A986" s="1" t="s">
        <v>40</v>
      </c>
      <c r="B986">
        <v>6</v>
      </c>
      <c r="C986">
        <v>13</v>
      </c>
      <c r="D986" t="s">
        <v>74</v>
      </c>
      <c r="E986">
        <v>23000000</v>
      </c>
      <c r="F986">
        <f t="shared" si="65"/>
        <v>23000000</v>
      </c>
      <c r="G986">
        <f t="shared" si="68"/>
        <v>74096.983286297851</v>
      </c>
      <c r="H986" t="s">
        <v>72</v>
      </c>
      <c r="I986" s="1" t="s">
        <v>224</v>
      </c>
      <c r="J986" s="1" t="s">
        <v>216</v>
      </c>
      <c r="K986" s="9">
        <v>213.7</v>
      </c>
      <c r="L986" t="s">
        <v>21</v>
      </c>
      <c r="M986">
        <f t="shared" si="67"/>
        <v>0.2137</v>
      </c>
      <c r="N986">
        <f t="shared" si="66"/>
        <v>66.333334800000003</v>
      </c>
    </row>
    <row r="987" spans="1:14" x14ac:dyDescent="0.3">
      <c r="A987" s="1" t="s">
        <v>40</v>
      </c>
      <c r="B987">
        <v>6</v>
      </c>
      <c r="C987">
        <v>13</v>
      </c>
      <c r="D987" t="s">
        <v>74</v>
      </c>
      <c r="E987">
        <v>23000000</v>
      </c>
      <c r="F987">
        <f t="shared" si="65"/>
        <v>23000000</v>
      </c>
      <c r="G987">
        <f t="shared" si="68"/>
        <v>74096.983286297851</v>
      </c>
      <c r="H987" t="s">
        <v>72</v>
      </c>
      <c r="I987" s="1" t="s">
        <v>224</v>
      </c>
      <c r="J987" s="1" t="s">
        <v>216</v>
      </c>
      <c r="K987" s="9" t="s">
        <v>20</v>
      </c>
      <c r="L987" t="s">
        <v>21</v>
      </c>
      <c r="M987" t="str">
        <f t="shared" si="67"/>
        <v>ND</v>
      </c>
      <c r="N987" t="str">
        <f t="shared" si="66"/>
        <v>ND</v>
      </c>
    </row>
    <row r="988" spans="1:14" x14ac:dyDescent="0.3">
      <c r="A988" s="1" t="s">
        <v>40</v>
      </c>
      <c r="B988">
        <v>6</v>
      </c>
      <c r="C988">
        <v>13</v>
      </c>
      <c r="D988" t="s">
        <v>74</v>
      </c>
      <c r="E988">
        <v>23000000</v>
      </c>
      <c r="F988">
        <f t="shared" si="65"/>
        <v>23000000</v>
      </c>
      <c r="G988">
        <f t="shared" si="68"/>
        <v>74096.983286297851</v>
      </c>
      <c r="H988" t="s">
        <v>72</v>
      </c>
      <c r="I988" s="1" t="s">
        <v>224</v>
      </c>
      <c r="J988" s="1" t="s">
        <v>216</v>
      </c>
      <c r="K988" s="9" t="s">
        <v>20</v>
      </c>
      <c r="L988" t="s">
        <v>21</v>
      </c>
      <c r="M988" t="str">
        <f t="shared" si="67"/>
        <v>ND</v>
      </c>
      <c r="N988" t="str">
        <f t="shared" si="66"/>
        <v>ND</v>
      </c>
    </row>
    <row r="989" spans="1:14" x14ac:dyDescent="0.3">
      <c r="A989" s="1" t="s">
        <v>40</v>
      </c>
      <c r="B989">
        <v>6</v>
      </c>
      <c r="C989">
        <v>13</v>
      </c>
      <c r="D989" t="s">
        <v>74</v>
      </c>
      <c r="E989">
        <v>23000000</v>
      </c>
      <c r="F989">
        <f t="shared" si="65"/>
        <v>23000000</v>
      </c>
      <c r="G989">
        <f t="shared" si="68"/>
        <v>74096.983286297851</v>
      </c>
      <c r="H989" t="s">
        <v>72</v>
      </c>
      <c r="I989" s="1" t="s">
        <v>224</v>
      </c>
      <c r="J989" s="1" t="s">
        <v>216</v>
      </c>
      <c r="K989" s="9">
        <v>302.32</v>
      </c>
      <c r="L989" t="s">
        <v>21</v>
      </c>
      <c r="M989">
        <f t="shared" si="67"/>
        <v>0.30231999999999998</v>
      </c>
      <c r="N989">
        <f t="shared" si="66"/>
        <v>93.841337279999991</v>
      </c>
    </row>
    <row r="990" spans="1:14" x14ac:dyDescent="0.3">
      <c r="A990" s="1" t="s">
        <v>40</v>
      </c>
      <c r="B990">
        <v>6</v>
      </c>
      <c r="C990">
        <v>13</v>
      </c>
      <c r="D990" t="s">
        <v>74</v>
      </c>
      <c r="E990">
        <v>23000000</v>
      </c>
      <c r="F990">
        <f t="shared" si="65"/>
        <v>23000000</v>
      </c>
      <c r="G990">
        <f t="shared" si="68"/>
        <v>74096.983286297851</v>
      </c>
      <c r="H990" t="s">
        <v>72</v>
      </c>
      <c r="I990" s="1" t="s">
        <v>224</v>
      </c>
      <c r="J990" s="1" t="s">
        <v>216</v>
      </c>
      <c r="K990" s="9">
        <v>301.02</v>
      </c>
      <c r="L990" t="s">
        <v>21</v>
      </c>
      <c r="M990">
        <f t="shared" si="67"/>
        <v>0.30101999999999995</v>
      </c>
      <c r="N990">
        <f t="shared" si="66"/>
        <v>93.43781208</v>
      </c>
    </row>
    <row r="991" spans="1:14" x14ac:dyDescent="0.3">
      <c r="A991" s="1" t="s">
        <v>40</v>
      </c>
      <c r="B991">
        <v>6</v>
      </c>
      <c r="C991">
        <v>13</v>
      </c>
      <c r="D991" t="s">
        <v>74</v>
      </c>
      <c r="E991">
        <v>23000000</v>
      </c>
      <c r="F991">
        <f t="shared" si="65"/>
        <v>23000000</v>
      </c>
      <c r="G991">
        <f t="shared" si="68"/>
        <v>74096.983286297851</v>
      </c>
      <c r="H991" t="s">
        <v>72</v>
      </c>
      <c r="I991" s="1" t="s">
        <v>224</v>
      </c>
      <c r="J991" s="1" t="s">
        <v>216</v>
      </c>
      <c r="K991" s="9" t="s">
        <v>20</v>
      </c>
      <c r="L991" t="s">
        <v>21</v>
      </c>
      <c r="M991" t="str">
        <f t="shared" si="67"/>
        <v>ND</v>
      </c>
      <c r="N991" t="str">
        <f t="shared" si="66"/>
        <v>ND</v>
      </c>
    </row>
    <row r="992" spans="1:14" x14ac:dyDescent="0.3">
      <c r="A992" s="1" t="s">
        <v>40</v>
      </c>
      <c r="B992">
        <v>6</v>
      </c>
      <c r="C992">
        <v>13</v>
      </c>
      <c r="D992" t="s">
        <v>74</v>
      </c>
      <c r="E992">
        <v>23000000</v>
      </c>
      <c r="F992">
        <f t="shared" si="65"/>
        <v>23000000</v>
      </c>
      <c r="G992">
        <f t="shared" si="68"/>
        <v>74096.983286297851</v>
      </c>
      <c r="H992" t="s">
        <v>72</v>
      </c>
      <c r="I992" s="1" t="s">
        <v>224</v>
      </c>
      <c r="J992" s="1" t="s">
        <v>216</v>
      </c>
      <c r="K992" s="9">
        <v>600.83000000000004</v>
      </c>
      <c r="L992" t="s">
        <v>21</v>
      </c>
      <c r="M992">
        <f t="shared" si="67"/>
        <v>0.60083000000000009</v>
      </c>
      <c r="N992">
        <f t="shared" si="66"/>
        <v>186.50003532000005</v>
      </c>
    </row>
    <row r="993" spans="1:14" x14ac:dyDescent="0.3">
      <c r="A993" s="1" t="s">
        <v>40</v>
      </c>
      <c r="B993">
        <v>6</v>
      </c>
      <c r="C993">
        <v>13</v>
      </c>
      <c r="D993" t="s">
        <v>74</v>
      </c>
      <c r="E993">
        <v>23000000</v>
      </c>
      <c r="F993">
        <f t="shared" si="65"/>
        <v>23000000</v>
      </c>
      <c r="G993">
        <f t="shared" si="68"/>
        <v>74096.983286297851</v>
      </c>
      <c r="H993" t="s">
        <v>72</v>
      </c>
      <c r="I993" s="1" t="s">
        <v>224</v>
      </c>
      <c r="J993" s="1" t="s">
        <v>216</v>
      </c>
      <c r="K993" s="9">
        <v>165.8</v>
      </c>
      <c r="L993" t="s">
        <v>21</v>
      </c>
      <c r="M993">
        <f t="shared" si="67"/>
        <v>0.1658</v>
      </c>
      <c r="N993">
        <f t="shared" si="66"/>
        <v>51.464983200000006</v>
      </c>
    </row>
    <row r="994" spans="1:14" x14ac:dyDescent="0.3">
      <c r="A994" s="1" t="s">
        <v>40</v>
      </c>
      <c r="B994">
        <v>6</v>
      </c>
      <c r="C994">
        <v>13</v>
      </c>
      <c r="D994" t="s">
        <v>74</v>
      </c>
      <c r="E994">
        <v>23000000</v>
      </c>
      <c r="F994">
        <f t="shared" si="65"/>
        <v>23000000</v>
      </c>
      <c r="G994">
        <f t="shared" si="68"/>
        <v>74096.983286297851</v>
      </c>
      <c r="H994" t="s">
        <v>72</v>
      </c>
      <c r="I994" s="1" t="s">
        <v>224</v>
      </c>
      <c r="J994" s="1" t="s">
        <v>216</v>
      </c>
      <c r="K994" s="9">
        <v>281.77</v>
      </c>
      <c r="L994" t="s">
        <v>21</v>
      </c>
      <c r="M994">
        <f t="shared" si="67"/>
        <v>0.28176999999999996</v>
      </c>
      <c r="N994">
        <f t="shared" si="66"/>
        <v>87.462535079999995</v>
      </c>
    </row>
    <row r="995" spans="1:14" x14ac:dyDescent="0.3">
      <c r="A995" s="1" t="s">
        <v>40</v>
      </c>
      <c r="B995">
        <v>6</v>
      </c>
      <c r="C995">
        <v>13</v>
      </c>
      <c r="D995" t="s">
        <v>74</v>
      </c>
      <c r="E995">
        <v>23000000</v>
      </c>
      <c r="F995">
        <f t="shared" si="65"/>
        <v>23000000</v>
      </c>
      <c r="G995">
        <f t="shared" si="68"/>
        <v>74096.983286297851</v>
      </c>
      <c r="H995" t="s">
        <v>72</v>
      </c>
      <c r="I995" s="1" t="s">
        <v>224</v>
      </c>
      <c r="J995" s="1" t="s">
        <v>216</v>
      </c>
      <c r="K995" s="9">
        <v>475.83</v>
      </c>
      <c r="L995" t="s">
        <v>21</v>
      </c>
      <c r="M995">
        <f t="shared" si="67"/>
        <v>0.47582999999999998</v>
      </c>
      <c r="N995">
        <f t="shared" si="66"/>
        <v>147.69953532000002</v>
      </c>
    </row>
    <row r="996" spans="1:14" x14ac:dyDescent="0.3">
      <c r="A996" s="1" t="s">
        <v>40</v>
      </c>
      <c r="B996">
        <v>6</v>
      </c>
      <c r="C996">
        <v>13</v>
      </c>
      <c r="D996" t="s">
        <v>74</v>
      </c>
      <c r="E996">
        <v>23000000</v>
      </c>
      <c r="F996">
        <f t="shared" si="65"/>
        <v>23000000</v>
      </c>
      <c r="G996">
        <f t="shared" si="68"/>
        <v>74096.983286297851</v>
      </c>
      <c r="H996" t="s">
        <v>72</v>
      </c>
      <c r="I996" s="1" t="s">
        <v>224</v>
      </c>
      <c r="J996" s="1" t="s">
        <v>216</v>
      </c>
      <c r="K996" s="9">
        <v>457.09</v>
      </c>
      <c r="L996" t="s">
        <v>21</v>
      </c>
      <c r="M996">
        <f t="shared" si="67"/>
        <v>0.45709</v>
      </c>
      <c r="N996">
        <f t="shared" si="66"/>
        <v>141.88256436</v>
      </c>
    </row>
    <row r="997" spans="1:14" x14ac:dyDescent="0.3">
      <c r="A997" s="1" t="s">
        <v>40</v>
      </c>
      <c r="B997">
        <v>6</v>
      </c>
      <c r="C997">
        <v>13</v>
      </c>
      <c r="D997" t="s">
        <v>74</v>
      </c>
      <c r="E997">
        <v>23000000</v>
      </c>
      <c r="F997">
        <f t="shared" si="65"/>
        <v>23000000</v>
      </c>
      <c r="G997">
        <f t="shared" si="68"/>
        <v>74096.983286297851</v>
      </c>
      <c r="H997" t="s">
        <v>72</v>
      </c>
      <c r="I997" s="1" t="s">
        <v>224</v>
      </c>
      <c r="J997" s="1" t="s">
        <v>216</v>
      </c>
      <c r="K997" s="9">
        <v>420.23</v>
      </c>
      <c r="L997" t="s">
        <v>21</v>
      </c>
      <c r="M997">
        <f t="shared" si="67"/>
        <v>0.42022999999999999</v>
      </c>
      <c r="N997">
        <f t="shared" si="66"/>
        <v>130.44107292000001</v>
      </c>
    </row>
    <row r="998" spans="1:14" x14ac:dyDescent="0.3">
      <c r="A998" s="1" t="s">
        <v>40</v>
      </c>
      <c r="B998">
        <v>6</v>
      </c>
      <c r="C998">
        <v>13</v>
      </c>
      <c r="D998" t="s">
        <v>74</v>
      </c>
      <c r="E998">
        <v>23000000</v>
      </c>
      <c r="F998">
        <f t="shared" si="65"/>
        <v>23000000</v>
      </c>
      <c r="G998">
        <f t="shared" si="68"/>
        <v>74096.983286297851</v>
      </c>
      <c r="H998" t="s">
        <v>72</v>
      </c>
      <c r="I998" s="1" t="s">
        <v>224</v>
      </c>
      <c r="J998" s="1" t="s">
        <v>216</v>
      </c>
      <c r="K998" s="9">
        <v>937.73</v>
      </c>
      <c r="L998" t="s">
        <v>21</v>
      </c>
      <c r="M998">
        <f t="shared" si="67"/>
        <v>0.93773000000000006</v>
      </c>
      <c r="N998">
        <f t="shared" si="66"/>
        <v>291.07514292000002</v>
      </c>
    </row>
    <row r="999" spans="1:14" x14ac:dyDescent="0.3">
      <c r="A999" s="1" t="s">
        <v>40</v>
      </c>
      <c r="B999">
        <v>6</v>
      </c>
      <c r="C999">
        <v>13</v>
      </c>
      <c r="D999" t="s">
        <v>74</v>
      </c>
      <c r="E999">
        <v>23000000</v>
      </c>
      <c r="F999">
        <f t="shared" si="65"/>
        <v>23000000</v>
      </c>
      <c r="G999">
        <f t="shared" si="68"/>
        <v>74096.983286297851</v>
      </c>
      <c r="H999" t="s">
        <v>72</v>
      </c>
      <c r="I999" s="1" t="s">
        <v>224</v>
      </c>
      <c r="J999" s="1" t="s">
        <v>216</v>
      </c>
      <c r="K999" s="9">
        <v>141.26</v>
      </c>
      <c r="L999" t="s">
        <v>21</v>
      </c>
      <c r="M999">
        <f t="shared" si="67"/>
        <v>0.14126</v>
      </c>
      <c r="N999">
        <f t="shared" si="66"/>
        <v>43.847669040000007</v>
      </c>
    </row>
    <row r="1000" spans="1:14" x14ac:dyDescent="0.3">
      <c r="A1000" s="1" t="s">
        <v>40</v>
      </c>
      <c r="B1000">
        <v>6</v>
      </c>
      <c r="C1000">
        <v>13</v>
      </c>
      <c r="D1000" t="s">
        <v>74</v>
      </c>
      <c r="E1000">
        <v>23000000</v>
      </c>
      <c r="F1000">
        <f t="shared" si="65"/>
        <v>23000000</v>
      </c>
      <c r="G1000">
        <f t="shared" si="68"/>
        <v>74096.983286297851</v>
      </c>
      <c r="H1000" t="s">
        <v>72</v>
      </c>
      <c r="I1000" s="1" t="s">
        <v>224</v>
      </c>
      <c r="J1000" s="1" t="s">
        <v>216</v>
      </c>
      <c r="K1000" s="9">
        <v>125.95</v>
      </c>
      <c r="L1000" t="s">
        <v>21</v>
      </c>
      <c r="M1000">
        <f t="shared" si="67"/>
        <v>0.12595000000000001</v>
      </c>
      <c r="N1000">
        <f t="shared" si="66"/>
        <v>39.0953838</v>
      </c>
    </row>
    <row r="1001" spans="1:14" x14ac:dyDescent="0.3">
      <c r="A1001" s="1" t="s">
        <v>40</v>
      </c>
      <c r="B1001">
        <v>6</v>
      </c>
      <c r="C1001">
        <v>13</v>
      </c>
      <c r="D1001" t="s">
        <v>74</v>
      </c>
      <c r="E1001">
        <v>23000000</v>
      </c>
      <c r="F1001">
        <f t="shared" si="65"/>
        <v>23000000</v>
      </c>
      <c r="G1001">
        <f t="shared" si="68"/>
        <v>74096.983286297851</v>
      </c>
      <c r="H1001" t="s">
        <v>72</v>
      </c>
      <c r="I1001" s="1" t="s">
        <v>224</v>
      </c>
      <c r="J1001" s="1" t="s">
        <v>216</v>
      </c>
      <c r="K1001" s="9">
        <v>156.69999999999999</v>
      </c>
      <c r="L1001" t="s">
        <v>21</v>
      </c>
      <c r="M1001">
        <f t="shared" si="67"/>
        <v>0.15669999999999998</v>
      </c>
      <c r="N1001">
        <f t="shared" si="66"/>
        <v>48.640306799999998</v>
      </c>
    </row>
    <row r="1002" spans="1:14" x14ac:dyDescent="0.3">
      <c r="A1002" s="1" t="s">
        <v>40</v>
      </c>
      <c r="B1002">
        <v>6</v>
      </c>
      <c r="C1002">
        <v>13</v>
      </c>
      <c r="D1002" t="s">
        <v>74</v>
      </c>
      <c r="E1002">
        <v>23000000</v>
      </c>
      <c r="F1002">
        <f t="shared" si="65"/>
        <v>23000000</v>
      </c>
      <c r="G1002">
        <f t="shared" si="68"/>
        <v>74096.983286297851</v>
      </c>
      <c r="H1002" t="s">
        <v>72</v>
      </c>
      <c r="I1002" s="1" t="s">
        <v>224</v>
      </c>
      <c r="J1002" s="1" t="s">
        <v>216</v>
      </c>
      <c r="K1002" s="9">
        <v>238.5</v>
      </c>
      <c r="L1002" t="s">
        <v>21</v>
      </c>
      <c r="M1002">
        <f t="shared" si="67"/>
        <v>0.23849999999999999</v>
      </c>
      <c r="N1002">
        <f t="shared" si="66"/>
        <v>74.031354000000007</v>
      </c>
    </row>
    <row r="1003" spans="1:14" x14ac:dyDescent="0.3">
      <c r="A1003" s="1" t="s">
        <v>40</v>
      </c>
      <c r="B1003">
        <v>6</v>
      </c>
      <c r="C1003">
        <v>13</v>
      </c>
      <c r="D1003" t="s">
        <v>74</v>
      </c>
      <c r="E1003">
        <v>23000000</v>
      </c>
      <c r="F1003">
        <f t="shared" si="65"/>
        <v>23000000</v>
      </c>
      <c r="G1003">
        <f t="shared" si="68"/>
        <v>74096.983286297851</v>
      </c>
      <c r="H1003" t="s">
        <v>72</v>
      </c>
      <c r="I1003" s="1" t="s">
        <v>224</v>
      </c>
      <c r="J1003" s="1" t="s">
        <v>216</v>
      </c>
      <c r="K1003" s="9">
        <v>64.260000000000005</v>
      </c>
      <c r="L1003" t="s">
        <v>21</v>
      </c>
      <c r="M1003">
        <f t="shared" si="67"/>
        <v>6.4260000000000012E-2</v>
      </c>
      <c r="N1003">
        <f t="shared" si="66"/>
        <v>19.946561040000006</v>
      </c>
    </row>
    <row r="1004" spans="1:14" x14ac:dyDescent="0.3">
      <c r="A1004" s="1" t="s">
        <v>40</v>
      </c>
      <c r="B1004">
        <v>6</v>
      </c>
      <c r="C1004">
        <v>13</v>
      </c>
      <c r="D1004" t="s">
        <v>74</v>
      </c>
      <c r="E1004">
        <v>23000000</v>
      </c>
      <c r="F1004">
        <f t="shared" si="65"/>
        <v>23000000</v>
      </c>
      <c r="G1004">
        <f t="shared" si="68"/>
        <v>74096.983286297851</v>
      </c>
      <c r="H1004" t="s">
        <v>72</v>
      </c>
      <c r="I1004" s="1" t="s">
        <v>224</v>
      </c>
      <c r="J1004" s="1" t="s">
        <v>216</v>
      </c>
      <c r="K1004" s="9" t="s">
        <v>20</v>
      </c>
      <c r="L1004" t="s">
        <v>21</v>
      </c>
      <c r="M1004" t="str">
        <f t="shared" si="67"/>
        <v>ND</v>
      </c>
      <c r="N1004" t="str">
        <f t="shared" si="66"/>
        <v>ND</v>
      </c>
    </row>
    <row r="1005" spans="1:14" x14ac:dyDescent="0.3">
      <c r="A1005" s="1" t="s">
        <v>40</v>
      </c>
      <c r="B1005">
        <v>6</v>
      </c>
      <c r="C1005">
        <v>13</v>
      </c>
      <c r="D1005" t="s">
        <v>74</v>
      </c>
      <c r="E1005">
        <v>23000000</v>
      </c>
      <c r="F1005">
        <f t="shared" si="65"/>
        <v>23000000</v>
      </c>
      <c r="G1005">
        <f t="shared" si="68"/>
        <v>74096.983286297851</v>
      </c>
      <c r="H1005" t="s">
        <v>72</v>
      </c>
      <c r="I1005" s="1" t="s">
        <v>224</v>
      </c>
      <c r="J1005" s="1" t="s">
        <v>216</v>
      </c>
      <c r="K1005" s="9">
        <v>539.71</v>
      </c>
      <c r="L1005" t="s">
        <v>21</v>
      </c>
      <c r="M1005">
        <f t="shared" si="67"/>
        <v>0.53971000000000002</v>
      </c>
      <c r="N1005">
        <f t="shared" si="66"/>
        <v>167.52814284000002</v>
      </c>
    </row>
    <row r="1006" spans="1:14" x14ac:dyDescent="0.3">
      <c r="A1006" s="1" t="s">
        <v>40</v>
      </c>
      <c r="B1006">
        <v>6</v>
      </c>
      <c r="C1006">
        <v>13</v>
      </c>
      <c r="D1006" t="s">
        <v>74</v>
      </c>
      <c r="E1006">
        <v>23000000</v>
      </c>
      <c r="F1006">
        <f t="shared" si="65"/>
        <v>23000000</v>
      </c>
      <c r="G1006">
        <f t="shared" si="68"/>
        <v>74096.983286297851</v>
      </c>
      <c r="H1006" t="s">
        <v>72</v>
      </c>
      <c r="I1006" s="1" t="s">
        <v>224</v>
      </c>
      <c r="J1006" s="1" t="s">
        <v>216</v>
      </c>
      <c r="K1006" s="9">
        <v>165.42</v>
      </c>
      <c r="L1006" t="s">
        <v>21</v>
      </c>
      <c r="M1006">
        <f t="shared" si="67"/>
        <v>0.16541999999999998</v>
      </c>
      <c r="N1006">
        <f t="shared" si="66"/>
        <v>51.347029679999999</v>
      </c>
    </row>
    <row r="1007" spans="1:14" x14ac:dyDescent="0.3">
      <c r="A1007" s="1" t="s">
        <v>41</v>
      </c>
      <c r="B1007">
        <v>6</v>
      </c>
      <c r="C1007">
        <v>13</v>
      </c>
      <c r="D1007" t="s">
        <v>74</v>
      </c>
      <c r="E1007">
        <v>23000000</v>
      </c>
      <c r="F1007">
        <f t="shared" si="65"/>
        <v>23000000</v>
      </c>
      <c r="G1007">
        <f t="shared" si="68"/>
        <v>74096.983286297851</v>
      </c>
      <c r="H1007" t="s">
        <v>72</v>
      </c>
      <c r="I1007" s="1" t="s">
        <v>224</v>
      </c>
      <c r="J1007" s="1" t="s">
        <v>216</v>
      </c>
      <c r="K1007" s="9">
        <v>25.68</v>
      </c>
      <c r="L1007" t="s">
        <v>21</v>
      </c>
      <c r="M1007">
        <f t="shared" si="67"/>
        <v>2.5680000000000001E-2</v>
      </c>
      <c r="N1007">
        <f t="shared" si="66"/>
        <v>7.9711747200000005</v>
      </c>
    </row>
    <row r="1008" spans="1:14" x14ac:dyDescent="0.3">
      <c r="A1008" s="1" t="s">
        <v>41</v>
      </c>
      <c r="B1008">
        <v>6</v>
      </c>
      <c r="C1008">
        <v>13</v>
      </c>
      <c r="D1008" t="s">
        <v>74</v>
      </c>
      <c r="E1008">
        <v>23000000</v>
      </c>
      <c r="F1008">
        <f t="shared" si="65"/>
        <v>23000000</v>
      </c>
      <c r="G1008">
        <f t="shared" si="68"/>
        <v>74096.983286297851</v>
      </c>
      <c r="H1008" t="s">
        <v>72</v>
      </c>
      <c r="I1008" s="1" t="s">
        <v>224</v>
      </c>
      <c r="J1008" s="1" t="s">
        <v>216</v>
      </c>
      <c r="K1008" s="9">
        <v>26.35</v>
      </c>
      <c r="L1008" t="s">
        <v>21</v>
      </c>
      <c r="M1008">
        <f t="shared" si="67"/>
        <v>2.6350000000000002E-2</v>
      </c>
      <c r="N1008">
        <f t="shared" si="66"/>
        <v>8.1791454000000012</v>
      </c>
    </row>
    <row r="1009" spans="1:14" x14ac:dyDescent="0.3">
      <c r="A1009" s="1" t="s">
        <v>41</v>
      </c>
      <c r="B1009">
        <v>6</v>
      </c>
      <c r="C1009">
        <v>13</v>
      </c>
      <c r="D1009" t="s">
        <v>74</v>
      </c>
      <c r="E1009">
        <v>23000000</v>
      </c>
      <c r="F1009">
        <f t="shared" si="65"/>
        <v>23000000</v>
      </c>
      <c r="G1009">
        <f t="shared" si="68"/>
        <v>74096.983286297851</v>
      </c>
      <c r="H1009" t="s">
        <v>72</v>
      </c>
      <c r="I1009" s="1" t="s">
        <v>224</v>
      </c>
      <c r="J1009" s="1" t="s">
        <v>216</v>
      </c>
      <c r="K1009" s="9">
        <v>25.26</v>
      </c>
      <c r="L1009" t="s">
        <v>21</v>
      </c>
      <c r="M1009">
        <f t="shared" si="67"/>
        <v>2.5260000000000001E-2</v>
      </c>
      <c r="N1009">
        <f t="shared" si="66"/>
        <v>7.8408050400000002</v>
      </c>
    </row>
    <row r="1010" spans="1:14" x14ac:dyDescent="0.3">
      <c r="A1010" s="1" t="s">
        <v>41</v>
      </c>
      <c r="B1010">
        <v>6</v>
      </c>
      <c r="C1010">
        <v>13</v>
      </c>
      <c r="D1010" t="s">
        <v>74</v>
      </c>
      <c r="E1010">
        <v>23000000</v>
      </c>
      <c r="F1010">
        <f t="shared" si="65"/>
        <v>23000000</v>
      </c>
      <c r="G1010">
        <f t="shared" si="68"/>
        <v>74096.983286297851</v>
      </c>
      <c r="H1010" t="s">
        <v>72</v>
      </c>
      <c r="I1010" s="1" t="s">
        <v>224</v>
      </c>
      <c r="J1010" s="1" t="s">
        <v>216</v>
      </c>
      <c r="K1010" s="9">
        <v>22.31</v>
      </c>
      <c r="L1010" t="s">
        <v>21</v>
      </c>
      <c r="M1010">
        <f t="shared" si="67"/>
        <v>2.231E-2</v>
      </c>
      <c r="N1010">
        <f t="shared" si="66"/>
        <v>6.9251132400000008</v>
      </c>
    </row>
    <row r="1011" spans="1:14" x14ac:dyDescent="0.3">
      <c r="A1011" s="1" t="s">
        <v>41</v>
      </c>
      <c r="B1011">
        <v>6</v>
      </c>
      <c r="C1011">
        <v>13</v>
      </c>
      <c r="D1011" t="s">
        <v>74</v>
      </c>
      <c r="E1011">
        <v>23000000</v>
      </c>
      <c r="F1011">
        <f t="shared" si="65"/>
        <v>23000000</v>
      </c>
      <c r="G1011">
        <f t="shared" si="68"/>
        <v>74096.983286297851</v>
      </c>
      <c r="H1011" t="s">
        <v>72</v>
      </c>
      <c r="I1011" s="1" t="s">
        <v>224</v>
      </c>
      <c r="J1011" s="1" t="s">
        <v>216</v>
      </c>
      <c r="K1011" s="9">
        <v>35.07</v>
      </c>
      <c r="L1011" t="s">
        <v>21</v>
      </c>
      <c r="M1011">
        <f t="shared" si="67"/>
        <v>3.5069999999999997E-2</v>
      </c>
      <c r="N1011">
        <f t="shared" si="66"/>
        <v>10.885868279999999</v>
      </c>
    </row>
    <row r="1012" spans="1:14" x14ac:dyDescent="0.3">
      <c r="A1012" s="1" t="s">
        <v>41</v>
      </c>
      <c r="B1012">
        <v>6</v>
      </c>
      <c r="C1012">
        <v>13</v>
      </c>
      <c r="D1012" t="s">
        <v>74</v>
      </c>
      <c r="E1012">
        <v>23000000</v>
      </c>
      <c r="F1012">
        <f t="shared" si="65"/>
        <v>23000000</v>
      </c>
      <c r="G1012">
        <f t="shared" si="68"/>
        <v>74096.983286297851</v>
      </c>
      <c r="H1012" t="s">
        <v>72</v>
      </c>
      <c r="I1012" s="1" t="s">
        <v>224</v>
      </c>
      <c r="J1012" s="1" t="s">
        <v>216</v>
      </c>
      <c r="K1012" s="9">
        <v>31.82</v>
      </c>
      <c r="L1012" t="s">
        <v>21</v>
      </c>
      <c r="M1012">
        <f t="shared" si="67"/>
        <v>3.1820000000000001E-2</v>
      </c>
      <c r="N1012">
        <f t="shared" si="66"/>
        <v>9.8770552800000004</v>
      </c>
    </row>
    <row r="1013" spans="1:14" x14ac:dyDescent="0.3">
      <c r="A1013" s="1" t="s">
        <v>41</v>
      </c>
      <c r="B1013">
        <v>6</v>
      </c>
      <c r="C1013">
        <v>13</v>
      </c>
      <c r="D1013" t="s">
        <v>74</v>
      </c>
      <c r="E1013">
        <v>23000000</v>
      </c>
      <c r="F1013">
        <f t="shared" si="65"/>
        <v>23000000</v>
      </c>
      <c r="G1013">
        <f t="shared" si="68"/>
        <v>74096.983286297851</v>
      </c>
      <c r="H1013" t="s">
        <v>72</v>
      </c>
      <c r="I1013" s="1" t="s">
        <v>224</v>
      </c>
      <c r="J1013" s="1" t="s">
        <v>216</v>
      </c>
      <c r="K1013" s="9">
        <v>26.83</v>
      </c>
      <c r="L1013" t="s">
        <v>21</v>
      </c>
      <c r="M1013">
        <f t="shared" si="67"/>
        <v>2.683E-2</v>
      </c>
      <c r="N1013">
        <f t="shared" si="66"/>
        <v>8.32813932</v>
      </c>
    </row>
    <row r="1014" spans="1:14" x14ac:dyDescent="0.3">
      <c r="A1014" s="1" t="s">
        <v>41</v>
      </c>
      <c r="B1014">
        <v>6</v>
      </c>
      <c r="C1014">
        <v>13</v>
      </c>
      <c r="D1014" t="s">
        <v>74</v>
      </c>
      <c r="E1014">
        <v>23000000</v>
      </c>
      <c r="F1014">
        <f t="shared" ref="F1014:F1077" si="69">E1014</f>
        <v>23000000</v>
      </c>
      <c r="G1014">
        <f t="shared" si="68"/>
        <v>74096.983286297851</v>
      </c>
      <c r="H1014" t="s">
        <v>72</v>
      </c>
      <c r="I1014" s="1" t="s">
        <v>224</v>
      </c>
      <c r="J1014" s="1" t="s">
        <v>216</v>
      </c>
      <c r="K1014" s="9">
        <v>32.43</v>
      </c>
      <c r="L1014" t="s">
        <v>21</v>
      </c>
      <c r="M1014">
        <f t="shared" si="67"/>
        <v>3.243E-2</v>
      </c>
      <c r="N1014">
        <f t="shared" si="66"/>
        <v>10.06640172</v>
      </c>
    </row>
    <row r="1015" spans="1:14" x14ac:dyDescent="0.3">
      <c r="A1015" s="1" t="s">
        <v>41</v>
      </c>
      <c r="B1015">
        <v>6</v>
      </c>
      <c r="C1015">
        <v>13</v>
      </c>
      <c r="D1015" t="s">
        <v>74</v>
      </c>
      <c r="E1015">
        <v>23000000</v>
      </c>
      <c r="F1015">
        <f t="shared" si="69"/>
        <v>23000000</v>
      </c>
      <c r="G1015">
        <f t="shared" si="68"/>
        <v>74096.983286297851</v>
      </c>
      <c r="H1015" t="s">
        <v>72</v>
      </c>
      <c r="I1015" s="1" t="s">
        <v>224</v>
      </c>
      <c r="J1015" s="1" t="s">
        <v>216</v>
      </c>
      <c r="K1015" s="9">
        <v>25.56</v>
      </c>
      <c r="L1015" t="s">
        <v>21</v>
      </c>
      <c r="M1015">
        <f t="shared" si="67"/>
        <v>2.5559999999999999E-2</v>
      </c>
      <c r="N1015">
        <f t="shared" si="66"/>
        <v>7.9339262400000008</v>
      </c>
    </row>
    <row r="1016" spans="1:14" x14ac:dyDescent="0.3">
      <c r="A1016" s="1" t="s">
        <v>41</v>
      </c>
      <c r="B1016">
        <v>6</v>
      </c>
      <c r="C1016">
        <v>13</v>
      </c>
      <c r="D1016" t="s">
        <v>74</v>
      </c>
      <c r="E1016">
        <v>23000000</v>
      </c>
      <c r="F1016">
        <f t="shared" si="69"/>
        <v>23000000</v>
      </c>
      <c r="G1016">
        <f t="shared" si="68"/>
        <v>74096.983286297851</v>
      </c>
      <c r="H1016" t="s">
        <v>72</v>
      </c>
      <c r="I1016" s="1" t="s">
        <v>224</v>
      </c>
      <c r="J1016" s="1" t="s">
        <v>216</v>
      </c>
      <c r="K1016" s="9">
        <v>32.36</v>
      </c>
      <c r="L1016" t="s">
        <v>21</v>
      </c>
      <c r="M1016">
        <f t="shared" si="67"/>
        <v>3.236E-2</v>
      </c>
      <c r="N1016">
        <f t="shared" si="66"/>
        <v>10.04467344</v>
      </c>
    </row>
    <row r="1017" spans="1:14" x14ac:dyDescent="0.3">
      <c r="A1017" s="1" t="s">
        <v>41</v>
      </c>
      <c r="B1017">
        <v>6</v>
      </c>
      <c r="C1017">
        <v>13</v>
      </c>
      <c r="D1017" t="s">
        <v>74</v>
      </c>
      <c r="E1017">
        <v>23000000</v>
      </c>
      <c r="F1017">
        <f t="shared" si="69"/>
        <v>23000000</v>
      </c>
      <c r="G1017">
        <f t="shared" si="68"/>
        <v>74096.983286297851</v>
      </c>
      <c r="H1017" t="s">
        <v>72</v>
      </c>
      <c r="I1017" s="1" t="s">
        <v>224</v>
      </c>
      <c r="J1017" s="1" t="s">
        <v>216</v>
      </c>
      <c r="K1017" s="9">
        <v>44.21</v>
      </c>
      <c r="L1017" t="s">
        <v>21</v>
      </c>
      <c r="M1017">
        <f t="shared" si="67"/>
        <v>4.4209999999999999E-2</v>
      </c>
      <c r="N1017">
        <f t="shared" si="66"/>
        <v>13.722960840000001</v>
      </c>
    </row>
    <row r="1018" spans="1:14" x14ac:dyDescent="0.3">
      <c r="A1018" s="1" t="s">
        <v>41</v>
      </c>
      <c r="B1018">
        <v>6</v>
      </c>
      <c r="C1018">
        <v>13</v>
      </c>
      <c r="D1018" t="s">
        <v>74</v>
      </c>
      <c r="E1018">
        <v>23000000</v>
      </c>
      <c r="F1018">
        <f t="shared" si="69"/>
        <v>23000000</v>
      </c>
      <c r="G1018">
        <f t="shared" si="68"/>
        <v>74096.983286297851</v>
      </c>
      <c r="H1018" t="s">
        <v>72</v>
      </c>
      <c r="I1018" s="1" t="s">
        <v>224</v>
      </c>
      <c r="J1018" s="1" t="s">
        <v>216</v>
      </c>
      <c r="K1018" s="9">
        <v>43.82</v>
      </c>
      <c r="L1018" t="s">
        <v>21</v>
      </c>
      <c r="M1018">
        <f t="shared" si="67"/>
        <v>4.3819999999999998E-2</v>
      </c>
      <c r="N1018">
        <f t="shared" si="66"/>
        <v>13.601903280000002</v>
      </c>
    </row>
    <row r="1019" spans="1:14" x14ac:dyDescent="0.3">
      <c r="A1019" s="1" t="s">
        <v>41</v>
      </c>
      <c r="B1019">
        <v>6</v>
      </c>
      <c r="C1019">
        <v>13</v>
      </c>
      <c r="D1019" t="s">
        <v>74</v>
      </c>
      <c r="E1019">
        <v>23000000</v>
      </c>
      <c r="F1019">
        <f t="shared" si="69"/>
        <v>23000000</v>
      </c>
      <c r="G1019">
        <f t="shared" si="68"/>
        <v>74096.983286297851</v>
      </c>
      <c r="H1019" t="s">
        <v>72</v>
      </c>
      <c r="I1019" s="1" t="s">
        <v>224</v>
      </c>
      <c r="J1019" s="1" t="s">
        <v>216</v>
      </c>
      <c r="K1019" s="9">
        <v>28.24</v>
      </c>
      <c r="L1019" t="s">
        <v>21</v>
      </c>
      <c r="M1019">
        <f t="shared" si="67"/>
        <v>2.8239999999999998E-2</v>
      </c>
      <c r="N1019">
        <f t="shared" si="66"/>
        <v>8.7658089600000011</v>
      </c>
    </row>
    <row r="1020" spans="1:14" x14ac:dyDescent="0.3">
      <c r="A1020" s="1" t="s">
        <v>41</v>
      </c>
      <c r="B1020">
        <v>6</v>
      </c>
      <c r="C1020">
        <v>13</v>
      </c>
      <c r="D1020" t="s">
        <v>74</v>
      </c>
      <c r="E1020">
        <v>23000000</v>
      </c>
      <c r="F1020">
        <f t="shared" si="69"/>
        <v>23000000</v>
      </c>
      <c r="G1020">
        <f t="shared" si="68"/>
        <v>74096.983286297851</v>
      </c>
      <c r="H1020" t="s">
        <v>72</v>
      </c>
      <c r="I1020" s="1" t="s">
        <v>224</v>
      </c>
      <c r="J1020" s="1" t="s">
        <v>216</v>
      </c>
      <c r="K1020" s="9">
        <v>35.46</v>
      </c>
      <c r="L1020" t="s">
        <v>21</v>
      </c>
      <c r="M1020">
        <f t="shared" si="67"/>
        <v>3.5459999999999998E-2</v>
      </c>
      <c r="N1020">
        <f t="shared" si="66"/>
        <v>11.006925840000001</v>
      </c>
    </row>
    <row r="1021" spans="1:14" x14ac:dyDescent="0.3">
      <c r="A1021" s="1" t="s">
        <v>41</v>
      </c>
      <c r="B1021">
        <v>6</v>
      </c>
      <c r="C1021">
        <v>13</v>
      </c>
      <c r="D1021" t="s">
        <v>74</v>
      </c>
      <c r="E1021">
        <v>23000000</v>
      </c>
      <c r="F1021">
        <f t="shared" si="69"/>
        <v>23000000</v>
      </c>
      <c r="G1021">
        <f t="shared" si="68"/>
        <v>74096.983286297851</v>
      </c>
      <c r="H1021" t="s">
        <v>72</v>
      </c>
      <c r="I1021" s="1" t="s">
        <v>224</v>
      </c>
      <c r="J1021" s="1" t="s">
        <v>216</v>
      </c>
      <c r="K1021" s="9">
        <v>35.92</v>
      </c>
      <c r="L1021" t="s">
        <v>21</v>
      </c>
      <c r="M1021">
        <f t="shared" si="67"/>
        <v>3.5920000000000001E-2</v>
      </c>
      <c r="N1021">
        <f t="shared" si="66"/>
        <v>11.149711680000001</v>
      </c>
    </row>
    <row r="1022" spans="1:14" x14ac:dyDescent="0.3">
      <c r="A1022" s="1" t="s">
        <v>41</v>
      </c>
      <c r="B1022">
        <v>6</v>
      </c>
      <c r="C1022">
        <v>13</v>
      </c>
      <c r="D1022" t="s">
        <v>74</v>
      </c>
      <c r="E1022">
        <v>23000000</v>
      </c>
      <c r="F1022">
        <f t="shared" si="69"/>
        <v>23000000</v>
      </c>
      <c r="G1022">
        <f t="shared" si="68"/>
        <v>74096.983286297851</v>
      </c>
      <c r="H1022" t="s">
        <v>72</v>
      </c>
      <c r="I1022" s="1" t="s">
        <v>224</v>
      </c>
      <c r="J1022" s="1" t="s">
        <v>216</v>
      </c>
      <c r="K1022" s="9">
        <v>19.649999999999999</v>
      </c>
      <c r="L1022" t="s">
        <v>21</v>
      </c>
      <c r="M1022">
        <f t="shared" si="67"/>
        <v>1.9649999999999997E-2</v>
      </c>
      <c r="N1022">
        <f t="shared" si="66"/>
        <v>6.0994386</v>
      </c>
    </row>
    <row r="1023" spans="1:14" x14ac:dyDescent="0.3">
      <c r="A1023" s="1" t="s">
        <v>41</v>
      </c>
      <c r="B1023">
        <v>6</v>
      </c>
      <c r="C1023">
        <v>13</v>
      </c>
      <c r="D1023" t="s">
        <v>74</v>
      </c>
      <c r="E1023">
        <v>23000000</v>
      </c>
      <c r="F1023">
        <f t="shared" si="69"/>
        <v>23000000</v>
      </c>
      <c r="G1023">
        <f t="shared" si="68"/>
        <v>74096.983286297851</v>
      </c>
      <c r="H1023" t="s">
        <v>72</v>
      </c>
      <c r="I1023" s="1" t="s">
        <v>224</v>
      </c>
      <c r="J1023" s="1" t="s">
        <v>216</v>
      </c>
      <c r="K1023" s="9">
        <v>29.31</v>
      </c>
      <c r="L1023" t="s">
        <v>21</v>
      </c>
      <c r="M1023">
        <f t="shared" si="67"/>
        <v>2.9309999999999999E-2</v>
      </c>
      <c r="N1023">
        <f t="shared" si="66"/>
        <v>9.0979412400000008</v>
      </c>
    </row>
    <row r="1024" spans="1:14" x14ac:dyDescent="0.3">
      <c r="A1024" s="1" t="s">
        <v>41</v>
      </c>
      <c r="B1024">
        <v>6</v>
      </c>
      <c r="C1024">
        <v>13</v>
      </c>
      <c r="D1024" t="s">
        <v>74</v>
      </c>
      <c r="E1024">
        <v>23000000</v>
      </c>
      <c r="F1024">
        <f t="shared" si="69"/>
        <v>23000000</v>
      </c>
      <c r="G1024">
        <f t="shared" si="68"/>
        <v>74096.983286297851</v>
      </c>
      <c r="H1024" t="s">
        <v>72</v>
      </c>
      <c r="I1024" s="1" t="s">
        <v>224</v>
      </c>
      <c r="J1024" s="1" t="s">
        <v>216</v>
      </c>
      <c r="K1024" s="9">
        <v>61.88</v>
      </c>
      <c r="L1024" t="s">
        <v>21</v>
      </c>
      <c r="M1024">
        <f t="shared" si="67"/>
        <v>6.1880000000000004E-2</v>
      </c>
      <c r="N1024">
        <f t="shared" si="66"/>
        <v>19.207799520000002</v>
      </c>
    </row>
    <row r="1025" spans="1:14" x14ac:dyDescent="0.3">
      <c r="A1025" s="1" t="s">
        <v>41</v>
      </c>
      <c r="B1025">
        <v>6</v>
      </c>
      <c r="C1025">
        <v>13</v>
      </c>
      <c r="D1025" t="s">
        <v>74</v>
      </c>
      <c r="E1025">
        <v>23000000</v>
      </c>
      <c r="F1025">
        <f t="shared" si="69"/>
        <v>23000000</v>
      </c>
      <c r="G1025">
        <f t="shared" si="68"/>
        <v>74096.983286297851</v>
      </c>
      <c r="H1025" t="s">
        <v>72</v>
      </c>
      <c r="I1025" s="1" t="s">
        <v>224</v>
      </c>
      <c r="J1025" s="1" t="s">
        <v>216</v>
      </c>
      <c r="K1025" s="9">
        <v>42.22</v>
      </c>
      <c r="L1025" t="s">
        <v>21</v>
      </c>
      <c r="M1025">
        <f t="shared" si="67"/>
        <v>4.2220000000000001E-2</v>
      </c>
      <c r="N1025">
        <f t="shared" si="66"/>
        <v>13.105256880000001</v>
      </c>
    </row>
    <row r="1026" spans="1:14" x14ac:dyDescent="0.3">
      <c r="A1026" s="1" t="s">
        <v>41</v>
      </c>
      <c r="B1026">
        <v>6</v>
      </c>
      <c r="C1026">
        <v>13</v>
      </c>
      <c r="D1026" t="s">
        <v>74</v>
      </c>
      <c r="E1026">
        <v>23000000</v>
      </c>
      <c r="F1026">
        <f t="shared" si="69"/>
        <v>23000000</v>
      </c>
      <c r="G1026">
        <f t="shared" si="68"/>
        <v>74096.983286297851</v>
      </c>
      <c r="H1026" t="s">
        <v>72</v>
      </c>
      <c r="I1026" s="1" t="s">
        <v>224</v>
      </c>
      <c r="J1026" s="1" t="s">
        <v>216</v>
      </c>
      <c r="K1026" s="9">
        <v>24.52</v>
      </c>
      <c r="L1026" t="s">
        <v>21</v>
      </c>
      <c r="M1026">
        <f t="shared" si="67"/>
        <v>2.452E-2</v>
      </c>
      <c r="N1026">
        <f t="shared" ref="N1026:N1089" si="70">IFERROR((M1026*F1026)/G1026,"ND")</f>
        <v>7.6111060800000008</v>
      </c>
    </row>
    <row r="1027" spans="1:14" x14ac:dyDescent="0.3">
      <c r="A1027" s="1" t="s">
        <v>41</v>
      </c>
      <c r="B1027">
        <v>6</v>
      </c>
      <c r="C1027">
        <v>13</v>
      </c>
      <c r="D1027" t="s">
        <v>74</v>
      </c>
      <c r="E1027">
        <v>23000000</v>
      </c>
      <c r="F1027">
        <f t="shared" si="69"/>
        <v>23000000</v>
      </c>
      <c r="G1027">
        <f t="shared" si="68"/>
        <v>74096.983286297851</v>
      </c>
      <c r="H1027" t="s">
        <v>72</v>
      </c>
      <c r="I1027" s="1" t="s">
        <v>224</v>
      </c>
      <c r="J1027" s="1" t="s">
        <v>216</v>
      </c>
      <c r="K1027" s="9">
        <v>17.690000000000001</v>
      </c>
      <c r="L1027" t="s">
        <v>21</v>
      </c>
      <c r="M1027">
        <f t="shared" si="67"/>
        <v>1.7690000000000001E-2</v>
      </c>
      <c r="N1027">
        <f t="shared" si="70"/>
        <v>5.4910467600000006</v>
      </c>
    </row>
    <row r="1028" spans="1:14" x14ac:dyDescent="0.3">
      <c r="A1028" s="1" t="s">
        <v>41</v>
      </c>
      <c r="B1028">
        <v>6</v>
      </c>
      <c r="C1028">
        <v>13</v>
      </c>
      <c r="D1028" t="s">
        <v>74</v>
      </c>
      <c r="E1028">
        <v>23000000</v>
      </c>
      <c r="F1028">
        <f t="shared" si="69"/>
        <v>23000000</v>
      </c>
      <c r="G1028">
        <f t="shared" si="68"/>
        <v>74096.983286297851</v>
      </c>
      <c r="H1028" t="s">
        <v>72</v>
      </c>
      <c r="I1028" s="1" t="s">
        <v>224</v>
      </c>
      <c r="J1028" s="1" t="s">
        <v>216</v>
      </c>
      <c r="K1028" s="9">
        <v>33.9</v>
      </c>
      <c r="L1028" t="s">
        <v>21</v>
      </c>
      <c r="M1028">
        <f t="shared" si="67"/>
        <v>3.39E-2</v>
      </c>
      <c r="N1028">
        <f t="shared" si="70"/>
        <v>10.5226956</v>
      </c>
    </row>
    <row r="1029" spans="1:14" x14ac:dyDescent="0.3">
      <c r="A1029" s="1" t="s">
        <v>41</v>
      </c>
      <c r="B1029">
        <v>6</v>
      </c>
      <c r="C1029">
        <v>13</v>
      </c>
      <c r="D1029" t="s">
        <v>74</v>
      </c>
      <c r="E1029">
        <v>23000000</v>
      </c>
      <c r="F1029">
        <f t="shared" si="69"/>
        <v>23000000</v>
      </c>
      <c r="G1029">
        <f t="shared" si="68"/>
        <v>74096.983286297851</v>
      </c>
      <c r="H1029" t="s">
        <v>72</v>
      </c>
      <c r="I1029" s="1" t="s">
        <v>224</v>
      </c>
      <c r="J1029" s="1" t="s">
        <v>216</v>
      </c>
      <c r="K1029" s="9">
        <v>20.64</v>
      </c>
      <c r="L1029" t="s">
        <v>21</v>
      </c>
      <c r="M1029">
        <f t="shared" si="67"/>
        <v>2.0640000000000002E-2</v>
      </c>
      <c r="N1029">
        <f t="shared" si="70"/>
        <v>6.4067385600000009</v>
      </c>
    </row>
    <row r="1030" spans="1:14" x14ac:dyDescent="0.3">
      <c r="A1030" s="1" t="s">
        <v>41</v>
      </c>
      <c r="B1030">
        <v>6</v>
      </c>
      <c r="C1030">
        <v>13</v>
      </c>
      <c r="D1030" t="s">
        <v>74</v>
      </c>
      <c r="E1030">
        <v>23000000</v>
      </c>
      <c r="F1030">
        <f t="shared" si="69"/>
        <v>23000000</v>
      </c>
      <c r="G1030">
        <f t="shared" si="68"/>
        <v>74096.983286297851</v>
      </c>
      <c r="H1030" t="s">
        <v>72</v>
      </c>
      <c r="I1030" s="1" t="s">
        <v>224</v>
      </c>
      <c r="J1030" s="1" t="s">
        <v>216</v>
      </c>
      <c r="K1030" s="9">
        <v>29.11</v>
      </c>
      <c r="L1030" t="s">
        <v>21</v>
      </c>
      <c r="M1030">
        <f t="shared" si="67"/>
        <v>2.911E-2</v>
      </c>
      <c r="N1030">
        <f t="shared" si="70"/>
        <v>9.0358604400000004</v>
      </c>
    </row>
    <row r="1031" spans="1:14" x14ac:dyDescent="0.3">
      <c r="A1031" s="1" t="s">
        <v>41</v>
      </c>
      <c r="B1031">
        <v>6</v>
      </c>
      <c r="C1031">
        <v>13</v>
      </c>
      <c r="D1031" t="s">
        <v>74</v>
      </c>
      <c r="E1031">
        <v>23000000</v>
      </c>
      <c r="F1031">
        <f t="shared" si="69"/>
        <v>23000000</v>
      </c>
      <c r="G1031">
        <f t="shared" si="68"/>
        <v>74096.983286297851</v>
      </c>
      <c r="H1031" t="s">
        <v>72</v>
      </c>
      <c r="I1031" s="1" t="s">
        <v>224</v>
      </c>
      <c r="J1031" s="1" t="s">
        <v>216</v>
      </c>
      <c r="K1031" s="9">
        <v>131.54</v>
      </c>
      <c r="L1031" t="s">
        <v>21</v>
      </c>
      <c r="M1031">
        <f t="shared" si="67"/>
        <v>0.13153999999999999</v>
      </c>
      <c r="N1031">
        <f t="shared" si="70"/>
        <v>40.83054216</v>
      </c>
    </row>
    <row r="1032" spans="1:14" x14ac:dyDescent="0.3">
      <c r="A1032" s="1" t="s">
        <v>41</v>
      </c>
      <c r="B1032">
        <v>6</v>
      </c>
      <c r="C1032">
        <v>13</v>
      </c>
      <c r="D1032" t="s">
        <v>74</v>
      </c>
      <c r="E1032">
        <v>23000000</v>
      </c>
      <c r="F1032">
        <f t="shared" si="69"/>
        <v>23000000</v>
      </c>
      <c r="G1032">
        <f t="shared" si="68"/>
        <v>74096.983286297851</v>
      </c>
      <c r="H1032" t="s">
        <v>72</v>
      </c>
      <c r="I1032" s="1" t="s">
        <v>224</v>
      </c>
      <c r="J1032" s="1" t="s">
        <v>216</v>
      </c>
      <c r="K1032" s="9">
        <v>86.42</v>
      </c>
      <c r="L1032" t="s">
        <v>21</v>
      </c>
      <c r="M1032">
        <f t="shared" si="67"/>
        <v>8.6419999999999997E-2</v>
      </c>
      <c r="N1032">
        <f t="shared" si="70"/>
        <v>26.825113680000001</v>
      </c>
    </row>
    <row r="1033" spans="1:14" x14ac:dyDescent="0.3">
      <c r="A1033" s="1" t="s">
        <v>41</v>
      </c>
      <c r="B1033">
        <v>6</v>
      </c>
      <c r="C1033">
        <v>13</v>
      </c>
      <c r="D1033" t="s">
        <v>74</v>
      </c>
      <c r="E1033">
        <v>23000000</v>
      </c>
      <c r="F1033">
        <f t="shared" si="69"/>
        <v>23000000</v>
      </c>
      <c r="G1033">
        <f t="shared" si="68"/>
        <v>74096.983286297851</v>
      </c>
      <c r="H1033" t="s">
        <v>72</v>
      </c>
      <c r="I1033" s="1" t="s">
        <v>224</v>
      </c>
      <c r="J1033" s="1" t="s">
        <v>216</v>
      </c>
      <c r="K1033" s="9">
        <v>64.900000000000006</v>
      </c>
      <c r="L1033" t="s">
        <v>21</v>
      </c>
      <c r="M1033">
        <f t="shared" si="67"/>
        <v>6.4899999999999999E-2</v>
      </c>
      <c r="N1033">
        <f t="shared" si="70"/>
        <v>20.145219600000001</v>
      </c>
    </row>
    <row r="1034" spans="1:14" x14ac:dyDescent="0.3">
      <c r="A1034" s="1" t="s">
        <v>41</v>
      </c>
      <c r="B1034">
        <v>6</v>
      </c>
      <c r="C1034">
        <v>13</v>
      </c>
      <c r="D1034" t="s">
        <v>74</v>
      </c>
      <c r="E1034">
        <v>23000000</v>
      </c>
      <c r="F1034">
        <f t="shared" si="69"/>
        <v>23000000</v>
      </c>
      <c r="G1034">
        <f t="shared" si="68"/>
        <v>74096.983286297851</v>
      </c>
      <c r="H1034" t="s">
        <v>72</v>
      </c>
      <c r="I1034" s="1" t="s">
        <v>224</v>
      </c>
      <c r="J1034" s="1" t="s">
        <v>216</v>
      </c>
      <c r="K1034" s="9">
        <v>51.47</v>
      </c>
      <c r="L1034" t="s">
        <v>21</v>
      </c>
      <c r="M1034">
        <f t="shared" si="67"/>
        <v>5.1470000000000002E-2</v>
      </c>
      <c r="N1034">
        <f t="shared" si="70"/>
        <v>15.976493880000001</v>
      </c>
    </row>
    <row r="1035" spans="1:14" x14ac:dyDescent="0.3">
      <c r="A1035" s="1" t="s">
        <v>41</v>
      </c>
      <c r="B1035">
        <v>6</v>
      </c>
      <c r="C1035">
        <v>13</v>
      </c>
      <c r="D1035" t="s">
        <v>74</v>
      </c>
      <c r="E1035">
        <v>23000000</v>
      </c>
      <c r="F1035">
        <f t="shared" si="69"/>
        <v>23000000</v>
      </c>
      <c r="G1035">
        <f t="shared" si="68"/>
        <v>74096.983286297851</v>
      </c>
      <c r="H1035" t="s">
        <v>72</v>
      </c>
      <c r="I1035" s="1" t="s">
        <v>224</v>
      </c>
      <c r="J1035" s="1" t="s">
        <v>216</v>
      </c>
      <c r="K1035" s="9">
        <v>36.17</v>
      </c>
      <c r="L1035" t="s">
        <v>21</v>
      </c>
      <c r="M1035">
        <f t="shared" si="67"/>
        <v>3.6170000000000001E-2</v>
      </c>
      <c r="N1035">
        <f t="shared" si="70"/>
        <v>11.227312680000001</v>
      </c>
    </row>
    <row r="1036" spans="1:14" x14ac:dyDescent="0.3">
      <c r="A1036" s="1" t="s">
        <v>41</v>
      </c>
      <c r="B1036">
        <v>6</v>
      </c>
      <c r="C1036">
        <v>13</v>
      </c>
      <c r="D1036" t="s">
        <v>74</v>
      </c>
      <c r="E1036">
        <v>23000000</v>
      </c>
      <c r="F1036">
        <f t="shared" si="69"/>
        <v>23000000</v>
      </c>
      <c r="G1036">
        <f t="shared" si="68"/>
        <v>74096.983286297851</v>
      </c>
      <c r="H1036" t="s">
        <v>72</v>
      </c>
      <c r="I1036" s="1" t="s">
        <v>224</v>
      </c>
      <c r="J1036" s="1" t="s">
        <v>216</v>
      </c>
      <c r="K1036" s="9">
        <v>20.96</v>
      </c>
      <c r="L1036" t="s">
        <v>21</v>
      </c>
      <c r="M1036">
        <f t="shared" si="67"/>
        <v>2.0959999999999999E-2</v>
      </c>
      <c r="N1036">
        <f t="shared" si="70"/>
        <v>6.5060678400000009</v>
      </c>
    </row>
    <row r="1037" spans="1:14" x14ac:dyDescent="0.3">
      <c r="A1037" s="1" t="s">
        <v>41</v>
      </c>
      <c r="B1037">
        <v>6</v>
      </c>
      <c r="C1037">
        <v>13</v>
      </c>
      <c r="D1037" t="s">
        <v>74</v>
      </c>
      <c r="E1037">
        <v>23000000</v>
      </c>
      <c r="F1037">
        <f t="shared" si="69"/>
        <v>23000000</v>
      </c>
      <c r="G1037">
        <f t="shared" si="68"/>
        <v>74096.983286297851</v>
      </c>
      <c r="H1037" t="s">
        <v>72</v>
      </c>
      <c r="I1037" s="1" t="s">
        <v>224</v>
      </c>
      <c r="J1037" s="1" t="s">
        <v>216</v>
      </c>
      <c r="K1037" s="9">
        <v>34.54</v>
      </c>
      <c r="L1037" t="s">
        <v>21</v>
      </c>
      <c r="M1037">
        <f t="shared" si="67"/>
        <v>3.4540000000000001E-2</v>
      </c>
      <c r="N1037">
        <f t="shared" si="70"/>
        <v>10.721354160000001</v>
      </c>
    </row>
    <row r="1038" spans="1:14" x14ac:dyDescent="0.3">
      <c r="A1038" s="1" t="s">
        <v>41</v>
      </c>
      <c r="B1038">
        <v>6</v>
      </c>
      <c r="C1038">
        <v>13</v>
      </c>
      <c r="D1038" t="s">
        <v>74</v>
      </c>
      <c r="E1038">
        <v>23000000</v>
      </c>
      <c r="F1038">
        <f t="shared" si="69"/>
        <v>23000000</v>
      </c>
      <c r="G1038">
        <f t="shared" si="68"/>
        <v>74096.983286297851</v>
      </c>
      <c r="H1038" t="s">
        <v>72</v>
      </c>
      <c r="I1038" s="1" t="s">
        <v>224</v>
      </c>
      <c r="J1038" s="1" t="s">
        <v>216</v>
      </c>
      <c r="K1038" s="9">
        <v>5.66</v>
      </c>
      <c r="L1038" t="s">
        <v>21</v>
      </c>
      <c r="M1038">
        <f t="shared" si="67"/>
        <v>5.6600000000000001E-3</v>
      </c>
      <c r="N1038">
        <f t="shared" si="70"/>
        <v>1.7568866400000001</v>
      </c>
    </row>
    <row r="1039" spans="1:14" x14ac:dyDescent="0.3">
      <c r="A1039" s="1" t="s">
        <v>41</v>
      </c>
      <c r="B1039">
        <v>6</v>
      </c>
      <c r="C1039">
        <v>13</v>
      </c>
      <c r="D1039" t="s">
        <v>74</v>
      </c>
      <c r="E1039">
        <v>23000000</v>
      </c>
      <c r="F1039">
        <f t="shared" si="69"/>
        <v>23000000</v>
      </c>
      <c r="G1039">
        <f t="shared" si="68"/>
        <v>74096.983286297851</v>
      </c>
      <c r="H1039" t="s">
        <v>72</v>
      </c>
      <c r="I1039" s="1" t="s">
        <v>224</v>
      </c>
      <c r="J1039" s="1" t="s">
        <v>216</v>
      </c>
      <c r="K1039" s="9">
        <v>31.01</v>
      </c>
      <c r="L1039" t="s">
        <v>21</v>
      </c>
      <c r="M1039">
        <f t="shared" si="67"/>
        <v>3.1010000000000003E-2</v>
      </c>
      <c r="N1039">
        <f t="shared" si="70"/>
        <v>9.6256280400000023</v>
      </c>
    </row>
    <row r="1040" spans="1:14" x14ac:dyDescent="0.3">
      <c r="A1040" s="1" t="s">
        <v>41</v>
      </c>
      <c r="B1040">
        <v>6</v>
      </c>
      <c r="C1040">
        <v>13</v>
      </c>
      <c r="D1040" t="s">
        <v>74</v>
      </c>
      <c r="E1040">
        <v>23000000</v>
      </c>
      <c r="F1040">
        <f t="shared" si="69"/>
        <v>23000000</v>
      </c>
      <c r="G1040">
        <f t="shared" si="68"/>
        <v>74096.983286297851</v>
      </c>
      <c r="H1040" t="s">
        <v>72</v>
      </c>
      <c r="I1040" s="1" t="s">
        <v>224</v>
      </c>
      <c r="J1040" s="1" t="s">
        <v>216</v>
      </c>
      <c r="K1040" s="9" t="s">
        <v>20</v>
      </c>
      <c r="L1040" t="s">
        <v>21</v>
      </c>
      <c r="M1040" t="str">
        <f t="shared" si="67"/>
        <v>ND</v>
      </c>
      <c r="N1040" t="str">
        <f t="shared" si="70"/>
        <v>ND</v>
      </c>
    </row>
    <row r="1041" spans="1:14" x14ac:dyDescent="0.3">
      <c r="A1041" s="1" t="s">
        <v>41</v>
      </c>
      <c r="B1041">
        <v>6</v>
      </c>
      <c r="C1041">
        <v>13</v>
      </c>
      <c r="D1041" t="s">
        <v>74</v>
      </c>
      <c r="E1041">
        <v>23000000</v>
      </c>
      <c r="F1041">
        <f t="shared" si="69"/>
        <v>23000000</v>
      </c>
      <c r="G1041">
        <f t="shared" si="68"/>
        <v>74096.983286297851</v>
      </c>
      <c r="H1041" t="s">
        <v>72</v>
      </c>
      <c r="I1041" s="1" t="s">
        <v>224</v>
      </c>
      <c r="J1041" s="1" t="s">
        <v>216</v>
      </c>
      <c r="K1041" s="9" t="s">
        <v>20</v>
      </c>
      <c r="L1041" t="s">
        <v>21</v>
      </c>
      <c r="M1041" t="str">
        <f t="shared" si="67"/>
        <v>ND</v>
      </c>
      <c r="N1041" t="str">
        <f t="shared" si="70"/>
        <v>ND</v>
      </c>
    </row>
    <row r="1042" spans="1:14" x14ac:dyDescent="0.3">
      <c r="A1042" s="1" t="s">
        <v>41</v>
      </c>
      <c r="B1042">
        <v>6</v>
      </c>
      <c r="C1042">
        <v>13</v>
      </c>
      <c r="D1042" t="s">
        <v>74</v>
      </c>
      <c r="E1042">
        <v>23000000</v>
      </c>
      <c r="F1042">
        <f t="shared" si="69"/>
        <v>23000000</v>
      </c>
      <c r="G1042">
        <f t="shared" si="68"/>
        <v>74096.983286297851</v>
      </c>
      <c r="H1042" t="s">
        <v>72</v>
      </c>
      <c r="I1042" s="1" t="s">
        <v>224</v>
      </c>
      <c r="J1042" s="1" t="s">
        <v>216</v>
      </c>
      <c r="K1042" s="9">
        <v>172.86</v>
      </c>
      <c r="L1042" t="s">
        <v>21</v>
      </c>
      <c r="M1042">
        <f t="shared" si="67"/>
        <v>0.17286000000000001</v>
      </c>
      <c r="N1042">
        <f t="shared" si="70"/>
        <v>53.65643544000001</v>
      </c>
    </row>
    <row r="1043" spans="1:14" x14ac:dyDescent="0.3">
      <c r="A1043" s="1" t="s">
        <v>41</v>
      </c>
      <c r="B1043">
        <v>6</v>
      </c>
      <c r="C1043">
        <v>13</v>
      </c>
      <c r="D1043" t="s">
        <v>74</v>
      </c>
      <c r="E1043">
        <v>23000000</v>
      </c>
      <c r="F1043">
        <f t="shared" si="69"/>
        <v>23000000</v>
      </c>
      <c r="G1043">
        <f t="shared" si="68"/>
        <v>74096.983286297851</v>
      </c>
      <c r="H1043" t="s">
        <v>72</v>
      </c>
      <c r="I1043" s="1" t="s">
        <v>224</v>
      </c>
      <c r="J1043" s="1" t="s">
        <v>216</v>
      </c>
      <c r="K1043" s="9">
        <v>421.3</v>
      </c>
      <c r="L1043" t="s">
        <v>21</v>
      </c>
      <c r="M1043">
        <f t="shared" si="67"/>
        <v>0.42130000000000001</v>
      </c>
      <c r="N1043">
        <f t="shared" si="70"/>
        <v>130.77320520000001</v>
      </c>
    </row>
    <row r="1044" spans="1:14" x14ac:dyDescent="0.3">
      <c r="A1044" s="1" t="s">
        <v>41</v>
      </c>
      <c r="B1044">
        <v>6</v>
      </c>
      <c r="C1044">
        <v>13</v>
      </c>
      <c r="D1044" t="s">
        <v>74</v>
      </c>
      <c r="E1044">
        <v>23000000</v>
      </c>
      <c r="F1044">
        <f t="shared" si="69"/>
        <v>23000000</v>
      </c>
      <c r="G1044">
        <f t="shared" si="68"/>
        <v>74096.983286297851</v>
      </c>
      <c r="H1044" t="s">
        <v>72</v>
      </c>
      <c r="I1044" s="1" t="s">
        <v>224</v>
      </c>
      <c r="J1044" s="1" t="s">
        <v>216</v>
      </c>
      <c r="K1044" s="9">
        <v>266.06</v>
      </c>
      <c r="L1044" t="s">
        <v>21</v>
      </c>
      <c r="M1044">
        <f t="shared" si="67"/>
        <v>0.26606000000000002</v>
      </c>
      <c r="N1044">
        <f t="shared" si="70"/>
        <v>82.586088240000009</v>
      </c>
    </row>
    <row r="1045" spans="1:14" x14ac:dyDescent="0.3">
      <c r="A1045" s="1" t="s">
        <v>41</v>
      </c>
      <c r="B1045">
        <v>6</v>
      </c>
      <c r="C1045">
        <v>13</v>
      </c>
      <c r="D1045" t="s">
        <v>74</v>
      </c>
      <c r="E1045">
        <v>23000000</v>
      </c>
      <c r="F1045">
        <f t="shared" si="69"/>
        <v>23000000</v>
      </c>
      <c r="G1045">
        <f t="shared" si="68"/>
        <v>74096.983286297851</v>
      </c>
      <c r="H1045" t="s">
        <v>72</v>
      </c>
      <c r="I1045" s="1" t="s">
        <v>224</v>
      </c>
      <c r="J1045" s="1" t="s">
        <v>216</v>
      </c>
      <c r="K1045" s="9">
        <v>392.38</v>
      </c>
      <c r="L1045" t="s">
        <v>21</v>
      </c>
      <c r="M1045">
        <f t="shared" si="67"/>
        <v>0.39238000000000001</v>
      </c>
      <c r="N1045">
        <f t="shared" si="70"/>
        <v>121.79632152000001</v>
      </c>
    </row>
    <row r="1046" spans="1:14" x14ac:dyDescent="0.3">
      <c r="A1046" s="1" t="s">
        <v>41</v>
      </c>
      <c r="B1046">
        <v>6</v>
      </c>
      <c r="C1046">
        <v>13</v>
      </c>
      <c r="D1046" t="s">
        <v>74</v>
      </c>
      <c r="E1046">
        <v>23000000</v>
      </c>
      <c r="F1046">
        <f t="shared" si="69"/>
        <v>23000000</v>
      </c>
      <c r="G1046">
        <f t="shared" si="68"/>
        <v>74096.983286297851</v>
      </c>
      <c r="H1046" t="s">
        <v>72</v>
      </c>
      <c r="I1046" s="1" t="s">
        <v>224</v>
      </c>
      <c r="J1046" s="1" t="s">
        <v>216</v>
      </c>
      <c r="K1046" s="9">
        <v>413.78</v>
      </c>
      <c r="L1046" t="s">
        <v>21</v>
      </c>
      <c r="M1046">
        <f t="shared" si="67"/>
        <v>0.41377999999999998</v>
      </c>
      <c r="N1046">
        <f t="shared" si="70"/>
        <v>128.43896712</v>
      </c>
    </row>
    <row r="1047" spans="1:14" x14ac:dyDescent="0.3">
      <c r="A1047" s="1" t="s">
        <v>41</v>
      </c>
      <c r="B1047">
        <v>6</v>
      </c>
      <c r="C1047">
        <v>13</v>
      </c>
      <c r="D1047" t="s">
        <v>74</v>
      </c>
      <c r="E1047">
        <v>23000000</v>
      </c>
      <c r="F1047">
        <f t="shared" si="69"/>
        <v>23000000</v>
      </c>
      <c r="G1047">
        <f t="shared" si="68"/>
        <v>74096.983286297851</v>
      </c>
      <c r="H1047" t="s">
        <v>72</v>
      </c>
      <c r="I1047" s="1" t="s">
        <v>224</v>
      </c>
      <c r="J1047" s="1" t="s">
        <v>216</v>
      </c>
      <c r="K1047" s="9">
        <v>289.91000000000003</v>
      </c>
      <c r="L1047" t="s">
        <v>21</v>
      </c>
      <c r="M1047">
        <f t="shared" ref="M1047:M1110" si="71">IFERROR(K1047/1000,"ND")</f>
        <v>0.28991</v>
      </c>
      <c r="N1047">
        <f t="shared" si="70"/>
        <v>89.989223640000006</v>
      </c>
    </row>
    <row r="1048" spans="1:14" x14ac:dyDescent="0.3">
      <c r="A1048" s="1" t="s">
        <v>41</v>
      </c>
      <c r="B1048">
        <v>6</v>
      </c>
      <c r="C1048">
        <v>13</v>
      </c>
      <c r="D1048" t="s">
        <v>74</v>
      </c>
      <c r="E1048">
        <v>23000000</v>
      </c>
      <c r="F1048">
        <f t="shared" si="69"/>
        <v>23000000</v>
      </c>
      <c r="G1048">
        <f t="shared" ref="G1048:G1111" si="72">F1048/310.404</f>
        <v>74096.983286297851</v>
      </c>
      <c r="H1048" t="s">
        <v>72</v>
      </c>
      <c r="I1048" s="1" t="s">
        <v>224</v>
      </c>
      <c r="J1048" s="1" t="s">
        <v>216</v>
      </c>
      <c r="K1048" s="9">
        <v>354.84</v>
      </c>
      <c r="L1048" t="s">
        <v>21</v>
      </c>
      <c r="M1048">
        <f t="shared" si="71"/>
        <v>0.35483999999999999</v>
      </c>
      <c r="N1048">
        <f t="shared" si="70"/>
        <v>110.14375536000001</v>
      </c>
    </row>
    <row r="1049" spans="1:14" x14ac:dyDescent="0.3">
      <c r="A1049" s="1" t="s">
        <v>41</v>
      </c>
      <c r="B1049">
        <v>6</v>
      </c>
      <c r="C1049">
        <v>13</v>
      </c>
      <c r="D1049" t="s">
        <v>74</v>
      </c>
      <c r="E1049">
        <v>23000000</v>
      </c>
      <c r="F1049">
        <f t="shared" si="69"/>
        <v>23000000</v>
      </c>
      <c r="G1049">
        <f t="shared" si="72"/>
        <v>74096.983286297851</v>
      </c>
      <c r="H1049" t="s">
        <v>72</v>
      </c>
      <c r="I1049" s="1" t="s">
        <v>224</v>
      </c>
      <c r="J1049" s="1" t="s">
        <v>216</v>
      </c>
      <c r="K1049" s="9">
        <v>318.88</v>
      </c>
      <c r="L1049" t="s">
        <v>21</v>
      </c>
      <c r="M1049">
        <f t="shared" si="71"/>
        <v>0.31888</v>
      </c>
      <c r="N1049">
        <f t="shared" si="70"/>
        <v>98.981627520000004</v>
      </c>
    </row>
    <row r="1050" spans="1:14" x14ac:dyDescent="0.3">
      <c r="A1050" s="1" t="s">
        <v>41</v>
      </c>
      <c r="B1050">
        <v>6</v>
      </c>
      <c r="C1050">
        <v>13</v>
      </c>
      <c r="D1050" t="s">
        <v>74</v>
      </c>
      <c r="E1050">
        <v>23000000</v>
      </c>
      <c r="F1050">
        <f t="shared" si="69"/>
        <v>23000000</v>
      </c>
      <c r="G1050">
        <f t="shared" si="72"/>
        <v>74096.983286297851</v>
      </c>
      <c r="H1050" t="s">
        <v>72</v>
      </c>
      <c r="I1050" s="1" t="s">
        <v>224</v>
      </c>
      <c r="J1050" s="1" t="s">
        <v>216</v>
      </c>
      <c r="K1050" s="9" t="s">
        <v>20</v>
      </c>
      <c r="L1050" t="s">
        <v>21</v>
      </c>
      <c r="M1050" t="str">
        <f t="shared" si="71"/>
        <v>ND</v>
      </c>
      <c r="N1050" t="str">
        <f t="shared" si="70"/>
        <v>ND</v>
      </c>
    </row>
    <row r="1051" spans="1:14" x14ac:dyDescent="0.3">
      <c r="A1051" s="1" t="s">
        <v>41</v>
      </c>
      <c r="B1051">
        <v>6</v>
      </c>
      <c r="C1051">
        <v>13</v>
      </c>
      <c r="D1051" t="s">
        <v>74</v>
      </c>
      <c r="E1051">
        <v>23000000</v>
      </c>
      <c r="F1051">
        <f t="shared" si="69"/>
        <v>23000000</v>
      </c>
      <c r="G1051">
        <f t="shared" si="72"/>
        <v>74096.983286297851</v>
      </c>
      <c r="H1051" t="s">
        <v>72</v>
      </c>
      <c r="I1051" s="1" t="s">
        <v>224</v>
      </c>
      <c r="J1051" s="1" t="s">
        <v>216</v>
      </c>
      <c r="K1051" s="9" t="s">
        <v>20</v>
      </c>
      <c r="L1051" t="s">
        <v>21</v>
      </c>
      <c r="M1051" t="str">
        <f t="shared" si="71"/>
        <v>ND</v>
      </c>
      <c r="N1051" t="str">
        <f t="shared" si="70"/>
        <v>ND</v>
      </c>
    </row>
    <row r="1052" spans="1:14" x14ac:dyDescent="0.3">
      <c r="A1052" s="1" t="s">
        <v>41</v>
      </c>
      <c r="B1052">
        <v>6</v>
      </c>
      <c r="C1052">
        <v>13</v>
      </c>
      <c r="D1052" t="s">
        <v>74</v>
      </c>
      <c r="E1052">
        <v>23000000</v>
      </c>
      <c r="F1052">
        <f t="shared" si="69"/>
        <v>23000000</v>
      </c>
      <c r="G1052">
        <f t="shared" si="72"/>
        <v>74096.983286297851</v>
      </c>
      <c r="H1052" t="s">
        <v>72</v>
      </c>
      <c r="I1052" s="1" t="s">
        <v>224</v>
      </c>
      <c r="J1052" s="1" t="s">
        <v>216</v>
      </c>
      <c r="K1052" s="9" t="s">
        <v>20</v>
      </c>
      <c r="L1052" t="s">
        <v>21</v>
      </c>
      <c r="M1052" t="str">
        <f t="shared" si="71"/>
        <v>ND</v>
      </c>
      <c r="N1052" t="str">
        <f t="shared" si="70"/>
        <v>ND</v>
      </c>
    </row>
    <row r="1053" spans="1:14" x14ac:dyDescent="0.3">
      <c r="A1053" s="1" t="s">
        <v>41</v>
      </c>
      <c r="B1053">
        <v>6</v>
      </c>
      <c r="C1053">
        <v>13</v>
      </c>
      <c r="D1053" t="s">
        <v>74</v>
      </c>
      <c r="E1053">
        <v>23000000</v>
      </c>
      <c r="F1053">
        <f t="shared" si="69"/>
        <v>23000000</v>
      </c>
      <c r="G1053">
        <f t="shared" si="72"/>
        <v>74096.983286297851</v>
      </c>
      <c r="H1053" t="s">
        <v>72</v>
      </c>
      <c r="I1053" s="1" t="s">
        <v>224</v>
      </c>
      <c r="J1053" s="1" t="s">
        <v>216</v>
      </c>
      <c r="K1053" s="9" t="s">
        <v>20</v>
      </c>
      <c r="L1053" t="s">
        <v>21</v>
      </c>
      <c r="M1053" t="str">
        <f t="shared" si="71"/>
        <v>ND</v>
      </c>
      <c r="N1053" t="str">
        <f t="shared" si="70"/>
        <v>ND</v>
      </c>
    </row>
    <row r="1054" spans="1:14" x14ac:dyDescent="0.3">
      <c r="A1054" s="1" t="s">
        <v>41</v>
      </c>
      <c r="B1054">
        <v>6</v>
      </c>
      <c r="C1054">
        <v>13</v>
      </c>
      <c r="D1054" t="s">
        <v>74</v>
      </c>
      <c r="E1054">
        <v>23000000</v>
      </c>
      <c r="F1054">
        <f t="shared" si="69"/>
        <v>23000000</v>
      </c>
      <c r="G1054">
        <f t="shared" si="72"/>
        <v>74096.983286297851</v>
      </c>
      <c r="H1054" t="s">
        <v>72</v>
      </c>
      <c r="I1054" s="1" t="s">
        <v>224</v>
      </c>
      <c r="J1054" s="1" t="s">
        <v>216</v>
      </c>
      <c r="K1054" s="9">
        <v>11.9</v>
      </c>
      <c r="L1054" t="s">
        <v>21</v>
      </c>
      <c r="M1054">
        <f t="shared" si="71"/>
        <v>1.1900000000000001E-2</v>
      </c>
      <c r="N1054">
        <f t="shared" si="70"/>
        <v>3.6938076000000004</v>
      </c>
    </row>
    <row r="1055" spans="1:14" x14ac:dyDescent="0.3">
      <c r="A1055" s="1" t="s">
        <v>41</v>
      </c>
      <c r="B1055">
        <v>6</v>
      </c>
      <c r="C1055">
        <v>13</v>
      </c>
      <c r="D1055" t="s">
        <v>74</v>
      </c>
      <c r="E1055">
        <v>23000000</v>
      </c>
      <c r="F1055">
        <f t="shared" si="69"/>
        <v>23000000</v>
      </c>
      <c r="G1055">
        <f t="shared" si="72"/>
        <v>74096.983286297851</v>
      </c>
      <c r="H1055" t="s">
        <v>72</v>
      </c>
      <c r="I1055" s="1" t="s">
        <v>224</v>
      </c>
      <c r="J1055" s="1" t="s">
        <v>216</v>
      </c>
      <c r="K1055" s="9">
        <v>448.29</v>
      </c>
      <c r="L1055" t="s">
        <v>21</v>
      </c>
      <c r="M1055">
        <f t="shared" si="71"/>
        <v>0.44829000000000002</v>
      </c>
      <c r="N1055">
        <f t="shared" si="70"/>
        <v>139.15100916</v>
      </c>
    </row>
    <row r="1056" spans="1:14" x14ac:dyDescent="0.3">
      <c r="A1056" s="1" t="s">
        <v>41</v>
      </c>
      <c r="B1056">
        <v>6</v>
      </c>
      <c r="C1056">
        <v>13</v>
      </c>
      <c r="D1056" t="s">
        <v>74</v>
      </c>
      <c r="E1056">
        <v>23000000</v>
      </c>
      <c r="F1056">
        <f t="shared" si="69"/>
        <v>23000000</v>
      </c>
      <c r="G1056">
        <f t="shared" si="72"/>
        <v>74096.983286297851</v>
      </c>
      <c r="H1056" t="s">
        <v>72</v>
      </c>
      <c r="I1056" s="1" t="s">
        <v>224</v>
      </c>
      <c r="J1056" s="1" t="s">
        <v>216</v>
      </c>
      <c r="K1056" s="9">
        <v>335.53</v>
      </c>
      <c r="L1056" t="s">
        <v>21</v>
      </c>
      <c r="M1056">
        <f t="shared" si="71"/>
        <v>0.33552999999999999</v>
      </c>
      <c r="N1056">
        <f t="shared" si="70"/>
        <v>104.14985412000001</v>
      </c>
    </row>
    <row r="1057" spans="1:14" x14ac:dyDescent="0.3">
      <c r="A1057" s="1" t="s">
        <v>70</v>
      </c>
      <c r="B1057">
        <v>6</v>
      </c>
      <c r="C1057">
        <v>13</v>
      </c>
      <c r="D1057" t="s">
        <v>74</v>
      </c>
      <c r="E1057">
        <v>23000000</v>
      </c>
      <c r="F1057">
        <f t="shared" si="69"/>
        <v>23000000</v>
      </c>
      <c r="G1057">
        <f t="shared" si="72"/>
        <v>74096.983286297851</v>
      </c>
      <c r="H1057" t="s">
        <v>72</v>
      </c>
      <c r="I1057" s="1" t="s">
        <v>224</v>
      </c>
      <c r="J1057" s="1" t="s">
        <v>216</v>
      </c>
      <c r="K1057" s="9" t="s">
        <v>20</v>
      </c>
      <c r="L1057" t="s">
        <v>21</v>
      </c>
      <c r="M1057" t="str">
        <f t="shared" si="71"/>
        <v>ND</v>
      </c>
      <c r="N1057" t="str">
        <f t="shared" si="70"/>
        <v>ND</v>
      </c>
    </row>
    <row r="1058" spans="1:14" x14ac:dyDescent="0.3">
      <c r="A1058" s="1" t="s">
        <v>70</v>
      </c>
      <c r="B1058">
        <v>6</v>
      </c>
      <c r="C1058">
        <v>13</v>
      </c>
      <c r="D1058" t="s">
        <v>74</v>
      </c>
      <c r="E1058">
        <v>23000000</v>
      </c>
      <c r="F1058">
        <f t="shared" si="69"/>
        <v>23000000</v>
      </c>
      <c r="G1058">
        <f t="shared" si="72"/>
        <v>74096.983286297851</v>
      </c>
      <c r="H1058" t="s">
        <v>72</v>
      </c>
      <c r="I1058" s="1" t="s">
        <v>224</v>
      </c>
      <c r="J1058" s="1" t="s">
        <v>216</v>
      </c>
      <c r="K1058" s="9" t="s">
        <v>20</v>
      </c>
      <c r="L1058" t="s">
        <v>21</v>
      </c>
      <c r="M1058" t="str">
        <f t="shared" si="71"/>
        <v>ND</v>
      </c>
      <c r="N1058" t="str">
        <f t="shared" si="70"/>
        <v>ND</v>
      </c>
    </row>
    <row r="1059" spans="1:14" x14ac:dyDescent="0.3">
      <c r="A1059" s="1" t="s">
        <v>70</v>
      </c>
      <c r="B1059">
        <v>6</v>
      </c>
      <c r="C1059">
        <v>13</v>
      </c>
      <c r="D1059" t="s">
        <v>74</v>
      </c>
      <c r="E1059">
        <v>23000000</v>
      </c>
      <c r="F1059">
        <f t="shared" si="69"/>
        <v>23000000</v>
      </c>
      <c r="G1059">
        <f t="shared" si="72"/>
        <v>74096.983286297851</v>
      </c>
      <c r="H1059" t="s">
        <v>72</v>
      </c>
      <c r="I1059" s="1" t="s">
        <v>224</v>
      </c>
      <c r="J1059" s="1" t="s">
        <v>216</v>
      </c>
      <c r="K1059" s="9" t="s">
        <v>20</v>
      </c>
      <c r="L1059" t="s">
        <v>21</v>
      </c>
      <c r="M1059" t="str">
        <f t="shared" si="71"/>
        <v>ND</v>
      </c>
      <c r="N1059" t="str">
        <f t="shared" si="70"/>
        <v>ND</v>
      </c>
    </row>
    <row r="1060" spans="1:14" x14ac:dyDescent="0.3">
      <c r="A1060" s="1" t="s">
        <v>70</v>
      </c>
      <c r="B1060">
        <v>6</v>
      </c>
      <c r="C1060">
        <v>13</v>
      </c>
      <c r="D1060" t="s">
        <v>74</v>
      </c>
      <c r="E1060">
        <v>23000000</v>
      </c>
      <c r="F1060">
        <f t="shared" si="69"/>
        <v>23000000</v>
      </c>
      <c r="G1060">
        <f t="shared" si="72"/>
        <v>74096.983286297851</v>
      </c>
      <c r="H1060" t="s">
        <v>72</v>
      </c>
      <c r="I1060" s="1" t="s">
        <v>224</v>
      </c>
      <c r="J1060" s="1" t="s">
        <v>216</v>
      </c>
      <c r="K1060" s="9" t="s">
        <v>20</v>
      </c>
      <c r="L1060" t="s">
        <v>21</v>
      </c>
      <c r="M1060" t="str">
        <f t="shared" si="71"/>
        <v>ND</v>
      </c>
      <c r="N1060" t="str">
        <f t="shared" si="70"/>
        <v>ND</v>
      </c>
    </row>
    <row r="1061" spans="1:14" x14ac:dyDescent="0.3">
      <c r="A1061" s="1" t="s">
        <v>70</v>
      </c>
      <c r="B1061">
        <v>6</v>
      </c>
      <c r="C1061">
        <v>13</v>
      </c>
      <c r="D1061" t="s">
        <v>74</v>
      </c>
      <c r="E1061">
        <v>23000000</v>
      </c>
      <c r="F1061">
        <f t="shared" si="69"/>
        <v>23000000</v>
      </c>
      <c r="G1061">
        <f t="shared" si="72"/>
        <v>74096.983286297851</v>
      </c>
      <c r="H1061" t="s">
        <v>72</v>
      </c>
      <c r="I1061" s="1" t="s">
        <v>224</v>
      </c>
      <c r="J1061" s="1" t="s">
        <v>216</v>
      </c>
      <c r="K1061" s="9" t="s">
        <v>20</v>
      </c>
      <c r="L1061" t="s">
        <v>21</v>
      </c>
      <c r="M1061" t="str">
        <f t="shared" si="71"/>
        <v>ND</v>
      </c>
      <c r="N1061" t="str">
        <f t="shared" si="70"/>
        <v>ND</v>
      </c>
    </row>
    <row r="1062" spans="1:14" x14ac:dyDescent="0.3">
      <c r="A1062" s="1" t="s">
        <v>70</v>
      </c>
      <c r="B1062">
        <v>6</v>
      </c>
      <c r="C1062">
        <v>13</v>
      </c>
      <c r="D1062" t="s">
        <v>74</v>
      </c>
      <c r="E1062">
        <v>23000000</v>
      </c>
      <c r="F1062">
        <f t="shared" si="69"/>
        <v>23000000</v>
      </c>
      <c r="G1062">
        <f t="shared" si="72"/>
        <v>74096.983286297851</v>
      </c>
      <c r="H1062" t="s">
        <v>72</v>
      </c>
      <c r="I1062" s="1" t="s">
        <v>224</v>
      </c>
      <c r="J1062" s="1" t="s">
        <v>216</v>
      </c>
      <c r="K1062" s="9" t="s">
        <v>20</v>
      </c>
      <c r="L1062" t="s">
        <v>21</v>
      </c>
      <c r="M1062" t="str">
        <f t="shared" si="71"/>
        <v>ND</v>
      </c>
      <c r="N1062" t="str">
        <f t="shared" si="70"/>
        <v>ND</v>
      </c>
    </row>
    <row r="1063" spans="1:14" x14ac:dyDescent="0.3">
      <c r="A1063" s="1" t="s">
        <v>70</v>
      </c>
      <c r="B1063">
        <v>6</v>
      </c>
      <c r="C1063">
        <v>13</v>
      </c>
      <c r="D1063" t="s">
        <v>74</v>
      </c>
      <c r="E1063">
        <v>23000000</v>
      </c>
      <c r="F1063">
        <f t="shared" si="69"/>
        <v>23000000</v>
      </c>
      <c r="G1063">
        <f t="shared" si="72"/>
        <v>74096.983286297851</v>
      </c>
      <c r="H1063" t="s">
        <v>72</v>
      </c>
      <c r="I1063" s="1" t="s">
        <v>224</v>
      </c>
      <c r="J1063" s="1" t="s">
        <v>216</v>
      </c>
      <c r="K1063" s="9" t="s">
        <v>20</v>
      </c>
      <c r="L1063" t="s">
        <v>21</v>
      </c>
      <c r="M1063" t="str">
        <f t="shared" si="71"/>
        <v>ND</v>
      </c>
      <c r="N1063" t="str">
        <f t="shared" si="70"/>
        <v>ND</v>
      </c>
    </row>
    <row r="1064" spans="1:14" x14ac:dyDescent="0.3">
      <c r="A1064" s="1" t="s">
        <v>70</v>
      </c>
      <c r="B1064">
        <v>6</v>
      </c>
      <c r="C1064">
        <v>13</v>
      </c>
      <c r="D1064" t="s">
        <v>74</v>
      </c>
      <c r="E1064">
        <v>23000000</v>
      </c>
      <c r="F1064">
        <f t="shared" si="69"/>
        <v>23000000</v>
      </c>
      <c r="G1064">
        <f t="shared" si="72"/>
        <v>74096.983286297851</v>
      </c>
      <c r="H1064" t="s">
        <v>72</v>
      </c>
      <c r="I1064" s="1" t="s">
        <v>224</v>
      </c>
      <c r="J1064" s="1" t="s">
        <v>216</v>
      </c>
      <c r="K1064" s="9" t="s">
        <v>20</v>
      </c>
      <c r="L1064" t="s">
        <v>21</v>
      </c>
      <c r="M1064" t="str">
        <f t="shared" si="71"/>
        <v>ND</v>
      </c>
      <c r="N1064" t="str">
        <f t="shared" si="70"/>
        <v>ND</v>
      </c>
    </row>
    <row r="1065" spans="1:14" x14ac:dyDescent="0.3">
      <c r="A1065" s="1" t="s">
        <v>70</v>
      </c>
      <c r="B1065">
        <v>6</v>
      </c>
      <c r="C1065">
        <v>13</v>
      </c>
      <c r="D1065" t="s">
        <v>74</v>
      </c>
      <c r="E1065">
        <v>23000000</v>
      </c>
      <c r="F1065">
        <f t="shared" si="69"/>
        <v>23000000</v>
      </c>
      <c r="G1065">
        <f t="shared" si="72"/>
        <v>74096.983286297851</v>
      </c>
      <c r="H1065" t="s">
        <v>72</v>
      </c>
      <c r="I1065" s="1" t="s">
        <v>224</v>
      </c>
      <c r="J1065" s="1" t="s">
        <v>216</v>
      </c>
      <c r="K1065" s="9" t="s">
        <v>20</v>
      </c>
      <c r="L1065" t="s">
        <v>21</v>
      </c>
      <c r="M1065" t="str">
        <f t="shared" si="71"/>
        <v>ND</v>
      </c>
      <c r="N1065" t="str">
        <f t="shared" si="70"/>
        <v>ND</v>
      </c>
    </row>
    <row r="1066" spans="1:14" x14ac:dyDescent="0.3">
      <c r="A1066" s="1" t="s">
        <v>70</v>
      </c>
      <c r="B1066">
        <v>6</v>
      </c>
      <c r="C1066">
        <v>13</v>
      </c>
      <c r="D1066" t="s">
        <v>74</v>
      </c>
      <c r="E1066">
        <v>23000000</v>
      </c>
      <c r="F1066">
        <f t="shared" si="69"/>
        <v>23000000</v>
      </c>
      <c r="G1066">
        <f t="shared" si="72"/>
        <v>74096.983286297851</v>
      </c>
      <c r="H1066" t="s">
        <v>72</v>
      </c>
      <c r="I1066" s="1" t="s">
        <v>224</v>
      </c>
      <c r="J1066" s="1" t="s">
        <v>216</v>
      </c>
      <c r="K1066" s="9" t="s">
        <v>20</v>
      </c>
      <c r="L1066" t="s">
        <v>21</v>
      </c>
      <c r="M1066" t="str">
        <f t="shared" si="71"/>
        <v>ND</v>
      </c>
      <c r="N1066" t="str">
        <f t="shared" si="70"/>
        <v>ND</v>
      </c>
    </row>
    <row r="1067" spans="1:14" x14ac:dyDescent="0.3">
      <c r="A1067" s="1" t="s">
        <v>70</v>
      </c>
      <c r="B1067">
        <v>6</v>
      </c>
      <c r="C1067">
        <v>13</v>
      </c>
      <c r="D1067" t="s">
        <v>74</v>
      </c>
      <c r="E1067">
        <v>23000000</v>
      </c>
      <c r="F1067">
        <f t="shared" si="69"/>
        <v>23000000</v>
      </c>
      <c r="G1067">
        <f t="shared" si="72"/>
        <v>74096.983286297851</v>
      </c>
      <c r="H1067" t="s">
        <v>72</v>
      </c>
      <c r="I1067" s="1" t="s">
        <v>224</v>
      </c>
      <c r="J1067" s="1" t="s">
        <v>216</v>
      </c>
      <c r="K1067" s="9" t="s">
        <v>20</v>
      </c>
      <c r="L1067" t="s">
        <v>21</v>
      </c>
      <c r="M1067" t="str">
        <f t="shared" si="71"/>
        <v>ND</v>
      </c>
      <c r="N1067" t="str">
        <f t="shared" si="70"/>
        <v>ND</v>
      </c>
    </row>
    <row r="1068" spans="1:14" x14ac:dyDescent="0.3">
      <c r="A1068" s="1" t="s">
        <v>70</v>
      </c>
      <c r="B1068">
        <v>6</v>
      </c>
      <c r="C1068">
        <v>13</v>
      </c>
      <c r="D1068" t="s">
        <v>74</v>
      </c>
      <c r="E1068">
        <v>23000000</v>
      </c>
      <c r="F1068">
        <f t="shared" si="69"/>
        <v>23000000</v>
      </c>
      <c r="G1068">
        <f t="shared" si="72"/>
        <v>74096.983286297851</v>
      </c>
      <c r="H1068" t="s">
        <v>72</v>
      </c>
      <c r="I1068" s="1" t="s">
        <v>224</v>
      </c>
      <c r="J1068" s="1" t="s">
        <v>216</v>
      </c>
      <c r="K1068" s="9" t="s">
        <v>20</v>
      </c>
      <c r="L1068" t="s">
        <v>21</v>
      </c>
      <c r="M1068" t="str">
        <f t="shared" si="71"/>
        <v>ND</v>
      </c>
      <c r="N1068" t="str">
        <f t="shared" si="70"/>
        <v>ND</v>
      </c>
    </row>
    <row r="1069" spans="1:14" x14ac:dyDescent="0.3">
      <c r="A1069" s="1" t="s">
        <v>70</v>
      </c>
      <c r="B1069">
        <v>6</v>
      </c>
      <c r="C1069">
        <v>13</v>
      </c>
      <c r="D1069" t="s">
        <v>74</v>
      </c>
      <c r="E1069">
        <v>23000000</v>
      </c>
      <c r="F1069">
        <f t="shared" si="69"/>
        <v>23000000</v>
      </c>
      <c r="G1069">
        <f t="shared" si="72"/>
        <v>74096.983286297851</v>
      </c>
      <c r="H1069" t="s">
        <v>72</v>
      </c>
      <c r="I1069" s="1" t="s">
        <v>224</v>
      </c>
      <c r="J1069" s="1" t="s">
        <v>216</v>
      </c>
      <c r="K1069" s="9" t="s">
        <v>20</v>
      </c>
      <c r="L1069" t="s">
        <v>21</v>
      </c>
      <c r="M1069" t="str">
        <f t="shared" si="71"/>
        <v>ND</v>
      </c>
      <c r="N1069" t="str">
        <f t="shared" si="70"/>
        <v>ND</v>
      </c>
    </row>
    <row r="1070" spans="1:14" x14ac:dyDescent="0.3">
      <c r="A1070" s="1" t="s">
        <v>70</v>
      </c>
      <c r="B1070">
        <v>6</v>
      </c>
      <c r="C1070">
        <v>13</v>
      </c>
      <c r="D1070" t="s">
        <v>74</v>
      </c>
      <c r="E1070">
        <v>23000000</v>
      </c>
      <c r="F1070">
        <f t="shared" si="69"/>
        <v>23000000</v>
      </c>
      <c r="G1070">
        <f t="shared" si="72"/>
        <v>74096.983286297851</v>
      </c>
      <c r="H1070" t="s">
        <v>72</v>
      </c>
      <c r="I1070" s="1" t="s">
        <v>224</v>
      </c>
      <c r="J1070" s="1" t="s">
        <v>216</v>
      </c>
      <c r="K1070" s="9" t="s">
        <v>20</v>
      </c>
      <c r="L1070" t="s">
        <v>21</v>
      </c>
      <c r="M1070" t="str">
        <f t="shared" si="71"/>
        <v>ND</v>
      </c>
      <c r="N1070" t="str">
        <f t="shared" si="70"/>
        <v>ND</v>
      </c>
    </row>
    <row r="1071" spans="1:14" x14ac:dyDescent="0.3">
      <c r="A1071" s="1" t="s">
        <v>70</v>
      </c>
      <c r="B1071">
        <v>6</v>
      </c>
      <c r="C1071">
        <v>13</v>
      </c>
      <c r="D1071" t="s">
        <v>74</v>
      </c>
      <c r="E1071">
        <v>23000000</v>
      </c>
      <c r="F1071">
        <f t="shared" si="69"/>
        <v>23000000</v>
      </c>
      <c r="G1071">
        <f t="shared" si="72"/>
        <v>74096.983286297851</v>
      </c>
      <c r="H1071" t="s">
        <v>72</v>
      </c>
      <c r="I1071" s="1" t="s">
        <v>224</v>
      </c>
      <c r="J1071" s="1" t="s">
        <v>216</v>
      </c>
      <c r="K1071" s="9" t="s">
        <v>20</v>
      </c>
      <c r="L1071" t="s">
        <v>21</v>
      </c>
      <c r="M1071" t="str">
        <f t="shared" si="71"/>
        <v>ND</v>
      </c>
      <c r="N1071" t="str">
        <f t="shared" si="70"/>
        <v>ND</v>
      </c>
    </row>
    <row r="1072" spans="1:14" x14ac:dyDescent="0.3">
      <c r="A1072" s="1" t="s">
        <v>70</v>
      </c>
      <c r="B1072">
        <v>6</v>
      </c>
      <c r="C1072">
        <v>13</v>
      </c>
      <c r="D1072" t="s">
        <v>74</v>
      </c>
      <c r="E1072">
        <v>23000000</v>
      </c>
      <c r="F1072">
        <f t="shared" si="69"/>
        <v>23000000</v>
      </c>
      <c r="G1072">
        <f t="shared" si="72"/>
        <v>74096.983286297851</v>
      </c>
      <c r="H1072" t="s">
        <v>72</v>
      </c>
      <c r="I1072" s="1" t="s">
        <v>224</v>
      </c>
      <c r="J1072" s="1" t="s">
        <v>216</v>
      </c>
      <c r="K1072" s="9" t="s">
        <v>20</v>
      </c>
      <c r="L1072" t="s">
        <v>21</v>
      </c>
      <c r="M1072" t="str">
        <f t="shared" si="71"/>
        <v>ND</v>
      </c>
      <c r="N1072" t="str">
        <f t="shared" si="70"/>
        <v>ND</v>
      </c>
    </row>
    <row r="1073" spans="1:14" x14ac:dyDescent="0.3">
      <c r="A1073" s="1" t="s">
        <v>70</v>
      </c>
      <c r="B1073">
        <v>6</v>
      </c>
      <c r="C1073">
        <v>13</v>
      </c>
      <c r="D1073" t="s">
        <v>74</v>
      </c>
      <c r="E1073">
        <v>23000000</v>
      </c>
      <c r="F1073">
        <f t="shared" si="69"/>
        <v>23000000</v>
      </c>
      <c r="G1073">
        <f t="shared" si="72"/>
        <v>74096.983286297851</v>
      </c>
      <c r="H1073" t="s">
        <v>72</v>
      </c>
      <c r="I1073" s="1" t="s">
        <v>224</v>
      </c>
      <c r="J1073" s="1" t="s">
        <v>216</v>
      </c>
      <c r="K1073" s="9" t="s">
        <v>20</v>
      </c>
      <c r="L1073" t="s">
        <v>21</v>
      </c>
      <c r="M1073" t="str">
        <f t="shared" si="71"/>
        <v>ND</v>
      </c>
      <c r="N1073" t="str">
        <f t="shared" si="70"/>
        <v>ND</v>
      </c>
    </row>
    <row r="1074" spans="1:14" x14ac:dyDescent="0.3">
      <c r="A1074" s="1" t="s">
        <v>70</v>
      </c>
      <c r="B1074">
        <v>6</v>
      </c>
      <c r="C1074">
        <v>13</v>
      </c>
      <c r="D1074" t="s">
        <v>74</v>
      </c>
      <c r="E1074">
        <v>23000000</v>
      </c>
      <c r="F1074">
        <f t="shared" si="69"/>
        <v>23000000</v>
      </c>
      <c r="G1074">
        <f t="shared" si="72"/>
        <v>74096.983286297851</v>
      </c>
      <c r="H1074" t="s">
        <v>72</v>
      </c>
      <c r="I1074" s="1" t="s">
        <v>224</v>
      </c>
      <c r="J1074" s="1" t="s">
        <v>216</v>
      </c>
      <c r="K1074" s="9" t="s">
        <v>20</v>
      </c>
      <c r="L1074" t="s">
        <v>21</v>
      </c>
      <c r="M1074" t="str">
        <f t="shared" si="71"/>
        <v>ND</v>
      </c>
      <c r="N1074" t="str">
        <f t="shared" si="70"/>
        <v>ND</v>
      </c>
    </row>
    <row r="1075" spans="1:14" x14ac:dyDescent="0.3">
      <c r="A1075" s="1" t="s">
        <v>70</v>
      </c>
      <c r="B1075">
        <v>6</v>
      </c>
      <c r="C1075">
        <v>13</v>
      </c>
      <c r="D1075" t="s">
        <v>74</v>
      </c>
      <c r="E1075">
        <v>23000000</v>
      </c>
      <c r="F1075">
        <f t="shared" si="69"/>
        <v>23000000</v>
      </c>
      <c r="G1075">
        <f t="shared" si="72"/>
        <v>74096.983286297851</v>
      </c>
      <c r="H1075" t="s">
        <v>72</v>
      </c>
      <c r="I1075" s="1" t="s">
        <v>224</v>
      </c>
      <c r="J1075" s="1" t="s">
        <v>216</v>
      </c>
      <c r="K1075" s="9" t="s">
        <v>20</v>
      </c>
      <c r="L1075" t="s">
        <v>21</v>
      </c>
      <c r="M1075" t="str">
        <f t="shared" si="71"/>
        <v>ND</v>
      </c>
      <c r="N1075" t="str">
        <f t="shared" si="70"/>
        <v>ND</v>
      </c>
    </row>
    <row r="1076" spans="1:14" x14ac:dyDescent="0.3">
      <c r="A1076" s="1" t="s">
        <v>70</v>
      </c>
      <c r="B1076">
        <v>6</v>
      </c>
      <c r="C1076">
        <v>13</v>
      </c>
      <c r="D1076" t="s">
        <v>74</v>
      </c>
      <c r="E1076">
        <v>23000000</v>
      </c>
      <c r="F1076">
        <f t="shared" si="69"/>
        <v>23000000</v>
      </c>
      <c r="G1076">
        <f t="shared" si="72"/>
        <v>74096.983286297851</v>
      </c>
      <c r="H1076" t="s">
        <v>72</v>
      </c>
      <c r="I1076" s="1" t="s">
        <v>224</v>
      </c>
      <c r="J1076" s="1" t="s">
        <v>216</v>
      </c>
      <c r="K1076" s="9" t="s">
        <v>20</v>
      </c>
      <c r="L1076" t="s">
        <v>21</v>
      </c>
      <c r="M1076" t="str">
        <f t="shared" si="71"/>
        <v>ND</v>
      </c>
      <c r="N1076" t="str">
        <f t="shared" si="70"/>
        <v>ND</v>
      </c>
    </row>
    <row r="1077" spans="1:14" x14ac:dyDescent="0.3">
      <c r="A1077" s="1" t="s">
        <v>70</v>
      </c>
      <c r="B1077">
        <v>6</v>
      </c>
      <c r="C1077">
        <v>13</v>
      </c>
      <c r="D1077" t="s">
        <v>74</v>
      </c>
      <c r="E1077">
        <v>23000000</v>
      </c>
      <c r="F1077">
        <f t="shared" si="69"/>
        <v>23000000</v>
      </c>
      <c r="G1077">
        <f t="shared" si="72"/>
        <v>74096.983286297851</v>
      </c>
      <c r="H1077" t="s">
        <v>72</v>
      </c>
      <c r="I1077" s="1" t="s">
        <v>224</v>
      </c>
      <c r="J1077" s="1" t="s">
        <v>216</v>
      </c>
      <c r="K1077" s="9" t="s">
        <v>20</v>
      </c>
      <c r="L1077" t="s">
        <v>21</v>
      </c>
      <c r="M1077" t="str">
        <f t="shared" si="71"/>
        <v>ND</v>
      </c>
      <c r="N1077" t="str">
        <f t="shared" si="70"/>
        <v>ND</v>
      </c>
    </row>
    <row r="1078" spans="1:14" x14ac:dyDescent="0.3">
      <c r="A1078" s="1" t="s">
        <v>70</v>
      </c>
      <c r="B1078">
        <v>6</v>
      </c>
      <c r="C1078">
        <v>13</v>
      </c>
      <c r="D1078" t="s">
        <v>74</v>
      </c>
      <c r="E1078">
        <v>23000000</v>
      </c>
      <c r="F1078">
        <f t="shared" ref="F1078:F1141" si="73">E1078</f>
        <v>23000000</v>
      </c>
      <c r="G1078">
        <f t="shared" si="72"/>
        <v>74096.983286297851</v>
      </c>
      <c r="H1078" t="s">
        <v>72</v>
      </c>
      <c r="I1078" s="1" t="s">
        <v>224</v>
      </c>
      <c r="J1078" s="1" t="s">
        <v>216</v>
      </c>
      <c r="K1078" s="9" t="s">
        <v>20</v>
      </c>
      <c r="L1078" t="s">
        <v>21</v>
      </c>
      <c r="M1078" t="str">
        <f t="shared" si="71"/>
        <v>ND</v>
      </c>
      <c r="N1078" t="str">
        <f t="shared" si="70"/>
        <v>ND</v>
      </c>
    </row>
    <row r="1079" spans="1:14" x14ac:dyDescent="0.3">
      <c r="A1079" s="1" t="s">
        <v>70</v>
      </c>
      <c r="B1079">
        <v>6</v>
      </c>
      <c r="C1079">
        <v>13</v>
      </c>
      <c r="D1079" t="s">
        <v>74</v>
      </c>
      <c r="E1079">
        <v>23000000</v>
      </c>
      <c r="F1079">
        <f t="shared" si="73"/>
        <v>23000000</v>
      </c>
      <c r="G1079">
        <f t="shared" si="72"/>
        <v>74096.983286297851</v>
      </c>
      <c r="H1079" t="s">
        <v>72</v>
      </c>
      <c r="I1079" s="1" t="s">
        <v>224</v>
      </c>
      <c r="J1079" s="1" t="s">
        <v>216</v>
      </c>
      <c r="K1079" s="9" t="s">
        <v>20</v>
      </c>
      <c r="L1079" t="s">
        <v>21</v>
      </c>
      <c r="M1079" t="str">
        <f t="shared" si="71"/>
        <v>ND</v>
      </c>
      <c r="N1079" t="str">
        <f t="shared" si="70"/>
        <v>ND</v>
      </c>
    </row>
    <row r="1080" spans="1:14" x14ac:dyDescent="0.3">
      <c r="A1080" s="1" t="s">
        <v>70</v>
      </c>
      <c r="B1080">
        <v>6</v>
      </c>
      <c r="C1080">
        <v>13</v>
      </c>
      <c r="D1080" t="s">
        <v>74</v>
      </c>
      <c r="E1080">
        <v>23000000</v>
      </c>
      <c r="F1080">
        <f t="shared" si="73"/>
        <v>23000000</v>
      </c>
      <c r="G1080">
        <f t="shared" si="72"/>
        <v>74096.983286297851</v>
      </c>
      <c r="H1080" t="s">
        <v>72</v>
      </c>
      <c r="I1080" s="1" t="s">
        <v>224</v>
      </c>
      <c r="J1080" s="1" t="s">
        <v>216</v>
      </c>
      <c r="K1080" s="9" t="s">
        <v>20</v>
      </c>
      <c r="L1080" t="s">
        <v>21</v>
      </c>
      <c r="M1080" t="str">
        <f t="shared" si="71"/>
        <v>ND</v>
      </c>
      <c r="N1080" t="str">
        <f t="shared" si="70"/>
        <v>ND</v>
      </c>
    </row>
    <row r="1081" spans="1:14" x14ac:dyDescent="0.3">
      <c r="A1081" s="1" t="s">
        <v>70</v>
      </c>
      <c r="B1081">
        <v>6</v>
      </c>
      <c r="C1081">
        <v>13</v>
      </c>
      <c r="D1081" t="s">
        <v>74</v>
      </c>
      <c r="E1081">
        <v>23000000</v>
      </c>
      <c r="F1081">
        <f t="shared" si="73"/>
        <v>23000000</v>
      </c>
      <c r="G1081">
        <f t="shared" si="72"/>
        <v>74096.983286297851</v>
      </c>
      <c r="H1081" t="s">
        <v>72</v>
      </c>
      <c r="I1081" s="1" t="s">
        <v>224</v>
      </c>
      <c r="J1081" s="1" t="s">
        <v>216</v>
      </c>
      <c r="K1081" s="9" t="s">
        <v>20</v>
      </c>
      <c r="L1081" t="s">
        <v>21</v>
      </c>
      <c r="M1081" t="str">
        <f t="shared" si="71"/>
        <v>ND</v>
      </c>
      <c r="N1081" t="str">
        <f t="shared" si="70"/>
        <v>ND</v>
      </c>
    </row>
    <row r="1082" spans="1:14" x14ac:dyDescent="0.3">
      <c r="A1082" s="1" t="s">
        <v>70</v>
      </c>
      <c r="B1082">
        <v>6</v>
      </c>
      <c r="C1082">
        <v>13</v>
      </c>
      <c r="D1082" t="s">
        <v>74</v>
      </c>
      <c r="E1082">
        <v>23000000</v>
      </c>
      <c r="F1082">
        <f t="shared" si="73"/>
        <v>23000000</v>
      </c>
      <c r="G1082">
        <f t="shared" si="72"/>
        <v>74096.983286297851</v>
      </c>
      <c r="H1082" t="s">
        <v>72</v>
      </c>
      <c r="I1082" s="1" t="s">
        <v>224</v>
      </c>
      <c r="J1082" s="1" t="s">
        <v>216</v>
      </c>
      <c r="K1082" s="9" t="s">
        <v>20</v>
      </c>
      <c r="L1082" t="s">
        <v>21</v>
      </c>
      <c r="M1082" t="str">
        <f t="shared" si="71"/>
        <v>ND</v>
      </c>
      <c r="N1082" t="str">
        <f t="shared" si="70"/>
        <v>ND</v>
      </c>
    </row>
    <row r="1083" spans="1:14" x14ac:dyDescent="0.3">
      <c r="A1083" s="1" t="s">
        <v>70</v>
      </c>
      <c r="B1083">
        <v>6</v>
      </c>
      <c r="C1083">
        <v>13</v>
      </c>
      <c r="D1083" t="s">
        <v>74</v>
      </c>
      <c r="E1083">
        <v>23000000</v>
      </c>
      <c r="F1083">
        <f t="shared" si="73"/>
        <v>23000000</v>
      </c>
      <c r="G1083">
        <f t="shared" si="72"/>
        <v>74096.983286297851</v>
      </c>
      <c r="H1083" t="s">
        <v>72</v>
      </c>
      <c r="I1083" s="1" t="s">
        <v>224</v>
      </c>
      <c r="J1083" s="1" t="s">
        <v>216</v>
      </c>
      <c r="K1083" s="9" t="s">
        <v>20</v>
      </c>
      <c r="L1083" t="s">
        <v>21</v>
      </c>
      <c r="M1083" t="str">
        <f t="shared" si="71"/>
        <v>ND</v>
      </c>
      <c r="N1083" t="str">
        <f t="shared" si="70"/>
        <v>ND</v>
      </c>
    </row>
    <row r="1084" spans="1:14" x14ac:dyDescent="0.3">
      <c r="A1084" s="1" t="s">
        <v>70</v>
      </c>
      <c r="B1084">
        <v>6</v>
      </c>
      <c r="C1084">
        <v>13</v>
      </c>
      <c r="D1084" t="s">
        <v>74</v>
      </c>
      <c r="E1084">
        <v>23000000</v>
      </c>
      <c r="F1084">
        <f t="shared" si="73"/>
        <v>23000000</v>
      </c>
      <c r="G1084">
        <f t="shared" si="72"/>
        <v>74096.983286297851</v>
      </c>
      <c r="H1084" t="s">
        <v>72</v>
      </c>
      <c r="I1084" s="1" t="s">
        <v>224</v>
      </c>
      <c r="J1084" s="1" t="s">
        <v>216</v>
      </c>
      <c r="K1084" s="9" t="s">
        <v>20</v>
      </c>
      <c r="L1084" t="s">
        <v>21</v>
      </c>
      <c r="M1084" t="str">
        <f t="shared" si="71"/>
        <v>ND</v>
      </c>
      <c r="N1084" t="str">
        <f t="shared" si="70"/>
        <v>ND</v>
      </c>
    </row>
    <row r="1085" spans="1:14" x14ac:dyDescent="0.3">
      <c r="A1085" s="1" t="s">
        <v>70</v>
      </c>
      <c r="B1085">
        <v>6</v>
      </c>
      <c r="C1085">
        <v>13</v>
      </c>
      <c r="D1085" t="s">
        <v>74</v>
      </c>
      <c r="E1085">
        <v>23000000</v>
      </c>
      <c r="F1085">
        <f t="shared" si="73"/>
        <v>23000000</v>
      </c>
      <c r="G1085">
        <f t="shared" si="72"/>
        <v>74096.983286297851</v>
      </c>
      <c r="H1085" t="s">
        <v>72</v>
      </c>
      <c r="I1085" s="1" t="s">
        <v>224</v>
      </c>
      <c r="J1085" s="1" t="s">
        <v>216</v>
      </c>
      <c r="K1085" s="9" t="s">
        <v>20</v>
      </c>
      <c r="L1085" t="s">
        <v>21</v>
      </c>
      <c r="M1085" t="str">
        <f t="shared" si="71"/>
        <v>ND</v>
      </c>
      <c r="N1085" t="str">
        <f t="shared" si="70"/>
        <v>ND</v>
      </c>
    </row>
    <row r="1086" spans="1:14" x14ac:dyDescent="0.3">
      <c r="A1086" s="1" t="s">
        <v>70</v>
      </c>
      <c r="B1086">
        <v>6</v>
      </c>
      <c r="C1086">
        <v>13</v>
      </c>
      <c r="D1086" t="s">
        <v>74</v>
      </c>
      <c r="E1086">
        <v>23000000</v>
      </c>
      <c r="F1086">
        <f t="shared" si="73"/>
        <v>23000000</v>
      </c>
      <c r="G1086">
        <f t="shared" si="72"/>
        <v>74096.983286297851</v>
      </c>
      <c r="H1086" t="s">
        <v>72</v>
      </c>
      <c r="I1086" s="1" t="s">
        <v>224</v>
      </c>
      <c r="J1086" s="1" t="s">
        <v>216</v>
      </c>
      <c r="K1086" s="9" t="s">
        <v>20</v>
      </c>
      <c r="L1086" t="s">
        <v>21</v>
      </c>
      <c r="M1086" t="str">
        <f t="shared" si="71"/>
        <v>ND</v>
      </c>
      <c r="N1086" t="str">
        <f t="shared" si="70"/>
        <v>ND</v>
      </c>
    </row>
    <row r="1087" spans="1:14" x14ac:dyDescent="0.3">
      <c r="A1087" s="1" t="s">
        <v>70</v>
      </c>
      <c r="B1087">
        <v>6</v>
      </c>
      <c r="C1087">
        <v>13</v>
      </c>
      <c r="D1087" t="s">
        <v>74</v>
      </c>
      <c r="E1087">
        <v>23000000</v>
      </c>
      <c r="F1087">
        <f t="shared" si="73"/>
        <v>23000000</v>
      </c>
      <c r="G1087">
        <f t="shared" si="72"/>
        <v>74096.983286297851</v>
      </c>
      <c r="H1087" t="s">
        <v>72</v>
      </c>
      <c r="I1087" s="1" t="s">
        <v>224</v>
      </c>
      <c r="J1087" s="1" t="s">
        <v>216</v>
      </c>
      <c r="K1087" s="9" t="s">
        <v>20</v>
      </c>
      <c r="L1087" t="s">
        <v>21</v>
      </c>
      <c r="M1087" t="str">
        <f t="shared" si="71"/>
        <v>ND</v>
      </c>
      <c r="N1087" t="str">
        <f t="shared" si="70"/>
        <v>ND</v>
      </c>
    </row>
    <row r="1088" spans="1:14" x14ac:dyDescent="0.3">
      <c r="A1088" s="1" t="s">
        <v>70</v>
      </c>
      <c r="B1088">
        <v>6</v>
      </c>
      <c r="C1088">
        <v>13</v>
      </c>
      <c r="D1088" t="s">
        <v>74</v>
      </c>
      <c r="E1088">
        <v>23000000</v>
      </c>
      <c r="F1088">
        <f t="shared" si="73"/>
        <v>23000000</v>
      </c>
      <c r="G1088">
        <f t="shared" si="72"/>
        <v>74096.983286297851</v>
      </c>
      <c r="H1088" t="s">
        <v>72</v>
      </c>
      <c r="I1088" s="1" t="s">
        <v>224</v>
      </c>
      <c r="J1088" s="1" t="s">
        <v>216</v>
      </c>
      <c r="K1088" s="9" t="s">
        <v>20</v>
      </c>
      <c r="L1088" t="s">
        <v>21</v>
      </c>
      <c r="M1088" t="str">
        <f t="shared" si="71"/>
        <v>ND</v>
      </c>
      <c r="N1088" t="str">
        <f t="shared" si="70"/>
        <v>ND</v>
      </c>
    </row>
    <row r="1089" spans="1:14" x14ac:dyDescent="0.3">
      <c r="A1089" s="1" t="s">
        <v>70</v>
      </c>
      <c r="B1089">
        <v>6</v>
      </c>
      <c r="C1089">
        <v>13</v>
      </c>
      <c r="D1089" t="s">
        <v>74</v>
      </c>
      <c r="E1089">
        <v>23000000</v>
      </c>
      <c r="F1089">
        <f t="shared" si="73"/>
        <v>23000000</v>
      </c>
      <c r="G1089">
        <f t="shared" si="72"/>
        <v>74096.983286297851</v>
      </c>
      <c r="H1089" t="s">
        <v>72</v>
      </c>
      <c r="I1089" s="1" t="s">
        <v>224</v>
      </c>
      <c r="J1089" s="1" t="s">
        <v>216</v>
      </c>
      <c r="K1089" s="9" t="s">
        <v>20</v>
      </c>
      <c r="L1089" t="s">
        <v>21</v>
      </c>
      <c r="M1089" t="str">
        <f t="shared" si="71"/>
        <v>ND</v>
      </c>
      <c r="N1089" t="str">
        <f t="shared" si="70"/>
        <v>ND</v>
      </c>
    </row>
    <row r="1090" spans="1:14" x14ac:dyDescent="0.3">
      <c r="A1090" s="1" t="s">
        <v>70</v>
      </c>
      <c r="B1090">
        <v>6</v>
      </c>
      <c r="C1090">
        <v>13</v>
      </c>
      <c r="D1090" t="s">
        <v>74</v>
      </c>
      <c r="E1090">
        <v>23000000</v>
      </c>
      <c r="F1090">
        <f t="shared" si="73"/>
        <v>23000000</v>
      </c>
      <c r="G1090">
        <f t="shared" si="72"/>
        <v>74096.983286297851</v>
      </c>
      <c r="H1090" t="s">
        <v>72</v>
      </c>
      <c r="I1090" s="1" t="s">
        <v>224</v>
      </c>
      <c r="J1090" s="1" t="s">
        <v>216</v>
      </c>
      <c r="K1090" s="9" t="s">
        <v>20</v>
      </c>
      <c r="L1090" t="s">
        <v>21</v>
      </c>
      <c r="M1090" t="str">
        <f t="shared" si="71"/>
        <v>ND</v>
      </c>
      <c r="N1090" t="str">
        <f t="shared" ref="N1090:N1153" si="74">IFERROR((M1090*F1090)/G1090,"ND")</f>
        <v>ND</v>
      </c>
    </row>
    <row r="1091" spans="1:14" x14ac:dyDescent="0.3">
      <c r="A1091" s="1" t="s">
        <v>70</v>
      </c>
      <c r="B1091">
        <v>6</v>
      </c>
      <c r="C1091">
        <v>13</v>
      </c>
      <c r="D1091" t="s">
        <v>74</v>
      </c>
      <c r="E1091">
        <v>23000000</v>
      </c>
      <c r="F1091">
        <f t="shared" si="73"/>
        <v>23000000</v>
      </c>
      <c r="G1091">
        <f t="shared" si="72"/>
        <v>74096.983286297851</v>
      </c>
      <c r="H1091" t="s">
        <v>72</v>
      </c>
      <c r="I1091" s="1" t="s">
        <v>224</v>
      </c>
      <c r="J1091" s="1" t="s">
        <v>216</v>
      </c>
      <c r="K1091" s="9" t="s">
        <v>20</v>
      </c>
      <c r="L1091" t="s">
        <v>21</v>
      </c>
      <c r="M1091" t="str">
        <f t="shared" si="71"/>
        <v>ND</v>
      </c>
      <c r="N1091" t="str">
        <f t="shared" si="74"/>
        <v>ND</v>
      </c>
    </row>
    <row r="1092" spans="1:14" x14ac:dyDescent="0.3">
      <c r="A1092" s="1" t="s">
        <v>70</v>
      </c>
      <c r="B1092">
        <v>6</v>
      </c>
      <c r="C1092">
        <v>13</v>
      </c>
      <c r="D1092" t="s">
        <v>74</v>
      </c>
      <c r="E1092">
        <v>23000000</v>
      </c>
      <c r="F1092">
        <f t="shared" si="73"/>
        <v>23000000</v>
      </c>
      <c r="G1092">
        <f t="shared" si="72"/>
        <v>74096.983286297851</v>
      </c>
      <c r="H1092" t="s">
        <v>72</v>
      </c>
      <c r="I1092" s="1" t="s">
        <v>224</v>
      </c>
      <c r="J1092" s="1" t="s">
        <v>216</v>
      </c>
      <c r="K1092" s="9" t="s">
        <v>20</v>
      </c>
      <c r="L1092" t="s">
        <v>21</v>
      </c>
      <c r="M1092" t="str">
        <f t="shared" si="71"/>
        <v>ND</v>
      </c>
      <c r="N1092" t="str">
        <f t="shared" si="74"/>
        <v>ND</v>
      </c>
    </row>
    <row r="1093" spans="1:14" x14ac:dyDescent="0.3">
      <c r="A1093" s="1" t="s">
        <v>70</v>
      </c>
      <c r="B1093">
        <v>6</v>
      </c>
      <c r="C1093">
        <v>13</v>
      </c>
      <c r="D1093" t="s">
        <v>74</v>
      </c>
      <c r="E1093">
        <v>23000000</v>
      </c>
      <c r="F1093">
        <f t="shared" si="73"/>
        <v>23000000</v>
      </c>
      <c r="G1093">
        <f t="shared" si="72"/>
        <v>74096.983286297851</v>
      </c>
      <c r="H1093" t="s">
        <v>72</v>
      </c>
      <c r="I1093" s="1" t="s">
        <v>224</v>
      </c>
      <c r="J1093" s="1" t="s">
        <v>216</v>
      </c>
      <c r="K1093" s="9" t="s">
        <v>20</v>
      </c>
      <c r="L1093" t="s">
        <v>21</v>
      </c>
      <c r="M1093" t="str">
        <f t="shared" si="71"/>
        <v>ND</v>
      </c>
      <c r="N1093" t="str">
        <f t="shared" si="74"/>
        <v>ND</v>
      </c>
    </row>
    <row r="1094" spans="1:14" x14ac:dyDescent="0.3">
      <c r="A1094" s="1" t="s">
        <v>70</v>
      </c>
      <c r="B1094">
        <v>6</v>
      </c>
      <c r="C1094">
        <v>13</v>
      </c>
      <c r="D1094" t="s">
        <v>74</v>
      </c>
      <c r="E1094">
        <v>23000000</v>
      </c>
      <c r="F1094">
        <f t="shared" si="73"/>
        <v>23000000</v>
      </c>
      <c r="G1094">
        <f t="shared" si="72"/>
        <v>74096.983286297851</v>
      </c>
      <c r="H1094" t="s">
        <v>72</v>
      </c>
      <c r="I1094" s="1" t="s">
        <v>224</v>
      </c>
      <c r="J1094" s="1" t="s">
        <v>216</v>
      </c>
      <c r="K1094" s="9" t="s">
        <v>20</v>
      </c>
      <c r="L1094" t="s">
        <v>21</v>
      </c>
      <c r="M1094" t="str">
        <f t="shared" si="71"/>
        <v>ND</v>
      </c>
      <c r="N1094" t="str">
        <f t="shared" si="74"/>
        <v>ND</v>
      </c>
    </row>
    <row r="1095" spans="1:14" x14ac:dyDescent="0.3">
      <c r="A1095" s="1" t="s">
        <v>70</v>
      </c>
      <c r="B1095">
        <v>6</v>
      </c>
      <c r="C1095">
        <v>13</v>
      </c>
      <c r="D1095" t="s">
        <v>74</v>
      </c>
      <c r="E1095">
        <v>23000000</v>
      </c>
      <c r="F1095">
        <f t="shared" si="73"/>
        <v>23000000</v>
      </c>
      <c r="G1095">
        <f t="shared" si="72"/>
        <v>74096.983286297851</v>
      </c>
      <c r="H1095" t="s">
        <v>72</v>
      </c>
      <c r="I1095" s="1" t="s">
        <v>224</v>
      </c>
      <c r="J1095" s="1" t="s">
        <v>216</v>
      </c>
      <c r="K1095" s="9" t="s">
        <v>20</v>
      </c>
      <c r="L1095" t="s">
        <v>21</v>
      </c>
      <c r="M1095" t="str">
        <f t="shared" si="71"/>
        <v>ND</v>
      </c>
      <c r="N1095" t="str">
        <f t="shared" si="74"/>
        <v>ND</v>
      </c>
    </row>
    <row r="1096" spans="1:14" x14ac:dyDescent="0.3">
      <c r="A1096" s="1" t="s">
        <v>70</v>
      </c>
      <c r="B1096">
        <v>6</v>
      </c>
      <c r="C1096">
        <v>13</v>
      </c>
      <c r="D1096" t="s">
        <v>74</v>
      </c>
      <c r="E1096">
        <v>23000000</v>
      </c>
      <c r="F1096">
        <f t="shared" si="73"/>
        <v>23000000</v>
      </c>
      <c r="G1096">
        <f t="shared" si="72"/>
        <v>74096.983286297851</v>
      </c>
      <c r="H1096" t="s">
        <v>72</v>
      </c>
      <c r="I1096" s="1" t="s">
        <v>224</v>
      </c>
      <c r="J1096" s="1" t="s">
        <v>216</v>
      </c>
      <c r="K1096" s="9" t="s">
        <v>20</v>
      </c>
      <c r="L1096" t="s">
        <v>21</v>
      </c>
      <c r="M1096" t="str">
        <f t="shared" si="71"/>
        <v>ND</v>
      </c>
      <c r="N1096" t="str">
        <f t="shared" si="74"/>
        <v>ND</v>
      </c>
    </row>
    <row r="1097" spans="1:14" x14ac:dyDescent="0.3">
      <c r="A1097" s="1" t="s">
        <v>70</v>
      </c>
      <c r="B1097">
        <v>6</v>
      </c>
      <c r="C1097">
        <v>13</v>
      </c>
      <c r="D1097" t="s">
        <v>74</v>
      </c>
      <c r="E1097">
        <v>23000000</v>
      </c>
      <c r="F1097">
        <f t="shared" si="73"/>
        <v>23000000</v>
      </c>
      <c r="G1097">
        <f t="shared" si="72"/>
        <v>74096.983286297851</v>
      </c>
      <c r="H1097" t="s">
        <v>72</v>
      </c>
      <c r="I1097" s="1" t="s">
        <v>224</v>
      </c>
      <c r="J1097" s="1" t="s">
        <v>216</v>
      </c>
      <c r="K1097" s="9" t="s">
        <v>20</v>
      </c>
      <c r="L1097" t="s">
        <v>21</v>
      </c>
      <c r="M1097" t="str">
        <f t="shared" si="71"/>
        <v>ND</v>
      </c>
      <c r="N1097" t="str">
        <f t="shared" si="74"/>
        <v>ND</v>
      </c>
    </row>
    <row r="1098" spans="1:14" x14ac:dyDescent="0.3">
      <c r="A1098" s="1" t="s">
        <v>70</v>
      </c>
      <c r="B1098">
        <v>6</v>
      </c>
      <c r="C1098">
        <v>13</v>
      </c>
      <c r="D1098" t="s">
        <v>74</v>
      </c>
      <c r="E1098">
        <v>23000000</v>
      </c>
      <c r="F1098">
        <f t="shared" si="73"/>
        <v>23000000</v>
      </c>
      <c r="G1098">
        <f t="shared" si="72"/>
        <v>74096.983286297851</v>
      </c>
      <c r="H1098" t="s">
        <v>72</v>
      </c>
      <c r="I1098" s="1" t="s">
        <v>224</v>
      </c>
      <c r="J1098" s="1" t="s">
        <v>216</v>
      </c>
      <c r="K1098" s="9" t="s">
        <v>20</v>
      </c>
      <c r="L1098" t="s">
        <v>21</v>
      </c>
      <c r="M1098" t="str">
        <f t="shared" si="71"/>
        <v>ND</v>
      </c>
      <c r="N1098" t="str">
        <f t="shared" si="74"/>
        <v>ND</v>
      </c>
    </row>
    <row r="1099" spans="1:14" x14ac:dyDescent="0.3">
      <c r="A1099" s="1" t="s">
        <v>70</v>
      </c>
      <c r="B1099">
        <v>6</v>
      </c>
      <c r="C1099">
        <v>13</v>
      </c>
      <c r="D1099" t="s">
        <v>74</v>
      </c>
      <c r="E1099">
        <v>23000000</v>
      </c>
      <c r="F1099">
        <f t="shared" si="73"/>
        <v>23000000</v>
      </c>
      <c r="G1099">
        <f t="shared" si="72"/>
        <v>74096.983286297851</v>
      </c>
      <c r="H1099" t="s">
        <v>72</v>
      </c>
      <c r="I1099" s="1" t="s">
        <v>224</v>
      </c>
      <c r="J1099" s="1" t="s">
        <v>216</v>
      </c>
      <c r="K1099" s="9" t="s">
        <v>20</v>
      </c>
      <c r="L1099" t="s">
        <v>21</v>
      </c>
      <c r="M1099" t="str">
        <f t="shared" si="71"/>
        <v>ND</v>
      </c>
      <c r="N1099" t="str">
        <f t="shared" si="74"/>
        <v>ND</v>
      </c>
    </row>
    <row r="1100" spans="1:14" x14ac:dyDescent="0.3">
      <c r="A1100" s="1" t="s">
        <v>70</v>
      </c>
      <c r="B1100">
        <v>6</v>
      </c>
      <c r="C1100">
        <v>13</v>
      </c>
      <c r="D1100" t="s">
        <v>74</v>
      </c>
      <c r="E1100">
        <v>23000000</v>
      </c>
      <c r="F1100">
        <f t="shared" si="73"/>
        <v>23000000</v>
      </c>
      <c r="G1100">
        <f t="shared" si="72"/>
        <v>74096.983286297851</v>
      </c>
      <c r="H1100" t="s">
        <v>72</v>
      </c>
      <c r="I1100" s="1" t="s">
        <v>224</v>
      </c>
      <c r="J1100" s="1" t="s">
        <v>216</v>
      </c>
      <c r="K1100" s="9" t="s">
        <v>20</v>
      </c>
      <c r="L1100" t="s">
        <v>21</v>
      </c>
      <c r="M1100" t="str">
        <f t="shared" si="71"/>
        <v>ND</v>
      </c>
      <c r="N1100" t="str">
        <f t="shared" si="74"/>
        <v>ND</v>
      </c>
    </row>
    <row r="1101" spans="1:14" x14ac:dyDescent="0.3">
      <c r="A1101" s="1" t="s">
        <v>70</v>
      </c>
      <c r="B1101">
        <v>6</v>
      </c>
      <c r="C1101">
        <v>13</v>
      </c>
      <c r="D1101" t="s">
        <v>74</v>
      </c>
      <c r="E1101">
        <v>23000000</v>
      </c>
      <c r="F1101">
        <f t="shared" si="73"/>
        <v>23000000</v>
      </c>
      <c r="G1101">
        <f t="shared" si="72"/>
        <v>74096.983286297851</v>
      </c>
      <c r="H1101" t="s">
        <v>72</v>
      </c>
      <c r="I1101" s="1" t="s">
        <v>224</v>
      </c>
      <c r="J1101" s="1" t="s">
        <v>216</v>
      </c>
      <c r="K1101" s="9" t="s">
        <v>20</v>
      </c>
      <c r="L1101" t="s">
        <v>21</v>
      </c>
      <c r="M1101" t="str">
        <f t="shared" si="71"/>
        <v>ND</v>
      </c>
      <c r="N1101" t="str">
        <f t="shared" si="74"/>
        <v>ND</v>
      </c>
    </row>
    <row r="1102" spans="1:14" x14ac:dyDescent="0.3">
      <c r="A1102" s="1" t="s">
        <v>70</v>
      </c>
      <c r="B1102">
        <v>6</v>
      </c>
      <c r="C1102">
        <v>13</v>
      </c>
      <c r="D1102" t="s">
        <v>74</v>
      </c>
      <c r="E1102">
        <v>23000000</v>
      </c>
      <c r="F1102">
        <f t="shared" si="73"/>
        <v>23000000</v>
      </c>
      <c r="G1102">
        <f t="shared" si="72"/>
        <v>74096.983286297851</v>
      </c>
      <c r="H1102" t="s">
        <v>72</v>
      </c>
      <c r="I1102" s="1" t="s">
        <v>224</v>
      </c>
      <c r="J1102" s="1" t="s">
        <v>216</v>
      </c>
      <c r="K1102" s="9" t="s">
        <v>20</v>
      </c>
      <c r="L1102" t="s">
        <v>21</v>
      </c>
      <c r="M1102" t="str">
        <f t="shared" si="71"/>
        <v>ND</v>
      </c>
      <c r="N1102" t="str">
        <f t="shared" si="74"/>
        <v>ND</v>
      </c>
    </row>
    <row r="1103" spans="1:14" x14ac:dyDescent="0.3">
      <c r="A1103" s="1" t="s">
        <v>70</v>
      </c>
      <c r="B1103">
        <v>6</v>
      </c>
      <c r="C1103">
        <v>13</v>
      </c>
      <c r="D1103" t="s">
        <v>74</v>
      </c>
      <c r="E1103">
        <v>23000000</v>
      </c>
      <c r="F1103">
        <f t="shared" si="73"/>
        <v>23000000</v>
      </c>
      <c r="G1103">
        <f t="shared" si="72"/>
        <v>74096.983286297851</v>
      </c>
      <c r="H1103" t="s">
        <v>72</v>
      </c>
      <c r="I1103" s="1" t="s">
        <v>224</v>
      </c>
      <c r="J1103" s="1" t="s">
        <v>216</v>
      </c>
      <c r="K1103" s="9" t="s">
        <v>20</v>
      </c>
      <c r="L1103" t="s">
        <v>21</v>
      </c>
      <c r="M1103" t="str">
        <f t="shared" si="71"/>
        <v>ND</v>
      </c>
      <c r="N1103" t="str">
        <f t="shared" si="74"/>
        <v>ND</v>
      </c>
    </row>
    <row r="1104" spans="1:14" x14ac:dyDescent="0.3">
      <c r="A1104" s="1" t="s">
        <v>70</v>
      </c>
      <c r="B1104">
        <v>6</v>
      </c>
      <c r="C1104">
        <v>13</v>
      </c>
      <c r="D1104" t="s">
        <v>74</v>
      </c>
      <c r="E1104">
        <v>23000000</v>
      </c>
      <c r="F1104">
        <f t="shared" si="73"/>
        <v>23000000</v>
      </c>
      <c r="G1104">
        <f t="shared" si="72"/>
        <v>74096.983286297851</v>
      </c>
      <c r="H1104" t="s">
        <v>72</v>
      </c>
      <c r="I1104" s="1" t="s">
        <v>224</v>
      </c>
      <c r="J1104" s="1" t="s">
        <v>216</v>
      </c>
      <c r="K1104" s="9" t="s">
        <v>20</v>
      </c>
      <c r="L1104" t="s">
        <v>21</v>
      </c>
      <c r="M1104" t="str">
        <f t="shared" si="71"/>
        <v>ND</v>
      </c>
      <c r="N1104" t="str">
        <f t="shared" si="74"/>
        <v>ND</v>
      </c>
    </row>
    <row r="1105" spans="1:14" x14ac:dyDescent="0.3">
      <c r="A1105" s="1" t="s">
        <v>70</v>
      </c>
      <c r="B1105">
        <v>6</v>
      </c>
      <c r="C1105">
        <v>13</v>
      </c>
      <c r="D1105" t="s">
        <v>74</v>
      </c>
      <c r="E1105">
        <v>23000000</v>
      </c>
      <c r="F1105">
        <f t="shared" si="73"/>
        <v>23000000</v>
      </c>
      <c r="G1105">
        <f t="shared" si="72"/>
        <v>74096.983286297851</v>
      </c>
      <c r="H1105" t="s">
        <v>72</v>
      </c>
      <c r="I1105" s="1" t="s">
        <v>224</v>
      </c>
      <c r="J1105" s="1" t="s">
        <v>216</v>
      </c>
      <c r="K1105" s="9" t="s">
        <v>20</v>
      </c>
      <c r="L1105" t="s">
        <v>21</v>
      </c>
      <c r="M1105" t="str">
        <f t="shared" si="71"/>
        <v>ND</v>
      </c>
      <c r="N1105" t="str">
        <f t="shared" si="74"/>
        <v>ND</v>
      </c>
    </row>
    <row r="1106" spans="1:14" x14ac:dyDescent="0.3">
      <c r="A1106" s="1" t="s">
        <v>70</v>
      </c>
      <c r="B1106">
        <v>6</v>
      </c>
      <c r="C1106">
        <v>13</v>
      </c>
      <c r="D1106" t="s">
        <v>74</v>
      </c>
      <c r="E1106">
        <v>23000000</v>
      </c>
      <c r="F1106">
        <f t="shared" si="73"/>
        <v>23000000</v>
      </c>
      <c r="G1106">
        <f t="shared" si="72"/>
        <v>74096.983286297851</v>
      </c>
      <c r="H1106" t="s">
        <v>72</v>
      </c>
      <c r="I1106" s="1" t="s">
        <v>224</v>
      </c>
      <c r="J1106" s="1" t="s">
        <v>216</v>
      </c>
      <c r="K1106" s="9" t="s">
        <v>20</v>
      </c>
      <c r="L1106" t="s">
        <v>21</v>
      </c>
      <c r="M1106" t="str">
        <f t="shared" si="71"/>
        <v>ND</v>
      </c>
      <c r="N1106" t="str">
        <f t="shared" si="74"/>
        <v>ND</v>
      </c>
    </row>
    <row r="1107" spans="1:14" x14ac:dyDescent="0.3">
      <c r="A1107" s="1" t="s">
        <v>73</v>
      </c>
      <c r="B1107">
        <v>6</v>
      </c>
      <c r="C1107">
        <v>12</v>
      </c>
      <c r="D1107" t="s">
        <v>71</v>
      </c>
      <c r="E1107">
        <v>11000000</v>
      </c>
      <c r="F1107">
        <f t="shared" si="73"/>
        <v>11000000</v>
      </c>
      <c r="G1107">
        <f t="shared" si="72"/>
        <v>35437.687658664196</v>
      </c>
      <c r="H1107" t="s">
        <v>72</v>
      </c>
      <c r="I1107" s="1" t="s">
        <v>224</v>
      </c>
      <c r="J1107" s="1" t="s">
        <v>216</v>
      </c>
      <c r="K1107" s="9" t="s">
        <v>20</v>
      </c>
      <c r="L1107" t="s">
        <v>21</v>
      </c>
      <c r="M1107" t="str">
        <f t="shared" si="71"/>
        <v>ND</v>
      </c>
      <c r="N1107" t="str">
        <f t="shared" si="74"/>
        <v>ND</v>
      </c>
    </row>
    <row r="1108" spans="1:14" x14ac:dyDescent="0.3">
      <c r="A1108" s="1" t="s">
        <v>73</v>
      </c>
      <c r="B1108">
        <v>6</v>
      </c>
      <c r="C1108">
        <v>12</v>
      </c>
      <c r="D1108" t="s">
        <v>71</v>
      </c>
      <c r="E1108">
        <v>11000000</v>
      </c>
      <c r="F1108">
        <f t="shared" si="73"/>
        <v>11000000</v>
      </c>
      <c r="G1108">
        <f t="shared" si="72"/>
        <v>35437.687658664196</v>
      </c>
      <c r="H1108" t="s">
        <v>72</v>
      </c>
      <c r="I1108" s="1" t="s">
        <v>224</v>
      </c>
      <c r="J1108" s="1" t="s">
        <v>216</v>
      </c>
      <c r="K1108" s="9" t="s">
        <v>20</v>
      </c>
      <c r="L1108" t="s">
        <v>21</v>
      </c>
      <c r="M1108" t="str">
        <f t="shared" si="71"/>
        <v>ND</v>
      </c>
      <c r="N1108" t="str">
        <f t="shared" si="74"/>
        <v>ND</v>
      </c>
    </row>
    <row r="1109" spans="1:14" x14ac:dyDescent="0.3">
      <c r="A1109" s="1" t="s">
        <v>73</v>
      </c>
      <c r="B1109">
        <v>6</v>
      </c>
      <c r="C1109">
        <v>12</v>
      </c>
      <c r="D1109" t="s">
        <v>71</v>
      </c>
      <c r="E1109">
        <v>11000000</v>
      </c>
      <c r="F1109">
        <f t="shared" si="73"/>
        <v>11000000</v>
      </c>
      <c r="G1109">
        <f t="shared" si="72"/>
        <v>35437.687658664196</v>
      </c>
      <c r="H1109" t="s">
        <v>72</v>
      </c>
      <c r="I1109" s="1" t="s">
        <v>224</v>
      </c>
      <c r="J1109" s="1" t="s">
        <v>216</v>
      </c>
      <c r="K1109" s="9" t="s">
        <v>20</v>
      </c>
      <c r="L1109" t="s">
        <v>21</v>
      </c>
      <c r="M1109" t="str">
        <f t="shared" si="71"/>
        <v>ND</v>
      </c>
      <c r="N1109" t="str">
        <f t="shared" si="74"/>
        <v>ND</v>
      </c>
    </row>
    <row r="1110" spans="1:14" x14ac:dyDescent="0.3">
      <c r="A1110" s="1" t="s">
        <v>73</v>
      </c>
      <c r="B1110">
        <v>6</v>
      </c>
      <c r="C1110">
        <v>12</v>
      </c>
      <c r="D1110" t="s">
        <v>71</v>
      </c>
      <c r="E1110">
        <v>11000000</v>
      </c>
      <c r="F1110">
        <f t="shared" si="73"/>
        <v>11000000</v>
      </c>
      <c r="G1110">
        <f t="shared" si="72"/>
        <v>35437.687658664196</v>
      </c>
      <c r="H1110" t="s">
        <v>72</v>
      </c>
      <c r="I1110" s="1" t="s">
        <v>224</v>
      </c>
      <c r="J1110" s="1" t="s">
        <v>216</v>
      </c>
      <c r="K1110" s="9" t="s">
        <v>20</v>
      </c>
      <c r="L1110" t="s">
        <v>21</v>
      </c>
      <c r="M1110" t="str">
        <f t="shared" si="71"/>
        <v>ND</v>
      </c>
      <c r="N1110" t="str">
        <f t="shared" si="74"/>
        <v>ND</v>
      </c>
    </row>
    <row r="1111" spans="1:14" x14ac:dyDescent="0.3">
      <c r="A1111" s="1" t="s">
        <v>73</v>
      </c>
      <c r="B1111">
        <v>6</v>
      </c>
      <c r="C1111">
        <v>12</v>
      </c>
      <c r="D1111" t="s">
        <v>71</v>
      </c>
      <c r="E1111">
        <v>11000000</v>
      </c>
      <c r="F1111">
        <f t="shared" si="73"/>
        <v>11000000</v>
      </c>
      <c r="G1111">
        <f t="shared" si="72"/>
        <v>35437.687658664196</v>
      </c>
      <c r="H1111" t="s">
        <v>72</v>
      </c>
      <c r="I1111" s="1" t="s">
        <v>224</v>
      </c>
      <c r="J1111" s="1" t="s">
        <v>216</v>
      </c>
      <c r="K1111" s="9" t="s">
        <v>20</v>
      </c>
      <c r="L1111" t="s">
        <v>21</v>
      </c>
      <c r="M1111" t="str">
        <f t="shared" ref="M1111:M1174" si="75">IFERROR(K1111/1000,"ND")</f>
        <v>ND</v>
      </c>
      <c r="N1111" t="str">
        <f t="shared" si="74"/>
        <v>ND</v>
      </c>
    </row>
    <row r="1112" spans="1:14" x14ac:dyDescent="0.3">
      <c r="A1112" s="1" t="s">
        <v>73</v>
      </c>
      <c r="B1112">
        <v>6</v>
      </c>
      <c r="C1112">
        <v>12</v>
      </c>
      <c r="D1112" t="s">
        <v>71</v>
      </c>
      <c r="E1112">
        <v>11000000</v>
      </c>
      <c r="F1112">
        <f t="shared" si="73"/>
        <v>11000000</v>
      </c>
      <c r="G1112">
        <f t="shared" ref="G1112:G1175" si="76">F1112/310.404</f>
        <v>35437.687658664196</v>
      </c>
      <c r="H1112" t="s">
        <v>72</v>
      </c>
      <c r="I1112" s="1" t="s">
        <v>224</v>
      </c>
      <c r="J1112" s="1" t="s">
        <v>216</v>
      </c>
      <c r="K1112" s="9" t="s">
        <v>20</v>
      </c>
      <c r="L1112" t="s">
        <v>21</v>
      </c>
      <c r="M1112" t="str">
        <f t="shared" si="75"/>
        <v>ND</v>
      </c>
      <c r="N1112" t="str">
        <f t="shared" si="74"/>
        <v>ND</v>
      </c>
    </row>
    <row r="1113" spans="1:14" x14ac:dyDescent="0.3">
      <c r="A1113" s="1" t="s">
        <v>73</v>
      </c>
      <c r="B1113">
        <v>6</v>
      </c>
      <c r="C1113">
        <v>12</v>
      </c>
      <c r="D1113" t="s">
        <v>71</v>
      </c>
      <c r="E1113">
        <v>11000000</v>
      </c>
      <c r="F1113">
        <f t="shared" si="73"/>
        <v>11000000</v>
      </c>
      <c r="G1113">
        <f t="shared" si="76"/>
        <v>35437.687658664196</v>
      </c>
      <c r="H1113" t="s">
        <v>72</v>
      </c>
      <c r="I1113" s="1" t="s">
        <v>224</v>
      </c>
      <c r="J1113" s="1" t="s">
        <v>216</v>
      </c>
      <c r="K1113" s="9" t="s">
        <v>20</v>
      </c>
      <c r="L1113" t="s">
        <v>21</v>
      </c>
      <c r="M1113" t="str">
        <f t="shared" si="75"/>
        <v>ND</v>
      </c>
      <c r="N1113" t="str">
        <f t="shared" si="74"/>
        <v>ND</v>
      </c>
    </row>
    <row r="1114" spans="1:14" x14ac:dyDescent="0.3">
      <c r="A1114" s="1" t="s">
        <v>73</v>
      </c>
      <c r="B1114">
        <v>6</v>
      </c>
      <c r="C1114">
        <v>12</v>
      </c>
      <c r="D1114" t="s">
        <v>71</v>
      </c>
      <c r="E1114">
        <v>11000000</v>
      </c>
      <c r="F1114">
        <f t="shared" si="73"/>
        <v>11000000</v>
      </c>
      <c r="G1114">
        <f t="shared" si="76"/>
        <v>35437.687658664196</v>
      </c>
      <c r="H1114" t="s">
        <v>72</v>
      </c>
      <c r="I1114" s="1" t="s">
        <v>224</v>
      </c>
      <c r="J1114" s="1" t="s">
        <v>216</v>
      </c>
      <c r="K1114" s="9" t="s">
        <v>20</v>
      </c>
      <c r="L1114" t="s">
        <v>21</v>
      </c>
      <c r="M1114" t="str">
        <f t="shared" si="75"/>
        <v>ND</v>
      </c>
      <c r="N1114" t="str">
        <f t="shared" si="74"/>
        <v>ND</v>
      </c>
    </row>
    <row r="1115" spans="1:14" x14ac:dyDescent="0.3">
      <c r="A1115" s="1" t="s">
        <v>73</v>
      </c>
      <c r="B1115">
        <v>6</v>
      </c>
      <c r="C1115">
        <v>12</v>
      </c>
      <c r="D1115" t="s">
        <v>71</v>
      </c>
      <c r="E1115">
        <v>11000000</v>
      </c>
      <c r="F1115">
        <f t="shared" si="73"/>
        <v>11000000</v>
      </c>
      <c r="G1115">
        <f t="shared" si="76"/>
        <v>35437.687658664196</v>
      </c>
      <c r="H1115" t="s">
        <v>72</v>
      </c>
      <c r="I1115" s="1" t="s">
        <v>224</v>
      </c>
      <c r="J1115" s="1" t="s">
        <v>216</v>
      </c>
      <c r="K1115" s="9" t="s">
        <v>20</v>
      </c>
      <c r="L1115" t="s">
        <v>21</v>
      </c>
      <c r="M1115" t="str">
        <f t="shared" si="75"/>
        <v>ND</v>
      </c>
      <c r="N1115" t="str">
        <f t="shared" si="74"/>
        <v>ND</v>
      </c>
    </row>
    <row r="1116" spans="1:14" x14ac:dyDescent="0.3">
      <c r="A1116" s="1" t="s">
        <v>73</v>
      </c>
      <c r="B1116">
        <v>6</v>
      </c>
      <c r="C1116">
        <v>12</v>
      </c>
      <c r="D1116" t="s">
        <v>71</v>
      </c>
      <c r="E1116">
        <v>11000000</v>
      </c>
      <c r="F1116">
        <f t="shared" si="73"/>
        <v>11000000</v>
      </c>
      <c r="G1116">
        <f t="shared" si="76"/>
        <v>35437.687658664196</v>
      </c>
      <c r="H1116" t="s">
        <v>72</v>
      </c>
      <c r="I1116" s="1" t="s">
        <v>224</v>
      </c>
      <c r="J1116" s="1" t="s">
        <v>216</v>
      </c>
      <c r="K1116" s="9" t="s">
        <v>20</v>
      </c>
      <c r="L1116" t="s">
        <v>21</v>
      </c>
      <c r="M1116" t="str">
        <f t="shared" si="75"/>
        <v>ND</v>
      </c>
      <c r="N1116" t="str">
        <f t="shared" si="74"/>
        <v>ND</v>
      </c>
    </row>
    <row r="1117" spans="1:14" x14ac:dyDescent="0.3">
      <c r="A1117" s="1" t="s">
        <v>73</v>
      </c>
      <c r="B1117">
        <v>6</v>
      </c>
      <c r="C1117">
        <v>12</v>
      </c>
      <c r="D1117" t="s">
        <v>71</v>
      </c>
      <c r="E1117">
        <v>11000000</v>
      </c>
      <c r="F1117">
        <f t="shared" si="73"/>
        <v>11000000</v>
      </c>
      <c r="G1117">
        <f t="shared" si="76"/>
        <v>35437.687658664196</v>
      </c>
      <c r="H1117" t="s">
        <v>72</v>
      </c>
      <c r="I1117" s="1" t="s">
        <v>224</v>
      </c>
      <c r="J1117" s="1" t="s">
        <v>216</v>
      </c>
      <c r="K1117" s="9" t="s">
        <v>20</v>
      </c>
      <c r="L1117" t="s">
        <v>21</v>
      </c>
      <c r="M1117" t="str">
        <f t="shared" si="75"/>
        <v>ND</v>
      </c>
      <c r="N1117" t="str">
        <f t="shared" si="74"/>
        <v>ND</v>
      </c>
    </row>
    <row r="1118" spans="1:14" x14ac:dyDescent="0.3">
      <c r="A1118" s="1" t="s">
        <v>73</v>
      </c>
      <c r="B1118">
        <v>6</v>
      </c>
      <c r="C1118">
        <v>12</v>
      </c>
      <c r="D1118" t="s">
        <v>71</v>
      </c>
      <c r="E1118">
        <v>11000000</v>
      </c>
      <c r="F1118">
        <f t="shared" si="73"/>
        <v>11000000</v>
      </c>
      <c r="G1118">
        <f t="shared" si="76"/>
        <v>35437.687658664196</v>
      </c>
      <c r="H1118" t="s">
        <v>72</v>
      </c>
      <c r="I1118" s="1" t="s">
        <v>224</v>
      </c>
      <c r="J1118" s="1" t="s">
        <v>216</v>
      </c>
      <c r="K1118" s="9" t="s">
        <v>20</v>
      </c>
      <c r="L1118" t="s">
        <v>21</v>
      </c>
      <c r="M1118" t="str">
        <f t="shared" si="75"/>
        <v>ND</v>
      </c>
      <c r="N1118" t="str">
        <f t="shared" si="74"/>
        <v>ND</v>
      </c>
    </row>
    <row r="1119" spans="1:14" x14ac:dyDescent="0.3">
      <c r="A1119" s="1" t="s">
        <v>73</v>
      </c>
      <c r="B1119">
        <v>6</v>
      </c>
      <c r="C1119">
        <v>12</v>
      </c>
      <c r="D1119" t="s">
        <v>71</v>
      </c>
      <c r="E1119">
        <v>11000000</v>
      </c>
      <c r="F1119">
        <f t="shared" si="73"/>
        <v>11000000</v>
      </c>
      <c r="G1119">
        <f t="shared" si="76"/>
        <v>35437.687658664196</v>
      </c>
      <c r="H1119" t="s">
        <v>72</v>
      </c>
      <c r="I1119" s="1" t="s">
        <v>224</v>
      </c>
      <c r="J1119" s="1" t="s">
        <v>216</v>
      </c>
      <c r="K1119" s="9" t="s">
        <v>20</v>
      </c>
      <c r="L1119" t="s">
        <v>21</v>
      </c>
      <c r="M1119" t="str">
        <f t="shared" si="75"/>
        <v>ND</v>
      </c>
      <c r="N1119" t="str">
        <f t="shared" si="74"/>
        <v>ND</v>
      </c>
    </row>
    <row r="1120" spans="1:14" x14ac:dyDescent="0.3">
      <c r="A1120" s="1" t="s">
        <v>73</v>
      </c>
      <c r="B1120">
        <v>6</v>
      </c>
      <c r="C1120">
        <v>12</v>
      </c>
      <c r="D1120" t="s">
        <v>71</v>
      </c>
      <c r="E1120">
        <v>11000000</v>
      </c>
      <c r="F1120">
        <f t="shared" si="73"/>
        <v>11000000</v>
      </c>
      <c r="G1120">
        <f t="shared" si="76"/>
        <v>35437.687658664196</v>
      </c>
      <c r="H1120" t="s">
        <v>72</v>
      </c>
      <c r="I1120" s="1" t="s">
        <v>224</v>
      </c>
      <c r="J1120" s="1" t="s">
        <v>216</v>
      </c>
      <c r="K1120" s="9" t="s">
        <v>20</v>
      </c>
      <c r="L1120" t="s">
        <v>21</v>
      </c>
      <c r="M1120" t="str">
        <f t="shared" si="75"/>
        <v>ND</v>
      </c>
      <c r="N1120" t="str">
        <f t="shared" si="74"/>
        <v>ND</v>
      </c>
    </row>
    <row r="1121" spans="1:14" x14ac:dyDescent="0.3">
      <c r="A1121" s="1" t="s">
        <v>73</v>
      </c>
      <c r="B1121">
        <v>6</v>
      </c>
      <c r="C1121">
        <v>12</v>
      </c>
      <c r="D1121" t="s">
        <v>71</v>
      </c>
      <c r="E1121">
        <v>11000000</v>
      </c>
      <c r="F1121">
        <f t="shared" si="73"/>
        <v>11000000</v>
      </c>
      <c r="G1121">
        <f t="shared" si="76"/>
        <v>35437.687658664196</v>
      </c>
      <c r="H1121" t="s">
        <v>72</v>
      </c>
      <c r="I1121" s="1" t="s">
        <v>224</v>
      </c>
      <c r="J1121" s="1" t="s">
        <v>216</v>
      </c>
      <c r="K1121" s="9" t="s">
        <v>20</v>
      </c>
      <c r="L1121" t="s">
        <v>21</v>
      </c>
      <c r="M1121" t="str">
        <f t="shared" si="75"/>
        <v>ND</v>
      </c>
      <c r="N1121" t="str">
        <f t="shared" si="74"/>
        <v>ND</v>
      </c>
    </row>
    <row r="1122" spans="1:14" x14ac:dyDescent="0.3">
      <c r="A1122" s="1" t="s">
        <v>73</v>
      </c>
      <c r="B1122">
        <v>6</v>
      </c>
      <c r="C1122">
        <v>12</v>
      </c>
      <c r="D1122" t="s">
        <v>71</v>
      </c>
      <c r="E1122">
        <v>11000000</v>
      </c>
      <c r="F1122">
        <f t="shared" si="73"/>
        <v>11000000</v>
      </c>
      <c r="G1122">
        <f t="shared" si="76"/>
        <v>35437.687658664196</v>
      </c>
      <c r="H1122" t="s">
        <v>72</v>
      </c>
      <c r="I1122" s="1" t="s">
        <v>224</v>
      </c>
      <c r="J1122" s="1" t="s">
        <v>216</v>
      </c>
      <c r="K1122" s="9" t="s">
        <v>20</v>
      </c>
      <c r="L1122" t="s">
        <v>21</v>
      </c>
      <c r="M1122" t="str">
        <f t="shared" si="75"/>
        <v>ND</v>
      </c>
      <c r="N1122" t="str">
        <f t="shared" si="74"/>
        <v>ND</v>
      </c>
    </row>
    <row r="1123" spans="1:14" x14ac:dyDescent="0.3">
      <c r="A1123" s="1" t="s">
        <v>73</v>
      </c>
      <c r="B1123">
        <v>6</v>
      </c>
      <c r="C1123">
        <v>12</v>
      </c>
      <c r="D1123" t="s">
        <v>71</v>
      </c>
      <c r="E1123">
        <v>11000000</v>
      </c>
      <c r="F1123">
        <f t="shared" si="73"/>
        <v>11000000</v>
      </c>
      <c r="G1123">
        <f t="shared" si="76"/>
        <v>35437.687658664196</v>
      </c>
      <c r="H1123" t="s">
        <v>72</v>
      </c>
      <c r="I1123" s="1" t="s">
        <v>224</v>
      </c>
      <c r="J1123" s="1" t="s">
        <v>216</v>
      </c>
      <c r="K1123" s="9" t="s">
        <v>20</v>
      </c>
      <c r="L1123" t="s">
        <v>21</v>
      </c>
      <c r="M1123" t="str">
        <f t="shared" si="75"/>
        <v>ND</v>
      </c>
      <c r="N1123" t="str">
        <f t="shared" si="74"/>
        <v>ND</v>
      </c>
    </row>
    <row r="1124" spans="1:14" x14ac:dyDescent="0.3">
      <c r="A1124" s="1" t="s">
        <v>73</v>
      </c>
      <c r="B1124">
        <v>6</v>
      </c>
      <c r="C1124">
        <v>12</v>
      </c>
      <c r="D1124" t="s">
        <v>71</v>
      </c>
      <c r="E1124">
        <v>11000000</v>
      </c>
      <c r="F1124">
        <f t="shared" si="73"/>
        <v>11000000</v>
      </c>
      <c r="G1124">
        <f t="shared" si="76"/>
        <v>35437.687658664196</v>
      </c>
      <c r="H1124" t="s">
        <v>72</v>
      </c>
      <c r="I1124" s="1" t="s">
        <v>224</v>
      </c>
      <c r="J1124" s="1" t="s">
        <v>216</v>
      </c>
      <c r="K1124" s="9" t="s">
        <v>20</v>
      </c>
      <c r="L1124" t="s">
        <v>21</v>
      </c>
      <c r="M1124" t="str">
        <f t="shared" si="75"/>
        <v>ND</v>
      </c>
      <c r="N1124" t="str">
        <f t="shared" si="74"/>
        <v>ND</v>
      </c>
    </row>
    <row r="1125" spans="1:14" x14ac:dyDescent="0.3">
      <c r="A1125" s="1" t="s">
        <v>73</v>
      </c>
      <c r="B1125">
        <v>6</v>
      </c>
      <c r="C1125">
        <v>12</v>
      </c>
      <c r="D1125" t="s">
        <v>71</v>
      </c>
      <c r="E1125">
        <v>11000000</v>
      </c>
      <c r="F1125">
        <f t="shared" si="73"/>
        <v>11000000</v>
      </c>
      <c r="G1125">
        <f t="shared" si="76"/>
        <v>35437.687658664196</v>
      </c>
      <c r="H1125" t="s">
        <v>72</v>
      </c>
      <c r="I1125" s="1" t="s">
        <v>224</v>
      </c>
      <c r="J1125" s="1" t="s">
        <v>216</v>
      </c>
      <c r="K1125" s="9" t="s">
        <v>20</v>
      </c>
      <c r="L1125" t="s">
        <v>21</v>
      </c>
      <c r="M1125" t="str">
        <f t="shared" si="75"/>
        <v>ND</v>
      </c>
      <c r="N1125" t="str">
        <f t="shared" si="74"/>
        <v>ND</v>
      </c>
    </row>
    <row r="1126" spans="1:14" x14ac:dyDescent="0.3">
      <c r="A1126" s="1" t="s">
        <v>73</v>
      </c>
      <c r="B1126">
        <v>6</v>
      </c>
      <c r="C1126">
        <v>12</v>
      </c>
      <c r="D1126" t="s">
        <v>71</v>
      </c>
      <c r="E1126">
        <v>11000000</v>
      </c>
      <c r="F1126">
        <f t="shared" si="73"/>
        <v>11000000</v>
      </c>
      <c r="G1126">
        <f t="shared" si="76"/>
        <v>35437.687658664196</v>
      </c>
      <c r="H1126" t="s">
        <v>72</v>
      </c>
      <c r="I1126" s="1" t="s">
        <v>224</v>
      </c>
      <c r="J1126" s="1" t="s">
        <v>216</v>
      </c>
      <c r="K1126" s="9" t="s">
        <v>20</v>
      </c>
      <c r="L1126" t="s">
        <v>21</v>
      </c>
      <c r="M1126" t="str">
        <f t="shared" si="75"/>
        <v>ND</v>
      </c>
      <c r="N1126" t="str">
        <f t="shared" si="74"/>
        <v>ND</v>
      </c>
    </row>
    <row r="1127" spans="1:14" x14ac:dyDescent="0.3">
      <c r="A1127" s="1" t="s">
        <v>73</v>
      </c>
      <c r="B1127">
        <v>6</v>
      </c>
      <c r="C1127">
        <v>12</v>
      </c>
      <c r="D1127" t="s">
        <v>71</v>
      </c>
      <c r="E1127">
        <v>11000000</v>
      </c>
      <c r="F1127">
        <f t="shared" si="73"/>
        <v>11000000</v>
      </c>
      <c r="G1127">
        <f t="shared" si="76"/>
        <v>35437.687658664196</v>
      </c>
      <c r="H1127" t="s">
        <v>72</v>
      </c>
      <c r="I1127" s="1" t="s">
        <v>224</v>
      </c>
      <c r="J1127" s="1" t="s">
        <v>216</v>
      </c>
      <c r="K1127" s="9" t="s">
        <v>20</v>
      </c>
      <c r="L1127" t="s">
        <v>21</v>
      </c>
      <c r="M1127" t="str">
        <f t="shared" si="75"/>
        <v>ND</v>
      </c>
      <c r="N1127" t="str">
        <f t="shared" si="74"/>
        <v>ND</v>
      </c>
    </row>
    <row r="1128" spans="1:14" x14ac:dyDescent="0.3">
      <c r="A1128" s="1" t="s">
        <v>73</v>
      </c>
      <c r="B1128">
        <v>6</v>
      </c>
      <c r="C1128">
        <v>12</v>
      </c>
      <c r="D1128" t="s">
        <v>71</v>
      </c>
      <c r="E1128">
        <v>11000000</v>
      </c>
      <c r="F1128">
        <f t="shared" si="73"/>
        <v>11000000</v>
      </c>
      <c r="G1128">
        <f t="shared" si="76"/>
        <v>35437.687658664196</v>
      </c>
      <c r="H1128" t="s">
        <v>72</v>
      </c>
      <c r="I1128" s="1" t="s">
        <v>224</v>
      </c>
      <c r="J1128" s="1" t="s">
        <v>216</v>
      </c>
      <c r="K1128" s="9" t="s">
        <v>20</v>
      </c>
      <c r="L1128" t="s">
        <v>21</v>
      </c>
      <c r="M1128" t="str">
        <f t="shared" si="75"/>
        <v>ND</v>
      </c>
      <c r="N1128" t="str">
        <f t="shared" si="74"/>
        <v>ND</v>
      </c>
    </row>
    <row r="1129" spans="1:14" x14ac:dyDescent="0.3">
      <c r="A1129" s="1" t="s">
        <v>73</v>
      </c>
      <c r="B1129">
        <v>6</v>
      </c>
      <c r="C1129">
        <v>12</v>
      </c>
      <c r="D1129" t="s">
        <v>71</v>
      </c>
      <c r="E1129">
        <v>11000000</v>
      </c>
      <c r="F1129">
        <f t="shared" si="73"/>
        <v>11000000</v>
      </c>
      <c r="G1129">
        <f t="shared" si="76"/>
        <v>35437.687658664196</v>
      </c>
      <c r="H1129" t="s">
        <v>72</v>
      </c>
      <c r="I1129" s="1" t="s">
        <v>224</v>
      </c>
      <c r="J1129" s="1" t="s">
        <v>216</v>
      </c>
      <c r="K1129" s="9" t="s">
        <v>20</v>
      </c>
      <c r="L1129" t="s">
        <v>21</v>
      </c>
      <c r="M1129" t="str">
        <f t="shared" si="75"/>
        <v>ND</v>
      </c>
      <c r="N1129" t="str">
        <f t="shared" si="74"/>
        <v>ND</v>
      </c>
    </row>
    <row r="1130" spans="1:14" x14ac:dyDescent="0.3">
      <c r="A1130" s="1" t="s">
        <v>73</v>
      </c>
      <c r="B1130">
        <v>6</v>
      </c>
      <c r="C1130">
        <v>12</v>
      </c>
      <c r="D1130" t="s">
        <v>71</v>
      </c>
      <c r="E1130">
        <v>11000000</v>
      </c>
      <c r="F1130">
        <f t="shared" si="73"/>
        <v>11000000</v>
      </c>
      <c r="G1130">
        <f t="shared" si="76"/>
        <v>35437.687658664196</v>
      </c>
      <c r="H1130" t="s">
        <v>72</v>
      </c>
      <c r="I1130" s="1" t="s">
        <v>224</v>
      </c>
      <c r="J1130" s="1" t="s">
        <v>216</v>
      </c>
      <c r="K1130" s="9" t="s">
        <v>20</v>
      </c>
      <c r="L1130" t="s">
        <v>21</v>
      </c>
      <c r="M1130" t="str">
        <f t="shared" si="75"/>
        <v>ND</v>
      </c>
      <c r="N1130" t="str">
        <f t="shared" si="74"/>
        <v>ND</v>
      </c>
    </row>
    <row r="1131" spans="1:14" x14ac:dyDescent="0.3">
      <c r="A1131" s="1" t="s">
        <v>73</v>
      </c>
      <c r="B1131">
        <v>6</v>
      </c>
      <c r="C1131">
        <v>12</v>
      </c>
      <c r="D1131" t="s">
        <v>71</v>
      </c>
      <c r="E1131">
        <v>11000000</v>
      </c>
      <c r="F1131">
        <f t="shared" si="73"/>
        <v>11000000</v>
      </c>
      <c r="G1131">
        <f t="shared" si="76"/>
        <v>35437.687658664196</v>
      </c>
      <c r="H1131" t="s">
        <v>72</v>
      </c>
      <c r="I1131" s="1" t="s">
        <v>224</v>
      </c>
      <c r="J1131" s="1" t="s">
        <v>216</v>
      </c>
      <c r="K1131" s="9" t="s">
        <v>20</v>
      </c>
      <c r="L1131" t="s">
        <v>21</v>
      </c>
      <c r="M1131" t="str">
        <f t="shared" si="75"/>
        <v>ND</v>
      </c>
      <c r="N1131" t="str">
        <f t="shared" si="74"/>
        <v>ND</v>
      </c>
    </row>
    <row r="1132" spans="1:14" x14ac:dyDescent="0.3">
      <c r="A1132" s="1" t="s">
        <v>73</v>
      </c>
      <c r="B1132">
        <v>6</v>
      </c>
      <c r="C1132">
        <v>12</v>
      </c>
      <c r="D1132" t="s">
        <v>71</v>
      </c>
      <c r="E1132">
        <v>11000000</v>
      </c>
      <c r="F1132">
        <f t="shared" si="73"/>
        <v>11000000</v>
      </c>
      <c r="G1132">
        <f t="shared" si="76"/>
        <v>35437.687658664196</v>
      </c>
      <c r="H1132" t="s">
        <v>72</v>
      </c>
      <c r="I1132" s="1" t="s">
        <v>224</v>
      </c>
      <c r="J1132" s="1" t="s">
        <v>216</v>
      </c>
      <c r="K1132" s="9" t="s">
        <v>20</v>
      </c>
      <c r="L1132" t="s">
        <v>21</v>
      </c>
      <c r="M1132" t="str">
        <f t="shared" si="75"/>
        <v>ND</v>
      </c>
      <c r="N1132" t="str">
        <f t="shared" si="74"/>
        <v>ND</v>
      </c>
    </row>
    <row r="1133" spans="1:14" x14ac:dyDescent="0.3">
      <c r="A1133" s="1" t="s">
        <v>73</v>
      </c>
      <c r="B1133">
        <v>6</v>
      </c>
      <c r="C1133">
        <v>12</v>
      </c>
      <c r="D1133" t="s">
        <v>71</v>
      </c>
      <c r="E1133">
        <v>11000000</v>
      </c>
      <c r="F1133">
        <f t="shared" si="73"/>
        <v>11000000</v>
      </c>
      <c r="G1133">
        <f t="shared" si="76"/>
        <v>35437.687658664196</v>
      </c>
      <c r="H1133" t="s">
        <v>72</v>
      </c>
      <c r="I1133" s="1" t="s">
        <v>224</v>
      </c>
      <c r="J1133" s="1" t="s">
        <v>216</v>
      </c>
      <c r="K1133" s="9" t="s">
        <v>20</v>
      </c>
      <c r="L1133" t="s">
        <v>21</v>
      </c>
      <c r="M1133" t="str">
        <f t="shared" si="75"/>
        <v>ND</v>
      </c>
      <c r="N1133" t="str">
        <f t="shared" si="74"/>
        <v>ND</v>
      </c>
    </row>
    <row r="1134" spans="1:14" x14ac:dyDescent="0.3">
      <c r="A1134" s="1" t="s">
        <v>73</v>
      </c>
      <c r="B1134">
        <v>6</v>
      </c>
      <c r="C1134">
        <v>12</v>
      </c>
      <c r="D1134" t="s">
        <v>71</v>
      </c>
      <c r="E1134">
        <v>11000000</v>
      </c>
      <c r="F1134">
        <f t="shared" si="73"/>
        <v>11000000</v>
      </c>
      <c r="G1134">
        <f t="shared" si="76"/>
        <v>35437.687658664196</v>
      </c>
      <c r="H1134" t="s">
        <v>72</v>
      </c>
      <c r="I1134" s="1" t="s">
        <v>224</v>
      </c>
      <c r="J1134" s="1" t="s">
        <v>216</v>
      </c>
      <c r="K1134" s="9" t="s">
        <v>20</v>
      </c>
      <c r="L1134" t="s">
        <v>21</v>
      </c>
      <c r="M1134" t="str">
        <f t="shared" si="75"/>
        <v>ND</v>
      </c>
      <c r="N1134" t="str">
        <f t="shared" si="74"/>
        <v>ND</v>
      </c>
    </row>
    <row r="1135" spans="1:14" x14ac:dyDescent="0.3">
      <c r="A1135" s="1" t="s">
        <v>73</v>
      </c>
      <c r="B1135">
        <v>6</v>
      </c>
      <c r="C1135">
        <v>12</v>
      </c>
      <c r="D1135" t="s">
        <v>71</v>
      </c>
      <c r="E1135">
        <v>11000000</v>
      </c>
      <c r="F1135">
        <f t="shared" si="73"/>
        <v>11000000</v>
      </c>
      <c r="G1135">
        <f t="shared" si="76"/>
        <v>35437.687658664196</v>
      </c>
      <c r="H1135" t="s">
        <v>72</v>
      </c>
      <c r="I1135" s="1" t="s">
        <v>224</v>
      </c>
      <c r="J1135" s="1" t="s">
        <v>216</v>
      </c>
      <c r="K1135" s="9" t="s">
        <v>20</v>
      </c>
      <c r="L1135" t="s">
        <v>21</v>
      </c>
      <c r="M1135" t="str">
        <f t="shared" si="75"/>
        <v>ND</v>
      </c>
      <c r="N1135" t="str">
        <f t="shared" si="74"/>
        <v>ND</v>
      </c>
    </row>
    <row r="1136" spans="1:14" x14ac:dyDescent="0.3">
      <c r="A1136" s="1" t="s">
        <v>73</v>
      </c>
      <c r="B1136">
        <v>6</v>
      </c>
      <c r="C1136">
        <v>12</v>
      </c>
      <c r="D1136" t="s">
        <v>71</v>
      </c>
      <c r="E1136">
        <v>11000000</v>
      </c>
      <c r="F1136">
        <f t="shared" si="73"/>
        <v>11000000</v>
      </c>
      <c r="G1136">
        <f t="shared" si="76"/>
        <v>35437.687658664196</v>
      </c>
      <c r="H1136" t="s">
        <v>72</v>
      </c>
      <c r="I1136" s="1" t="s">
        <v>224</v>
      </c>
      <c r="J1136" s="1" t="s">
        <v>216</v>
      </c>
      <c r="K1136" s="9" t="s">
        <v>20</v>
      </c>
      <c r="L1136" t="s">
        <v>21</v>
      </c>
      <c r="M1136" t="str">
        <f t="shared" si="75"/>
        <v>ND</v>
      </c>
      <c r="N1136" t="str">
        <f t="shared" si="74"/>
        <v>ND</v>
      </c>
    </row>
    <row r="1137" spans="1:14" x14ac:dyDescent="0.3">
      <c r="A1137" s="1" t="s">
        <v>49</v>
      </c>
      <c r="B1137">
        <v>6</v>
      </c>
      <c r="C1137">
        <v>12</v>
      </c>
      <c r="D1137" t="s">
        <v>71</v>
      </c>
      <c r="E1137">
        <v>11000000</v>
      </c>
      <c r="F1137">
        <f t="shared" si="73"/>
        <v>11000000</v>
      </c>
      <c r="G1137">
        <f t="shared" si="76"/>
        <v>35437.687658664196</v>
      </c>
      <c r="H1137" t="s">
        <v>72</v>
      </c>
      <c r="I1137" s="1" t="s">
        <v>224</v>
      </c>
      <c r="J1137" s="1" t="s">
        <v>216</v>
      </c>
      <c r="K1137" s="9" t="s">
        <v>20</v>
      </c>
      <c r="L1137" t="s">
        <v>21</v>
      </c>
      <c r="M1137" t="str">
        <f t="shared" si="75"/>
        <v>ND</v>
      </c>
      <c r="N1137" t="str">
        <f t="shared" si="74"/>
        <v>ND</v>
      </c>
    </row>
    <row r="1138" spans="1:14" x14ac:dyDescent="0.3">
      <c r="A1138" s="1" t="s">
        <v>49</v>
      </c>
      <c r="B1138">
        <v>6</v>
      </c>
      <c r="C1138">
        <v>12</v>
      </c>
      <c r="D1138" t="s">
        <v>71</v>
      </c>
      <c r="E1138">
        <v>11000000</v>
      </c>
      <c r="F1138">
        <f t="shared" si="73"/>
        <v>11000000</v>
      </c>
      <c r="G1138">
        <f t="shared" si="76"/>
        <v>35437.687658664196</v>
      </c>
      <c r="H1138" t="s">
        <v>72</v>
      </c>
      <c r="I1138" s="1" t="s">
        <v>224</v>
      </c>
      <c r="J1138" s="1" t="s">
        <v>216</v>
      </c>
      <c r="K1138" s="9" t="s">
        <v>20</v>
      </c>
      <c r="L1138" t="s">
        <v>21</v>
      </c>
      <c r="M1138" t="str">
        <f t="shared" si="75"/>
        <v>ND</v>
      </c>
      <c r="N1138" t="str">
        <f t="shared" si="74"/>
        <v>ND</v>
      </c>
    </row>
    <row r="1139" spans="1:14" x14ac:dyDescent="0.3">
      <c r="A1139" s="1" t="s">
        <v>49</v>
      </c>
      <c r="B1139">
        <v>6</v>
      </c>
      <c r="C1139">
        <v>12</v>
      </c>
      <c r="D1139" t="s">
        <v>71</v>
      </c>
      <c r="E1139">
        <v>11000000</v>
      </c>
      <c r="F1139">
        <f t="shared" si="73"/>
        <v>11000000</v>
      </c>
      <c r="G1139">
        <f t="shared" si="76"/>
        <v>35437.687658664196</v>
      </c>
      <c r="H1139" t="s">
        <v>72</v>
      </c>
      <c r="I1139" s="1" t="s">
        <v>224</v>
      </c>
      <c r="J1139" s="1" t="s">
        <v>216</v>
      </c>
      <c r="K1139" s="9" t="s">
        <v>20</v>
      </c>
      <c r="L1139" t="s">
        <v>21</v>
      </c>
      <c r="M1139" t="str">
        <f t="shared" si="75"/>
        <v>ND</v>
      </c>
      <c r="N1139" t="str">
        <f t="shared" si="74"/>
        <v>ND</v>
      </c>
    </row>
    <row r="1140" spans="1:14" x14ac:dyDescent="0.3">
      <c r="A1140" s="1" t="s">
        <v>49</v>
      </c>
      <c r="B1140">
        <v>6</v>
      </c>
      <c r="C1140">
        <v>12</v>
      </c>
      <c r="D1140" t="s">
        <v>71</v>
      </c>
      <c r="E1140">
        <v>11000000</v>
      </c>
      <c r="F1140">
        <f t="shared" si="73"/>
        <v>11000000</v>
      </c>
      <c r="G1140">
        <f t="shared" si="76"/>
        <v>35437.687658664196</v>
      </c>
      <c r="H1140" t="s">
        <v>72</v>
      </c>
      <c r="I1140" s="1" t="s">
        <v>224</v>
      </c>
      <c r="J1140" s="1" t="s">
        <v>216</v>
      </c>
      <c r="K1140" s="9" t="s">
        <v>20</v>
      </c>
      <c r="L1140" t="s">
        <v>21</v>
      </c>
      <c r="M1140" t="str">
        <f t="shared" si="75"/>
        <v>ND</v>
      </c>
      <c r="N1140" t="str">
        <f t="shared" si="74"/>
        <v>ND</v>
      </c>
    </row>
    <row r="1141" spans="1:14" x14ac:dyDescent="0.3">
      <c r="A1141" s="1" t="s">
        <v>49</v>
      </c>
      <c r="B1141">
        <v>6</v>
      </c>
      <c r="C1141">
        <v>12</v>
      </c>
      <c r="D1141" t="s">
        <v>71</v>
      </c>
      <c r="E1141">
        <v>11000000</v>
      </c>
      <c r="F1141">
        <f t="shared" si="73"/>
        <v>11000000</v>
      </c>
      <c r="G1141">
        <f t="shared" si="76"/>
        <v>35437.687658664196</v>
      </c>
      <c r="H1141" t="s">
        <v>72</v>
      </c>
      <c r="I1141" s="1" t="s">
        <v>224</v>
      </c>
      <c r="J1141" s="1" t="s">
        <v>216</v>
      </c>
      <c r="K1141" s="9" t="s">
        <v>20</v>
      </c>
      <c r="L1141" t="s">
        <v>21</v>
      </c>
      <c r="M1141" t="str">
        <f t="shared" si="75"/>
        <v>ND</v>
      </c>
      <c r="N1141" t="str">
        <f t="shared" si="74"/>
        <v>ND</v>
      </c>
    </row>
    <row r="1142" spans="1:14" x14ac:dyDescent="0.3">
      <c r="A1142" s="1" t="s">
        <v>49</v>
      </c>
      <c r="B1142">
        <v>6</v>
      </c>
      <c r="C1142">
        <v>12</v>
      </c>
      <c r="D1142" t="s">
        <v>71</v>
      </c>
      <c r="E1142">
        <v>11000000</v>
      </c>
      <c r="F1142">
        <f t="shared" ref="F1142:F1205" si="77">E1142</f>
        <v>11000000</v>
      </c>
      <c r="G1142">
        <f t="shared" si="76"/>
        <v>35437.687658664196</v>
      </c>
      <c r="H1142" t="s">
        <v>72</v>
      </c>
      <c r="I1142" s="1" t="s">
        <v>224</v>
      </c>
      <c r="J1142" s="1" t="s">
        <v>216</v>
      </c>
      <c r="K1142" s="9" t="s">
        <v>20</v>
      </c>
      <c r="L1142" t="s">
        <v>21</v>
      </c>
      <c r="M1142" t="str">
        <f t="shared" si="75"/>
        <v>ND</v>
      </c>
      <c r="N1142" t="str">
        <f t="shared" si="74"/>
        <v>ND</v>
      </c>
    </row>
    <row r="1143" spans="1:14" x14ac:dyDescent="0.3">
      <c r="A1143" s="1" t="s">
        <v>49</v>
      </c>
      <c r="B1143">
        <v>6</v>
      </c>
      <c r="C1143">
        <v>12</v>
      </c>
      <c r="D1143" t="s">
        <v>71</v>
      </c>
      <c r="E1143">
        <v>11000000</v>
      </c>
      <c r="F1143">
        <f t="shared" si="77"/>
        <v>11000000</v>
      </c>
      <c r="G1143">
        <f t="shared" si="76"/>
        <v>35437.687658664196</v>
      </c>
      <c r="H1143" t="s">
        <v>72</v>
      </c>
      <c r="I1143" s="1" t="s">
        <v>224</v>
      </c>
      <c r="J1143" s="1" t="s">
        <v>216</v>
      </c>
      <c r="K1143" s="9" t="s">
        <v>20</v>
      </c>
      <c r="L1143" t="s">
        <v>21</v>
      </c>
      <c r="M1143" t="str">
        <f t="shared" si="75"/>
        <v>ND</v>
      </c>
      <c r="N1143" t="str">
        <f t="shared" si="74"/>
        <v>ND</v>
      </c>
    </row>
    <row r="1144" spans="1:14" x14ac:dyDescent="0.3">
      <c r="A1144" s="1" t="s">
        <v>49</v>
      </c>
      <c r="B1144">
        <v>6</v>
      </c>
      <c r="C1144">
        <v>12</v>
      </c>
      <c r="D1144" t="s">
        <v>71</v>
      </c>
      <c r="E1144">
        <v>11000000</v>
      </c>
      <c r="F1144">
        <f t="shared" si="77"/>
        <v>11000000</v>
      </c>
      <c r="G1144">
        <f t="shared" si="76"/>
        <v>35437.687658664196</v>
      </c>
      <c r="H1144" t="s">
        <v>72</v>
      </c>
      <c r="I1144" s="1" t="s">
        <v>224</v>
      </c>
      <c r="J1144" s="1" t="s">
        <v>216</v>
      </c>
      <c r="K1144" s="9" t="s">
        <v>20</v>
      </c>
      <c r="L1144" t="s">
        <v>21</v>
      </c>
      <c r="M1144" t="str">
        <f t="shared" si="75"/>
        <v>ND</v>
      </c>
      <c r="N1144" t="str">
        <f t="shared" si="74"/>
        <v>ND</v>
      </c>
    </row>
    <row r="1145" spans="1:14" x14ac:dyDescent="0.3">
      <c r="A1145" s="1" t="s">
        <v>49</v>
      </c>
      <c r="B1145">
        <v>6</v>
      </c>
      <c r="C1145">
        <v>12</v>
      </c>
      <c r="D1145" t="s">
        <v>71</v>
      </c>
      <c r="E1145">
        <v>11000000</v>
      </c>
      <c r="F1145">
        <f t="shared" si="77"/>
        <v>11000000</v>
      </c>
      <c r="G1145">
        <f t="shared" si="76"/>
        <v>35437.687658664196</v>
      </c>
      <c r="H1145" t="s">
        <v>72</v>
      </c>
      <c r="I1145" s="1" t="s">
        <v>224</v>
      </c>
      <c r="J1145" s="1" t="s">
        <v>216</v>
      </c>
      <c r="K1145" s="9" t="s">
        <v>20</v>
      </c>
      <c r="L1145" t="s">
        <v>21</v>
      </c>
      <c r="M1145" t="str">
        <f t="shared" si="75"/>
        <v>ND</v>
      </c>
      <c r="N1145" t="str">
        <f t="shared" si="74"/>
        <v>ND</v>
      </c>
    </row>
    <row r="1146" spans="1:14" x14ac:dyDescent="0.3">
      <c r="A1146" s="1" t="s">
        <v>49</v>
      </c>
      <c r="B1146">
        <v>6</v>
      </c>
      <c r="C1146">
        <v>12</v>
      </c>
      <c r="D1146" t="s">
        <v>71</v>
      </c>
      <c r="E1146">
        <v>11000000</v>
      </c>
      <c r="F1146">
        <f t="shared" si="77"/>
        <v>11000000</v>
      </c>
      <c r="G1146">
        <f t="shared" si="76"/>
        <v>35437.687658664196</v>
      </c>
      <c r="H1146" t="s">
        <v>72</v>
      </c>
      <c r="I1146" s="1" t="s">
        <v>224</v>
      </c>
      <c r="J1146" s="1" t="s">
        <v>216</v>
      </c>
      <c r="K1146" s="9" t="s">
        <v>20</v>
      </c>
      <c r="L1146" t="s">
        <v>21</v>
      </c>
      <c r="M1146" t="str">
        <f t="shared" si="75"/>
        <v>ND</v>
      </c>
      <c r="N1146" t="str">
        <f t="shared" si="74"/>
        <v>ND</v>
      </c>
    </row>
    <row r="1147" spans="1:14" x14ac:dyDescent="0.3">
      <c r="A1147" s="1" t="s">
        <v>49</v>
      </c>
      <c r="B1147">
        <v>6</v>
      </c>
      <c r="C1147">
        <v>12</v>
      </c>
      <c r="D1147" t="s">
        <v>71</v>
      </c>
      <c r="E1147">
        <v>11000000</v>
      </c>
      <c r="F1147">
        <f t="shared" si="77"/>
        <v>11000000</v>
      </c>
      <c r="G1147">
        <f t="shared" si="76"/>
        <v>35437.687658664196</v>
      </c>
      <c r="H1147" t="s">
        <v>72</v>
      </c>
      <c r="I1147" s="1" t="s">
        <v>224</v>
      </c>
      <c r="J1147" s="1" t="s">
        <v>216</v>
      </c>
      <c r="K1147" s="9" t="s">
        <v>20</v>
      </c>
      <c r="L1147" t="s">
        <v>21</v>
      </c>
      <c r="M1147" t="str">
        <f t="shared" si="75"/>
        <v>ND</v>
      </c>
      <c r="N1147" t="str">
        <f t="shared" si="74"/>
        <v>ND</v>
      </c>
    </row>
    <row r="1148" spans="1:14" x14ac:dyDescent="0.3">
      <c r="A1148" s="1" t="s">
        <v>49</v>
      </c>
      <c r="B1148">
        <v>6</v>
      </c>
      <c r="C1148">
        <v>12</v>
      </c>
      <c r="D1148" t="s">
        <v>71</v>
      </c>
      <c r="E1148">
        <v>11000000</v>
      </c>
      <c r="F1148">
        <f t="shared" si="77"/>
        <v>11000000</v>
      </c>
      <c r="G1148">
        <f t="shared" si="76"/>
        <v>35437.687658664196</v>
      </c>
      <c r="H1148" t="s">
        <v>72</v>
      </c>
      <c r="I1148" s="1" t="s">
        <v>224</v>
      </c>
      <c r="J1148" s="1" t="s">
        <v>216</v>
      </c>
      <c r="K1148" s="9" t="s">
        <v>20</v>
      </c>
      <c r="L1148" t="s">
        <v>21</v>
      </c>
      <c r="M1148" t="str">
        <f t="shared" si="75"/>
        <v>ND</v>
      </c>
      <c r="N1148" t="str">
        <f t="shared" si="74"/>
        <v>ND</v>
      </c>
    </row>
    <row r="1149" spans="1:14" x14ac:dyDescent="0.3">
      <c r="A1149" s="1" t="s">
        <v>49</v>
      </c>
      <c r="B1149">
        <v>6</v>
      </c>
      <c r="C1149">
        <v>12</v>
      </c>
      <c r="D1149" t="s">
        <v>71</v>
      </c>
      <c r="E1149">
        <v>11000000</v>
      </c>
      <c r="F1149">
        <f t="shared" si="77"/>
        <v>11000000</v>
      </c>
      <c r="G1149">
        <f t="shared" si="76"/>
        <v>35437.687658664196</v>
      </c>
      <c r="H1149" t="s">
        <v>72</v>
      </c>
      <c r="I1149" s="1" t="s">
        <v>224</v>
      </c>
      <c r="J1149" s="1" t="s">
        <v>216</v>
      </c>
      <c r="K1149" s="9" t="s">
        <v>20</v>
      </c>
      <c r="L1149" t="s">
        <v>21</v>
      </c>
      <c r="M1149" t="str">
        <f t="shared" si="75"/>
        <v>ND</v>
      </c>
      <c r="N1149" t="str">
        <f t="shared" si="74"/>
        <v>ND</v>
      </c>
    </row>
    <row r="1150" spans="1:14" x14ac:dyDescent="0.3">
      <c r="A1150" s="1" t="s">
        <v>49</v>
      </c>
      <c r="B1150">
        <v>6</v>
      </c>
      <c r="C1150">
        <v>12</v>
      </c>
      <c r="D1150" t="s">
        <v>71</v>
      </c>
      <c r="E1150">
        <v>11000000</v>
      </c>
      <c r="F1150">
        <f t="shared" si="77"/>
        <v>11000000</v>
      </c>
      <c r="G1150">
        <f t="shared" si="76"/>
        <v>35437.687658664196</v>
      </c>
      <c r="H1150" t="s">
        <v>72</v>
      </c>
      <c r="I1150" s="1" t="s">
        <v>224</v>
      </c>
      <c r="J1150" s="1" t="s">
        <v>216</v>
      </c>
      <c r="K1150" s="9" t="s">
        <v>20</v>
      </c>
      <c r="L1150" t="s">
        <v>21</v>
      </c>
      <c r="M1150" t="str">
        <f t="shared" si="75"/>
        <v>ND</v>
      </c>
      <c r="N1150" t="str">
        <f t="shared" si="74"/>
        <v>ND</v>
      </c>
    </row>
    <row r="1151" spans="1:14" x14ac:dyDescent="0.3">
      <c r="A1151" s="1" t="s">
        <v>49</v>
      </c>
      <c r="B1151">
        <v>6</v>
      </c>
      <c r="C1151">
        <v>12</v>
      </c>
      <c r="D1151" t="s">
        <v>71</v>
      </c>
      <c r="E1151">
        <v>11000000</v>
      </c>
      <c r="F1151">
        <f t="shared" si="77"/>
        <v>11000000</v>
      </c>
      <c r="G1151">
        <f t="shared" si="76"/>
        <v>35437.687658664196</v>
      </c>
      <c r="H1151" t="s">
        <v>72</v>
      </c>
      <c r="I1151" s="1" t="s">
        <v>224</v>
      </c>
      <c r="J1151" s="1" t="s">
        <v>216</v>
      </c>
      <c r="K1151" s="9" t="s">
        <v>20</v>
      </c>
      <c r="L1151" t="s">
        <v>21</v>
      </c>
      <c r="M1151" t="str">
        <f t="shared" si="75"/>
        <v>ND</v>
      </c>
      <c r="N1151" t="str">
        <f t="shared" si="74"/>
        <v>ND</v>
      </c>
    </row>
    <row r="1152" spans="1:14" x14ac:dyDescent="0.3">
      <c r="A1152" s="1" t="s">
        <v>49</v>
      </c>
      <c r="B1152">
        <v>6</v>
      </c>
      <c r="C1152">
        <v>12</v>
      </c>
      <c r="D1152" t="s">
        <v>71</v>
      </c>
      <c r="E1152">
        <v>11000000</v>
      </c>
      <c r="F1152">
        <f t="shared" si="77"/>
        <v>11000000</v>
      </c>
      <c r="G1152">
        <f t="shared" si="76"/>
        <v>35437.687658664196</v>
      </c>
      <c r="H1152" t="s">
        <v>72</v>
      </c>
      <c r="I1152" s="1" t="s">
        <v>224</v>
      </c>
      <c r="J1152" s="1" t="s">
        <v>216</v>
      </c>
      <c r="K1152" s="9" t="s">
        <v>20</v>
      </c>
      <c r="L1152" t="s">
        <v>21</v>
      </c>
      <c r="M1152" t="str">
        <f t="shared" si="75"/>
        <v>ND</v>
      </c>
      <c r="N1152" t="str">
        <f t="shared" si="74"/>
        <v>ND</v>
      </c>
    </row>
    <row r="1153" spans="1:14" x14ac:dyDescent="0.3">
      <c r="A1153" s="1" t="s">
        <v>49</v>
      </c>
      <c r="B1153">
        <v>6</v>
      </c>
      <c r="C1153">
        <v>12</v>
      </c>
      <c r="D1153" t="s">
        <v>71</v>
      </c>
      <c r="E1153">
        <v>11000000</v>
      </c>
      <c r="F1153">
        <f t="shared" si="77"/>
        <v>11000000</v>
      </c>
      <c r="G1153">
        <f t="shared" si="76"/>
        <v>35437.687658664196</v>
      </c>
      <c r="H1153" t="s">
        <v>72</v>
      </c>
      <c r="I1153" s="1" t="s">
        <v>224</v>
      </c>
      <c r="J1153" s="1" t="s">
        <v>216</v>
      </c>
      <c r="K1153" s="9" t="s">
        <v>20</v>
      </c>
      <c r="L1153" t="s">
        <v>21</v>
      </c>
      <c r="M1153" t="str">
        <f t="shared" si="75"/>
        <v>ND</v>
      </c>
      <c r="N1153" t="str">
        <f t="shared" si="74"/>
        <v>ND</v>
      </c>
    </row>
    <row r="1154" spans="1:14" x14ac:dyDescent="0.3">
      <c r="A1154" s="1" t="s">
        <v>49</v>
      </c>
      <c r="B1154">
        <v>6</v>
      </c>
      <c r="C1154">
        <v>12</v>
      </c>
      <c r="D1154" t="s">
        <v>71</v>
      </c>
      <c r="E1154">
        <v>11000000</v>
      </c>
      <c r="F1154">
        <f t="shared" si="77"/>
        <v>11000000</v>
      </c>
      <c r="G1154">
        <f t="shared" si="76"/>
        <v>35437.687658664196</v>
      </c>
      <c r="H1154" t="s">
        <v>72</v>
      </c>
      <c r="I1154" s="1" t="s">
        <v>224</v>
      </c>
      <c r="J1154" s="1" t="s">
        <v>216</v>
      </c>
      <c r="K1154" s="9" t="s">
        <v>20</v>
      </c>
      <c r="L1154" t="s">
        <v>21</v>
      </c>
      <c r="M1154" t="str">
        <f t="shared" si="75"/>
        <v>ND</v>
      </c>
      <c r="N1154" t="str">
        <f t="shared" ref="N1154:N1217" si="78">IFERROR((M1154*F1154)/G1154,"ND")</f>
        <v>ND</v>
      </c>
    </row>
    <row r="1155" spans="1:14" x14ac:dyDescent="0.3">
      <c r="A1155" s="1" t="s">
        <v>49</v>
      </c>
      <c r="B1155">
        <v>6</v>
      </c>
      <c r="C1155">
        <v>12</v>
      </c>
      <c r="D1155" t="s">
        <v>71</v>
      </c>
      <c r="E1155">
        <v>11000000</v>
      </c>
      <c r="F1155">
        <f t="shared" si="77"/>
        <v>11000000</v>
      </c>
      <c r="G1155">
        <f t="shared" si="76"/>
        <v>35437.687658664196</v>
      </c>
      <c r="H1155" t="s">
        <v>72</v>
      </c>
      <c r="I1155" s="1" t="s">
        <v>224</v>
      </c>
      <c r="J1155" s="1" t="s">
        <v>216</v>
      </c>
      <c r="K1155" s="9" t="s">
        <v>20</v>
      </c>
      <c r="L1155" t="s">
        <v>21</v>
      </c>
      <c r="M1155" t="str">
        <f t="shared" si="75"/>
        <v>ND</v>
      </c>
      <c r="N1155" t="str">
        <f t="shared" si="78"/>
        <v>ND</v>
      </c>
    </row>
    <row r="1156" spans="1:14" x14ac:dyDescent="0.3">
      <c r="A1156" s="1" t="s">
        <v>49</v>
      </c>
      <c r="B1156">
        <v>6</v>
      </c>
      <c r="C1156">
        <v>12</v>
      </c>
      <c r="D1156" t="s">
        <v>71</v>
      </c>
      <c r="E1156">
        <v>11000000</v>
      </c>
      <c r="F1156">
        <f t="shared" si="77"/>
        <v>11000000</v>
      </c>
      <c r="G1156">
        <f t="shared" si="76"/>
        <v>35437.687658664196</v>
      </c>
      <c r="H1156" t="s">
        <v>72</v>
      </c>
      <c r="I1156" s="1" t="s">
        <v>224</v>
      </c>
      <c r="J1156" s="1" t="s">
        <v>216</v>
      </c>
      <c r="K1156" s="9" t="s">
        <v>20</v>
      </c>
      <c r="L1156" t="s">
        <v>21</v>
      </c>
      <c r="M1156" t="str">
        <f t="shared" si="75"/>
        <v>ND</v>
      </c>
      <c r="N1156" t="str">
        <f t="shared" si="78"/>
        <v>ND</v>
      </c>
    </row>
    <row r="1157" spans="1:14" x14ac:dyDescent="0.3">
      <c r="A1157" s="1" t="s">
        <v>49</v>
      </c>
      <c r="B1157">
        <v>6</v>
      </c>
      <c r="C1157">
        <v>12</v>
      </c>
      <c r="D1157" t="s">
        <v>71</v>
      </c>
      <c r="E1157">
        <v>11000000</v>
      </c>
      <c r="F1157">
        <f t="shared" si="77"/>
        <v>11000000</v>
      </c>
      <c r="G1157">
        <f t="shared" si="76"/>
        <v>35437.687658664196</v>
      </c>
      <c r="H1157" t="s">
        <v>72</v>
      </c>
      <c r="I1157" s="1" t="s">
        <v>224</v>
      </c>
      <c r="J1157" s="1" t="s">
        <v>216</v>
      </c>
      <c r="K1157" s="9" t="s">
        <v>20</v>
      </c>
      <c r="L1157" t="s">
        <v>21</v>
      </c>
      <c r="M1157" t="str">
        <f t="shared" si="75"/>
        <v>ND</v>
      </c>
      <c r="N1157" t="str">
        <f t="shared" si="78"/>
        <v>ND</v>
      </c>
    </row>
    <row r="1158" spans="1:14" x14ac:dyDescent="0.3">
      <c r="A1158" s="1" t="s">
        <v>49</v>
      </c>
      <c r="B1158">
        <v>6</v>
      </c>
      <c r="C1158">
        <v>12</v>
      </c>
      <c r="D1158" t="s">
        <v>71</v>
      </c>
      <c r="E1158">
        <v>11000000</v>
      </c>
      <c r="F1158">
        <f t="shared" si="77"/>
        <v>11000000</v>
      </c>
      <c r="G1158">
        <f t="shared" si="76"/>
        <v>35437.687658664196</v>
      </c>
      <c r="H1158" t="s">
        <v>72</v>
      </c>
      <c r="I1158" s="1" t="s">
        <v>224</v>
      </c>
      <c r="J1158" s="1" t="s">
        <v>216</v>
      </c>
      <c r="K1158" s="9" t="s">
        <v>20</v>
      </c>
      <c r="L1158" t="s">
        <v>21</v>
      </c>
      <c r="M1158" t="str">
        <f t="shared" si="75"/>
        <v>ND</v>
      </c>
      <c r="N1158" t="str">
        <f t="shared" si="78"/>
        <v>ND</v>
      </c>
    </row>
    <row r="1159" spans="1:14" x14ac:dyDescent="0.3">
      <c r="A1159" s="1" t="s">
        <v>49</v>
      </c>
      <c r="B1159">
        <v>6</v>
      </c>
      <c r="C1159">
        <v>12</v>
      </c>
      <c r="D1159" t="s">
        <v>71</v>
      </c>
      <c r="E1159">
        <v>11000000</v>
      </c>
      <c r="F1159">
        <f t="shared" si="77"/>
        <v>11000000</v>
      </c>
      <c r="G1159">
        <f t="shared" si="76"/>
        <v>35437.687658664196</v>
      </c>
      <c r="H1159" t="s">
        <v>72</v>
      </c>
      <c r="I1159" s="1" t="s">
        <v>224</v>
      </c>
      <c r="J1159" s="1" t="s">
        <v>216</v>
      </c>
      <c r="K1159" s="9" t="s">
        <v>20</v>
      </c>
      <c r="L1159" t="s">
        <v>21</v>
      </c>
      <c r="M1159" t="str">
        <f t="shared" si="75"/>
        <v>ND</v>
      </c>
      <c r="N1159" t="str">
        <f t="shared" si="78"/>
        <v>ND</v>
      </c>
    </row>
    <row r="1160" spans="1:14" x14ac:dyDescent="0.3">
      <c r="A1160" s="1" t="s">
        <v>49</v>
      </c>
      <c r="B1160">
        <v>6</v>
      </c>
      <c r="C1160">
        <v>12</v>
      </c>
      <c r="D1160" t="s">
        <v>71</v>
      </c>
      <c r="E1160">
        <v>11000000</v>
      </c>
      <c r="F1160">
        <f t="shared" si="77"/>
        <v>11000000</v>
      </c>
      <c r="G1160">
        <f t="shared" si="76"/>
        <v>35437.687658664196</v>
      </c>
      <c r="H1160" t="s">
        <v>72</v>
      </c>
      <c r="I1160" s="1" t="s">
        <v>224</v>
      </c>
      <c r="J1160" s="1" t="s">
        <v>216</v>
      </c>
      <c r="K1160" s="9" t="s">
        <v>20</v>
      </c>
      <c r="L1160" t="s">
        <v>21</v>
      </c>
      <c r="M1160" t="str">
        <f t="shared" si="75"/>
        <v>ND</v>
      </c>
      <c r="N1160" t="str">
        <f t="shared" si="78"/>
        <v>ND</v>
      </c>
    </row>
    <row r="1161" spans="1:14" x14ac:dyDescent="0.3">
      <c r="A1161" s="1" t="s">
        <v>49</v>
      </c>
      <c r="B1161">
        <v>6</v>
      </c>
      <c r="C1161">
        <v>12</v>
      </c>
      <c r="D1161" t="s">
        <v>71</v>
      </c>
      <c r="E1161">
        <v>11000000</v>
      </c>
      <c r="F1161">
        <f t="shared" si="77"/>
        <v>11000000</v>
      </c>
      <c r="G1161">
        <f t="shared" si="76"/>
        <v>35437.687658664196</v>
      </c>
      <c r="H1161" t="s">
        <v>72</v>
      </c>
      <c r="I1161" s="1" t="s">
        <v>224</v>
      </c>
      <c r="J1161" s="1" t="s">
        <v>216</v>
      </c>
      <c r="K1161" s="9" t="s">
        <v>20</v>
      </c>
      <c r="L1161" t="s">
        <v>21</v>
      </c>
      <c r="M1161" t="str">
        <f t="shared" si="75"/>
        <v>ND</v>
      </c>
      <c r="N1161" t="str">
        <f t="shared" si="78"/>
        <v>ND</v>
      </c>
    </row>
    <row r="1162" spans="1:14" x14ac:dyDescent="0.3">
      <c r="A1162" s="1" t="s">
        <v>49</v>
      </c>
      <c r="B1162">
        <v>6</v>
      </c>
      <c r="C1162">
        <v>12</v>
      </c>
      <c r="D1162" t="s">
        <v>71</v>
      </c>
      <c r="E1162">
        <v>11000000</v>
      </c>
      <c r="F1162">
        <f t="shared" si="77"/>
        <v>11000000</v>
      </c>
      <c r="G1162">
        <f t="shared" si="76"/>
        <v>35437.687658664196</v>
      </c>
      <c r="H1162" t="s">
        <v>72</v>
      </c>
      <c r="I1162" s="1" t="s">
        <v>224</v>
      </c>
      <c r="J1162" s="1" t="s">
        <v>216</v>
      </c>
      <c r="K1162" s="9" t="s">
        <v>20</v>
      </c>
      <c r="L1162" t="s">
        <v>21</v>
      </c>
      <c r="M1162" t="str">
        <f t="shared" si="75"/>
        <v>ND</v>
      </c>
      <c r="N1162" t="str">
        <f t="shared" si="78"/>
        <v>ND</v>
      </c>
    </row>
    <row r="1163" spans="1:14" x14ac:dyDescent="0.3">
      <c r="A1163" s="1" t="s">
        <v>49</v>
      </c>
      <c r="B1163">
        <v>6</v>
      </c>
      <c r="C1163">
        <v>12</v>
      </c>
      <c r="D1163" t="s">
        <v>71</v>
      </c>
      <c r="E1163">
        <v>11000000</v>
      </c>
      <c r="F1163">
        <f t="shared" si="77"/>
        <v>11000000</v>
      </c>
      <c r="G1163">
        <f t="shared" si="76"/>
        <v>35437.687658664196</v>
      </c>
      <c r="H1163" t="s">
        <v>72</v>
      </c>
      <c r="I1163" s="1" t="s">
        <v>224</v>
      </c>
      <c r="J1163" s="1" t="s">
        <v>216</v>
      </c>
      <c r="K1163" s="9" t="s">
        <v>20</v>
      </c>
      <c r="L1163" t="s">
        <v>21</v>
      </c>
      <c r="M1163" t="str">
        <f t="shared" si="75"/>
        <v>ND</v>
      </c>
      <c r="N1163" t="str">
        <f t="shared" si="78"/>
        <v>ND</v>
      </c>
    </row>
    <row r="1164" spans="1:14" x14ac:dyDescent="0.3">
      <c r="A1164" s="1" t="s">
        <v>49</v>
      </c>
      <c r="B1164">
        <v>6</v>
      </c>
      <c r="C1164">
        <v>12</v>
      </c>
      <c r="D1164" t="s">
        <v>71</v>
      </c>
      <c r="E1164">
        <v>11000000</v>
      </c>
      <c r="F1164">
        <f t="shared" si="77"/>
        <v>11000000</v>
      </c>
      <c r="G1164">
        <f t="shared" si="76"/>
        <v>35437.687658664196</v>
      </c>
      <c r="H1164" t="s">
        <v>72</v>
      </c>
      <c r="I1164" s="1" t="s">
        <v>224</v>
      </c>
      <c r="J1164" s="1" t="s">
        <v>216</v>
      </c>
      <c r="K1164" s="9" t="s">
        <v>20</v>
      </c>
      <c r="L1164" t="s">
        <v>21</v>
      </c>
      <c r="M1164" t="str">
        <f t="shared" si="75"/>
        <v>ND</v>
      </c>
      <c r="N1164" t="str">
        <f t="shared" si="78"/>
        <v>ND</v>
      </c>
    </row>
    <row r="1165" spans="1:14" x14ac:dyDescent="0.3">
      <c r="A1165" s="1" t="s">
        <v>49</v>
      </c>
      <c r="B1165">
        <v>6</v>
      </c>
      <c r="C1165">
        <v>12</v>
      </c>
      <c r="D1165" t="s">
        <v>71</v>
      </c>
      <c r="E1165">
        <v>11000000</v>
      </c>
      <c r="F1165">
        <f t="shared" si="77"/>
        <v>11000000</v>
      </c>
      <c r="G1165">
        <f t="shared" si="76"/>
        <v>35437.687658664196</v>
      </c>
      <c r="H1165" t="s">
        <v>72</v>
      </c>
      <c r="I1165" s="1" t="s">
        <v>224</v>
      </c>
      <c r="J1165" s="1" t="s">
        <v>216</v>
      </c>
      <c r="K1165" s="9" t="s">
        <v>20</v>
      </c>
      <c r="L1165" t="s">
        <v>21</v>
      </c>
      <c r="M1165" t="str">
        <f t="shared" si="75"/>
        <v>ND</v>
      </c>
      <c r="N1165" t="str">
        <f t="shared" si="78"/>
        <v>ND</v>
      </c>
    </row>
    <row r="1166" spans="1:14" x14ac:dyDescent="0.3">
      <c r="A1166" s="1" t="s">
        <v>49</v>
      </c>
      <c r="B1166">
        <v>6</v>
      </c>
      <c r="C1166">
        <v>12</v>
      </c>
      <c r="D1166" t="s">
        <v>71</v>
      </c>
      <c r="E1166">
        <v>11000000</v>
      </c>
      <c r="F1166">
        <f t="shared" si="77"/>
        <v>11000000</v>
      </c>
      <c r="G1166">
        <f t="shared" si="76"/>
        <v>35437.687658664196</v>
      </c>
      <c r="H1166" t="s">
        <v>72</v>
      </c>
      <c r="I1166" s="1" t="s">
        <v>224</v>
      </c>
      <c r="J1166" s="1" t="s">
        <v>216</v>
      </c>
      <c r="K1166" s="9" t="s">
        <v>20</v>
      </c>
      <c r="L1166" t="s">
        <v>21</v>
      </c>
      <c r="M1166" t="str">
        <f t="shared" si="75"/>
        <v>ND</v>
      </c>
      <c r="N1166" t="str">
        <f t="shared" si="78"/>
        <v>ND</v>
      </c>
    </row>
    <row r="1167" spans="1:14" x14ac:dyDescent="0.3">
      <c r="A1167" s="1" t="s">
        <v>49</v>
      </c>
      <c r="B1167">
        <v>6</v>
      </c>
      <c r="C1167">
        <v>12</v>
      </c>
      <c r="D1167" t="s">
        <v>71</v>
      </c>
      <c r="E1167">
        <v>11000000</v>
      </c>
      <c r="F1167">
        <f t="shared" si="77"/>
        <v>11000000</v>
      </c>
      <c r="G1167">
        <f t="shared" si="76"/>
        <v>35437.687658664196</v>
      </c>
      <c r="H1167" t="s">
        <v>72</v>
      </c>
      <c r="I1167" s="1" t="s">
        <v>224</v>
      </c>
      <c r="J1167" s="1" t="s">
        <v>216</v>
      </c>
      <c r="K1167" s="9" t="s">
        <v>20</v>
      </c>
      <c r="L1167" t="s">
        <v>21</v>
      </c>
      <c r="M1167" t="str">
        <f t="shared" si="75"/>
        <v>ND</v>
      </c>
      <c r="N1167" t="str">
        <f t="shared" si="78"/>
        <v>ND</v>
      </c>
    </row>
    <row r="1168" spans="1:14" x14ac:dyDescent="0.3">
      <c r="A1168" s="1" t="s">
        <v>49</v>
      </c>
      <c r="B1168">
        <v>6</v>
      </c>
      <c r="C1168">
        <v>12</v>
      </c>
      <c r="D1168" t="s">
        <v>71</v>
      </c>
      <c r="E1168">
        <v>11000000</v>
      </c>
      <c r="F1168">
        <f t="shared" si="77"/>
        <v>11000000</v>
      </c>
      <c r="G1168">
        <f t="shared" si="76"/>
        <v>35437.687658664196</v>
      </c>
      <c r="H1168" t="s">
        <v>72</v>
      </c>
      <c r="I1168" s="1" t="s">
        <v>224</v>
      </c>
      <c r="J1168" s="1" t="s">
        <v>216</v>
      </c>
      <c r="K1168" s="9" t="s">
        <v>20</v>
      </c>
      <c r="L1168" t="s">
        <v>21</v>
      </c>
      <c r="M1168" t="str">
        <f t="shared" si="75"/>
        <v>ND</v>
      </c>
      <c r="N1168" t="str">
        <f t="shared" si="78"/>
        <v>ND</v>
      </c>
    </row>
    <row r="1169" spans="1:14" x14ac:dyDescent="0.3">
      <c r="A1169" s="1" t="s">
        <v>49</v>
      </c>
      <c r="B1169">
        <v>6</v>
      </c>
      <c r="C1169">
        <v>12</v>
      </c>
      <c r="D1169" t="s">
        <v>71</v>
      </c>
      <c r="E1169">
        <v>11000000</v>
      </c>
      <c r="F1169">
        <f t="shared" si="77"/>
        <v>11000000</v>
      </c>
      <c r="G1169">
        <f t="shared" si="76"/>
        <v>35437.687658664196</v>
      </c>
      <c r="H1169" t="s">
        <v>72</v>
      </c>
      <c r="I1169" s="1" t="s">
        <v>224</v>
      </c>
      <c r="J1169" s="1" t="s">
        <v>216</v>
      </c>
      <c r="K1169" s="9" t="s">
        <v>20</v>
      </c>
      <c r="L1169" t="s">
        <v>21</v>
      </c>
      <c r="M1169" t="str">
        <f t="shared" si="75"/>
        <v>ND</v>
      </c>
      <c r="N1169" t="str">
        <f t="shared" si="78"/>
        <v>ND</v>
      </c>
    </row>
    <row r="1170" spans="1:14" x14ac:dyDescent="0.3">
      <c r="A1170" s="1" t="s">
        <v>49</v>
      </c>
      <c r="B1170">
        <v>6</v>
      </c>
      <c r="C1170">
        <v>12</v>
      </c>
      <c r="D1170" t="s">
        <v>71</v>
      </c>
      <c r="E1170">
        <v>11000000</v>
      </c>
      <c r="F1170">
        <f t="shared" si="77"/>
        <v>11000000</v>
      </c>
      <c r="G1170">
        <f t="shared" si="76"/>
        <v>35437.687658664196</v>
      </c>
      <c r="H1170" t="s">
        <v>72</v>
      </c>
      <c r="I1170" s="1" t="s">
        <v>224</v>
      </c>
      <c r="J1170" s="1" t="s">
        <v>216</v>
      </c>
      <c r="K1170" s="9" t="s">
        <v>20</v>
      </c>
      <c r="L1170" t="s">
        <v>21</v>
      </c>
      <c r="M1170" t="str">
        <f t="shared" si="75"/>
        <v>ND</v>
      </c>
      <c r="N1170" t="str">
        <f t="shared" si="78"/>
        <v>ND</v>
      </c>
    </row>
    <row r="1171" spans="1:14" x14ac:dyDescent="0.3">
      <c r="A1171" s="1" t="s">
        <v>49</v>
      </c>
      <c r="B1171">
        <v>6</v>
      </c>
      <c r="C1171">
        <v>12</v>
      </c>
      <c r="D1171" t="s">
        <v>71</v>
      </c>
      <c r="E1171">
        <v>11000000</v>
      </c>
      <c r="F1171">
        <f t="shared" si="77"/>
        <v>11000000</v>
      </c>
      <c r="G1171">
        <f t="shared" si="76"/>
        <v>35437.687658664196</v>
      </c>
      <c r="H1171" t="s">
        <v>72</v>
      </c>
      <c r="I1171" s="1" t="s">
        <v>224</v>
      </c>
      <c r="J1171" s="1" t="s">
        <v>216</v>
      </c>
      <c r="K1171" s="9" t="s">
        <v>20</v>
      </c>
      <c r="L1171" t="s">
        <v>21</v>
      </c>
      <c r="M1171" t="str">
        <f t="shared" si="75"/>
        <v>ND</v>
      </c>
      <c r="N1171" t="str">
        <f t="shared" si="78"/>
        <v>ND</v>
      </c>
    </row>
    <row r="1172" spans="1:14" x14ac:dyDescent="0.3">
      <c r="A1172" s="1" t="s">
        <v>49</v>
      </c>
      <c r="B1172">
        <v>6</v>
      </c>
      <c r="C1172">
        <v>12</v>
      </c>
      <c r="D1172" t="s">
        <v>71</v>
      </c>
      <c r="E1172">
        <v>11000000</v>
      </c>
      <c r="F1172">
        <f t="shared" si="77"/>
        <v>11000000</v>
      </c>
      <c r="G1172">
        <f t="shared" si="76"/>
        <v>35437.687658664196</v>
      </c>
      <c r="H1172" t="s">
        <v>72</v>
      </c>
      <c r="I1172" s="1" t="s">
        <v>224</v>
      </c>
      <c r="J1172" s="1" t="s">
        <v>216</v>
      </c>
      <c r="K1172" s="9" t="s">
        <v>20</v>
      </c>
      <c r="L1172" t="s">
        <v>21</v>
      </c>
      <c r="M1172" t="str">
        <f t="shared" si="75"/>
        <v>ND</v>
      </c>
      <c r="N1172" t="str">
        <f t="shared" si="78"/>
        <v>ND</v>
      </c>
    </row>
    <row r="1173" spans="1:14" x14ac:dyDescent="0.3">
      <c r="A1173" s="1" t="s">
        <v>49</v>
      </c>
      <c r="B1173">
        <v>6</v>
      </c>
      <c r="C1173">
        <v>12</v>
      </c>
      <c r="D1173" t="s">
        <v>71</v>
      </c>
      <c r="E1173">
        <v>11000000</v>
      </c>
      <c r="F1173">
        <f t="shared" si="77"/>
        <v>11000000</v>
      </c>
      <c r="G1173">
        <f t="shared" si="76"/>
        <v>35437.687658664196</v>
      </c>
      <c r="H1173" t="s">
        <v>72</v>
      </c>
      <c r="I1173" s="1" t="s">
        <v>224</v>
      </c>
      <c r="J1173" s="1" t="s">
        <v>216</v>
      </c>
      <c r="K1173" s="9" t="s">
        <v>20</v>
      </c>
      <c r="L1173" t="s">
        <v>21</v>
      </c>
      <c r="M1173" t="str">
        <f t="shared" si="75"/>
        <v>ND</v>
      </c>
      <c r="N1173" t="str">
        <f t="shared" si="78"/>
        <v>ND</v>
      </c>
    </row>
    <row r="1174" spans="1:14" x14ac:dyDescent="0.3">
      <c r="A1174" s="1" t="s">
        <v>49</v>
      </c>
      <c r="B1174">
        <v>6</v>
      </c>
      <c r="C1174">
        <v>13</v>
      </c>
      <c r="D1174" t="s">
        <v>74</v>
      </c>
      <c r="E1174">
        <v>23000000</v>
      </c>
      <c r="F1174">
        <f t="shared" si="77"/>
        <v>23000000</v>
      </c>
      <c r="G1174">
        <f t="shared" si="76"/>
        <v>74096.983286297851</v>
      </c>
      <c r="H1174" t="s">
        <v>72</v>
      </c>
      <c r="I1174" s="1" t="s">
        <v>224</v>
      </c>
      <c r="J1174" s="1" t="s">
        <v>216</v>
      </c>
      <c r="K1174" s="9" t="s">
        <v>20</v>
      </c>
      <c r="L1174" t="s">
        <v>21</v>
      </c>
      <c r="M1174" t="str">
        <f t="shared" si="75"/>
        <v>ND</v>
      </c>
      <c r="N1174" t="str">
        <f t="shared" si="78"/>
        <v>ND</v>
      </c>
    </row>
    <row r="1175" spans="1:14" x14ac:dyDescent="0.3">
      <c r="A1175" s="1" t="s">
        <v>49</v>
      </c>
      <c r="B1175">
        <v>6</v>
      </c>
      <c r="C1175">
        <v>13</v>
      </c>
      <c r="D1175" t="s">
        <v>74</v>
      </c>
      <c r="E1175">
        <v>23000000</v>
      </c>
      <c r="F1175">
        <f t="shared" si="77"/>
        <v>23000000</v>
      </c>
      <c r="G1175">
        <f t="shared" si="76"/>
        <v>74096.983286297851</v>
      </c>
      <c r="H1175" t="s">
        <v>72</v>
      </c>
      <c r="I1175" s="1" t="s">
        <v>224</v>
      </c>
      <c r="J1175" s="1" t="s">
        <v>216</v>
      </c>
      <c r="K1175" s="9" t="s">
        <v>20</v>
      </c>
      <c r="L1175" t="s">
        <v>21</v>
      </c>
      <c r="M1175" t="str">
        <f t="shared" ref="M1175:M1238" si="79">IFERROR(K1175/1000,"ND")</f>
        <v>ND</v>
      </c>
      <c r="N1175" t="str">
        <f t="shared" si="78"/>
        <v>ND</v>
      </c>
    </row>
    <row r="1176" spans="1:14" x14ac:dyDescent="0.3">
      <c r="A1176" s="1" t="s">
        <v>49</v>
      </c>
      <c r="B1176">
        <v>6</v>
      </c>
      <c r="C1176">
        <v>13</v>
      </c>
      <c r="D1176" t="s">
        <v>74</v>
      </c>
      <c r="E1176">
        <v>23000000</v>
      </c>
      <c r="F1176">
        <f t="shared" si="77"/>
        <v>23000000</v>
      </c>
      <c r="G1176">
        <f t="shared" ref="G1176:G1239" si="80">F1176/310.404</f>
        <v>74096.983286297851</v>
      </c>
      <c r="H1176" t="s">
        <v>72</v>
      </c>
      <c r="I1176" s="1" t="s">
        <v>224</v>
      </c>
      <c r="J1176" s="1" t="s">
        <v>216</v>
      </c>
      <c r="K1176" s="9" t="s">
        <v>20</v>
      </c>
      <c r="L1176" t="s">
        <v>21</v>
      </c>
      <c r="M1176" t="str">
        <f t="shared" si="79"/>
        <v>ND</v>
      </c>
      <c r="N1176" t="str">
        <f t="shared" si="78"/>
        <v>ND</v>
      </c>
    </row>
    <row r="1177" spans="1:14" x14ac:dyDescent="0.3">
      <c r="A1177" s="1" t="s">
        <v>49</v>
      </c>
      <c r="B1177">
        <v>6</v>
      </c>
      <c r="C1177">
        <v>13</v>
      </c>
      <c r="D1177" t="s">
        <v>74</v>
      </c>
      <c r="E1177">
        <v>23000000</v>
      </c>
      <c r="F1177">
        <f t="shared" si="77"/>
        <v>23000000</v>
      </c>
      <c r="G1177">
        <f t="shared" si="80"/>
        <v>74096.983286297851</v>
      </c>
      <c r="H1177" t="s">
        <v>72</v>
      </c>
      <c r="I1177" s="1" t="s">
        <v>224</v>
      </c>
      <c r="J1177" s="1" t="s">
        <v>216</v>
      </c>
      <c r="K1177" s="9" t="s">
        <v>20</v>
      </c>
      <c r="L1177" t="s">
        <v>21</v>
      </c>
      <c r="M1177" t="str">
        <f t="shared" si="79"/>
        <v>ND</v>
      </c>
      <c r="N1177" t="str">
        <f t="shared" si="78"/>
        <v>ND</v>
      </c>
    </row>
    <row r="1178" spans="1:14" x14ac:dyDescent="0.3">
      <c r="A1178" s="1" t="s">
        <v>49</v>
      </c>
      <c r="B1178">
        <v>6</v>
      </c>
      <c r="C1178">
        <v>13</v>
      </c>
      <c r="D1178" t="s">
        <v>74</v>
      </c>
      <c r="E1178">
        <v>23000000</v>
      </c>
      <c r="F1178">
        <f t="shared" si="77"/>
        <v>23000000</v>
      </c>
      <c r="G1178">
        <f t="shared" si="80"/>
        <v>74096.983286297851</v>
      </c>
      <c r="H1178" t="s">
        <v>72</v>
      </c>
      <c r="I1178" s="1" t="s">
        <v>224</v>
      </c>
      <c r="J1178" s="1" t="s">
        <v>216</v>
      </c>
      <c r="K1178" s="9" t="s">
        <v>20</v>
      </c>
      <c r="L1178" t="s">
        <v>21</v>
      </c>
      <c r="M1178" t="str">
        <f t="shared" si="79"/>
        <v>ND</v>
      </c>
      <c r="N1178" t="str">
        <f t="shared" si="78"/>
        <v>ND</v>
      </c>
    </row>
    <row r="1179" spans="1:14" x14ac:dyDescent="0.3">
      <c r="A1179" s="1" t="s">
        <v>49</v>
      </c>
      <c r="B1179">
        <v>6</v>
      </c>
      <c r="C1179">
        <v>13</v>
      </c>
      <c r="D1179" t="s">
        <v>74</v>
      </c>
      <c r="E1179">
        <v>23000000</v>
      </c>
      <c r="F1179">
        <f t="shared" si="77"/>
        <v>23000000</v>
      </c>
      <c r="G1179">
        <f t="shared" si="80"/>
        <v>74096.983286297851</v>
      </c>
      <c r="H1179" t="s">
        <v>72</v>
      </c>
      <c r="I1179" s="1" t="s">
        <v>224</v>
      </c>
      <c r="J1179" s="1" t="s">
        <v>216</v>
      </c>
      <c r="K1179" s="9" t="s">
        <v>20</v>
      </c>
      <c r="L1179" t="s">
        <v>21</v>
      </c>
      <c r="M1179" t="str">
        <f t="shared" si="79"/>
        <v>ND</v>
      </c>
      <c r="N1179" t="str">
        <f t="shared" si="78"/>
        <v>ND</v>
      </c>
    </row>
    <row r="1180" spans="1:14" x14ac:dyDescent="0.3">
      <c r="A1180" s="1" t="s">
        <v>49</v>
      </c>
      <c r="B1180">
        <v>6</v>
      </c>
      <c r="C1180">
        <v>13</v>
      </c>
      <c r="D1180" t="s">
        <v>74</v>
      </c>
      <c r="E1180">
        <v>23000000</v>
      </c>
      <c r="F1180">
        <f t="shared" si="77"/>
        <v>23000000</v>
      </c>
      <c r="G1180">
        <f t="shared" si="80"/>
        <v>74096.983286297851</v>
      </c>
      <c r="H1180" t="s">
        <v>72</v>
      </c>
      <c r="I1180" s="1" t="s">
        <v>224</v>
      </c>
      <c r="J1180" s="1" t="s">
        <v>216</v>
      </c>
      <c r="K1180" s="9" t="s">
        <v>20</v>
      </c>
      <c r="L1180" t="s">
        <v>21</v>
      </c>
      <c r="M1180" t="str">
        <f t="shared" si="79"/>
        <v>ND</v>
      </c>
      <c r="N1180" t="str">
        <f t="shared" si="78"/>
        <v>ND</v>
      </c>
    </row>
    <row r="1181" spans="1:14" x14ac:dyDescent="0.3">
      <c r="A1181" s="1" t="s">
        <v>49</v>
      </c>
      <c r="B1181">
        <v>6</v>
      </c>
      <c r="C1181">
        <v>13</v>
      </c>
      <c r="D1181" t="s">
        <v>74</v>
      </c>
      <c r="E1181">
        <v>23000000</v>
      </c>
      <c r="F1181">
        <f t="shared" si="77"/>
        <v>23000000</v>
      </c>
      <c r="G1181">
        <f t="shared" si="80"/>
        <v>74096.983286297851</v>
      </c>
      <c r="H1181" t="s">
        <v>72</v>
      </c>
      <c r="I1181" s="1" t="s">
        <v>224</v>
      </c>
      <c r="J1181" s="1" t="s">
        <v>216</v>
      </c>
      <c r="K1181" s="9" t="s">
        <v>20</v>
      </c>
      <c r="L1181" t="s">
        <v>21</v>
      </c>
      <c r="M1181" t="str">
        <f t="shared" si="79"/>
        <v>ND</v>
      </c>
      <c r="N1181" t="str">
        <f t="shared" si="78"/>
        <v>ND</v>
      </c>
    </row>
    <row r="1182" spans="1:14" x14ac:dyDescent="0.3">
      <c r="A1182" s="1" t="s">
        <v>49</v>
      </c>
      <c r="B1182">
        <v>6</v>
      </c>
      <c r="C1182">
        <v>13</v>
      </c>
      <c r="D1182" t="s">
        <v>74</v>
      </c>
      <c r="E1182">
        <v>23000000</v>
      </c>
      <c r="F1182">
        <f t="shared" si="77"/>
        <v>23000000</v>
      </c>
      <c r="G1182">
        <f t="shared" si="80"/>
        <v>74096.983286297851</v>
      </c>
      <c r="H1182" t="s">
        <v>72</v>
      </c>
      <c r="I1182" s="1" t="s">
        <v>224</v>
      </c>
      <c r="J1182" s="1" t="s">
        <v>216</v>
      </c>
      <c r="K1182" s="9" t="s">
        <v>20</v>
      </c>
      <c r="L1182" t="s">
        <v>21</v>
      </c>
      <c r="M1182" t="str">
        <f t="shared" si="79"/>
        <v>ND</v>
      </c>
      <c r="N1182" t="str">
        <f t="shared" si="78"/>
        <v>ND</v>
      </c>
    </row>
    <row r="1183" spans="1:14" x14ac:dyDescent="0.3">
      <c r="A1183" s="1" t="s">
        <v>49</v>
      </c>
      <c r="B1183">
        <v>6</v>
      </c>
      <c r="C1183">
        <v>13</v>
      </c>
      <c r="D1183" t="s">
        <v>74</v>
      </c>
      <c r="E1183">
        <v>23000000</v>
      </c>
      <c r="F1183">
        <f t="shared" si="77"/>
        <v>23000000</v>
      </c>
      <c r="G1183">
        <f t="shared" si="80"/>
        <v>74096.983286297851</v>
      </c>
      <c r="H1183" t="s">
        <v>72</v>
      </c>
      <c r="I1183" s="1" t="s">
        <v>224</v>
      </c>
      <c r="J1183" s="1" t="s">
        <v>216</v>
      </c>
      <c r="K1183" s="9" t="s">
        <v>20</v>
      </c>
      <c r="L1183" t="s">
        <v>21</v>
      </c>
      <c r="M1183" t="str">
        <f t="shared" si="79"/>
        <v>ND</v>
      </c>
      <c r="N1183" t="str">
        <f t="shared" si="78"/>
        <v>ND</v>
      </c>
    </row>
    <row r="1184" spans="1:14" x14ac:dyDescent="0.3">
      <c r="A1184" s="1" t="s">
        <v>49</v>
      </c>
      <c r="B1184">
        <v>6</v>
      </c>
      <c r="C1184">
        <v>13</v>
      </c>
      <c r="D1184" t="s">
        <v>74</v>
      </c>
      <c r="E1184">
        <v>23000000</v>
      </c>
      <c r="F1184">
        <f t="shared" si="77"/>
        <v>23000000</v>
      </c>
      <c r="G1184">
        <f t="shared" si="80"/>
        <v>74096.983286297851</v>
      </c>
      <c r="H1184" t="s">
        <v>72</v>
      </c>
      <c r="I1184" s="1" t="s">
        <v>224</v>
      </c>
      <c r="J1184" s="1" t="s">
        <v>216</v>
      </c>
      <c r="K1184" s="9" t="s">
        <v>20</v>
      </c>
      <c r="L1184" t="s">
        <v>21</v>
      </c>
      <c r="M1184" t="str">
        <f t="shared" si="79"/>
        <v>ND</v>
      </c>
      <c r="N1184" t="str">
        <f t="shared" si="78"/>
        <v>ND</v>
      </c>
    </row>
    <row r="1185" spans="1:14" x14ac:dyDescent="0.3">
      <c r="A1185" s="1" t="s">
        <v>49</v>
      </c>
      <c r="B1185">
        <v>6</v>
      </c>
      <c r="C1185">
        <v>13</v>
      </c>
      <c r="D1185" t="s">
        <v>74</v>
      </c>
      <c r="E1185">
        <v>23000000</v>
      </c>
      <c r="F1185">
        <f t="shared" si="77"/>
        <v>23000000</v>
      </c>
      <c r="G1185">
        <f t="shared" si="80"/>
        <v>74096.983286297851</v>
      </c>
      <c r="H1185" t="s">
        <v>72</v>
      </c>
      <c r="I1185" s="1" t="s">
        <v>224</v>
      </c>
      <c r="J1185" s="1" t="s">
        <v>216</v>
      </c>
      <c r="K1185" s="9" t="s">
        <v>20</v>
      </c>
      <c r="L1185" t="s">
        <v>21</v>
      </c>
      <c r="M1185" t="str">
        <f t="shared" si="79"/>
        <v>ND</v>
      </c>
      <c r="N1185" t="str">
        <f t="shared" si="78"/>
        <v>ND</v>
      </c>
    </row>
    <row r="1186" spans="1:14" x14ac:dyDescent="0.3">
      <c r="A1186" s="1" t="s">
        <v>49</v>
      </c>
      <c r="B1186">
        <v>6</v>
      </c>
      <c r="C1186">
        <v>13</v>
      </c>
      <c r="D1186" t="s">
        <v>74</v>
      </c>
      <c r="E1186">
        <v>23000000</v>
      </c>
      <c r="F1186">
        <f t="shared" si="77"/>
        <v>23000000</v>
      </c>
      <c r="G1186">
        <f t="shared" si="80"/>
        <v>74096.983286297851</v>
      </c>
      <c r="H1186" t="s">
        <v>72</v>
      </c>
      <c r="I1186" s="1" t="s">
        <v>224</v>
      </c>
      <c r="J1186" s="1" t="s">
        <v>216</v>
      </c>
      <c r="K1186" s="9" t="s">
        <v>20</v>
      </c>
      <c r="L1186" t="s">
        <v>21</v>
      </c>
      <c r="M1186" t="str">
        <f t="shared" si="79"/>
        <v>ND</v>
      </c>
      <c r="N1186" t="str">
        <f t="shared" si="78"/>
        <v>ND</v>
      </c>
    </row>
    <row r="1187" spans="1:14" x14ac:dyDescent="0.3">
      <c r="A1187" s="1" t="s">
        <v>49</v>
      </c>
      <c r="B1187">
        <v>6</v>
      </c>
      <c r="C1187">
        <v>13</v>
      </c>
      <c r="D1187" t="s">
        <v>74</v>
      </c>
      <c r="E1187">
        <v>23000000</v>
      </c>
      <c r="F1187">
        <f t="shared" si="77"/>
        <v>23000000</v>
      </c>
      <c r="G1187">
        <f t="shared" si="80"/>
        <v>74096.983286297851</v>
      </c>
      <c r="H1187" t="s">
        <v>72</v>
      </c>
      <c r="I1187" s="1" t="s">
        <v>224</v>
      </c>
      <c r="J1187" s="1" t="s">
        <v>216</v>
      </c>
      <c r="K1187" s="9" t="s">
        <v>20</v>
      </c>
      <c r="L1187" t="s">
        <v>21</v>
      </c>
      <c r="M1187" t="str">
        <f t="shared" si="79"/>
        <v>ND</v>
      </c>
      <c r="N1187" t="str">
        <f t="shared" si="78"/>
        <v>ND</v>
      </c>
    </row>
    <row r="1188" spans="1:14" x14ac:dyDescent="0.3">
      <c r="A1188" s="1" t="s">
        <v>73</v>
      </c>
      <c r="B1188">
        <v>6</v>
      </c>
      <c r="C1188">
        <v>13</v>
      </c>
      <c r="D1188" t="s">
        <v>74</v>
      </c>
      <c r="E1188">
        <v>23000000</v>
      </c>
      <c r="F1188">
        <f t="shared" si="77"/>
        <v>23000000</v>
      </c>
      <c r="G1188">
        <f t="shared" si="80"/>
        <v>74096.983286297851</v>
      </c>
      <c r="H1188" t="s">
        <v>72</v>
      </c>
      <c r="I1188" s="1" t="s">
        <v>224</v>
      </c>
      <c r="J1188" s="1" t="s">
        <v>216</v>
      </c>
      <c r="K1188" s="9" t="s">
        <v>20</v>
      </c>
      <c r="L1188" t="s">
        <v>21</v>
      </c>
      <c r="M1188" t="str">
        <f t="shared" si="79"/>
        <v>ND</v>
      </c>
      <c r="N1188" t="str">
        <f t="shared" si="78"/>
        <v>ND</v>
      </c>
    </row>
    <row r="1189" spans="1:14" x14ac:dyDescent="0.3">
      <c r="A1189" s="1" t="s">
        <v>73</v>
      </c>
      <c r="B1189">
        <v>6</v>
      </c>
      <c r="C1189">
        <v>13</v>
      </c>
      <c r="D1189" t="s">
        <v>74</v>
      </c>
      <c r="E1189">
        <v>23000000</v>
      </c>
      <c r="F1189">
        <f t="shared" si="77"/>
        <v>23000000</v>
      </c>
      <c r="G1189">
        <f t="shared" si="80"/>
        <v>74096.983286297851</v>
      </c>
      <c r="H1189" t="s">
        <v>72</v>
      </c>
      <c r="I1189" s="1" t="s">
        <v>224</v>
      </c>
      <c r="J1189" s="1" t="s">
        <v>216</v>
      </c>
      <c r="K1189" s="9" t="s">
        <v>20</v>
      </c>
      <c r="L1189" t="s">
        <v>21</v>
      </c>
      <c r="M1189" t="str">
        <f t="shared" si="79"/>
        <v>ND</v>
      </c>
      <c r="N1189" t="str">
        <f t="shared" si="78"/>
        <v>ND</v>
      </c>
    </row>
    <row r="1190" spans="1:14" x14ac:dyDescent="0.3">
      <c r="A1190" s="1" t="s">
        <v>73</v>
      </c>
      <c r="B1190">
        <v>6</v>
      </c>
      <c r="C1190">
        <v>13</v>
      </c>
      <c r="D1190" t="s">
        <v>74</v>
      </c>
      <c r="E1190">
        <v>23000000</v>
      </c>
      <c r="F1190">
        <f t="shared" si="77"/>
        <v>23000000</v>
      </c>
      <c r="G1190">
        <f t="shared" si="80"/>
        <v>74096.983286297851</v>
      </c>
      <c r="H1190" t="s">
        <v>72</v>
      </c>
      <c r="I1190" s="1" t="s">
        <v>224</v>
      </c>
      <c r="J1190" s="1" t="s">
        <v>216</v>
      </c>
      <c r="K1190" s="9" t="s">
        <v>20</v>
      </c>
      <c r="L1190" t="s">
        <v>21</v>
      </c>
      <c r="M1190" t="str">
        <f t="shared" si="79"/>
        <v>ND</v>
      </c>
      <c r="N1190" t="str">
        <f t="shared" si="78"/>
        <v>ND</v>
      </c>
    </row>
    <row r="1191" spans="1:14" x14ac:dyDescent="0.3">
      <c r="A1191" s="1" t="s">
        <v>73</v>
      </c>
      <c r="B1191">
        <v>6</v>
      </c>
      <c r="C1191">
        <v>13</v>
      </c>
      <c r="D1191" t="s">
        <v>74</v>
      </c>
      <c r="E1191">
        <v>23000000</v>
      </c>
      <c r="F1191">
        <f t="shared" si="77"/>
        <v>23000000</v>
      </c>
      <c r="G1191">
        <f t="shared" si="80"/>
        <v>74096.983286297851</v>
      </c>
      <c r="H1191" t="s">
        <v>72</v>
      </c>
      <c r="I1191" s="1" t="s">
        <v>224</v>
      </c>
      <c r="J1191" s="1" t="s">
        <v>216</v>
      </c>
      <c r="K1191" s="9" t="s">
        <v>20</v>
      </c>
      <c r="L1191" t="s">
        <v>21</v>
      </c>
      <c r="M1191" t="str">
        <f t="shared" si="79"/>
        <v>ND</v>
      </c>
      <c r="N1191" t="str">
        <f t="shared" si="78"/>
        <v>ND</v>
      </c>
    </row>
    <row r="1192" spans="1:14" x14ac:dyDescent="0.3">
      <c r="A1192" s="1" t="s">
        <v>73</v>
      </c>
      <c r="B1192">
        <v>6</v>
      </c>
      <c r="C1192">
        <v>13</v>
      </c>
      <c r="D1192" t="s">
        <v>74</v>
      </c>
      <c r="E1192">
        <v>23000000</v>
      </c>
      <c r="F1192">
        <f t="shared" si="77"/>
        <v>23000000</v>
      </c>
      <c r="G1192">
        <f t="shared" si="80"/>
        <v>74096.983286297851</v>
      </c>
      <c r="H1192" t="s">
        <v>72</v>
      </c>
      <c r="I1192" s="1" t="s">
        <v>224</v>
      </c>
      <c r="J1192" s="1" t="s">
        <v>216</v>
      </c>
      <c r="K1192" s="9" t="s">
        <v>20</v>
      </c>
      <c r="L1192" t="s">
        <v>21</v>
      </c>
      <c r="M1192" t="str">
        <f t="shared" si="79"/>
        <v>ND</v>
      </c>
      <c r="N1192" t="str">
        <f t="shared" si="78"/>
        <v>ND</v>
      </c>
    </row>
    <row r="1193" spans="1:14" x14ac:dyDescent="0.3">
      <c r="A1193" s="1" t="s">
        <v>73</v>
      </c>
      <c r="B1193">
        <v>6</v>
      </c>
      <c r="C1193">
        <v>13</v>
      </c>
      <c r="D1193" t="s">
        <v>74</v>
      </c>
      <c r="E1193">
        <v>23000000</v>
      </c>
      <c r="F1193">
        <f t="shared" si="77"/>
        <v>23000000</v>
      </c>
      <c r="G1193">
        <f t="shared" si="80"/>
        <v>74096.983286297851</v>
      </c>
      <c r="H1193" t="s">
        <v>72</v>
      </c>
      <c r="I1193" s="1" t="s">
        <v>224</v>
      </c>
      <c r="J1193" s="1" t="s">
        <v>216</v>
      </c>
      <c r="K1193" s="9" t="s">
        <v>20</v>
      </c>
      <c r="L1193" t="s">
        <v>21</v>
      </c>
      <c r="M1193" t="str">
        <f t="shared" si="79"/>
        <v>ND</v>
      </c>
      <c r="N1193" t="str">
        <f t="shared" si="78"/>
        <v>ND</v>
      </c>
    </row>
    <row r="1194" spans="1:14" x14ac:dyDescent="0.3">
      <c r="A1194" s="1" t="s">
        <v>73</v>
      </c>
      <c r="B1194">
        <v>6</v>
      </c>
      <c r="C1194">
        <v>13</v>
      </c>
      <c r="D1194" t="s">
        <v>74</v>
      </c>
      <c r="E1194">
        <v>23000000</v>
      </c>
      <c r="F1194">
        <f t="shared" si="77"/>
        <v>23000000</v>
      </c>
      <c r="G1194">
        <f t="shared" si="80"/>
        <v>74096.983286297851</v>
      </c>
      <c r="H1194" t="s">
        <v>72</v>
      </c>
      <c r="I1194" s="1" t="s">
        <v>224</v>
      </c>
      <c r="J1194" s="1" t="s">
        <v>216</v>
      </c>
      <c r="K1194" s="9" t="s">
        <v>20</v>
      </c>
      <c r="L1194" t="s">
        <v>21</v>
      </c>
      <c r="M1194" t="str">
        <f t="shared" si="79"/>
        <v>ND</v>
      </c>
      <c r="N1194" t="str">
        <f t="shared" si="78"/>
        <v>ND</v>
      </c>
    </row>
    <row r="1195" spans="1:14" x14ac:dyDescent="0.3">
      <c r="A1195" s="1" t="s">
        <v>73</v>
      </c>
      <c r="B1195">
        <v>6</v>
      </c>
      <c r="C1195">
        <v>13</v>
      </c>
      <c r="D1195" t="s">
        <v>74</v>
      </c>
      <c r="E1195">
        <v>23000000</v>
      </c>
      <c r="F1195">
        <f t="shared" si="77"/>
        <v>23000000</v>
      </c>
      <c r="G1195">
        <f t="shared" si="80"/>
        <v>74096.983286297851</v>
      </c>
      <c r="H1195" t="s">
        <v>72</v>
      </c>
      <c r="I1195" s="1" t="s">
        <v>224</v>
      </c>
      <c r="J1195" s="1" t="s">
        <v>216</v>
      </c>
      <c r="K1195" s="9" t="s">
        <v>20</v>
      </c>
      <c r="L1195" t="s">
        <v>21</v>
      </c>
      <c r="M1195" t="str">
        <f t="shared" si="79"/>
        <v>ND</v>
      </c>
      <c r="N1195" t="str">
        <f t="shared" si="78"/>
        <v>ND</v>
      </c>
    </row>
    <row r="1196" spans="1:14" x14ac:dyDescent="0.3">
      <c r="A1196" s="1" t="s">
        <v>73</v>
      </c>
      <c r="B1196">
        <v>6</v>
      </c>
      <c r="C1196">
        <v>13</v>
      </c>
      <c r="D1196" t="s">
        <v>74</v>
      </c>
      <c r="E1196">
        <v>23000000</v>
      </c>
      <c r="F1196">
        <f t="shared" si="77"/>
        <v>23000000</v>
      </c>
      <c r="G1196">
        <f t="shared" si="80"/>
        <v>74096.983286297851</v>
      </c>
      <c r="H1196" t="s">
        <v>72</v>
      </c>
      <c r="I1196" s="1" t="s">
        <v>224</v>
      </c>
      <c r="J1196" s="1" t="s">
        <v>216</v>
      </c>
      <c r="K1196" s="9" t="s">
        <v>20</v>
      </c>
      <c r="L1196" t="s">
        <v>21</v>
      </c>
      <c r="M1196" t="str">
        <f t="shared" si="79"/>
        <v>ND</v>
      </c>
      <c r="N1196" t="str">
        <f t="shared" si="78"/>
        <v>ND</v>
      </c>
    </row>
    <row r="1197" spans="1:14" x14ac:dyDescent="0.3">
      <c r="A1197" s="1" t="s">
        <v>73</v>
      </c>
      <c r="B1197">
        <v>6</v>
      </c>
      <c r="C1197">
        <v>13</v>
      </c>
      <c r="D1197" t="s">
        <v>74</v>
      </c>
      <c r="E1197">
        <v>23000000</v>
      </c>
      <c r="F1197">
        <f t="shared" si="77"/>
        <v>23000000</v>
      </c>
      <c r="G1197">
        <f t="shared" si="80"/>
        <v>74096.983286297851</v>
      </c>
      <c r="H1197" t="s">
        <v>72</v>
      </c>
      <c r="I1197" s="1" t="s">
        <v>224</v>
      </c>
      <c r="J1197" s="1" t="s">
        <v>216</v>
      </c>
      <c r="K1197" s="9" t="s">
        <v>20</v>
      </c>
      <c r="L1197" t="s">
        <v>21</v>
      </c>
      <c r="M1197" t="str">
        <f t="shared" si="79"/>
        <v>ND</v>
      </c>
      <c r="N1197" t="str">
        <f t="shared" si="78"/>
        <v>ND</v>
      </c>
    </row>
    <row r="1198" spans="1:14" x14ac:dyDescent="0.3">
      <c r="A1198" s="1" t="s">
        <v>73</v>
      </c>
      <c r="B1198">
        <v>6</v>
      </c>
      <c r="C1198">
        <v>13</v>
      </c>
      <c r="D1198" t="s">
        <v>74</v>
      </c>
      <c r="E1198">
        <v>23000000</v>
      </c>
      <c r="F1198">
        <f t="shared" si="77"/>
        <v>23000000</v>
      </c>
      <c r="G1198">
        <f t="shared" si="80"/>
        <v>74096.983286297851</v>
      </c>
      <c r="H1198" t="s">
        <v>72</v>
      </c>
      <c r="I1198" s="1" t="s">
        <v>224</v>
      </c>
      <c r="J1198" s="1" t="s">
        <v>216</v>
      </c>
      <c r="K1198" s="9" t="s">
        <v>20</v>
      </c>
      <c r="L1198" t="s">
        <v>21</v>
      </c>
      <c r="M1198" t="str">
        <f t="shared" si="79"/>
        <v>ND</v>
      </c>
      <c r="N1198" t="str">
        <f t="shared" si="78"/>
        <v>ND</v>
      </c>
    </row>
    <row r="1199" spans="1:14" x14ac:dyDescent="0.3">
      <c r="A1199" s="1" t="s">
        <v>73</v>
      </c>
      <c r="B1199">
        <v>6</v>
      </c>
      <c r="C1199">
        <v>13</v>
      </c>
      <c r="D1199" t="s">
        <v>74</v>
      </c>
      <c r="E1199">
        <v>23000000</v>
      </c>
      <c r="F1199">
        <f t="shared" si="77"/>
        <v>23000000</v>
      </c>
      <c r="G1199">
        <f t="shared" si="80"/>
        <v>74096.983286297851</v>
      </c>
      <c r="H1199" t="s">
        <v>72</v>
      </c>
      <c r="I1199" s="1" t="s">
        <v>224</v>
      </c>
      <c r="J1199" s="1" t="s">
        <v>216</v>
      </c>
      <c r="K1199" s="9" t="s">
        <v>20</v>
      </c>
      <c r="L1199" t="s">
        <v>21</v>
      </c>
      <c r="M1199" t="str">
        <f t="shared" si="79"/>
        <v>ND</v>
      </c>
      <c r="N1199" t="str">
        <f t="shared" si="78"/>
        <v>ND</v>
      </c>
    </row>
    <row r="1200" spans="1:14" x14ac:dyDescent="0.3">
      <c r="A1200" s="1" t="s">
        <v>73</v>
      </c>
      <c r="B1200">
        <v>6</v>
      </c>
      <c r="C1200">
        <v>13</v>
      </c>
      <c r="D1200" t="s">
        <v>74</v>
      </c>
      <c r="E1200">
        <v>23000000</v>
      </c>
      <c r="F1200">
        <f t="shared" si="77"/>
        <v>23000000</v>
      </c>
      <c r="G1200">
        <f t="shared" si="80"/>
        <v>74096.983286297851</v>
      </c>
      <c r="H1200" t="s">
        <v>72</v>
      </c>
      <c r="I1200" s="1" t="s">
        <v>224</v>
      </c>
      <c r="J1200" s="1" t="s">
        <v>216</v>
      </c>
      <c r="K1200" s="9" t="s">
        <v>20</v>
      </c>
      <c r="L1200" t="s">
        <v>21</v>
      </c>
      <c r="M1200" t="str">
        <f t="shared" si="79"/>
        <v>ND</v>
      </c>
      <c r="N1200" t="str">
        <f t="shared" si="78"/>
        <v>ND</v>
      </c>
    </row>
    <row r="1201" spans="1:14" x14ac:dyDescent="0.3">
      <c r="A1201" s="1" t="s">
        <v>73</v>
      </c>
      <c r="B1201">
        <v>6</v>
      </c>
      <c r="C1201">
        <v>13</v>
      </c>
      <c r="D1201" t="s">
        <v>74</v>
      </c>
      <c r="E1201">
        <v>23000000</v>
      </c>
      <c r="F1201">
        <f t="shared" si="77"/>
        <v>23000000</v>
      </c>
      <c r="G1201">
        <f t="shared" si="80"/>
        <v>74096.983286297851</v>
      </c>
      <c r="H1201" t="s">
        <v>72</v>
      </c>
      <c r="I1201" s="1" t="s">
        <v>224</v>
      </c>
      <c r="J1201" s="1" t="s">
        <v>216</v>
      </c>
      <c r="K1201" s="9" t="s">
        <v>20</v>
      </c>
      <c r="L1201" t="s">
        <v>21</v>
      </c>
      <c r="M1201" t="str">
        <f t="shared" si="79"/>
        <v>ND</v>
      </c>
      <c r="N1201" t="str">
        <f t="shared" si="78"/>
        <v>ND</v>
      </c>
    </row>
    <row r="1202" spans="1:14" x14ac:dyDescent="0.3">
      <c r="A1202" s="1" t="s">
        <v>73</v>
      </c>
      <c r="B1202">
        <v>6</v>
      </c>
      <c r="C1202">
        <v>13</v>
      </c>
      <c r="D1202" t="s">
        <v>74</v>
      </c>
      <c r="E1202">
        <v>23000000</v>
      </c>
      <c r="F1202">
        <f t="shared" si="77"/>
        <v>23000000</v>
      </c>
      <c r="G1202">
        <f t="shared" si="80"/>
        <v>74096.983286297851</v>
      </c>
      <c r="H1202" t="s">
        <v>72</v>
      </c>
      <c r="I1202" s="1" t="s">
        <v>224</v>
      </c>
      <c r="J1202" s="1" t="s">
        <v>216</v>
      </c>
      <c r="K1202" s="9" t="s">
        <v>20</v>
      </c>
      <c r="L1202" t="s">
        <v>21</v>
      </c>
      <c r="M1202" t="str">
        <f t="shared" si="79"/>
        <v>ND</v>
      </c>
      <c r="N1202" t="str">
        <f t="shared" si="78"/>
        <v>ND</v>
      </c>
    </row>
    <row r="1203" spans="1:14" x14ac:dyDescent="0.3">
      <c r="A1203" s="1" t="s">
        <v>73</v>
      </c>
      <c r="B1203">
        <v>6</v>
      </c>
      <c r="C1203">
        <v>13</v>
      </c>
      <c r="D1203" t="s">
        <v>74</v>
      </c>
      <c r="E1203">
        <v>23000000</v>
      </c>
      <c r="F1203">
        <f t="shared" si="77"/>
        <v>23000000</v>
      </c>
      <c r="G1203">
        <f t="shared" si="80"/>
        <v>74096.983286297851</v>
      </c>
      <c r="H1203" t="s">
        <v>72</v>
      </c>
      <c r="I1203" s="1" t="s">
        <v>224</v>
      </c>
      <c r="J1203" s="1" t="s">
        <v>216</v>
      </c>
      <c r="K1203" s="9" t="s">
        <v>20</v>
      </c>
      <c r="L1203" t="s">
        <v>21</v>
      </c>
      <c r="M1203" t="str">
        <f t="shared" si="79"/>
        <v>ND</v>
      </c>
      <c r="N1203" t="str">
        <f t="shared" si="78"/>
        <v>ND</v>
      </c>
    </row>
    <row r="1204" spans="1:14" x14ac:dyDescent="0.3">
      <c r="A1204" s="1" t="s">
        <v>73</v>
      </c>
      <c r="B1204">
        <v>6</v>
      </c>
      <c r="C1204">
        <v>13</v>
      </c>
      <c r="D1204" t="s">
        <v>74</v>
      </c>
      <c r="E1204">
        <v>23000000</v>
      </c>
      <c r="F1204">
        <f t="shared" si="77"/>
        <v>23000000</v>
      </c>
      <c r="G1204">
        <f t="shared" si="80"/>
        <v>74096.983286297851</v>
      </c>
      <c r="H1204" t="s">
        <v>72</v>
      </c>
      <c r="I1204" s="1" t="s">
        <v>224</v>
      </c>
      <c r="J1204" s="1" t="s">
        <v>216</v>
      </c>
      <c r="K1204" s="9" t="s">
        <v>20</v>
      </c>
      <c r="L1204" t="s">
        <v>21</v>
      </c>
      <c r="M1204" t="str">
        <f t="shared" si="79"/>
        <v>ND</v>
      </c>
      <c r="N1204" t="str">
        <f t="shared" si="78"/>
        <v>ND</v>
      </c>
    </row>
    <row r="1205" spans="1:14" x14ac:dyDescent="0.3">
      <c r="A1205" s="1" t="s">
        <v>73</v>
      </c>
      <c r="B1205">
        <v>6</v>
      </c>
      <c r="C1205">
        <v>13</v>
      </c>
      <c r="D1205" t="s">
        <v>74</v>
      </c>
      <c r="E1205">
        <v>23000000</v>
      </c>
      <c r="F1205">
        <f t="shared" si="77"/>
        <v>23000000</v>
      </c>
      <c r="G1205">
        <f t="shared" si="80"/>
        <v>74096.983286297851</v>
      </c>
      <c r="H1205" t="s">
        <v>72</v>
      </c>
      <c r="I1205" s="1" t="s">
        <v>224</v>
      </c>
      <c r="J1205" s="1" t="s">
        <v>216</v>
      </c>
      <c r="K1205" s="9" t="s">
        <v>20</v>
      </c>
      <c r="L1205" t="s">
        <v>21</v>
      </c>
      <c r="M1205" t="str">
        <f t="shared" si="79"/>
        <v>ND</v>
      </c>
      <c r="N1205" t="str">
        <f t="shared" si="78"/>
        <v>ND</v>
      </c>
    </row>
    <row r="1206" spans="1:14" x14ac:dyDescent="0.3">
      <c r="A1206" s="1" t="s">
        <v>73</v>
      </c>
      <c r="B1206">
        <v>6</v>
      </c>
      <c r="C1206">
        <v>13</v>
      </c>
      <c r="D1206" t="s">
        <v>74</v>
      </c>
      <c r="E1206">
        <v>23000000</v>
      </c>
      <c r="F1206">
        <f t="shared" ref="F1206:F1269" si="81">E1206</f>
        <v>23000000</v>
      </c>
      <c r="G1206">
        <f t="shared" si="80"/>
        <v>74096.983286297851</v>
      </c>
      <c r="H1206" t="s">
        <v>72</v>
      </c>
      <c r="I1206" s="1" t="s">
        <v>224</v>
      </c>
      <c r="J1206" s="1" t="s">
        <v>216</v>
      </c>
      <c r="K1206" s="9" t="s">
        <v>20</v>
      </c>
      <c r="L1206" t="s">
        <v>21</v>
      </c>
      <c r="M1206" t="str">
        <f t="shared" si="79"/>
        <v>ND</v>
      </c>
      <c r="N1206" t="str">
        <f t="shared" si="78"/>
        <v>ND</v>
      </c>
    </row>
    <row r="1207" spans="1:14" x14ac:dyDescent="0.3">
      <c r="A1207" s="1" t="s">
        <v>73</v>
      </c>
      <c r="B1207">
        <v>6</v>
      </c>
      <c r="C1207">
        <v>13</v>
      </c>
      <c r="D1207" t="s">
        <v>74</v>
      </c>
      <c r="E1207">
        <v>23000000</v>
      </c>
      <c r="F1207">
        <f t="shared" si="81"/>
        <v>23000000</v>
      </c>
      <c r="G1207">
        <f t="shared" si="80"/>
        <v>74096.983286297851</v>
      </c>
      <c r="H1207" t="s">
        <v>72</v>
      </c>
      <c r="I1207" s="1" t="s">
        <v>224</v>
      </c>
      <c r="J1207" s="1" t="s">
        <v>216</v>
      </c>
      <c r="K1207" s="9" t="s">
        <v>20</v>
      </c>
      <c r="L1207" t="s">
        <v>21</v>
      </c>
      <c r="M1207" t="str">
        <f t="shared" si="79"/>
        <v>ND</v>
      </c>
      <c r="N1207" t="str">
        <f t="shared" si="78"/>
        <v>ND</v>
      </c>
    </row>
    <row r="1208" spans="1:14" x14ac:dyDescent="0.3">
      <c r="A1208" s="1" t="s">
        <v>73</v>
      </c>
      <c r="B1208">
        <v>6</v>
      </c>
      <c r="C1208">
        <v>13</v>
      </c>
      <c r="D1208" t="s">
        <v>74</v>
      </c>
      <c r="E1208">
        <v>23000000</v>
      </c>
      <c r="F1208">
        <f t="shared" si="81"/>
        <v>23000000</v>
      </c>
      <c r="G1208">
        <f t="shared" si="80"/>
        <v>74096.983286297851</v>
      </c>
      <c r="H1208" t="s">
        <v>72</v>
      </c>
      <c r="I1208" s="1" t="s">
        <v>224</v>
      </c>
      <c r="J1208" s="1" t="s">
        <v>216</v>
      </c>
      <c r="K1208" s="9" t="s">
        <v>20</v>
      </c>
      <c r="L1208" t="s">
        <v>21</v>
      </c>
      <c r="M1208" t="str">
        <f t="shared" si="79"/>
        <v>ND</v>
      </c>
      <c r="N1208" t="str">
        <f t="shared" si="78"/>
        <v>ND</v>
      </c>
    </row>
    <row r="1209" spans="1:14" x14ac:dyDescent="0.3">
      <c r="A1209" s="1" t="s">
        <v>73</v>
      </c>
      <c r="B1209">
        <v>6</v>
      </c>
      <c r="C1209">
        <v>13</v>
      </c>
      <c r="D1209" t="s">
        <v>74</v>
      </c>
      <c r="E1209">
        <v>23000000</v>
      </c>
      <c r="F1209">
        <f t="shared" si="81"/>
        <v>23000000</v>
      </c>
      <c r="G1209">
        <f t="shared" si="80"/>
        <v>74096.983286297851</v>
      </c>
      <c r="H1209" t="s">
        <v>72</v>
      </c>
      <c r="I1209" s="1" t="s">
        <v>224</v>
      </c>
      <c r="J1209" s="1" t="s">
        <v>216</v>
      </c>
      <c r="K1209" s="9" t="s">
        <v>20</v>
      </c>
      <c r="L1209" t="s">
        <v>21</v>
      </c>
      <c r="M1209" t="str">
        <f t="shared" si="79"/>
        <v>ND</v>
      </c>
      <c r="N1209" t="str">
        <f t="shared" si="78"/>
        <v>ND</v>
      </c>
    </row>
    <row r="1210" spans="1:14" x14ac:dyDescent="0.3">
      <c r="A1210" s="1" t="s">
        <v>49</v>
      </c>
      <c r="B1210">
        <v>6</v>
      </c>
      <c r="C1210">
        <v>13</v>
      </c>
      <c r="D1210" t="s">
        <v>74</v>
      </c>
      <c r="E1210">
        <v>23000000</v>
      </c>
      <c r="F1210">
        <f t="shared" si="81"/>
        <v>23000000</v>
      </c>
      <c r="G1210">
        <f t="shared" si="80"/>
        <v>74096.983286297851</v>
      </c>
      <c r="H1210" t="s">
        <v>72</v>
      </c>
      <c r="I1210" s="1" t="s">
        <v>224</v>
      </c>
      <c r="J1210" s="1" t="s">
        <v>216</v>
      </c>
      <c r="K1210" s="9">
        <v>22.85</v>
      </c>
      <c r="L1210" t="s">
        <v>21</v>
      </c>
      <c r="M1210">
        <f t="shared" si="79"/>
        <v>2.2850000000000002E-2</v>
      </c>
      <c r="N1210">
        <f t="shared" si="78"/>
        <v>7.0927314000000008</v>
      </c>
    </row>
    <row r="1211" spans="1:14" x14ac:dyDescent="0.3">
      <c r="A1211" s="1" t="s">
        <v>49</v>
      </c>
      <c r="B1211">
        <v>6</v>
      </c>
      <c r="C1211">
        <v>13</v>
      </c>
      <c r="D1211" t="s">
        <v>74</v>
      </c>
      <c r="E1211">
        <v>23000000</v>
      </c>
      <c r="F1211">
        <f t="shared" si="81"/>
        <v>23000000</v>
      </c>
      <c r="G1211">
        <f t="shared" si="80"/>
        <v>74096.983286297851</v>
      </c>
      <c r="H1211" t="s">
        <v>72</v>
      </c>
      <c r="I1211" s="1" t="s">
        <v>224</v>
      </c>
      <c r="J1211" s="1" t="s">
        <v>216</v>
      </c>
      <c r="K1211" s="9">
        <v>15.11</v>
      </c>
      <c r="L1211" t="s">
        <v>21</v>
      </c>
      <c r="M1211">
        <f t="shared" si="79"/>
        <v>1.511E-2</v>
      </c>
      <c r="N1211">
        <f t="shared" si="78"/>
        <v>4.6902044400000005</v>
      </c>
    </row>
    <row r="1212" spans="1:14" x14ac:dyDescent="0.3">
      <c r="A1212" s="1" t="s">
        <v>49</v>
      </c>
      <c r="B1212">
        <v>6</v>
      </c>
      <c r="C1212">
        <v>13</v>
      </c>
      <c r="D1212" t="s">
        <v>74</v>
      </c>
      <c r="E1212">
        <v>23000000</v>
      </c>
      <c r="F1212">
        <f t="shared" si="81"/>
        <v>23000000</v>
      </c>
      <c r="G1212">
        <f t="shared" si="80"/>
        <v>74096.983286297851</v>
      </c>
      <c r="H1212" t="s">
        <v>72</v>
      </c>
      <c r="I1212" s="1" t="s">
        <v>224</v>
      </c>
      <c r="J1212" s="1" t="s">
        <v>216</v>
      </c>
      <c r="K1212" s="9">
        <v>15.89</v>
      </c>
      <c r="L1212" t="s">
        <v>21</v>
      </c>
      <c r="M1212">
        <f t="shared" si="79"/>
        <v>1.5890000000000001E-2</v>
      </c>
      <c r="N1212">
        <f t="shared" si="78"/>
        <v>4.9323195600000016</v>
      </c>
    </row>
    <row r="1213" spans="1:14" x14ac:dyDescent="0.3">
      <c r="A1213" s="1" t="s">
        <v>49</v>
      </c>
      <c r="B1213">
        <v>6</v>
      </c>
      <c r="C1213">
        <v>13</v>
      </c>
      <c r="D1213" t="s">
        <v>74</v>
      </c>
      <c r="E1213">
        <v>23000000</v>
      </c>
      <c r="F1213">
        <f t="shared" si="81"/>
        <v>23000000</v>
      </c>
      <c r="G1213">
        <f t="shared" si="80"/>
        <v>74096.983286297851</v>
      </c>
      <c r="H1213" t="s">
        <v>72</v>
      </c>
      <c r="I1213" s="1" t="s">
        <v>224</v>
      </c>
      <c r="J1213" s="1" t="s">
        <v>216</v>
      </c>
      <c r="K1213" s="9">
        <v>10.35</v>
      </c>
      <c r="L1213" t="s">
        <v>21</v>
      </c>
      <c r="M1213">
        <f t="shared" si="79"/>
        <v>1.035E-2</v>
      </c>
      <c r="N1213">
        <f t="shared" si="78"/>
        <v>3.2126814000000001</v>
      </c>
    </row>
    <row r="1214" spans="1:14" x14ac:dyDescent="0.3">
      <c r="A1214" s="1" t="s">
        <v>49</v>
      </c>
      <c r="B1214">
        <v>6</v>
      </c>
      <c r="C1214">
        <v>13</v>
      </c>
      <c r="D1214" t="s">
        <v>74</v>
      </c>
      <c r="E1214">
        <v>23000000</v>
      </c>
      <c r="F1214">
        <f t="shared" si="81"/>
        <v>23000000</v>
      </c>
      <c r="G1214">
        <f t="shared" si="80"/>
        <v>74096.983286297851</v>
      </c>
      <c r="H1214" t="s">
        <v>72</v>
      </c>
      <c r="I1214" s="1" t="s">
        <v>224</v>
      </c>
      <c r="J1214" s="1" t="s">
        <v>216</v>
      </c>
      <c r="K1214" s="9">
        <v>3.58</v>
      </c>
      <c r="L1214" t="s">
        <v>21</v>
      </c>
      <c r="M1214">
        <f t="shared" si="79"/>
        <v>3.5800000000000003E-3</v>
      </c>
      <c r="N1214">
        <f t="shared" si="78"/>
        <v>1.11124632</v>
      </c>
    </row>
    <row r="1215" spans="1:14" x14ac:dyDescent="0.3">
      <c r="A1215" s="1" t="s">
        <v>49</v>
      </c>
      <c r="B1215">
        <v>6</v>
      </c>
      <c r="C1215">
        <v>13</v>
      </c>
      <c r="D1215" t="s">
        <v>74</v>
      </c>
      <c r="E1215">
        <v>23000000</v>
      </c>
      <c r="F1215">
        <f t="shared" si="81"/>
        <v>23000000</v>
      </c>
      <c r="G1215">
        <f t="shared" si="80"/>
        <v>74096.983286297851</v>
      </c>
      <c r="H1215" t="s">
        <v>72</v>
      </c>
      <c r="I1215" s="1" t="s">
        <v>224</v>
      </c>
      <c r="J1215" s="1" t="s">
        <v>216</v>
      </c>
      <c r="K1215" s="9">
        <v>12.79</v>
      </c>
      <c r="L1215" t="s">
        <v>21</v>
      </c>
      <c r="M1215">
        <f t="shared" si="79"/>
        <v>1.2789999999999999E-2</v>
      </c>
      <c r="N1215">
        <f t="shared" si="78"/>
        <v>3.9700671600000002</v>
      </c>
    </row>
    <row r="1216" spans="1:14" x14ac:dyDescent="0.3">
      <c r="A1216" s="1" t="s">
        <v>49</v>
      </c>
      <c r="B1216">
        <v>6</v>
      </c>
      <c r="C1216">
        <v>13</v>
      </c>
      <c r="D1216" t="s">
        <v>74</v>
      </c>
      <c r="E1216">
        <v>23000000</v>
      </c>
      <c r="F1216">
        <f t="shared" si="81"/>
        <v>23000000</v>
      </c>
      <c r="G1216">
        <f t="shared" si="80"/>
        <v>74096.983286297851</v>
      </c>
      <c r="H1216" t="s">
        <v>72</v>
      </c>
      <c r="I1216" s="1" t="s">
        <v>224</v>
      </c>
      <c r="J1216" s="1" t="s">
        <v>216</v>
      </c>
      <c r="K1216" s="9">
        <v>20.81</v>
      </c>
      <c r="L1216" t="s">
        <v>21</v>
      </c>
      <c r="M1216">
        <f t="shared" si="79"/>
        <v>2.0809999999999999E-2</v>
      </c>
      <c r="N1216">
        <f t="shared" si="78"/>
        <v>6.4595072399999998</v>
      </c>
    </row>
    <row r="1217" spans="1:14" x14ac:dyDescent="0.3">
      <c r="A1217" s="1" t="s">
        <v>49</v>
      </c>
      <c r="B1217">
        <v>6</v>
      </c>
      <c r="C1217">
        <v>13</v>
      </c>
      <c r="D1217" t="s">
        <v>74</v>
      </c>
      <c r="E1217">
        <v>23000000</v>
      </c>
      <c r="F1217">
        <f t="shared" si="81"/>
        <v>23000000</v>
      </c>
      <c r="G1217">
        <f t="shared" si="80"/>
        <v>74096.983286297851</v>
      </c>
      <c r="H1217" t="s">
        <v>72</v>
      </c>
      <c r="I1217" s="1" t="s">
        <v>224</v>
      </c>
      <c r="J1217" s="1" t="s">
        <v>216</v>
      </c>
      <c r="K1217" s="9">
        <v>3.54</v>
      </c>
      <c r="L1217" t="s">
        <v>21</v>
      </c>
      <c r="M1217">
        <f t="shared" si="79"/>
        <v>3.5400000000000002E-3</v>
      </c>
      <c r="N1217">
        <f t="shared" si="78"/>
        <v>1.0988301600000001</v>
      </c>
    </row>
    <row r="1218" spans="1:14" x14ac:dyDescent="0.3">
      <c r="A1218" s="1" t="s">
        <v>49</v>
      </c>
      <c r="B1218">
        <v>6</v>
      </c>
      <c r="C1218">
        <v>13</v>
      </c>
      <c r="D1218" t="s">
        <v>74</v>
      </c>
      <c r="E1218">
        <v>23000000</v>
      </c>
      <c r="F1218">
        <f t="shared" si="81"/>
        <v>23000000</v>
      </c>
      <c r="G1218">
        <f t="shared" si="80"/>
        <v>74096.983286297851</v>
      </c>
      <c r="H1218" t="s">
        <v>72</v>
      </c>
      <c r="I1218" s="1" t="s">
        <v>224</v>
      </c>
      <c r="J1218" s="1" t="s">
        <v>216</v>
      </c>
      <c r="K1218" s="9">
        <v>3.51</v>
      </c>
      <c r="L1218" t="s">
        <v>21</v>
      </c>
      <c r="M1218">
        <f t="shared" si="79"/>
        <v>3.5099999999999997E-3</v>
      </c>
      <c r="N1218">
        <f t="shared" ref="N1218:N1281" si="82">IFERROR((M1218*F1218)/G1218,"ND")</f>
        <v>1.08951804</v>
      </c>
    </row>
    <row r="1219" spans="1:14" x14ac:dyDescent="0.3">
      <c r="A1219" s="1" t="s">
        <v>49</v>
      </c>
      <c r="B1219">
        <v>6</v>
      </c>
      <c r="C1219">
        <v>13</v>
      </c>
      <c r="D1219" t="s">
        <v>74</v>
      </c>
      <c r="E1219">
        <v>23000000</v>
      </c>
      <c r="F1219">
        <f t="shared" si="81"/>
        <v>23000000</v>
      </c>
      <c r="G1219">
        <f t="shared" si="80"/>
        <v>74096.983286297851</v>
      </c>
      <c r="H1219" t="s">
        <v>72</v>
      </c>
      <c r="I1219" s="1" t="s">
        <v>224</v>
      </c>
      <c r="J1219" s="1" t="s">
        <v>216</v>
      </c>
      <c r="K1219" s="9">
        <v>2.2599999999999998</v>
      </c>
      <c r="L1219" t="s">
        <v>21</v>
      </c>
      <c r="M1219">
        <f t="shared" si="79"/>
        <v>2.2599999999999999E-3</v>
      </c>
      <c r="N1219">
        <f t="shared" si="82"/>
        <v>0.70151304000000003</v>
      </c>
    </row>
    <row r="1220" spans="1:14" x14ac:dyDescent="0.3">
      <c r="A1220" s="1" t="s">
        <v>49</v>
      </c>
      <c r="B1220">
        <v>6</v>
      </c>
      <c r="C1220">
        <v>13</v>
      </c>
      <c r="D1220" t="s">
        <v>74</v>
      </c>
      <c r="E1220">
        <v>23000000</v>
      </c>
      <c r="F1220">
        <f t="shared" si="81"/>
        <v>23000000</v>
      </c>
      <c r="G1220">
        <f t="shared" si="80"/>
        <v>74096.983286297851</v>
      </c>
      <c r="H1220" t="s">
        <v>72</v>
      </c>
      <c r="I1220" s="1" t="s">
        <v>224</v>
      </c>
      <c r="J1220" s="1" t="s">
        <v>216</v>
      </c>
      <c r="K1220" s="9">
        <v>2.84</v>
      </c>
      <c r="L1220" t="s">
        <v>21</v>
      </c>
      <c r="M1220">
        <f t="shared" si="79"/>
        <v>2.8399999999999996E-3</v>
      </c>
      <c r="N1220">
        <f t="shared" si="82"/>
        <v>0.88154736</v>
      </c>
    </row>
    <row r="1221" spans="1:14" x14ac:dyDescent="0.3">
      <c r="A1221" s="1" t="s">
        <v>49</v>
      </c>
      <c r="B1221">
        <v>6</v>
      </c>
      <c r="C1221">
        <v>13</v>
      </c>
      <c r="D1221" t="s">
        <v>74</v>
      </c>
      <c r="E1221">
        <v>23000000</v>
      </c>
      <c r="F1221">
        <f t="shared" si="81"/>
        <v>23000000</v>
      </c>
      <c r="G1221">
        <f t="shared" si="80"/>
        <v>74096.983286297851</v>
      </c>
      <c r="H1221" t="s">
        <v>72</v>
      </c>
      <c r="I1221" s="1" t="s">
        <v>224</v>
      </c>
      <c r="J1221" s="1" t="s">
        <v>216</v>
      </c>
      <c r="K1221" s="9">
        <v>2.87</v>
      </c>
      <c r="L1221" t="s">
        <v>21</v>
      </c>
      <c r="M1221">
        <f t="shared" si="79"/>
        <v>2.8700000000000002E-3</v>
      </c>
      <c r="N1221">
        <f t="shared" si="82"/>
        <v>0.89085948000000004</v>
      </c>
    </row>
    <row r="1222" spans="1:14" x14ac:dyDescent="0.3">
      <c r="A1222" s="1" t="s">
        <v>49</v>
      </c>
      <c r="B1222">
        <v>6</v>
      </c>
      <c r="C1222">
        <v>13</v>
      </c>
      <c r="D1222" t="s">
        <v>74</v>
      </c>
      <c r="E1222">
        <v>23000000</v>
      </c>
      <c r="F1222">
        <f t="shared" si="81"/>
        <v>23000000</v>
      </c>
      <c r="G1222">
        <f t="shared" si="80"/>
        <v>74096.983286297851</v>
      </c>
      <c r="H1222" t="s">
        <v>72</v>
      </c>
      <c r="I1222" s="1" t="s">
        <v>224</v>
      </c>
      <c r="J1222" s="1" t="s">
        <v>216</v>
      </c>
      <c r="K1222" s="9">
        <v>2.35</v>
      </c>
      <c r="L1222" t="s">
        <v>21</v>
      </c>
      <c r="M1222">
        <f t="shared" si="79"/>
        <v>2.3500000000000001E-3</v>
      </c>
      <c r="N1222">
        <f t="shared" si="82"/>
        <v>0.72944940000000003</v>
      </c>
    </row>
    <row r="1223" spans="1:14" x14ac:dyDescent="0.3">
      <c r="A1223" s="1" t="s">
        <v>49</v>
      </c>
      <c r="B1223">
        <v>6</v>
      </c>
      <c r="C1223">
        <v>13</v>
      </c>
      <c r="D1223" t="s">
        <v>74</v>
      </c>
      <c r="E1223">
        <v>23000000</v>
      </c>
      <c r="F1223">
        <f t="shared" si="81"/>
        <v>23000000</v>
      </c>
      <c r="G1223">
        <f t="shared" si="80"/>
        <v>74096.983286297851</v>
      </c>
      <c r="H1223" t="s">
        <v>72</v>
      </c>
      <c r="I1223" s="1" t="s">
        <v>224</v>
      </c>
      <c r="J1223" s="1" t="s">
        <v>216</v>
      </c>
      <c r="K1223" s="9">
        <v>10.39</v>
      </c>
      <c r="L1223" t="s">
        <v>21</v>
      </c>
      <c r="M1223">
        <f t="shared" si="79"/>
        <v>1.039E-2</v>
      </c>
      <c r="N1223">
        <f t="shared" si="82"/>
        <v>3.2250975600000005</v>
      </c>
    </row>
    <row r="1224" spans="1:14" x14ac:dyDescent="0.3">
      <c r="A1224" s="1" t="s">
        <v>49</v>
      </c>
      <c r="B1224">
        <v>6</v>
      </c>
      <c r="C1224">
        <v>13</v>
      </c>
      <c r="D1224" t="s">
        <v>74</v>
      </c>
      <c r="E1224">
        <v>23000000</v>
      </c>
      <c r="F1224">
        <f t="shared" si="81"/>
        <v>23000000</v>
      </c>
      <c r="G1224">
        <f t="shared" si="80"/>
        <v>74096.983286297851</v>
      </c>
      <c r="H1224" t="s">
        <v>72</v>
      </c>
      <c r="I1224" s="1" t="s">
        <v>224</v>
      </c>
      <c r="J1224" s="1" t="s">
        <v>216</v>
      </c>
      <c r="K1224" s="9">
        <v>17.57</v>
      </c>
      <c r="L1224" t="s">
        <v>21</v>
      </c>
      <c r="M1224">
        <f t="shared" si="79"/>
        <v>1.7569999999999999E-2</v>
      </c>
      <c r="N1224">
        <f t="shared" si="82"/>
        <v>5.45379828</v>
      </c>
    </row>
    <row r="1225" spans="1:14" x14ac:dyDescent="0.3">
      <c r="A1225" s="1" t="s">
        <v>49</v>
      </c>
      <c r="B1225">
        <v>6</v>
      </c>
      <c r="C1225">
        <v>13</v>
      </c>
      <c r="D1225" t="s">
        <v>74</v>
      </c>
      <c r="E1225">
        <v>23000000</v>
      </c>
      <c r="F1225">
        <f t="shared" si="81"/>
        <v>23000000</v>
      </c>
      <c r="G1225">
        <f t="shared" si="80"/>
        <v>74096.983286297851</v>
      </c>
      <c r="H1225" t="s">
        <v>72</v>
      </c>
      <c r="I1225" s="1" t="s">
        <v>224</v>
      </c>
      <c r="J1225" s="1" t="s">
        <v>216</v>
      </c>
      <c r="K1225" s="9">
        <v>3.27</v>
      </c>
      <c r="L1225" t="s">
        <v>21</v>
      </c>
      <c r="M1225">
        <f t="shared" si="79"/>
        <v>3.2699999999999999E-3</v>
      </c>
      <c r="N1225">
        <f t="shared" si="82"/>
        <v>1.0150210800000001</v>
      </c>
    </row>
    <row r="1226" spans="1:14" x14ac:dyDescent="0.3">
      <c r="A1226" s="1" t="s">
        <v>49</v>
      </c>
      <c r="B1226">
        <v>6</v>
      </c>
      <c r="C1226">
        <v>13</v>
      </c>
      <c r="D1226" t="s">
        <v>74</v>
      </c>
      <c r="E1226">
        <v>23000000</v>
      </c>
      <c r="F1226">
        <f t="shared" si="81"/>
        <v>23000000</v>
      </c>
      <c r="G1226">
        <f t="shared" si="80"/>
        <v>74096.983286297851</v>
      </c>
      <c r="H1226" t="s">
        <v>72</v>
      </c>
      <c r="I1226" s="1" t="s">
        <v>224</v>
      </c>
      <c r="J1226" s="1" t="s">
        <v>216</v>
      </c>
      <c r="K1226" s="9">
        <v>2.36</v>
      </c>
      <c r="L1226" t="s">
        <v>21</v>
      </c>
      <c r="M1226">
        <f t="shared" si="79"/>
        <v>2.3599999999999997E-3</v>
      </c>
      <c r="N1226">
        <f t="shared" si="82"/>
        <v>0.73255344</v>
      </c>
    </row>
    <row r="1227" spans="1:14" x14ac:dyDescent="0.3">
      <c r="A1227" s="1" t="s">
        <v>49</v>
      </c>
      <c r="B1227">
        <v>6</v>
      </c>
      <c r="C1227">
        <v>13</v>
      </c>
      <c r="D1227" t="s">
        <v>74</v>
      </c>
      <c r="E1227">
        <v>23000000</v>
      </c>
      <c r="F1227">
        <f t="shared" si="81"/>
        <v>23000000</v>
      </c>
      <c r="G1227">
        <f t="shared" si="80"/>
        <v>74096.983286297851</v>
      </c>
      <c r="H1227" t="s">
        <v>72</v>
      </c>
      <c r="I1227" s="1" t="s">
        <v>224</v>
      </c>
      <c r="J1227" s="1" t="s">
        <v>216</v>
      </c>
      <c r="K1227" s="9">
        <v>5.42</v>
      </c>
      <c r="L1227" t="s">
        <v>21</v>
      </c>
      <c r="M1227">
        <f t="shared" si="79"/>
        <v>5.4200000000000003E-3</v>
      </c>
      <c r="N1227">
        <f t="shared" si="82"/>
        <v>1.6823896800000004</v>
      </c>
    </row>
    <row r="1228" spans="1:14" x14ac:dyDescent="0.3">
      <c r="A1228" s="1" t="s">
        <v>49</v>
      </c>
      <c r="B1228">
        <v>6</v>
      </c>
      <c r="C1228">
        <v>13</v>
      </c>
      <c r="D1228" t="s">
        <v>74</v>
      </c>
      <c r="E1228">
        <v>23000000</v>
      </c>
      <c r="F1228">
        <f t="shared" si="81"/>
        <v>23000000</v>
      </c>
      <c r="G1228">
        <f t="shared" si="80"/>
        <v>74096.983286297851</v>
      </c>
      <c r="H1228" t="s">
        <v>72</v>
      </c>
      <c r="I1228" s="1" t="s">
        <v>224</v>
      </c>
      <c r="J1228" s="1" t="s">
        <v>216</v>
      </c>
      <c r="K1228" s="9">
        <v>2.75</v>
      </c>
      <c r="L1228" t="s">
        <v>21</v>
      </c>
      <c r="M1228">
        <f t="shared" si="79"/>
        <v>2.7499999999999998E-3</v>
      </c>
      <c r="N1228">
        <f t="shared" si="82"/>
        <v>0.85361100000000001</v>
      </c>
    </row>
    <row r="1229" spans="1:14" x14ac:dyDescent="0.3">
      <c r="A1229" s="1" t="s">
        <v>49</v>
      </c>
      <c r="B1229">
        <v>6</v>
      </c>
      <c r="C1229">
        <v>13</v>
      </c>
      <c r="D1229" t="s">
        <v>74</v>
      </c>
      <c r="E1229">
        <v>23000000</v>
      </c>
      <c r="F1229">
        <f t="shared" si="81"/>
        <v>23000000</v>
      </c>
      <c r="G1229">
        <f t="shared" si="80"/>
        <v>74096.983286297851</v>
      </c>
      <c r="H1229" t="s">
        <v>72</v>
      </c>
      <c r="I1229" s="1" t="s">
        <v>224</v>
      </c>
      <c r="J1229" s="1" t="s">
        <v>216</v>
      </c>
      <c r="K1229" s="9">
        <v>3.49</v>
      </c>
      <c r="L1229" t="s">
        <v>21</v>
      </c>
      <c r="M1229">
        <f t="shared" si="79"/>
        <v>3.49E-3</v>
      </c>
      <c r="N1229">
        <f t="shared" si="82"/>
        <v>1.08330996</v>
      </c>
    </row>
    <row r="1230" spans="1:14" x14ac:dyDescent="0.3">
      <c r="A1230" s="1" t="s">
        <v>49</v>
      </c>
      <c r="B1230">
        <v>6</v>
      </c>
      <c r="C1230">
        <v>13</v>
      </c>
      <c r="D1230" t="s">
        <v>74</v>
      </c>
      <c r="E1230">
        <v>23000000</v>
      </c>
      <c r="F1230">
        <f t="shared" si="81"/>
        <v>23000000</v>
      </c>
      <c r="G1230">
        <f t="shared" si="80"/>
        <v>74096.983286297851</v>
      </c>
      <c r="H1230" t="s">
        <v>72</v>
      </c>
      <c r="I1230" s="1" t="s">
        <v>224</v>
      </c>
      <c r="J1230" s="1" t="s">
        <v>216</v>
      </c>
      <c r="K1230" s="9">
        <v>0.11</v>
      </c>
      <c r="L1230" t="s">
        <v>21</v>
      </c>
      <c r="M1230">
        <f t="shared" si="79"/>
        <v>1.1E-4</v>
      </c>
      <c r="N1230">
        <f t="shared" si="82"/>
        <v>3.4144440000000005E-2</v>
      </c>
    </row>
    <row r="1231" spans="1:14" x14ac:dyDescent="0.3">
      <c r="A1231" s="1" t="s">
        <v>49</v>
      </c>
      <c r="B1231">
        <v>6</v>
      </c>
      <c r="C1231">
        <v>13</v>
      </c>
      <c r="D1231" t="s">
        <v>74</v>
      </c>
      <c r="E1231">
        <v>23000000</v>
      </c>
      <c r="F1231">
        <f t="shared" si="81"/>
        <v>23000000</v>
      </c>
      <c r="G1231">
        <f t="shared" si="80"/>
        <v>74096.983286297851</v>
      </c>
      <c r="H1231" t="s">
        <v>72</v>
      </c>
      <c r="I1231" s="1" t="s">
        <v>224</v>
      </c>
      <c r="J1231" s="1" t="s">
        <v>216</v>
      </c>
      <c r="K1231" s="9">
        <v>0.98</v>
      </c>
      <c r="L1231" t="s">
        <v>21</v>
      </c>
      <c r="M1231">
        <f t="shared" si="79"/>
        <v>9.7999999999999997E-4</v>
      </c>
      <c r="N1231">
        <f t="shared" si="82"/>
        <v>0.30419592000000001</v>
      </c>
    </row>
    <row r="1232" spans="1:14" x14ac:dyDescent="0.3">
      <c r="A1232" s="1" t="s">
        <v>49</v>
      </c>
      <c r="B1232">
        <v>6</v>
      </c>
      <c r="C1232">
        <v>13</v>
      </c>
      <c r="D1232" t="s">
        <v>74</v>
      </c>
      <c r="E1232">
        <v>23000000</v>
      </c>
      <c r="F1232">
        <f t="shared" si="81"/>
        <v>23000000</v>
      </c>
      <c r="G1232">
        <f t="shared" si="80"/>
        <v>74096.983286297851</v>
      </c>
      <c r="H1232" t="s">
        <v>72</v>
      </c>
      <c r="I1232" s="1" t="s">
        <v>224</v>
      </c>
      <c r="J1232" s="1" t="s">
        <v>216</v>
      </c>
      <c r="K1232" s="9">
        <v>4.63</v>
      </c>
      <c r="L1232" t="s">
        <v>21</v>
      </c>
      <c r="M1232">
        <f t="shared" si="79"/>
        <v>4.6299999999999996E-3</v>
      </c>
      <c r="N1232">
        <f t="shared" si="82"/>
        <v>1.43717052</v>
      </c>
    </row>
    <row r="1233" spans="1:14" x14ac:dyDescent="0.3">
      <c r="A1233" s="1" t="s">
        <v>49</v>
      </c>
      <c r="B1233">
        <v>6</v>
      </c>
      <c r="C1233">
        <v>13</v>
      </c>
      <c r="D1233" t="s">
        <v>74</v>
      </c>
      <c r="E1233">
        <v>23000000</v>
      </c>
      <c r="F1233">
        <f t="shared" si="81"/>
        <v>23000000</v>
      </c>
      <c r="G1233">
        <f t="shared" si="80"/>
        <v>74096.983286297851</v>
      </c>
      <c r="H1233" t="s">
        <v>72</v>
      </c>
      <c r="I1233" s="1" t="s">
        <v>224</v>
      </c>
      <c r="J1233" s="1" t="s">
        <v>216</v>
      </c>
      <c r="K1233" s="9">
        <v>23.3</v>
      </c>
      <c r="L1233" t="s">
        <v>21</v>
      </c>
      <c r="M1233">
        <f t="shared" si="79"/>
        <v>2.3300000000000001E-2</v>
      </c>
      <c r="N1233">
        <f t="shared" si="82"/>
        <v>7.2324132000000008</v>
      </c>
    </row>
    <row r="1234" spans="1:14" x14ac:dyDescent="0.3">
      <c r="A1234" s="1" t="s">
        <v>49</v>
      </c>
      <c r="B1234">
        <v>6</v>
      </c>
      <c r="C1234">
        <v>13</v>
      </c>
      <c r="D1234" t="s">
        <v>74</v>
      </c>
      <c r="E1234">
        <v>23000000</v>
      </c>
      <c r="F1234">
        <f t="shared" si="81"/>
        <v>23000000</v>
      </c>
      <c r="G1234">
        <f t="shared" si="80"/>
        <v>74096.983286297851</v>
      </c>
      <c r="H1234" t="s">
        <v>72</v>
      </c>
      <c r="I1234" s="1" t="s">
        <v>224</v>
      </c>
      <c r="J1234" s="1" t="s">
        <v>216</v>
      </c>
      <c r="K1234" s="9">
        <v>18.73</v>
      </c>
      <c r="L1234" t="s">
        <v>21</v>
      </c>
      <c r="M1234">
        <f t="shared" si="79"/>
        <v>1.873E-2</v>
      </c>
      <c r="N1234">
        <f t="shared" si="82"/>
        <v>5.8138669200000006</v>
      </c>
    </row>
    <row r="1235" spans="1:14" x14ac:dyDescent="0.3">
      <c r="A1235" s="1" t="s">
        <v>49</v>
      </c>
      <c r="B1235">
        <v>6</v>
      </c>
      <c r="C1235">
        <v>13</v>
      </c>
      <c r="D1235" t="s">
        <v>74</v>
      </c>
      <c r="E1235">
        <v>23000000</v>
      </c>
      <c r="F1235">
        <f t="shared" si="81"/>
        <v>23000000</v>
      </c>
      <c r="G1235">
        <f t="shared" si="80"/>
        <v>74096.983286297851</v>
      </c>
      <c r="H1235" t="s">
        <v>72</v>
      </c>
      <c r="I1235" s="1" t="s">
        <v>224</v>
      </c>
      <c r="J1235" s="1" t="s">
        <v>216</v>
      </c>
      <c r="K1235" s="9">
        <v>2.65</v>
      </c>
      <c r="L1235" t="s">
        <v>21</v>
      </c>
      <c r="M1235">
        <f t="shared" si="79"/>
        <v>2.65E-3</v>
      </c>
      <c r="N1235">
        <f t="shared" si="82"/>
        <v>0.82257060000000004</v>
      </c>
    </row>
    <row r="1236" spans="1:14" x14ac:dyDescent="0.3">
      <c r="A1236" s="1" t="s">
        <v>49</v>
      </c>
      <c r="B1236">
        <v>6</v>
      </c>
      <c r="C1236">
        <v>13</v>
      </c>
      <c r="D1236" t="s">
        <v>74</v>
      </c>
      <c r="E1236">
        <v>23000000</v>
      </c>
      <c r="F1236">
        <f t="shared" si="81"/>
        <v>23000000</v>
      </c>
      <c r="G1236">
        <f t="shared" si="80"/>
        <v>74096.983286297851</v>
      </c>
      <c r="H1236" t="s">
        <v>72</v>
      </c>
      <c r="I1236" s="1" t="s">
        <v>224</v>
      </c>
      <c r="J1236" s="1" t="s">
        <v>216</v>
      </c>
      <c r="K1236" s="9">
        <v>62.59</v>
      </c>
      <c r="L1236" t="s">
        <v>21</v>
      </c>
      <c r="M1236">
        <f t="shared" si="79"/>
        <v>6.2590000000000007E-2</v>
      </c>
      <c r="N1236">
        <f t="shared" si="82"/>
        <v>19.428186360000005</v>
      </c>
    </row>
    <row r="1237" spans="1:14" x14ac:dyDescent="0.3">
      <c r="A1237" s="1" t="s">
        <v>49</v>
      </c>
      <c r="B1237">
        <v>6</v>
      </c>
      <c r="C1237">
        <v>13</v>
      </c>
      <c r="D1237" t="s">
        <v>74</v>
      </c>
      <c r="E1237">
        <v>23000000</v>
      </c>
      <c r="F1237">
        <f t="shared" si="81"/>
        <v>23000000</v>
      </c>
      <c r="G1237">
        <f t="shared" si="80"/>
        <v>74096.983286297851</v>
      </c>
      <c r="H1237" t="s">
        <v>72</v>
      </c>
      <c r="I1237" s="1" t="s">
        <v>224</v>
      </c>
      <c r="J1237" s="1" t="s">
        <v>216</v>
      </c>
      <c r="K1237" s="9">
        <v>19.47</v>
      </c>
      <c r="L1237" t="s">
        <v>21</v>
      </c>
      <c r="M1237">
        <f t="shared" si="79"/>
        <v>1.9469999999999998E-2</v>
      </c>
      <c r="N1237">
        <f t="shared" si="82"/>
        <v>6.0435658800000001</v>
      </c>
    </row>
    <row r="1238" spans="1:14" x14ac:dyDescent="0.3">
      <c r="A1238" s="1" t="s">
        <v>49</v>
      </c>
      <c r="B1238">
        <v>6</v>
      </c>
      <c r="C1238">
        <v>13</v>
      </c>
      <c r="D1238" t="s">
        <v>74</v>
      </c>
      <c r="E1238">
        <v>23000000</v>
      </c>
      <c r="F1238">
        <f t="shared" si="81"/>
        <v>23000000</v>
      </c>
      <c r="G1238">
        <f t="shared" si="80"/>
        <v>74096.983286297851</v>
      </c>
      <c r="H1238" t="s">
        <v>72</v>
      </c>
      <c r="I1238" s="1" t="s">
        <v>224</v>
      </c>
      <c r="J1238" s="1" t="s">
        <v>216</v>
      </c>
      <c r="K1238" s="9">
        <v>33.81</v>
      </c>
      <c r="L1238" t="s">
        <v>21</v>
      </c>
      <c r="M1238">
        <f t="shared" si="79"/>
        <v>3.381E-2</v>
      </c>
      <c r="N1238">
        <f t="shared" si="82"/>
        <v>10.49475924</v>
      </c>
    </row>
    <row r="1239" spans="1:14" x14ac:dyDescent="0.3">
      <c r="A1239" s="1" t="s">
        <v>49</v>
      </c>
      <c r="B1239">
        <v>6</v>
      </c>
      <c r="C1239">
        <v>13</v>
      </c>
      <c r="D1239" t="s">
        <v>74</v>
      </c>
      <c r="E1239">
        <v>23000000</v>
      </c>
      <c r="F1239">
        <f t="shared" si="81"/>
        <v>23000000</v>
      </c>
      <c r="G1239">
        <f t="shared" si="80"/>
        <v>74096.983286297851</v>
      </c>
      <c r="H1239" t="s">
        <v>72</v>
      </c>
      <c r="I1239" s="1" t="s">
        <v>224</v>
      </c>
      <c r="J1239" s="1" t="s">
        <v>216</v>
      </c>
      <c r="K1239" s="9">
        <v>22.04</v>
      </c>
      <c r="L1239" t="s">
        <v>21</v>
      </c>
      <c r="M1239">
        <f t="shared" ref="M1239:M1271" si="83">IFERROR(K1239/1000,"ND")</f>
        <v>2.2040000000000001E-2</v>
      </c>
      <c r="N1239">
        <f t="shared" si="82"/>
        <v>6.8413041600000009</v>
      </c>
    </row>
    <row r="1240" spans="1:14" x14ac:dyDescent="0.3">
      <c r="A1240" s="1" t="s">
        <v>49</v>
      </c>
      <c r="B1240">
        <v>6</v>
      </c>
      <c r="C1240">
        <v>13</v>
      </c>
      <c r="D1240" t="s">
        <v>74</v>
      </c>
      <c r="E1240">
        <v>23000000</v>
      </c>
      <c r="F1240">
        <f t="shared" si="81"/>
        <v>23000000</v>
      </c>
      <c r="G1240">
        <f t="shared" ref="G1240:G1269" si="84">F1240/310.404</f>
        <v>74096.983286297851</v>
      </c>
      <c r="H1240" t="s">
        <v>72</v>
      </c>
      <c r="I1240" s="1" t="s">
        <v>224</v>
      </c>
      <c r="J1240" s="1" t="s">
        <v>216</v>
      </c>
      <c r="K1240" s="9">
        <v>5.03</v>
      </c>
      <c r="L1240" t="s">
        <v>21</v>
      </c>
      <c r="M1240">
        <f t="shared" si="83"/>
        <v>5.0300000000000006E-3</v>
      </c>
      <c r="N1240">
        <f t="shared" si="82"/>
        <v>1.5613321200000003</v>
      </c>
    </row>
    <row r="1241" spans="1:14" x14ac:dyDescent="0.3">
      <c r="A1241" s="1" t="s">
        <v>49</v>
      </c>
      <c r="B1241">
        <v>6</v>
      </c>
      <c r="C1241">
        <v>13</v>
      </c>
      <c r="D1241" t="s">
        <v>74</v>
      </c>
      <c r="E1241">
        <v>23000000</v>
      </c>
      <c r="F1241">
        <f t="shared" si="81"/>
        <v>23000000</v>
      </c>
      <c r="G1241">
        <f t="shared" si="84"/>
        <v>74096.983286297851</v>
      </c>
      <c r="H1241" t="s">
        <v>72</v>
      </c>
      <c r="I1241" s="1" t="s">
        <v>224</v>
      </c>
      <c r="J1241" s="1" t="s">
        <v>216</v>
      </c>
      <c r="K1241" s="9">
        <v>18.440000000000001</v>
      </c>
      <c r="L1241" t="s">
        <v>21</v>
      </c>
      <c r="M1241">
        <f t="shared" si="83"/>
        <v>1.8440000000000002E-2</v>
      </c>
      <c r="N1241">
        <f t="shared" si="82"/>
        <v>5.7238497600000011</v>
      </c>
    </row>
    <row r="1242" spans="1:14" x14ac:dyDescent="0.3">
      <c r="A1242" s="1" t="s">
        <v>49</v>
      </c>
      <c r="B1242">
        <v>6</v>
      </c>
      <c r="C1242">
        <v>13</v>
      </c>
      <c r="D1242" t="s">
        <v>74</v>
      </c>
      <c r="E1242">
        <v>23000000</v>
      </c>
      <c r="F1242">
        <f t="shared" si="81"/>
        <v>23000000</v>
      </c>
      <c r="G1242">
        <f t="shared" si="84"/>
        <v>74096.983286297851</v>
      </c>
      <c r="H1242" t="s">
        <v>72</v>
      </c>
      <c r="I1242" s="1" t="s">
        <v>224</v>
      </c>
      <c r="J1242" s="1" t="s">
        <v>216</v>
      </c>
      <c r="K1242" s="9">
        <v>3.92</v>
      </c>
      <c r="L1242" t="s">
        <v>21</v>
      </c>
      <c r="M1242">
        <f t="shared" si="83"/>
        <v>3.9199999999999999E-3</v>
      </c>
      <c r="N1242">
        <f t="shared" si="82"/>
        <v>1.21678368</v>
      </c>
    </row>
    <row r="1243" spans="1:14" x14ac:dyDescent="0.3">
      <c r="A1243" s="1" t="s">
        <v>49</v>
      </c>
      <c r="B1243">
        <v>6</v>
      </c>
      <c r="C1243">
        <v>13</v>
      </c>
      <c r="D1243" t="s">
        <v>74</v>
      </c>
      <c r="E1243">
        <v>23000000</v>
      </c>
      <c r="F1243">
        <f t="shared" si="81"/>
        <v>23000000</v>
      </c>
      <c r="G1243">
        <f t="shared" si="84"/>
        <v>74096.983286297851</v>
      </c>
      <c r="H1243" t="s">
        <v>72</v>
      </c>
      <c r="I1243" s="1" t="s">
        <v>224</v>
      </c>
      <c r="J1243" s="1" t="s">
        <v>216</v>
      </c>
      <c r="K1243" s="9">
        <v>6.04</v>
      </c>
      <c r="L1243" t="s">
        <v>21</v>
      </c>
      <c r="M1243">
        <f t="shared" si="83"/>
        <v>6.0400000000000002E-3</v>
      </c>
      <c r="N1243">
        <f t="shared" si="82"/>
        <v>1.8748401600000002</v>
      </c>
    </row>
    <row r="1244" spans="1:14" x14ac:dyDescent="0.3">
      <c r="A1244" s="1" t="s">
        <v>49</v>
      </c>
      <c r="B1244">
        <v>6</v>
      </c>
      <c r="C1244">
        <v>13</v>
      </c>
      <c r="D1244" t="s">
        <v>74</v>
      </c>
      <c r="E1244">
        <v>23000000</v>
      </c>
      <c r="F1244">
        <f t="shared" si="81"/>
        <v>23000000</v>
      </c>
      <c r="G1244">
        <f t="shared" si="84"/>
        <v>74096.983286297851</v>
      </c>
      <c r="H1244" t="s">
        <v>72</v>
      </c>
      <c r="I1244" s="1" t="s">
        <v>224</v>
      </c>
      <c r="J1244" s="1" t="s">
        <v>216</v>
      </c>
      <c r="K1244" s="9">
        <v>3.74</v>
      </c>
      <c r="L1244" t="s">
        <v>21</v>
      </c>
      <c r="M1244">
        <f t="shared" si="83"/>
        <v>3.7400000000000003E-3</v>
      </c>
      <c r="N1244">
        <f t="shared" si="82"/>
        <v>1.16091096</v>
      </c>
    </row>
    <row r="1245" spans="1:14" x14ac:dyDescent="0.3">
      <c r="A1245" s="1" t="s">
        <v>49</v>
      </c>
      <c r="B1245">
        <v>6</v>
      </c>
      <c r="C1245">
        <v>13</v>
      </c>
      <c r="D1245" t="s">
        <v>74</v>
      </c>
      <c r="E1245">
        <v>23000000</v>
      </c>
      <c r="F1245">
        <f t="shared" si="81"/>
        <v>23000000</v>
      </c>
      <c r="G1245">
        <f t="shared" si="84"/>
        <v>74096.983286297851</v>
      </c>
      <c r="H1245" t="s">
        <v>72</v>
      </c>
      <c r="I1245" s="1" t="s">
        <v>224</v>
      </c>
      <c r="J1245" s="1" t="s">
        <v>216</v>
      </c>
      <c r="K1245" s="9">
        <v>1.0900000000000001</v>
      </c>
      <c r="L1245" t="s">
        <v>21</v>
      </c>
      <c r="M1245">
        <f t="shared" si="83"/>
        <v>1.09E-3</v>
      </c>
      <c r="N1245">
        <f t="shared" si="82"/>
        <v>0.33834036000000001</v>
      </c>
    </row>
    <row r="1246" spans="1:14" x14ac:dyDescent="0.3">
      <c r="A1246" s="1" t="s">
        <v>73</v>
      </c>
      <c r="B1246">
        <v>6</v>
      </c>
      <c r="C1246">
        <v>12</v>
      </c>
      <c r="D1246" t="s">
        <v>71</v>
      </c>
      <c r="E1246">
        <v>11000000</v>
      </c>
      <c r="F1246">
        <f t="shared" si="81"/>
        <v>11000000</v>
      </c>
      <c r="G1246">
        <f t="shared" si="84"/>
        <v>35437.687658664196</v>
      </c>
      <c r="H1246" t="s">
        <v>72</v>
      </c>
      <c r="I1246" s="1" t="s">
        <v>224</v>
      </c>
      <c r="J1246" s="1" t="s">
        <v>216</v>
      </c>
      <c r="K1246" s="9" t="s">
        <v>75</v>
      </c>
      <c r="L1246" t="s">
        <v>21</v>
      </c>
      <c r="M1246">
        <f t="shared" si="83"/>
        <v>1.1560000000000001E-2</v>
      </c>
      <c r="N1246">
        <f t="shared" si="82"/>
        <v>3.5882702399999999</v>
      </c>
    </row>
    <row r="1247" spans="1:14" x14ac:dyDescent="0.3">
      <c r="A1247" s="1" t="s">
        <v>73</v>
      </c>
      <c r="B1247">
        <v>6</v>
      </c>
      <c r="C1247">
        <v>12</v>
      </c>
      <c r="D1247" t="s">
        <v>71</v>
      </c>
      <c r="E1247">
        <v>11000000</v>
      </c>
      <c r="F1247">
        <f t="shared" si="81"/>
        <v>11000000</v>
      </c>
      <c r="G1247">
        <f t="shared" si="84"/>
        <v>35437.687658664196</v>
      </c>
      <c r="H1247" t="s">
        <v>72</v>
      </c>
      <c r="I1247" s="1" t="s">
        <v>224</v>
      </c>
      <c r="J1247" s="1" t="s">
        <v>216</v>
      </c>
      <c r="K1247" s="9" t="s">
        <v>76</v>
      </c>
      <c r="L1247" t="s">
        <v>21</v>
      </c>
      <c r="M1247">
        <f t="shared" si="83"/>
        <v>7.3099999999999997E-3</v>
      </c>
      <c r="N1247">
        <f t="shared" si="82"/>
        <v>2.2690532399999999</v>
      </c>
    </row>
    <row r="1248" spans="1:14" x14ac:dyDescent="0.3">
      <c r="A1248" s="1" t="s">
        <v>73</v>
      </c>
      <c r="B1248">
        <v>6</v>
      </c>
      <c r="C1248">
        <v>12</v>
      </c>
      <c r="D1248" t="s">
        <v>71</v>
      </c>
      <c r="E1248">
        <v>11000000</v>
      </c>
      <c r="F1248">
        <f t="shared" si="81"/>
        <v>11000000</v>
      </c>
      <c r="G1248">
        <f t="shared" si="84"/>
        <v>35437.687658664196</v>
      </c>
      <c r="H1248" t="s">
        <v>72</v>
      </c>
      <c r="I1248" s="1" t="s">
        <v>224</v>
      </c>
      <c r="J1248" s="1" t="s">
        <v>216</v>
      </c>
      <c r="K1248" s="9" t="s">
        <v>77</v>
      </c>
      <c r="L1248" t="s">
        <v>21</v>
      </c>
      <c r="M1248">
        <f t="shared" si="83"/>
        <v>7.2300000000000003E-3</v>
      </c>
      <c r="N1248">
        <f t="shared" si="82"/>
        <v>2.2442209199999996</v>
      </c>
    </row>
    <row r="1249" spans="1:14" x14ac:dyDescent="0.3">
      <c r="A1249" s="1" t="s">
        <v>73</v>
      </c>
      <c r="B1249">
        <v>6</v>
      </c>
      <c r="C1249">
        <v>12</v>
      </c>
      <c r="D1249" t="s">
        <v>71</v>
      </c>
      <c r="E1249">
        <v>11000000</v>
      </c>
      <c r="F1249">
        <f t="shared" si="81"/>
        <v>11000000</v>
      </c>
      <c r="G1249">
        <f t="shared" si="84"/>
        <v>35437.687658664196</v>
      </c>
      <c r="H1249" t="s">
        <v>72</v>
      </c>
      <c r="I1249" s="1" t="s">
        <v>224</v>
      </c>
      <c r="J1249" s="1" t="s">
        <v>216</v>
      </c>
      <c r="K1249" s="9" t="s">
        <v>78</v>
      </c>
      <c r="L1249" t="s">
        <v>21</v>
      </c>
      <c r="M1249">
        <f t="shared" si="83"/>
        <v>6.9100000000000003E-3</v>
      </c>
      <c r="N1249">
        <f t="shared" si="82"/>
        <v>2.14489164</v>
      </c>
    </row>
    <row r="1250" spans="1:14" x14ac:dyDescent="0.3">
      <c r="A1250" s="1" t="s">
        <v>73</v>
      </c>
      <c r="B1250">
        <v>6</v>
      </c>
      <c r="C1250">
        <v>12</v>
      </c>
      <c r="D1250" t="s">
        <v>71</v>
      </c>
      <c r="E1250">
        <v>11000000</v>
      </c>
      <c r="F1250">
        <f t="shared" si="81"/>
        <v>11000000</v>
      </c>
      <c r="G1250">
        <f t="shared" si="84"/>
        <v>35437.687658664196</v>
      </c>
      <c r="H1250" t="s">
        <v>72</v>
      </c>
      <c r="I1250" s="1" t="s">
        <v>224</v>
      </c>
      <c r="J1250" s="1" t="s">
        <v>216</v>
      </c>
      <c r="K1250" s="9" t="s">
        <v>79</v>
      </c>
      <c r="L1250" t="s">
        <v>21</v>
      </c>
      <c r="M1250">
        <f t="shared" si="83"/>
        <v>1.6969999999999999E-2</v>
      </c>
      <c r="N1250">
        <f t="shared" si="82"/>
        <v>5.2675558799999997</v>
      </c>
    </row>
    <row r="1251" spans="1:14" x14ac:dyDescent="0.3">
      <c r="A1251" s="1" t="s">
        <v>73</v>
      </c>
      <c r="B1251">
        <v>6</v>
      </c>
      <c r="C1251">
        <v>12</v>
      </c>
      <c r="D1251" t="s">
        <v>71</v>
      </c>
      <c r="E1251">
        <v>11000000</v>
      </c>
      <c r="F1251">
        <f t="shared" si="81"/>
        <v>11000000</v>
      </c>
      <c r="G1251">
        <f t="shared" si="84"/>
        <v>35437.687658664196</v>
      </c>
      <c r="H1251" t="s">
        <v>72</v>
      </c>
      <c r="I1251" s="1" t="s">
        <v>224</v>
      </c>
      <c r="J1251" s="1" t="s">
        <v>216</v>
      </c>
      <c r="K1251" s="9" t="s">
        <v>80</v>
      </c>
      <c r="L1251" t="s">
        <v>21</v>
      </c>
      <c r="M1251">
        <f t="shared" si="83"/>
        <v>1.6109999999999999E-2</v>
      </c>
      <c r="N1251">
        <f t="shared" si="82"/>
        <v>5.0006084399999997</v>
      </c>
    </row>
    <row r="1252" spans="1:14" x14ac:dyDescent="0.3">
      <c r="A1252" s="1" t="s">
        <v>73</v>
      </c>
      <c r="B1252">
        <v>6</v>
      </c>
      <c r="C1252">
        <v>12</v>
      </c>
      <c r="D1252" t="s">
        <v>71</v>
      </c>
      <c r="E1252">
        <v>11000000</v>
      </c>
      <c r="F1252">
        <f t="shared" si="81"/>
        <v>11000000</v>
      </c>
      <c r="G1252">
        <f t="shared" si="84"/>
        <v>35437.687658664196</v>
      </c>
      <c r="H1252" t="s">
        <v>72</v>
      </c>
      <c r="I1252" s="1" t="s">
        <v>224</v>
      </c>
      <c r="J1252" s="1" t="s">
        <v>216</v>
      </c>
      <c r="K1252" s="9" t="s">
        <v>81</v>
      </c>
      <c r="L1252" t="s">
        <v>21</v>
      </c>
      <c r="M1252">
        <f t="shared" si="83"/>
        <v>1.072E-2</v>
      </c>
      <c r="N1252">
        <f t="shared" si="82"/>
        <v>3.3275308799999999</v>
      </c>
    </row>
    <row r="1253" spans="1:14" x14ac:dyDescent="0.3">
      <c r="A1253" s="1" t="s">
        <v>73</v>
      </c>
      <c r="B1253">
        <v>6</v>
      </c>
      <c r="C1253">
        <v>12</v>
      </c>
      <c r="D1253" t="s">
        <v>71</v>
      </c>
      <c r="E1253">
        <v>11000000</v>
      </c>
      <c r="F1253">
        <f t="shared" si="81"/>
        <v>11000000</v>
      </c>
      <c r="G1253">
        <f t="shared" si="84"/>
        <v>35437.687658664196</v>
      </c>
      <c r="H1253" t="s">
        <v>72</v>
      </c>
      <c r="I1253" s="1" t="s">
        <v>224</v>
      </c>
      <c r="J1253" s="1" t="s">
        <v>216</v>
      </c>
      <c r="K1253" s="9">
        <v>12.98</v>
      </c>
      <c r="L1253" t="s">
        <v>21</v>
      </c>
      <c r="M1253">
        <f t="shared" si="83"/>
        <v>1.298E-2</v>
      </c>
      <c r="N1253">
        <f t="shared" si="82"/>
        <v>4.0290439199999994</v>
      </c>
    </row>
    <row r="1254" spans="1:14" x14ac:dyDescent="0.3">
      <c r="A1254" s="1" t="s">
        <v>73</v>
      </c>
      <c r="B1254">
        <v>6</v>
      </c>
      <c r="C1254">
        <v>12</v>
      </c>
      <c r="D1254" t="s">
        <v>71</v>
      </c>
      <c r="E1254">
        <v>11000000</v>
      </c>
      <c r="F1254">
        <f t="shared" si="81"/>
        <v>11000000</v>
      </c>
      <c r="G1254">
        <f t="shared" si="84"/>
        <v>35437.687658664196</v>
      </c>
      <c r="H1254" t="s">
        <v>72</v>
      </c>
      <c r="I1254" s="1" t="s">
        <v>224</v>
      </c>
      <c r="J1254" s="1" t="s">
        <v>216</v>
      </c>
      <c r="K1254" s="9">
        <v>11.79</v>
      </c>
      <c r="L1254" t="s">
        <v>21</v>
      </c>
      <c r="M1254">
        <f t="shared" si="83"/>
        <v>1.1789999999999998E-2</v>
      </c>
      <c r="N1254">
        <f t="shared" si="82"/>
        <v>3.6596631599999991</v>
      </c>
    </row>
    <row r="1255" spans="1:14" x14ac:dyDescent="0.3">
      <c r="A1255" s="1" t="s">
        <v>73</v>
      </c>
      <c r="B1255">
        <v>6</v>
      </c>
      <c r="C1255">
        <v>12</v>
      </c>
      <c r="D1255" t="s">
        <v>71</v>
      </c>
      <c r="E1255">
        <v>11000000</v>
      </c>
      <c r="F1255">
        <f t="shared" si="81"/>
        <v>11000000</v>
      </c>
      <c r="G1255">
        <f t="shared" si="84"/>
        <v>35437.687658664196</v>
      </c>
      <c r="H1255" t="s">
        <v>72</v>
      </c>
      <c r="I1255" s="1" t="s">
        <v>224</v>
      </c>
      <c r="J1255" s="1" t="s">
        <v>216</v>
      </c>
      <c r="K1255" s="9">
        <v>13.8</v>
      </c>
      <c r="L1255" t="s">
        <v>21</v>
      </c>
      <c r="M1255">
        <f t="shared" si="83"/>
        <v>1.3800000000000002E-2</v>
      </c>
      <c r="N1255">
        <f t="shared" si="82"/>
        <v>4.2835752000000005</v>
      </c>
    </row>
    <row r="1256" spans="1:14" x14ac:dyDescent="0.3">
      <c r="A1256" s="1" t="s">
        <v>73</v>
      </c>
      <c r="B1256">
        <v>6</v>
      </c>
      <c r="C1256">
        <v>12</v>
      </c>
      <c r="D1256" t="s">
        <v>71</v>
      </c>
      <c r="E1256">
        <v>11000000</v>
      </c>
      <c r="F1256">
        <f t="shared" si="81"/>
        <v>11000000</v>
      </c>
      <c r="G1256">
        <f t="shared" si="84"/>
        <v>35437.687658664196</v>
      </c>
      <c r="H1256" t="s">
        <v>72</v>
      </c>
      <c r="I1256" s="1" t="s">
        <v>224</v>
      </c>
      <c r="J1256" s="1" t="s">
        <v>216</v>
      </c>
      <c r="K1256" s="9">
        <v>10.5</v>
      </c>
      <c r="L1256" t="s">
        <v>21</v>
      </c>
      <c r="M1256">
        <f t="shared" si="83"/>
        <v>1.0500000000000001E-2</v>
      </c>
      <c r="N1256">
        <f t="shared" si="82"/>
        <v>3.2592419999999995</v>
      </c>
    </row>
    <row r="1257" spans="1:14" x14ac:dyDescent="0.3">
      <c r="A1257" s="1" t="s">
        <v>73</v>
      </c>
      <c r="B1257">
        <v>6</v>
      </c>
      <c r="C1257">
        <v>12</v>
      </c>
      <c r="D1257" t="s">
        <v>71</v>
      </c>
      <c r="E1257">
        <v>11000000</v>
      </c>
      <c r="F1257">
        <f t="shared" si="81"/>
        <v>11000000</v>
      </c>
      <c r="G1257">
        <f t="shared" si="84"/>
        <v>35437.687658664196</v>
      </c>
      <c r="H1257" t="s">
        <v>72</v>
      </c>
      <c r="I1257" s="1" t="s">
        <v>224</v>
      </c>
      <c r="J1257" s="1" t="s">
        <v>216</v>
      </c>
      <c r="K1257" s="9" t="s">
        <v>82</v>
      </c>
      <c r="L1257" t="s">
        <v>21</v>
      </c>
      <c r="M1257">
        <f t="shared" si="83"/>
        <v>1.3529999999999999E-2</v>
      </c>
      <c r="N1257">
        <f t="shared" si="82"/>
        <v>4.1997661199999987</v>
      </c>
    </row>
    <row r="1258" spans="1:14" x14ac:dyDescent="0.3">
      <c r="A1258" s="1" t="s">
        <v>49</v>
      </c>
      <c r="B1258">
        <v>6</v>
      </c>
      <c r="C1258">
        <v>12</v>
      </c>
      <c r="D1258" t="s">
        <v>71</v>
      </c>
      <c r="E1258">
        <v>11000000</v>
      </c>
      <c r="F1258">
        <f t="shared" si="81"/>
        <v>11000000</v>
      </c>
      <c r="G1258">
        <f t="shared" si="84"/>
        <v>35437.687658664196</v>
      </c>
      <c r="H1258" t="s">
        <v>72</v>
      </c>
      <c r="I1258" s="1" t="s">
        <v>224</v>
      </c>
      <c r="J1258" s="1" t="s">
        <v>216</v>
      </c>
      <c r="K1258" s="9" t="s">
        <v>83</v>
      </c>
      <c r="L1258" t="s">
        <v>21</v>
      </c>
      <c r="M1258">
        <f t="shared" si="83"/>
        <v>1.3789999999999998E-2</v>
      </c>
      <c r="N1258">
        <f t="shared" si="82"/>
        <v>4.2804711599999985</v>
      </c>
    </row>
    <row r="1259" spans="1:14" x14ac:dyDescent="0.3">
      <c r="A1259" s="1" t="s">
        <v>49</v>
      </c>
      <c r="B1259">
        <v>6</v>
      </c>
      <c r="C1259">
        <v>12</v>
      </c>
      <c r="D1259" t="s">
        <v>71</v>
      </c>
      <c r="E1259">
        <v>11000000</v>
      </c>
      <c r="F1259">
        <f t="shared" si="81"/>
        <v>11000000</v>
      </c>
      <c r="G1259">
        <f t="shared" si="84"/>
        <v>35437.687658664196</v>
      </c>
      <c r="H1259" t="s">
        <v>72</v>
      </c>
      <c r="I1259" s="1" t="s">
        <v>224</v>
      </c>
      <c r="J1259" s="1" t="s">
        <v>216</v>
      </c>
      <c r="K1259" s="9" t="s">
        <v>84</v>
      </c>
      <c r="L1259" t="s">
        <v>21</v>
      </c>
      <c r="M1259">
        <f t="shared" si="83"/>
        <v>2.64E-3</v>
      </c>
      <c r="N1259">
        <f t="shared" si="82"/>
        <v>0.81946655999999996</v>
      </c>
    </row>
    <row r="1260" spans="1:14" x14ac:dyDescent="0.3">
      <c r="A1260" s="1" t="s">
        <v>49</v>
      </c>
      <c r="B1260">
        <v>6</v>
      </c>
      <c r="C1260">
        <v>12</v>
      </c>
      <c r="D1260" t="s">
        <v>71</v>
      </c>
      <c r="E1260">
        <v>11000000</v>
      </c>
      <c r="F1260">
        <f t="shared" si="81"/>
        <v>11000000</v>
      </c>
      <c r="G1260">
        <f t="shared" si="84"/>
        <v>35437.687658664196</v>
      </c>
      <c r="H1260" t="s">
        <v>72</v>
      </c>
      <c r="I1260" s="1" t="s">
        <v>224</v>
      </c>
      <c r="J1260" s="1" t="s">
        <v>216</v>
      </c>
      <c r="K1260" s="9" t="s">
        <v>85</v>
      </c>
      <c r="L1260" t="s">
        <v>21</v>
      </c>
      <c r="M1260">
        <f t="shared" si="83"/>
        <v>1.34E-3</v>
      </c>
      <c r="N1260">
        <f t="shared" si="82"/>
        <v>0.41594135999999998</v>
      </c>
    </row>
    <row r="1261" spans="1:14" x14ac:dyDescent="0.3">
      <c r="A1261" s="1" t="s">
        <v>49</v>
      </c>
      <c r="B1261">
        <v>6</v>
      </c>
      <c r="C1261">
        <v>12</v>
      </c>
      <c r="D1261" t="s">
        <v>71</v>
      </c>
      <c r="E1261">
        <v>11000000</v>
      </c>
      <c r="F1261">
        <f t="shared" si="81"/>
        <v>11000000</v>
      </c>
      <c r="G1261">
        <f t="shared" si="84"/>
        <v>35437.687658664196</v>
      </c>
      <c r="H1261" t="s">
        <v>72</v>
      </c>
      <c r="I1261" s="1" t="s">
        <v>224</v>
      </c>
      <c r="J1261" s="1" t="s">
        <v>216</v>
      </c>
      <c r="K1261" s="9">
        <v>0.24</v>
      </c>
      <c r="L1261" t="s">
        <v>21</v>
      </c>
      <c r="M1261">
        <f t="shared" si="83"/>
        <v>2.3999999999999998E-4</v>
      </c>
      <c r="N1261">
        <f t="shared" si="82"/>
        <v>7.4496959999999987E-2</v>
      </c>
    </row>
    <row r="1262" spans="1:14" x14ac:dyDescent="0.3">
      <c r="A1262" s="1" t="s">
        <v>49</v>
      </c>
      <c r="B1262">
        <v>6</v>
      </c>
      <c r="C1262">
        <v>12</v>
      </c>
      <c r="D1262" t="s">
        <v>71</v>
      </c>
      <c r="E1262">
        <v>11000000</v>
      </c>
      <c r="F1262">
        <f t="shared" si="81"/>
        <v>11000000</v>
      </c>
      <c r="G1262">
        <f t="shared" si="84"/>
        <v>35437.687658664196</v>
      </c>
      <c r="H1262" t="s">
        <v>72</v>
      </c>
      <c r="I1262" s="1" t="s">
        <v>224</v>
      </c>
      <c r="J1262" s="1" t="s">
        <v>216</v>
      </c>
      <c r="K1262" s="9">
        <v>0.47</v>
      </c>
      <c r="L1262" t="s">
        <v>21</v>
      </c>
      <c r="M1262">
        <f t="shared" si="83"/>
        <v>4.6999999999999999E-4</v>
      </c>
      <c r="N1262">
        <f t="shared" si="82"/>
        <v>0.14588988</v>
      </c>
    </row>
    <row r="1263" spans="1:14" x14ac:dyDescent="0.3">
      <c r="A1263" s="1" t="s">
        <v>49</v>
      </c>
      <c r="B1263">
        <v>6</v>
      </c>
      <c r="C1263">
        <v>12</v>
      </c>
      <c r="D1263" t="s">
        <v>71</v>
      </c>
      <c r="E1263">
        <v>11000000</v>
      </c>
      <c r="F1263">
        <f t="shared" si="81"/>
        <v>11000000</v>
      </c>
      <c r="G1263">
        <f t="shared" si="84"/>
        <v>35437.687658664196</v>
      </c>
      <c r="H1263" t="s">
        <v>72</v>
      </c>
      <c r="I1263" s="1" t="s">
        <v>224</v>
      </c>
      <c r="J1263" s="1" t="s">
        <v>216</v>
      </c>
      <c r="K1263" s="9">
        <v>0.11</v>
      </c>
      <c r="L1263" t="s">
        <v>21</v>
      </c>
      <c r="M1263">
        <f t="shared" si="83"/>
        <v>1.1E-4</v>
      </c>
      <c r="N1263">
        <f t="shared" si="82"/>
        <v>3.4144439999999998E-2</v>
      </c>
    </row>
    <row r="1264" spans="1:14" x14ac:dyDescent="0.3">
      <c r="A1264" s="1" t="s">
        <v>49</v>
      </c>
      <c r="B1264">
        <v>6</v>
      </c>
      <c r="C1264">
        <v>12</v>
      </c>
      <c r="D1264" t="s">
        <v>71</v>
      </c>
      <c r="E1264">
        <v>11000000</v>
      </c>
      <c r="F1264">
        <f t="shared" si="81"/>
        <v>11000000</v>
      </c>
      <c r="G1264">
        <f t="shared" si="84"/>
        <v>35437.687658664196</v>
      </c>
      <c r="H1264" t="s">
        <v>72</v>
      </c>
      <c r="I1264" s="1" t="s">
        <v>224</v>
      </c>
      <c r="J1264" s="1" t="s">
        <v>216</v>
      </c>
      <c r="K1264" s="9" t="s">
        <v>86</v>
      </c>
      <c r="L1264" t="s">
        <v>21</v>
      </c>
      <c r="M1264">
        <f t="shared" si="83"/>
        <v>4.7099999999999998E-3</v>
      </c>
      <c r="N1264">
        <f t="shared" si="82"/>
        <v>1.4620028399999998</v>
      </c>
    </row>
    <row r="1265" spans="1:14" x14ac:dyDescent="0.3">
      <c r="A1265" s="1" t="s">
        <v>49</v>
      </c>
      <c r="B1265">
        <v>6</v>
      </c>
      <c r="C1265">
        <v>12</v>
      </c>
      <c r="D1265" t="s">
        <v>71</v>
      </c>
      <c r="E1265">
        <v>11000000</v>
      </c>
      <c r="F1265">
        <f t="shared" si="81"/>
        <v>11000000</v>
      </c>
      <c r="G1265">
        <f t="shared" si="84"/>
        <v>35437.687658664196</v>
      </c>
      <c r="H1265" t="s">
        <v>72</v>
      </c>
      <c r="I1265" s="1" t="s">
        <v>224</v>
      </c>
      <c r="J1265" s="1" t="s">
        <v>216</v>
      </c>
      <c r="K1265" s="9">
        <v>2.39</v>
      </c>
      <c r="L1265" t="s">
        <v>21</v>
      </c>
      <c r="M1265">
        <f t="shared" si="83"/>
        <v>2.3900000000000002E-3</v>
      </c>
      <c r="N1265">
        <f t="shared" si="82"/>
        <v>0.74186556000000003</v>
      </c>
    </row>
    <row r="1266" spans="1:14" x14ac:dyDescent="0.3">
      <c r="A1266" s="1" t="s">
        <v>49</v>
      </c>
      <c r="B1266">
        <v>6</v>
      </c>
      <c r="C1266">
        <v>12</v>
      </c>
      <c r="D1266" t="s">
        <v>71</v>
      </c>
      <c r="E1266">
        <v>11000000</v>
      </c>
      <c r="F1266">
        <f t="shared" si="81"/>
        <v>11000000</v>
      </c>
      <c r="G1266">
        <f t="shared" si="84"/>
        <v>35437.687658664196</v>
      </c>
      <c r="H1266" t="s">
        <v>72</v>
      </c>
      <c r="I1266" s="1" t="s">
        <v>224</v>
      </c>
      <c r="J1266" s="1" t="s">
        <v>216</v>
      </c>
      <c r="K1266" s="9">
        <v>5.5</v>
      </c>
      <c r="L1266" t="s">
        <v>21</v>
      </c>
      <c r="M1266">
        <f t="shared" si="83"/>
        <v>5.4999999999999997E-3</v>
      </c>
      <c r="N1266">
        <f t="shared" si="82"/>
        <v>1.7072219999999998</v>
      </c>
    </row>
    <row r="1267" spans="1:14" x14ac:dyDescent="0.3">
      <c r="A1267" s="1" t="s">
        <v>49</v>
      </c>
      <c r="B1267">
        <v>6</v>
      </c>
      <c r="C1267">
        <v>12</v>
      </c>
      <c r="D1267" t="s">
        <v>71</v>
      </c>
      <c r="E1267">
        <v>11000000</v>
      </c>
      <c r="F1267">
        <f t="shared" si="81"/>
        <v>11000000</v>
      </c>
      <c r="G1267">
        <f t="shared" si="84"/>
        <v>35437.687658664196</v>
      </c>
      <c r="H1267" t="s">
        <v>72</v>
      </c>
      <c r="I1267" s="1" t="s">
        <v>224</v>
      </c>
      <c r="J1267" s="1" t="s">
        <v>216</v>
      </c>
      <c r="K1267" s="9">
        <v>1.19</v>
      </c>
      <c r="L1267" t="s">
        <v>21</v>
      </c>
      <c r="M1267">
        <f t="shared" si="83"/>
        <v>1.1899999999999999E-3</v>
      </c>
      <c r="N1267">
        <f t="shared" si="82"/>
        <v>0.36938075999999992</v>
      </c>
    </row>
    <row r="1268" spans="1:14" x14ac:dyDescent="0.3">
      <c r="A1268" s="1" t="s">
        <v>49</v>
      </c>
      <c r="B1268">
        <v>6</v>
      </c>
      <c r="C1268">
        <v>12</v>
      </c>
      <c r="D1268" t="s">
        <v>71</v>
      </c>
      <c r="E1268">
        <v>11000000</v>
      </c>
      <c r="F1268">
        <f t="shared" si="81"/>
        <v>11000000</v>
      </c>
      <c r="G1268">
        <f t="shared" si="84"/>
        <v>35437.687658664196</v>
      </c>
      <c r="H1268" t="s">
        <v>72</v>
      </c>
      <c r="I1268" s="1" t="s">
        <v>224</v>
      </c>
      <c r="J1268" s="1" t="s">
        <v>216</v>
      </c>
      <c r="K1268" s="9" t="s">
        <v>87</v>
      </c>
      <c r="L1268" t="s">
        <v>21</v>
      </c>
      <c r="M1268">
        <f t="shared" si="83"/>
        <v>1.08E-3</v>
      </c>
      <c r="N1268">
        <f t="shared" si="82"/>
        <v>0.33523631999999998</v>
      </c>
    </row>
    <row r="1269" spans="1:14" x14ac:dyDescent="0.3">
      <c r="A1269" s="1" t="s">
        <v>49</v>
      </c>
      <c r="B1269">
        <v>6</v>
      </c>
      <c r="C1269">
        <v>12</v>
      </c>
      <c r="D1269" t="s">
        <v>71</v>
      </c>
      <c r="E1269">
        <v>11000000</v>
      </c>
      <c r="F1269">
        <f t="shared" si="81"/>
        <v>11000000</v>
      </c>
      <c r="G1269">
        <f t="shared" si="84"/>
        <v>35437.687658664196</v>
      </c>
      <c r="H1269" t="s">
        <v>72</v>
      </c>
      <c r="I1269" s="1" t="s">
        <v>224</v>
      </c>
      <c r="J1269" s="1" t="s">
        <v>216</v>
      </c>
      <c r="K1269" s="9" t="s">
        <v>88</v>
      </c>
      <c r="L1269" t="s">
        <v>21</v>
      </c>
      <c r="M1269">
        <f t="shared" si="83"/>
        <v>1.1970000000000001E-2</v>
      </c>
      <c r="N1269">
        <f t="shared" si="82"/>
        <v>3.7155358800000005</v>
      </c>
    </row>
    <row r="1270" spans="1:14" x14ac:dyDescent="0.3">
      <c r="A1270" s="1" t="s">
        <v>8</v>
      </c>
      <c r="B1270">
        <v>7</v>
      </c>
      <c r="C1270">
        <v>14</v>
      </c>
      <c r="D1270" t="s">
        <v>89</v>
      </c>
      <c r="E1270" s="1">
        <f>G1270*310.404</f>
        <v>40352520</v>
      </c>
      <c r="F1270" s="1">
        <f>E1270</f>
        <v>40352520</v>
      </c>
      <c r="G1270">
        <v>130000</v>
      </c>
      <c r="H1270" t="s">
        <v>91</v>
      </c>
      <c r="I1270" s="1" t="s">
        <v>225</v>
      </c>
      <c r="J1270" s="1" t="s">
        <v>216</v>
      </c>
      <c r="K1270" s="9">
        <v>17.8</v>
      </c>
      <c r="L1270" t="s">
        <v>21</v>
      </c>
      <c r="M1270">
        <f t="shared" si="83"/>
        <v>1.78E-2</v>
      </c>
      <c r="N1270">
        <f t="shared" si="82"/>
        <v>5.5251912000000001</v>
      </c>
    </row>
    <row r="1271" spans="1:14" x14ac:dyDescent="0.3">
      <c r="A1271" s="1" t="s">
        <v>8</v>
      </c>
      <c r="B1271">
        <v>7</v>
      </c>
      <c r="C1271">
        <v>15</v>
      </c>
      <c r="D1271" t="s">
        <v>90</v>
      </c>
      <c r="E1271" s="1">
        <f>G1271*310.404</f>
        <v>13968180</v>
      </c>
      <c r="F1271" s="1">
        <f>E1271</f>
        <v>13968180</v>
      </c>
      <c r="G1271">
        <v>45000</v>
      </c>
      <c r="H1271" t="s">
        <v>91</v>
      </c>
      <c r="I1271" s="1" t="s">
        <v>225</v>
      </c>
      <c r="J1271" s="1" t="s">
        <v>216</v>
      </c>
      <c r="K1271" s="9">
        <v>78</v>
      </c>
      <c r="L1271" t="s">
        <v>21</v>
      </c>
      <c r="M1271">
        <f t="shared" si="83"/>
        <v>7.8E-2</v>
      </c>
      <c r="N1271">
        <f t="shared" si="82"/>
        <v>24.211512000000003</v>
      </c>
    </row>
    <row r="1272" spans="1:14" x14ac:dyDescent="0.3">
      <c r="A1272" s="1" t="s">
        <v>6</v>
      </c>
      <c r="B1272">
        <v>7</v>
      </c>
      <c r="C1272">
        <v>16</v>
      </c>
      <c r="D1272" t="s">
        <v>92</v>
      </c>
      <c r="E1272" s="1">
        <v>14000000</v>
      </c>
      <c r="F1272">
        <f>E1272/3.78541</f>
        <v>3698410.4760118453</v>
      </c>
      <c r="G1272">
        <f>F1272/310.404</f>
        <v>11914.828662039939</v>
      </c>
      <c r="H1272" s="3">
        <v>42282</v>
      </c>
      <c r="I1272" s="1" t="s">
        <v>237</v>
      </c>
      <c r="J1272" s="1" t="s">
        <v>220</v>
      </c>
      <c r="K1272" s="9">
        <v>3.66</v>
      </c>
      <c r="L1272" t="s">
        <v>21</v>
      </c>
      <c r="M1272">
        <f t="shared" ref="M1272:M1277" si="85">IFERROR(K1272/1000,"ND")</f>
        <v>3.6600000000000001E-3</v>
      </c>
      <c r="N1272">
        <f t="shared" si="82"/>
        <v>1.13607864</v>
      </c>
    </row>
    <row r="1273" spans="1:14" x14ac:dyDescent="0.3">
      <c r="A1273" s="1" t="s">
        <v>6</v>
      </c>
      <c r="B1273">
        <v>7</v>
      </c>
      <c r="C1273">
        <v>16</v>
      </c>
      <c r="D1273" t="s">
        <v>92</v>
      </c>
      <c r="E1273" s="1">
        <v>14000000</v>
      </c>
      <c r="F1273">
        <f t="shared" ref="F1273:F1324" si="86">E1273/3.78541</f>
        <v>3698410.4760118453</v>
      </c>
      <c r="G1273">
        <f t="shared" ref="G1273:G1297" si="87">F1273/310.404</f>
        <v>11914.828662039939</v>
      </c>
      <c r="H1273" s="3">
        <v>42409</v>
      </c>
      <c r="I1273" s="1" t="s">
        <v>237</v>
      </c>
      <c r="J1273" s="1" t="s">
        <v>220</v>
      </c>
      <c r="K1273" s="9">
        <v>3.01</v>
      </c>
      <c r="L1273" t="s">
        <v>21</v>
      </c>
      <c r="M1273">
        <f t="shared" si="85"/>
        <v>3.0099999999999997E-3</v>
      </c>
      <c r="N1273">
        <f t="shared" si="82"/>
        <v>0.9343160399999999</v>
      </c>
    </row>
    <row r="1274" spans="1:14" x14ac:dyDescent="0.3">
      <c r="A1274" s="1" t="s">
        <v>6</v>
      </c>
      <c r="B1274">
        <v>7</v>
      </c>
      <c r="C1274">
        <v>16</v>
      </c>
      <c r="D1274" t="s">
        <v>92</v>
      </c>
      <c r="E1274" s="1">
        <v>14000000</v>
      </c>
      <c r="F1274">
        <f t="shared" si="86"/>
        <v>3698410.4760118453</v>
      </c>
      <c r="G1274">
        <f t="shared" si="87"/>
        <v>11914.828662039939</v>
      </c>
      <c r="H1274" s="3">
        <v>42451</v>
      </c>
      <c r="I1274" s="1" t="s">
        <v>237</v>
      </c>
      <c r="J1274" s="1" t="s">
        <v>220</v>
      </c>
      <c r="K1274" s="9">
        <v>4.2</v>
      </c>
      <c r="L1274" t="s">
        <v>21</v>
      </c>
      <c r="M1274">
        <f t="shared" si="85"/>
        <v>4.2000000000000006E-3</v>
      </c>
      <c r="N1274">
        <f t="shared" si="82"/>
        <v>1.3036968000000002</v>
      </c>
    </row>
    <row r="1275" spans="1:14" x14ac:dyDescent="0.3">
      <c r="A1275" s="1" t="s">
        <v>8</v>
      </c>
      <c r="B1275">
        <v>7</v>
      </c>
      <c r="C1275">
        <v>16</v>
      </c>
      <c r="D1275" t="s">
        <v>92</v>
      </c>
      <c r="E1275" s="1">
        <v>14000000</v>
      </c>
      <c r="F1275">
        <f t="shared" si="86"/>
        <v>3698410.4760118453</v>
      </c>
      <c r="G1275">
        <f t="shared" si="87"/>
        <v>11914.828662039939</v>
      </c>
      <c r="H1275" s="3">
        <v>42282</v>
      </c>
      <c r="I1275" s="1" t="s">
        <v>237</v>
      </c>
      <c r="J1275" s="1" t="s">
        <v>220</v>
      </c>
      <c r="K1275" s="9">
        <v>7.26</v>
      </c>
      <c r="L1275" t="s">
        <v>21</v>
      </c>
      <c r="M1275">
        <f t="shared" si="85"/>
        <v>7.26E-3</v>
      </c>
      <c r="N1275">
        <f t="shared" si="82"/>
        <v>2.2535330399999998</v>
      </c>
    </row>
    <row r="1276" spans="1:14" x14ac:dyDescent="0.3">
      <c r="A1276" s="1" t="s">
        <v>8</v>
      </c>
      <c r="B1276">
        <v>7</v>
      </c>
      <c r="C1276">
        <v>16</v>
      </c>
      <c r="D1276" t="s">
        <v>92</v>
      </c>
      <c r="E1276" s="1">
        <v>14000000</v>
      </c>
      <c r="F1276">
        <f t="shared" si="86"/>
        <v>3698410.4760118453</v>
      </c>
      <c r="G1276">
        <f t="shared" si="87"/>
        <v>11914.828662039939</v>
      </c>
      <c r="H1276" s="3">
        <v>42409</v>
      </c>
      <c r="I1276" s="1" t="s">
        <v>237</v>
      </c>
      <c r="J1276" s="1" t="s">
        <v>220</v>
      </c>
      <c r="K1276" s="9">
        <v>5.39</v>
      </c>
      <c r="L1276" t="s">
        <v>21</v>
      </c>
      <c r="M1276">
        <f t="shared" si="85"/>
        <v>5.3899999999999998E-3</v>
      </c>
      <c r="N1276">
        <f t="shared" si="82"/>
        <v>1.6730775599999999</v>
      </c>
    </row>
    <row r="1277" spans="1:14" x14ac:dyDescent="0.3">
      <c r="A1277" s="1" t="s">
        <v>8</v>
      </c>
      <c r="B1277">
        <v>7</v>
      </c>
      <c r="C1277">
        <v>16</v>
      </c>
      <c r="D1277" t="s">
        <v>92</v>
      </c>
      <c r="E1277" s="1">
        <v>14000000</v>
      </c>
      <c r="F1277">
        <f t="shared" si="86"/>
        <v>3698410.4760118453</v>
      </c>
      <c r="G1277">
        <f t="shared" si="87"/>
        <v>11914.828662039939</v>
      </c>
      <c r="H1277" s="3">
        <v>42451</v>
      </c>
      <c r="I1277" s="1" t="s">
        <v>237</v>
      </c>
      <c r="J1277" s="1" t="s">
        <v>220</v>
      </c>
      <c r="K1277" s="9">
        <v>8.23</v>
      </c>
      <c r="L1277" t="s">
        <v>21</v>
      </c>
      <c r="M1277">
        <f t="shared" si="85"/>
        <v>8.2300000000000012E-3</v>
      </c>
      <c r="N1277">
        <f t="shared" si="82"/>
        <v>2.5546249200000002</v>
      </c>
    </row>
    <row r="1278" spans="1:14" x14ac:dyDescent="0.3">
      <c r="A1278" s="1" t="s">
        <v>6</v>
      </c>
      <c r="B1278">
        <v>7</v>
      </c>
      <c r="C1278">
        <v>16</v>
      </c>
      <c r="D1278" t="s">
        <v>259</v>
      </c>
      <c r="E1278" s="1">
        <v>14000000</v>
      </c>
      <c r="F1278">
        <f t="shared" si="86"/>
        <v>3698410.4760118453</v>
      </c>
      <c r="G1278">
        <f t="shared" si="87"/>
        <v>11914.828662039939</v>
      </c>
      <c r="H1278" s="4">
        <v>42649</v>
      </c>
      <c r="I1278" s="1" t="s">
        <v>237</v>
      </c>
      <c r="J1278" s="1" t="s">
        <v>220</v>
      </c>
      <c r="K1278" s="9">
        <v>7.79</v>
      </c>
      <c r="L1278" t="s">
        <v>21</v>
      </c>
      <c r="M1278">
        <f t="shared" ref="M1278:M1292" si="88">IFERROR(K1278/1000,"ND")</f>
        <v>7.79E-3</v>
      </c>
      <c r="N1278">
        <f t="shared" si="82"/>
        <v>2.41804716</v>
      </c>
    </row>
    <row r="1279" spans="1:14" x14ac:dyDescent="0.3">
      <c r="A1279" s="1" t="s">
        <v>6</v>
      </c>
      <c r="B1279">
        <v>7</v>
      </c>
      <c r="C1279">
        <v>16</v>
      </c>
      <c r="D1279" t="s">
        <v>259</v>
      </c>
      <c r="E1279" s="1">
        <v>14000000</v>
      </c>
      <c r="F1279">
        <f t="shared" si="86"/>
        <v>3698410.4760118453</v>
      </c>
      <c r="G1279">
        <f t="shared" si="87"/>
        <v>11914.828662039939</v>
      </c>
      <c r="H1279" s="4">
        <v>42794</v>
      </c>
      <c r="I1279" s="1" t="s">
        <v>237</v>
      </c>
      <c r="J1279" s="1" t="s">
        <v>220</v>
      </c>
      <c r="K1279" s="9">
        <v>2.1</v>
      </c>
      <c r="L1279" t="s">
        <v>21</v>
      </c>
      <c r="M1279">
        <f t="shared" si="88"/>
        <v>2.1000000000000003E-3</v>
      </c>
      <c r="N1279">
        <f t="shared" si="82"/>
        <v>0.65184840000000011</v>
      </c>
    </row>
    <row r="1280" spans="1:14" x14ac:dyDescent="0.3">
      <c r="A1280" s="1" t="s">
        <v>6</v>
      </c>
      <c r="B1280">
        <v>7</v>
      </c>
      <c r="C1280">
        <v>16</v>
      </c>
      <c r="D1280" t="s">
        <v>259</v>
      </c>
      <c r="E1280" s="1">
        <v>14000000</v>
      </c>
      <c r="F1280">
        <f t="shared" si="86"/>
        <v>3698410.4760118453</v>
      </c>
      <c r="G1280">
        <f t="shared" si="87"/>
        <v>11914.828662039939</v>
      </c>
      <c r="H1280" s="4">
        <v>43081</v>
      </c>
      <c r="I1280" s="1" t="s">
        <v>237</v>
      </c>
      <c r="J1280" s="1" t="s">
        <v>220</v>
      </c>
      <c r="K1280" s="9">
        <v>1.92</v>
      </c>
      <c r="L1280" t="s">
        <v>21</v>
      </c>
      <c r="M1280">
        <f t="shared" si="88"/>
        <v>1.9199999999999998E-3</v>
      </c>
      <c r="N1280">
        <f t="shared" si="82"/>
        <v>0.59597568000000001</v>
      </c>
    </row>
    <row r="1281" spans="1:14" x14ac:dyDescent="0.3">
      <c r="A1281" s="1" t="s">
        <v>8</v>
      </c>
      <c r="B1281">
        <v>7</v>
      </c>
      <c r="C1281">
        <v>16</v>
      </c>
      <c r="D1281" t="s">
        <v>259</v>
      </c>
      <c r="E1281" s="1">
        <v>14000000</v>
      </c>
      <c r="F1281">
        <f t="shared" si="86"/>
        <v>3698410.4760118453</v>
      </c>
      <c r="G1281">
        <f t="shared" si="87"/>
        <v>11914.828662039939</v>
      </c>
      <c r="H1281" s="4">
        <v>42649</v>
      </c>
      <c r="I1281" s="1" t="s">
        <v>237</v>
      </c>
      <c r="J1281" s="1" t="s">
        <v>220</v>
      </c>
      <c r="K1281" s="9">
        <v>0.56000000000000005</v>
      </c>
      <c r="L1281" t="s">
        <v>21</v>
      </c>
      <c r="M1281">
        <f t="shared" si="88"/>
        <v>5.6000000000000006E-4</v>
      </c>
      <c r="N1281">
        <f t="shared" si="82"/>
        <v>0.17382624000000002</v>
      </c>
    </row>
    <row r="1282" spans="1:14" x14ac:dyDescent="0.3">
      <c r="A1282" s="1" t="s">
        <v>8</v>
      </c>
      <c r="B1282">
        <v>7</v>
      </c>
      <c r="C1282">
        <v>16</v>
      </c>
      <c r="D1282" t="s">
        <v>259</v>
      </c>
      <c r="E1282" s="1">
        <v>14000000</v>
      </c>
      <c r="F1282">
        <f t="shared" si="86"/>
        <v>3698410.4760118453</v>
      </c>
      <c r="G1282">
        <f t="shared" si="87"/>
        <v>11914.828662039939</v>
      </c>
      <c r="H1282" s="4">
        <v>42794</v>
      </c>
      <c r="I1282" s="1" t="s">
        <v>237</v>
      </c>
      <c r="J1282" s="1" t="s">
        <v>220</v>
      </c>
      <c r="K1282" s="9">
        <v>0.38</v>
      </c>
      <c r="L1282" t="s">
        <v>21</v>
      </c>
      <c r="M1282">
        <f t="shared" si="88"/>
        <v>3.8000000000000002E-4</v>
      </c>
      <c r="N1282">
        <f t="shared" ref="N1282:N1345" si="89">IFERROR((M1282*F1282)/G1282,"ND")</f>
        <v>0.11795352000000001</v>
      </c>
    </row>
    <row r="1283" spans="1:14" x14ac:dyDescent="0.3">
      <c r="A1283" s="1" t="s">
        <v>8</v>
      </c>
      <c r="B1283">
        <v>7</v>
      </c>
      <c r="C1283">
        <v>16</v>
      </c>
      <c r="D1283" t="s">
        <v>259</v>
      </c>
      <c r="E1283" s="1">
        <v>14000000</v>
      </c>
      <c r="F1283">
        <f t="shared" si="86"/>
        <v>3698410.4760118453</v>
      </c>
      <c r="G1283">
        <f t="shared" si="87"/>
        <v>11914.828662039939</v>
      </c>
      <c r="H1283" s="4">
        <v>43081</v>
      </c>
      <c r="I1283" s="1" t="s">
        <v>237</v>
      </c>
      <c r="J1283" s="1" t="s">
        <v>220</v>
      </c>
      <c r="K1283" s="9" t="s">
        <v>20</v>
      </c>
      <c r="L1283" t="s">
        <v>21</v>
      </c>
      <c r="M1283" t="str">
        <f t="shared" si="88"/>
        <v>ND</v>
      </c>
      <c r="N1283" t="str">
        <f t="shared" si="89"/>
        <v>ND</v>
      </c>
    </row>
    <row r="1284" spans="1:14" x14ac:dyDescent="0.3">
      <c r="A1284" s="1" t="s">
        <v>6</v>
      </c>
      <c r="B1284">
        <v>7</v>
      </c>
      <c r="C1284">
        <v>16</v>
      </c>
      <c r="D1284" t="s">
        <v>259</v>
      </c>
      <c r="E1284" s="1">
        <v>14000000</v>
      </c>
      <c r="F1284">
        <f t="shared" si="86"/>
        <v>3698410.4760118453</v>
      </c>
      <c r="G1284">
        <f t="shared" si="87"/>
        <v>11914.828662039939</v>
      </c>
      <c r="H1284" s="3">
        <v>43678</v>
      </c>
      <c r="I1284" s="1" t="s">
        <v>237</v>
      </c>
      <c r="J1284" s="1" t="s">
        <v>220</v>
      </c>
      <c r="K1284" s="9" t="s">
        <v>20</v>
      </c>
      <c r="L1284" t="s">
        <v>21</v>
      </c>
      <c r="M1284" t="str">
        <f t="shared" si="88"/>
        <v>ND</v>
      </c>
      <c r="N1284" t="str">
        <f t="shared" si="89"/>
        <v>ND</v>
      </c>
    </row>
    <row r="1285" spans="1:14" x14ac:dyDescent="0.3">
      <c r="A1285" s="1" t="s">
        <v>6</v>
      </c>
      <c r="B1285">
        <v>7</v>
      </c>
      <c r="C1285">
        <v>16</v>
      </c>
      <c r="D1285" t="s">
        <v>259</v>
      </c>
      <c r="E1285" s="1">
        <v>14000000</v>
      </c>
      <c r="F1285">
        <f t="shared" si="86"/>
        <v>3698410.4760118453</v>
      </c>
      <c r="G1285">
        <f t="shared" si="87"/>
        <v>11914.828662039939</v>
      </c>
      <c r="H1285" s="3">
        <v>43683</v>
      </c>
      <c r="I1285" s="1" t="s">
        <v>237</v>
      </c>
      <c r="J1285" s="1" t="s">
        <v>220</v>
      </c>
      <c r="K1285" s="9">
        <v>33</v>
      </c>
      <c r="L1285" t="s">
        <v>21</v>
      </c>
      <c r="M1285">
        <f t="shared" si="88"/>
        <v>3.3000000000000002E-2</v>
      </c>
      <c r="N1285">
        <f t="shared" si="89"/>
        <v>10.243332000000001</v>
      </c>
    </row>
    <row r="1286" spans="1:14" x14ac:dyDescent="0.3">
      <c r="A1286" s="1" t="s">
        <v>6</v>
      </c>
      <c r="B1286">
        <v>7</v>
      </c>
      <c r="C1286">
        <v>16</v>
      </c>
      <c r="D1286" t="s">
        <v>259</v>
      </c>
      <c r="E1286" s="1">
        <v>14000000</v>
      </c>
      <c r="F1286">
        <f t="shared" si="86"/>
        <v>3698410.4760118453</v>
      </c>
      <c r="G1286">
        <f t="shared" si="87"/>
        <v>11914.828662039939</v>
      </c>
      <c r="H1286" s="3">
        <v>43692</v>
      </c>
      <c r="I1286" s="1" t="s">
        <v>237</v>
      </c>
      <c r="J1286" s="1" t="s">
        <v>220</v>
      </c>
      <c r="K1286" s="9" t="s">
        <v>20</v>
      </c>
      <c r="L1286" t="s">
        <v>21</v>
      </c>
      <c r="M1286" t="str">
        <f t="shared" si="88"/>
        <v>ND</v>
      </c>
      <c r="N1286" t="str">
        <f t="shared" si="89"/>
        <v>ND</v>
      </c>
    </row>
    <row r="1287" spans="1:14" x14ac:dyDescent="0.3">
      <c r="A1287" s="1" t="s">
        <v>8</v>
      </c>
      <c r="B1287">
        <v>7</v>
      </c>
      <c r="C1287">
        <v>16</v>
      </c>
      <c r="D1287" t="s">
        <v>259</v>
      </c>
      <c r="E1287" s="1">
        <v>14000000</v>
      </c>
      <c r="F1287">
        <f t="shared" si="86"/>
        <v>3698410.4760118453</v>
      </c>
      <c r="G1287">
        <f t="shared" si="87"/>
        <v>11914.828662039939</v>
      </c>
      <c r="H1287" s="3">
        <v>43678</v>
      </c>
      <c r="I1287" s="1" t="s">
        <v>237</v>
      </c>
      <c r="J1287" s="1" t="s">
        <v>220</v>
      </c>
      <c r="K1287" s="9" t="s">
        <v>20</v>
      </c>
      <c r="L1287" t="s">
        <v>21</v>
      </c>
      <c r="M1287" t="str">
        <f t="shared" si="88"/>
        <v>ND</v>
      </c>
      <c r="N1287" t="str">
        <f t="shared" si="89"/>
        <v>ND</v>
      </c>
    </row>
    <row r="1288" spans="1:14" x14ac:dyDescent="0.3">
      <c r="A1288" s="1" t="s">
        <v>8</v>
      </c>
      <c r="B1288">
        <v>7</v>
      </c>
      <c r="C1288">
        <v>16</v>
      </c>
      <c r="D1288" t="s">
        <v>259</v>
      </c>
      <c r="E1288" s="1">
        <v>14000000</v>
      </c>
      <c r="F1288">
        <f t="shared" si="86"/>
        <v>3698410.4760118453</v>
      </c>
      <c r="G1288">
        <f t="shared" si="87"/>
        <v>11914.828662039939</v>
      </c>
      <c r="H1288" s="3">
        <v>43683</v>
      </c>
      <c r="I1288" s="1" t="s">
        <v>237</v>
      </c>
      <c r="J1288" s="1" t="s">
        <v>220</v>
      </c>
      <c r="K1288" s="9" t="s">
        <v>20</v>
      </c>
      <c r="L1288" t="s">
        <v>21</v>
      </c>
      <c r="M1288" t="str">
        <f t="shared" si="88"/>
        <v>ND</v>
      </c>
      <c r="N1288" t="str">
        <f t="shared" si="89"/>
        <v>ND</v>
      </c>
    </row>
    <row r="1289" spans="1:14" x14ac:dyDescent="0.3">
      <c r="A1289" s="1" t="s">
        <v>8</v>
      </c>
      <c r="B1289">
        <v>7</v>
      </c>
      <c r="C1289">
        <v>16</v>
      </c>
      <c r="D1289" t="s">
        <v>259</v>
      </c>
      <c r="E1289" s="1">
        <v>14000000</v>
      </c>
      <c r="F1289">
        <f t="shared" si="86"/>
        <v>3698410.4760118453</v>
      </c>
      <c r="G1289">
        <f t="shared" si="87"/>
        <v>11914.828662039939</v>
      </c>
      <c r="H1289" s="3">
        <v>43692</v>
      </c>
      <c r="I1289" s="1" t="s">
        <v>237</v>
      </c>
      <c r="J1289" s="1" t="s">
        <v>220</v>
      </c>
      <c r="K1289" s="9" t="s">
        <v>20</v>
      </c>
      <c r="L1289" t="s">
        <v>21</v>
      </c>
      <c r="M1289" t="str">
        <f t="shared" si="88"/>
        <v>ND</v>
      </c>
      <c r="N1289" t="str">
        <f t="shared" si="89"/>
        <v>ND</v>
      </c>
    </row>
    <row r="1290" spans="1:14" x14ac:dyDescent="0.3">
      <c r="A1290" s="1" t="s">
        <v>17</v>
      </c>
      <c r="B1290">
        <v>7</v>
      </c>
      <c r="C1290">
        <v>16</v>
      </c>
      <c r="D1290" t="s">
        <v>259</v>
      </c>
      <c r="E1290" s="1">
        <v>14000000</v>
      </c>
      <c r="F1290">
        <f t="shared" si="86"/>
        <v>3698410.4760118453</v>
      </c>
      <c r="G1290">
        <f t="shared" si="87"/>
        <v>11914.828662039939</v>
      </c>
      <c r="H1290" s="3">
        <v>43678</v>
      </c>
      <c r="I1290" s="1" t="s">
        <v>237</v>
      </c>
      <c r="J1290" s="1" t="s">
        <v>220</v>
      </c>
      <c r="K1290" s="9">
        <v>15.1</v>
      </c>
      <c r="L1290" t="s">
        <v>21</v>
      </c>
      <c r="M1290">
        <f t="shared" si="88"/>
        <v>1.5099999999999999E-2</v>
      </c>
      <c r="N1290">
        <f t="shared" si="89"/>
        <v>4.6871003999999994</v>
      </c>
    </row>
    <row r="1291" spans="1:14" x14ac:dyDescent="0.3">
      <c r="A1291" s="1" t="s">
        <v>17</v>
      </c>
      <c r="B1291">
        <v>7</v>
      </c>
      <c r="C1291">
        <v>16</v>
      </c>
      <c r="D1291" t="s">
        <v>259</v>
      </c>
      <c r="E1291" s="1">
        <v>14000000</v>
      </c>
      <c r="F1291">
        <f t="shared" si="86"/>
        <v>3698410.4760118453</v>
      </c>
      <c r="G1291">
        <f t="shared" si="87"/>
        <v>11914.828662039939</v>
      </c>
      <c r="H1291" s="3">
        <v>43683</v>
      </c>
      <c r="I1291" s="1" t="s">
        <v>237</v>
      </c>
      <c r="J1291" s="1" t="s">
        <v>220</v>
      </c>
      <c r="K1291" s="9">
        <v>30.4</v>
      </c>
      <c r="L1291" t="s">
        <v>21</v>
      </c>
      <c r="M1291">
        <f t="shared" si="88"/>
        <v>3.04E-2</v>
      </c>
      <c r="N1291">
        <f t="shared" si="89"/>
        <v>9.4362815999999992</v>
      </c>
    </row>
    <row r="1292" spans="1:14" x14ac:dyDescent="0.3">
      <c r="A1292" s="1" t="s">
        <v>17</v>
      </c>
      <c r="B1292">
        <v>7</v>
      </c>
      <c r="C1292">
        <v>16</v>
      </c>
      <c r="D1292" t="s">
        <v>259</v>
      </c>
      <c r="E1292" s="1">
        <v>14000000</v>
      </c>
      <c r="F1292">
        <f t="shared" si="86"/>
        <v>3698410.4760118453</v>
      </c>
      <c r="G1292">
        <f t="shared" si="87"/>
        <v>11914.828662039939</v>
      </c>
      <c r="H1292" s="3">
        <v>43692</v>
      </c>
      <c r="I1292" s="1" t="s">
        <v>237</v>
      </c>
      <c r="J1292" s="1" t="s">
        <v>220</v>
      </c>
      <c r="K1292" s="9">
        <v>23.8</v>
      </c>
      <c r="L1292" t="s">
        <v>21</v>
      </c>
      <c r="M1292">
        <f t="shared" si="88"/>
        <v>2.3800000000000002E-2</v>
      </c>
      <c r="N1292">
        <f t="shared" si="89"/>
        <v>7.3876151999999999</v>
      </c>
    </row>
    <row r="1293" spans="1:14" x14ac:dyDescent="0.3">
      <c r="A1293" t="s">
        <v>17</v>
      </c>
      <c r="B1293">
        <v>8</v>
      </c>
      <c r="C1293">
        <v>16</v>
      </c>
      <c r="D1293" t="s">
        <v>92</v>
      </c>
      <c r="E1293" s="1">
        <v>14000000</v>
      </c>
      <c r="F1293">
        <f t="shared" si="86"/>
        <v>3698410.4760118453</v>
      </c>
      <c r="G1293">
        <f t="shared" si="87"/>
        <v>11914.828662039939</v>
      </c>
      <c r="H1293" s="4">
        <v>39871</v>
      </c>
      <c r="I1293" s="1" t="s">
        <v>237</v>
      </c>
      <c r="J1293" s="1" t="s">
        <v>220</v>
      </c>
      <c r="K1293" t="s">
        <v>93</v>
      </c>
      <c r="L1293" t="s">
        <v>21</v>
      </c>
      <c r="M1293" t="str">
        <f t="shared" ref="M1293:M1297" si="90">IFERROR(K1293/1000,"ND")</f>
        <v>ND</v>
      </c>
      <c r="N1293" t="str">
        <f t="shared" si="89"/>
        <v>ND</v>
      </c>
    </row>
    <row r="1294" spans="1:14" x14ac:dyDescent="0.3">
      <c r="A1294" t="s">
        <v>17</v>
      </c>
      <c r="B1294">
        <v>8</v>
      </c>
      <c r="C1294">
        <v>16</v>
      </c>
      <c r="D1294" t="s">
        <v>92</v>
      </c>
      <c r="E1294" s="1">
        <v>14000000</v>
      </c>
      <c r="F1294">
        <f t="shared" si="86"/>
        <v>3698410.4760118453</v>
      </c>
      <c r="G1294">
        <f t="shared" si="87"/>
        <v>11914.828662039939</v>
      </c>
      <c r="H1294" s="4">
        <v>39884</v>
      </c>
      <c r="I1294" s="1" t="s">
        <v>237</v>
      </c>
      <c r="J1294" s="1" t="s">
        <v>220</v>
      </c>
      <c r="K1294" t="s">
        <v>93</v>
      </c>
      <c r="L1294" t="s">
        <v>21</v>
      </c>
      <c r="M1294" t="str">
        <f t="shared" si="90"/>
        <v>ND</v>
      </c>
      <c r="N1294" t="str">
        <f t="shared" si="89"/>
        <v>ND</v>
      </c>
    </row>
    <row r="1295" spans="1:14" x14ac:dyDescent="0.3">
      <c r="A1295" t="s">
        <v>17</v>
      </c>
      <c r="B1295">
        <v>8</v>
      </c>
      <c r="C1295">
        <v>16</v>
      </c>
      <c r="D1295" t="s">
        <v>92</v>
      </c>
      <c r="E1295" s="1">
        <v>14000000</v>
      </c>
      <c r="F1295">
        <f t="shared" si="86"/>
        <v>3698410.4760118453</v>
      </c>
      <c r="G1295">
        <f t="shared" si="87"/>
        <v>11914.828662039939</v>
      </c>
      <c r="H1295" s="4">
        <v>40051</v>
      </c>
      <c r="I1295" s="1" t="s">
        <v>237</v>
      </c>
      <c r="J1295" s="1" t="s">
        <v>220</v>
      </c>
      <c r="K1295">
        <v>54.1</v>
      </c>
      <c r="L1295" t="s">
        <v>21</v>
      </c>
      <c r="M1295">
        <f t="shared" si="90"/>
        <v>5.4100000000000002E-2</v>
      </c>
      <c r="N1295">
        <f t="shared" si="89"/>
        <v>16.792856400000002</v>
      </c>
    </row>
    <row r="1296" spans="1:14" x14ac:dyDescent="0.3">
      <c r="A1296" t="s">
        <v>17</v>
      </c>
      <c r="B1296">
        <v>8</v>
      </c>
      <c r="C1296">
        <v>16</v>
      </c>
      <c r="D1296" t="s">
        <v>92</v>
      </c>
      <c r="E1296" s="1">
        <v>14000000</v>
      </c>
      <c r="F1296">
        <f t="shared" si="86"/>
        <v>3698410.4760118453</v>
      </c>
      <c r="G1296">
        <f t="shared" si="87"/>
        <v>11914.828662039939</v>
      </c>
      <c r="H1296" s="4">
        <v>40051</v>
      </c>
      <c r="I1296" s="1" t="s">
        <v>237</v>
      </c>
      <c r="J1296" s="1" t="s">
        <v>216</v>
      </c>
      <c r="K1296">
        <v>55.8</v>
      </c>
      <c r="L1296" t="s">
        <v>21</v>
      </c>
      <c r="M1296">
        <f t="shared" si="90"/>
        <v>5.5799999999999995E-2</v>
      </c>
      <c r="N1296">
        <f t="shared" si="89"/>
        <v>17.320543199999996</v>
      </c>
    </row>
    <row r="1297" spans="1:14" x14ac:dyDescent="0.3">
      <c r="A1297" t="s">
        <v>17</v>
      </c>
      <c r="B1297">
        <v>8</v>
      </c>
      <c r="C1297">
        <v>16</v>
      </c>
      <c r="D1297" t="s">
        <v>92</v>
      </c>
      <c r="E1297" s="1">
        <v>14000000</v>
      </c>
      <c r="F1297">
        <f t="shared" si="86"/>
        <v>3698410.4760118453</v>
      </c>
      <c r="G1297">
        <f t="shared" si="87"/>
        <v>11914.828662039939</v>
      </c>
      <c r="H1297" s="4">
        <v>40119</v>
      </c>
      <c r="I1297" s="1" t="s">
        <v>237</v>
      </c>
      <c r="J1297" s="1" t="s">
        <v>220</v>
      </c>
      <c r="K1297">
        <v>86.4</v>
      </c>
      <c r="L1297" t="s">
        <v>21</v>
      </c>
      <c r="M1297">
        <f t="shared" si="90"/>
        <v>8.6400000000000005E-2</v>
      </c>
      <c r="N1297">
        <f t="shared" si="89"/>
        <v>26.818905600000004</v>
      </c>
    </row>
    <row r="1298" spans="1:14" x14ac:dyDescent="0.3">
      <c r="A1298" s="1" t="s">
        <v>11</v>
      </c>
      <c r="B1298">
        <v>9</v>
      </c>
      <c r="C1298">
        <v>17</v>
      </c>
      <c r="D1298" t="s">
        <v>210</v>
      </c>
      <c r="E1298" s="1">
        <v>7600000</v>
      </c>
      <c r="F1298">
        <f t="shared" si="86"/>
        <v>2007708.5441207159</v>
      </c>
      <c r="G1298">
        <v>56428</v>
      </c>
      <c r="H1298" s="1" t="s">
        <v>94</v>
      </c>
      <c r="I1298" s="1" t="s">
        <v>226</v>
      </c>
      <c r="J1298" s="1" t="s">
        <v>227</v>
      </c>
      <c r="K1298" s="9" t="s">
        <v>20</v>
      </c>
      <c r="L1298" t="s">
        <v>21</v>
      </c>
      <c r="M1298" t="str">
        <f t="shared" ref="M1298:M1303" si="91">IFERROR(K1298/1000,"ND")</f>
        <v>ND</v>
      </c>
      <c r="N1298" t="str">
        <f t="shared" si="89"/>
        <v>ND</v>
      </c>
    </row>
    <row r="1299" spans="1:14" x14ac:dyDescent="0.3">
      <c r="A1299" s="1" t="s">
        <v>95</v>
      </c>
      <c r="B1299">
        <v>9</v>
      </c>
      <c r="C1299">
        <v>17</v>
      </c>
      <c r="D1299" t="s">
        <v>210</v>
      </c>
      <c r="E1299" s="1">
        <v>7600000</v>
      </c>
      <c r="F1299">
        <f t="shared" si="86"/>
        <v>2007708.5441207159</v>
      </c>
      <c r="G1299">
        <v>56428</v>
      </c>
      <c r="H1299" s="1" t="s">
        <v>94</v>
      </c>
      <c r="I1299" s="1" t="s">
        <v>226</v>
      </c>
      <c r="J1299" s="1" t="s">
        <v>227</v>
      </c>
      <c r="K1299" s="9">
        <v>53</v>
      </c>
      <c r="L1299" t="s">
        <v>21</v>
      </c>
      <c r="M1299">
        <f t="shared" si="91"/>
        <v>5.2999999999999999E-2</v>
      </c>
      <c r="N1299">
        <f t="shared" si="89"/>
        <v>1.8857402856453878</v>
      </c>
    </row>
    <row r="1300" spans="1:14" x14ac:dyDescent="0.3">
      <c r="A1300" s="1" t="s">
        <v>12</v>
      </c>
      <c r="B1300">
        <v>9</v>
      </c>
      <c r="C1300">
        <v>17</v>
      </c>
      <c r="D1300" t="s">
        <v>210</v>
      </c>
      <c r="E1300" s="1">
        <v>7600000</v>
      </c>
      <c r="F1300">
        <f t="shared" si="86"/>
        <v>2007708.5441207159</v>
      </c>
      <c r="G1300">
        <v>56428</v>
      </c>
      <c r="H1300" s="1" t="s">
        <v>94</v>
      </c>
      <c r="I1300" s="1" t="s">
        <v>226</v>
      </c>
      <c r="J1300" s="1" t="s">
        <v>227</v>
      </c>
      <c r="K1300" s="9" t="s">
        <v>20</v>
      </c>
      <c r="L1300" t="s">
        <v>21</v>
      </c>
      <c r="M1300" t="str">
        <f t="shared" si="91"/>
        <v>ND</v>
      </c>
      <c r="N1300" t="str">
        <f t="shared" si="89"/>
        <v>ND</v>
      </c>
    </row>
    <row r="1301" spans="1:14" x14ac:dyDescent="0.3">
      <c r="A1301" s="1" t="s">
        <v>96</v>
      </c>
      <c r="B1301">
        <v>9</v>
      </c>
      <c r="C1301">
        <v>17</v>
      </c>
      <c r="D1301" t="s">
        <v>210</v>
      </c>
      <c r="E1301" s="1">
        <v>7600000</v>
      </c>
      <c r="F1301">
        <f t="shared" si="86"/>
        <v>2007708.5441207159</v>
      </c>
      <c r="G1301">
        <v>56428</v>
      </c>
      <c r="H1301" s="1" t="s">
        <v>94</v>
      </c>
      <c r="I1301" s="1" t="s">
        <v>226</v>
      </c>
      <c r="J1301" s="1" t="s">
        <v>227</v>
      </c>
      <c r="K1301" s="9">
        <v>248</v>
      </c>
      <c r="L1301" t="s">
        <v>21</v>
      </c>
      <c r="M1301">
        <f t="shared" si="91"/>
        <v>0.248</v>
      </c>
      <c r="N1301">
        <f t="shared" si="89"/>
        <v>8.8238413366048327</v>
      </c>
    </row>
    <row r="1302" spans="1:14" x14ac:dyDescent="0.3">
      <c r="A1302" s="1" t="s">
        <v>13</v>
      </c>
      <c r="B1302">
        <v>9</v>
      </c>
      <c r="C1302">
        <v>17</v>
      </c>
      <c r="D1302" t="s">
        <v>210</v>
      </c>
      <c r="E1302" s="1">
        <v>7600000</v>
      </c>
      <c r="F1302">
        <f t="shared" si="86"/>
        <v>2007708.5441207159</v>
      </c>
      <c r="G1302">
        <v>56428</v>
      </c>
      <c r="H1302" s="1" t="s">
        <v>94</v>
      </c>
      <c r="I1302" s="1" t="s">
        <v>226</v>
      </c>
      <c r="J1302" s="1" t="s">
        <v>227</v>
      </c>
      <c r="K1302" s="9">
        <v>118</v>
      </c>
      <c r="L1302" t="s">
        <v>21</v>
      </c>
      <c r="M1302">
        <f t="shared" si="91"/>
        <v>0.11799999999999999</v>
      </c>
      <c r="N1302">
        <f t="shared" si="89"/>
        <v>4.1984406359652029</v>
      </c>
    </row>
    <row r="1303" spans="1:14" x14ac:dyDescent="0.3">
      <c r="A1303" s="1" t="s">
        <v>18</v>
      </c>
      <c r="B1303">
        <v>9</v>
      </c>
      <c r="C1303">
        <v>17</v>
      </c>
      <c r="D1303" t="s">
        <v>210</v>
      </c>
      <c r="E1303" s="1">
        <v>7600000</v>
      </c>
      <c r="F1303">
        <f t="shared" si="86"/>
        <v>2007708.5441207159</v>
      </c>
      <c r="G1303">
        <v>56428</v>
      </c>
      <c r="H1303" s="1" t="s">
        <v>94</v>
      </c>
      <c r="I1303" s="1" t="s">
        <v>226</v>
      </c>
      <c r="J1303" s="1" t="s">
        <v>227</v>
      </c>
      <c r="K1303" s="9">
        <v>12</v>
      </c>
      <c r="L1303" t="s">
        <v>21</v>
      </c>
      <c r="M1303">
        <f t="shared" si="91"/>
        <v>1.2E-2</v>
      </c>
      <c r="N1303">
        <f t="shared" si="89"/>
        <v>0.42696006467442749</v>
      </c>
    </row>
    <row r="1304" spans="1:14" x14ac:dyDescent="0.3">
      <c r="A1304" s="1" t="s">
        <v>19</v>
      </c>
      <c r="B1304">
        <v>10</v>
      </c>
      <c r="C1304">
        <v>18</v>
      </c>
      <c r="D1304" s="1" t="s">
        <v>97</v>
      </c>
      <c r="E1304" s="1">
        <v>26000000</v>
      </c>
      <c r="F1304">
        <f t="shared" si="86"/>
        <v>6868476.5983077129</v>
      </c>
      <c r="G1304">
        <f>F1304/310.404</f>
        <v>22127.538943788459</v>
      </c>
      <c r="H1304" s="2">
        <v>37438</v>
      </c>
      <c r="I1304" s="1" t="s">
        <v>97</v>
      </c>
      <c r="J1304" s="1" t="s">
        <v>220</v>
      </c>
      <c r="K1304" s="9">
        <v>40.4</v>
      </c>
      <c r="L1304" t="s">
        <v>21</v>
      </c>
      <c r="M1304">
        <f t="shared" ref="M1304:M1325" si="92">IFERROR(K1304/1000,"ND")</f>
        <v>4.0399999999999998E-2</v>
      </c>
      <c r="N1304">
        <f t="shared" si="89"/>
        <v>12.5403216</v>
      </c>
    </row>
    <row r="1305" spans="1:14" x14ac:dyDescent="0.3">
      <c r="A1305" s="1" t="s">
        <v>19</v>
      </c>
      <c r="B1305">
        <v>10</v>
      </c>
      <c r="C1305">
        <v>19</v>
      </c>
      <c r="D1305" s="1" t="s">
        <v>98</v>
      </c>
      <c r="E1305" s="1">
        <v>85000000</v>
      </c>
      <c r="F1305">
        <f t="shared" si="86"/>
        <v>22454635.032929059</v>
      </c>
      <c r="G1305">
        <f>F1305/310.404</f>
        <v>72340.031162385334</v>
      </c>
      <c r="H1305" s="2">
        <v>38384</v>
      </c>
      <c r="I1305" s="1" t="s">
        <v>98</v>
      </c>
      <c r="J1305" s="1" t="s">
        <v>220</v>
      </c>
      <c r="K1305" s="9">
        <v>600</v>
      </c>
      <c r="L1305" t="s">
        <v>21</v>
      </c>
      <c r="M1305">
        <f t="shared" si="92"/>
        <v>0.6</v>
      </c>
      <c r="N1305">
        <f t="shared" si="89"/>
        <v>186.2424</v>
      </c>
    </row>
    <row r="1306" spans="1:14" x14ac:dyDescent="0.3">
      <c r="A1306" s="1" t="s">
        <v>19</v>
      </c>
      <c r="B1306">
        <v>10</v>
      </c>
      <c r="C1306">
        <v>20</v>
      </c>
      <c r="D1306" s="1" t="s">
        <v>99</v>
      </c>
      <c r="E1306" s="1">
        <v>25000000</v>
      </c>
      <c r="F1306">
        <f t="shared" si="86"/>
        <v>6604304.4214497237</v>
      </c>
      <c r="G1306">
        <f t="shared" ref="G1306:G1315" si="93">F1306/310.404</f>
        <v>21276.479753642747</v>
      </c>
      <c r="H1306" s="2">
        <v>38718</v>
      </c>
      <c r="I1306" s="1" t="s">
        <v>236</v>
      </c>
      <c r="J1306" s="1" t="s">
        <v>220</v>
      </c>
      <c r="K1306" s="9">
        <v>27.1</v>
      </c>
      <c r="L1306" t="s">
        <v>21</v>
      </c>
      <c r="M1306">
        <f t="shared" si="92"/>
        <v>2.7100000000000003E-2</v>
      </c>
      <c r="N1306">
        <f t="shared" si="89"/>
        <v>8.4119484</v>
      </c>
    </row>
    <row r="1307" spans="1:14" x14ac:dyDescent="0.3">
      <c r="A1307" s="1" t="s">
        <v>39</v>
      </c>
      <c r="B1307">
        <v>10</v>
      </c>
      <c r="C1307">
        <v>20</v>
      </c>
      <c r="D1307" s="1" t="s">
        <v>99</v>
      </c>
      <c r="E1307" s="1">
        <v>25000000</v>
      </c>
      <c r="F1307">
        <f t="shared" si="86"/>
        <v>6604304.4214497237</v>
      </c>
      <c r="G1307">
        <f t="shared" si="93"/>
        <v>21276.479753642747</v>
      </c>
      <c r="H1307" s="2">
        <v>38718</v>
      </c>
      <c r="I1307" s="1" t="s">
        <v>236</v>
      </c>
      <c r="J1307" s="1" t="s">
        <v>220</v>
      </c>
      <c r="K1307" s="9">
        <v>60</v>
      </c>
      <c r="L1307" t="s">
        <v>21</v>
      </c>
      <c r="M1307">
        <f t="shared" si="92"/>
        <v>0.06</v>
      </c>
      <c r="N1307">
        <f t="shared" si="89"/>
        <v>18.62424</v>
      </c>
    </row>
    <row r="1308" spans="1:14" x14ac:dyDescent="0.3">
      <c r="A1308" s="1" t="s">
        <v>36</v>
      </c>
      <c r="B1308">
        <v>10</v>
      </c>
      <c r="C1308">
        <v>20</v>
      </c>
      <c r="D1308" s="1" t="s">
        <v>99</v>
      </c>
      <c r="E1308" s="1">
        <v>25000000</v>
      </c>
      <c r="F1308">
        <f t="shared" si="86"/>
        <v>6604304.4214497237</v>
      </c>
      <c r="G1308">
        <f t="shared" si="93"/>
        <v>21276.479753642747</v>
      </c>
      <c r="H1308" s="2">
        <v>38718</v>
      </c>
      <c r="I1308" s="1" t="s">
        <v>236</v>
      </c>
      <c r="J1308" s="1" t="s">
        <v>220</v>
      </c>
      <c r="K1308" s="9">
        <v>10.5</v>
      </c>
      <c r="L1308" t="s">
        <v>21</v>
      </c>
      <c r="M1308">
        <f t="shared" si="92"/>
        <v>1.0500000000000001E-2</v>
      </c>
      <c r="N1308">
        <f t="shared" si="89"/>
        <v>3.2592420000000009</v>
      </c>
    </row>
    <row r="1309" spans="1:14" x14ac:dyDescent="0.3">
      <c r="A1309" s="1" t="s">
        <v>29</v>
      </c>
      <c r="B1309">
        <v>10</v>
      </c>
      <c r="C1309">
        <v>20</v>
      </c>
      <c r="D1309" s="1" t="s">
        <v>99</v>
      </c>
      <c r="E1309" s="1">
        <v>25000000</v>
      </c>
      <c r="F1309">
        <f t="shared" si="86"/>
        <v>6604304.4214497237</v>
      </c>
      <c r="G1309">
        <f t="shared" si="93"/>
        <v>21276.479753642747</v>
      </c>
      <c r="H1309" s="2">
        <v>38718</v>
      </c>
      <c r="I1309" s="1" t="s">
        <v>236</v>
      </c>
      <c r="J1309" s="1" t="s">
        <v>220</v>
      </c>
      <c r="K1309" s="9">
        <v>78.900000000000006</v>
      </c>
      <c r="L1309" t="s">
        <v>21</v>
      </c>
      <c r="M1309">
        <f t="shared" si="92"/>
        <v>7.8900000000000012E-2</v>
      </c>
      <c r="N1309">
        <f t="shared" si="89"/>
        <v>24.490875600000006</v>
      </c>
    </row>
    <row r="1310" spans="1:14" x14ac:dyDescent="0.3">
      <c r="A1310" s="1" t="s">
        <v>19</v>
      </c>
      <c r="B1310">
        <v>10</v>
      </c>
      <c r="C1310">
        <v>21</v>
      </c>
      <c r="D1310" s="1" t="s">
        <v>100</v>
      </c>
      <c r="E1310" s="1">
        <v>36000000</v>
      </c>
      <c r="F1310">
        <f t="shared" si="86"/>
        <v>9510198.366887603</v>
      </c>
      <c r="G1310">
        <f t="shared" si="93"/>
        <v>30638.13084524556</v>
      </c>
      <c r="H1310" s="1" t="s">
        <v>104</v>
      </c>
      <c r="I1310" s="1" t="s">
        <v>235</v>
      </c>
      <c r="J1310" s="1" t="s">
        <v>216</v>
      </c>
      <c r="K1310" s="9">
        <v>29</v>
      </c>
      <c r="L1310" t="s">
        <v>21</v>
      </c>
      <c r="M1310">
        <f t="shared" si="92"/>
        <v>2.9000000000000001E-2</v>
      </c>
      <c r="N1310">
        <f t="shared" si="89"/>
        <v>9.0017160000000001</v>
      </c>
    </row>
    <row r="1311" spans="1:14" x14ac:dyDescent="0.3">
      <c r="A1311" s="1" t="s">
        <v>36</v>
      </c>
      <c r="B1311">
        <v>10</v>
      </c>
      <c r="C1311">
        <v>21</v>
      </c>
      <c r="D1311" s="1" t="s">
        <v>100</v>
      </c>
      <c r="E1311" s="1">
        <v>36000000</v>
      </c>
      <c r="F1311">
        <f t="shared" si="86"/>
        <v>9510198.366887603</v>
      </c>
      <c r="G1311">
        <f t="shared" si="93"/>
        <v>30638.13084524556</v>
      </c>
      <c r="H1311" s="1" t="s">
        <v>104</v>
      </c>
      <c r="I1311" s="1" t="s">
        <v>235</v>
      </c>
      <c r="J1311" s="1" t="s">
        <v>216</v>
      </c>
      <c r="K1311" s="9">
        <v>10</v>
      </c>
      <c r="L1311" t="s">
        <v>21</v>
      </c>
      <c r="M1311">
        <f t="shared" si="92"/>
        <v>0.01</v>
      </c>
      <c r="N1311">
        <f t="shared" si="89"/>
        <v>3.1040399999999999</v>
      </c>
    </row>
    <row r="1312" spans="1:14" x14ac:dyDescent="0.3">
      <c r="A1312" s="1" t="s">
        <v>19</v>
      </c>
      <c r="B1312">
        <v>10</v>
      </c>
      <c r="C1312">
        <v>22</v>
      </c>
      <c r="D1312" s="1" t="s">
        <v>100</v>
      </c>
      <c r="E1312" s="1">
        <v>20000000</v>
      </c>
      <c r="F1312">
        <f t="shared" si="86"/>
        <v>5283443.5371597791</v>
      </c>
      <c r="G1312">
        <f t="shared" si="93"/>
        <v>17021.183802914198</v>
      </c>
      <c r="H1312" s="1" t="s">
        <v>104</v>
      </c>
      <c r="I1312" s="1" t="s">
        <v>235</v>
      </c>
      <c r="J1312" s="1" t="s">
        <v>216</v>
      </c>
      <c r="K1312" s="9">
        <v>29</v>
      </c>
      <c r="L1312" t="s">
        <v>21</v>
      </c>
      <c r="M1312">
        <f t="shared" si="92"/>
        <v>2.9000000000000001E-2</v>
      </c>
      <c r="N1312">
        <f t="shared" si="89"/>
        <v>9.0017160000000018</v>
      </c>
    </row>
    <row r="1313" spans="1:14" x14ac:dyDescent="0.3">
      <c r="A1313" s="1" t="s">
        <v>36</v>
      </c>
      <c r="B1313">
        <v>10</v>
      </c>
      <c r="C1313">
        <v>22</v>
      </c>
      <c r="D1313" s="1" t="s">
        <v>100</v>
      </c>
      <c r="E1313" s="1">
        <v>20000000</v>
      </c>
      <c r="F1313">
        <f t="shared" si="86"/>
        <v>5283443.5371597791</v>
      </c>
      <c r="G1313">
        <f t="shared" si="93"/>
        <v>17021.183802914198</v>
      </c>
      <c r="H1313" s="1" t="s">
        <v>104</v>
      </c>
      <c r="I1313" s="1" t="s">
        <v>235</v>
      </c>
      <c r="J1313" s="1" t="s">
        <v>216</v>
      </c>
      <c r="K1313" s="9">
        <v>7</v>
      </c>
      <c r="L1313" t="s">
        <v>21</v>
      </c>
      <c r="M1313">
        <f t="shared" si="92"/>
        <v>7.0000000000000001E-3</v>
      </c>
      <c r="N1313">
        <f t="shared" si="89"/>
        <v>2.172828</v>
      </c>
    </row>
    <row r="1314" spans="1:14" x14ac:dyDescent="0.3">
      <c r="A1314" s="1" t="s">
        <v>19</v>
      </c>
      <c r="B1314">
        <v>10</v>
      </c>
      <c r="C1314">
        <v>23</v>
      </c>
      <c r="D1314" s="1" t="s">
        <v>101</v>
      </c>
      <c r="E1314" s="1">
        <v>24000000</v>
      </c>
      <c r="F1314">
        <f t="shared" si="86"/>
        <v>6340132.2445917344</v>
      </c>
      <c r="G1314">
        <f t="shared" si="93"/>
        <v>20425.420563497039</v>
      </c>
      <c r="H1314" s="1" t="s">
        <v>105</v>
      </c>
      <c r="I1314" s="1" t="s">
        <v>234</v>
      </c>
      <c r="J1314" s="1" t="s">
        <v>228</v>
      </c>
      <c r="K1314" s="9">
        <v>14.1</v>
      </c>
      <c r="L1314" t="s">
        <v>21</v>
      </c>
      <c r="M1314">
        <f t="shared" si="92"/>
        <v>1.41E-2</v>
      </c>
      <c r="N1314">
        <f t="shared" si="89"/>
        <v>4.3766964000000002</v>
      </c>
    </row>
    <row r="1315" spans="1:14" x14ac:dyDescent="0.3">
      <c r="A1315" s="1" t="s">
        <v>19</v>
      </c>
      <c r="B1315">
        <v>10</v>
      </c>
      <c r="C1315">
        <v>23</v>
      </c>
      <c r="D1315" s="1" t="s">
        <v>101</v>
      </c>
      <c r="E1315" s="1">
        <v>24000000</v>
      </c>
      <c r="F1315">
        <f t="shared" si="86"/>
        <v>6340132.2445917344</v>
      </c>
      <c r="G1315">
        <f t="shared" si="93"/>
        <v>20425.420563497039</v>
      </c>
      <c r="H1315" s="1" t="s">
        <v>105</v>
      </c>
      <c r="I1315" s="1" t="s">
        <v>234</v>
      </c>
      <c r="J1315" s="1" t="s">
        <v>228</v>
      </c>
      <c r="K1315" s="9">
        <v>61.7</v>
      </c>
      <c r="L1315" t="s">
        <v>21</v>
      </c>
      <c r="M1315">
        <f t="shared" si="92"/>
        <v>6.1700000000000005E-2</v>
      </c>
      <c r="N1315">
        <f t="shared" si="89"/>
        <v>19.151926799999998</v>
      </c>
    </row>
    <row r="1316" spans="1:14" x14ac:dyDescent="0.3">
      <c r="A1316" s="1" t="s">
        <v>39</v>
      </c>
      <c r="B1316">
        <v>10</v>
      </c>
      <c r="C1316">
        <v>24</v>
      </c>
      <c r="D1316" s="1" t="s">
        <v>102</v>
      </c>
      <c r="E1316" s="1">
        <v>2500000</v>
      </c>
      <c r="F1316">
        <f t="shared" si="86"/>
        <v>660430.44214497239</v>
      </c>
      <c r="G1316">
        <v>15000</v>
      </c>
      <c r="H1316" s="2">
        <v>41456</v>
      </c>
      <c r="I1316" s="1" t="s">
        <v>232</v>
      </c>
      <c r="J1316" s="1" t="s">
        <v>216</v>
      </c>
      <c r="K1316" s="9">
        <v>80.8</v>
      </c>
      <c r="L1316" t="s">
        <v>21</v>
      </c>
      <c r="M1316">
        <f t="shared" si="92"/>
        <v>8.0799999999999997E-2</v>
      </c>
      <c r="N1316">
        <f t="shared" si="89"/>
        <v>3.5575186483542511</v>
      </c>
    </row>
    <row r="1317" spans="1:14" x14ac:dyDescent="0.3">
      <c r="A1317" s="1" t="s">
        <v>29</v>
      </c>
      <c r="B1317">
        <v>10</v>
      </c>
      <c r="C1317">
        <v>24</v>
      </c>
      <c r="D1317" s="1" t="s">
        <v>102</v>
      </c>
      <c r="E1317" s="1">
        <v>2500000</v>
      </c>
      <c r="F1317">
        <f t="shared" si="86"/>
        <v>660430.44214497239</v>
      </c>
      <c r="G1317">
        <v>15000</v>
      </c>
      <c r="H1317" s="2">
        <v>41456</v>
      </c>
      <c r="I1317" s="1" t="s">
        <v>232</v>
      </c>
      <c r="J1317" s="1" t="s">
        <v>216</v>
      </c>
      <c r="K1317" s="9">
        <v>133</v>
      </c>
      <c r="L1317" t="s">
        <v>21</v>
      </c>
      <c r="M1317">
        <f t="shared" si="92"/>
        <v>0.13300000000000001</v>
      </c>
      <c r="N1317">
        <f t="shared" si="89"/>
        <v>5.8558165870187553</v>
      </c>
    </row>
    <row r="1318" spans="1:14" x14ac:dyDescent="0.3">
      <c r="A1318" s="1" t="s">
        <v>39</v>
      </c>
      <c r="B1318">
        <v>10</v>
      </c>
      <c r="C1318">
        <v>25</v>
      </c>
      <c r="D1318" s="1" t="s">
        <v>102</v>
      </c>
      <c r="E1318" s="1">
        <v>35000000</v>
      </c>
      <c r="F1318">
        <f t="shared" si="86"/>
        <v>9246026.1900296137</v>
      </c>
      <c r="G1318">
        <v>100000</v>
      </c>
      <c r="H1318" s="2">
        <v>41456</v>
      </c>
      <c r="I1318" s="1" t="s">
        <v>232</v>
      </c>
      <c r="J1318" s="1" t="s">
        <v>216</v>
      </c>
      <c r="K1318" s="9">
        <v>43.1</v>
      </c>
      <c r="L1318" t="s">
        <v>21</v>
      </c>
      <c r="M1318">
        <f t="shared" si="92"/>
        <v>4.3099999999999999E-2</v>
      </c>
      <c r="N1318">
        <f t="shared" si="89"/>
        <v>3.9850372879027631</v>
      </c>
    </row>
    <row r="1319" spans="1:14" x14ac:dyDescent="0.3">
      <c r="A1319" s="1" t="s">
        <v>29</v>
      </c>
      <c r="B1319">
        <v>10</v>
      </c>
      <c r="C1319">
        <v>25</v>
      </c>
      <c r="D1319" s="1" t="s">
        <v>102</v>
      </c>
      <c r="E1319" s="1">
        <v>35000000</v>
      </c>
      <c r="F1319">
        <f t="shared" si="86"/>
        <v>9246026.1900296137</v>
      </c>
      <c r="G1319">
        <v>100000</v>
      </c>
      <c r="H1319" s="2">
        <v>41456</v>
      </c>
      <c r="I1319" s="1" t="s">
        <v>232</v>
      </c>
      <c r="J1319" s="1" t="s">
        <v>216</v>
      </c>
      <c r="K1319" s="9">
        <v>59.4</v>
      </c>
      <c r="L1319" t="s">
        <v>21</v>
      </c>
      <c r="M1319">
        <f t="shared" si="92"/>
        <v>5.9400000000000001E-2</v>
      </c>
      <c r="N1319">
        <f t="shared" si="89"/>
        <v>5.492139556877591</v>
      </c>
    </row>
    <row r="1320" spans="1:14" x14ac:dyDescent="0.3">
      <c r="A1320" s="1" t="s">
        <v>29</v>
      </c>
      <c r="B1320">
        <v>10</v>
      </c>
      <c r="C1320">
        <v>26</v>
      </c>
      <c r="D1320" s="1" t="s">
        <v>103</v>
      </c>
      <c r="E1320" s="1">
        <v>75000000</v>
      </c>
      <c r="F1320">
        <f t="shared" si="86"/>
        <v>19812913.26434917</v>
      </c>
      <c r="G1320">
        <f>F1320/310.404</f>
        <v>63829.439260928244</v>
      </c>
      <c r="H1320" s="1" t="s">
        <v>106</v>
      </c>
      <c r="I1320" s="1" t="s">
        <v>233</v>
      </c>
      <c r="J1320" s="1" t="s">
        <v>220</v>
      </c>
      <c r="K1320" s="9">
        <v>3861</v>
      </c>
      <c r="L1320" t="s">
        <v>21</v>
      </c>
      <c r="M1320">
        <f t="shared" si="92"/>
        <v>3.8610000000000002</v>
      </c>
      <c r="N1320">
        <f t="shared" si="89"/>
        <v>1198.4698440000002</v>
      </c>
    </row>
    <row r="1321" spans="1:14" x14ac:dyDescent="0.3">
      <c r="A1321" s="1" t="s">
        <v>36</v>
      </c>
      <c r="B1321">
        <v>10</v>
      </c>
      <c r="C1321">
        <v>26</v>
      </c>
      <c r="D1321" s="1" t="s">
        <v>103</v>
      </c>
      <c r="E1321" s="1">
        <v>75000000</v>
      </c>
      <c r="F1321">
        <f t="shared" si="86"/>
        <v>19812913.26434917</v>
      </c>
      <c r="G1321">
        <f t="shared" ref="G1321:G1324" si="94">F1321/310.404</f>
        <v>63829.439260928244</v>
      </c>
      <c r="H1321" s="1" t="s">
        <v>106</v>
      </c>
      <c r="I1321" s="1" t="s">
        <v>233</v>
      </c>
      <c r="J1321" s="1" t="s">
        <v>220</v>
      </c>
      <c r="K1321" s="9">
        <v>293</v>
      </c>
      <c r="L1321" t="s">
        <v>21</v>
      </c>
      <c r="M1321">
        <f t="shared" si="92"/>
        <v>0.29299999999999998</v>
      </c>
      <c r="N1321">
        <f t="shared" si="89"/>
        <v>90.948371999999992</v>
      </c>
    </row>
    <row r="1322" spans="1:14" x14ac:dyDescent="0.3">
      <c r="A1322" s="1" t="s">
        <v>39</v>
      </c>
      <c r="B1322">
        <v>10</v>
      </c>
      <c r="C1322">
        <v>26</v>
      </c>
      <c r="D1322" s="1" t="s">
        <v>103</v>
      </c>
      <c r="E1322" s="1">
        <v>75000000</v>
      </c>
      <c r="F1322">
        <f t="shared" si="86"/>
        <v>19812913.26434917</v>
      </c>
      <c r="G1322">
        <f t="shared" si="94"/>
        <v>63829.439260928244</v>
      </c>
      <c r="H1322" s="1" t="s">
        <v>106</v>
      </c>
      <c r="I1322" s="1" t="s">
        <v>233</v>
      </c>
      <c r="J1322" s="1" t="s">
        <v>220</v>
      </c>
      <c r="K1322" s="9">
        <v>588</v>
      </c>
      <c r="L1322" t="s">
        <v>21</v>
      </c>
      <c r="M1322">
        <f t="shared" si="92"/>
        <v>0.58799999999999997</v>
      </c>
      <c r="N1322">
        <f t="shared" si="89"/>
        <v>182.51755199999999</v>
      </c>
    </row>
    <row r="1323" spans="1:14" x14ac:dyDescent="0.3">
      <c r="A1323" s="1" t="s">
        <v>29</v>
      </c>
      <c r="B1323">
        <v>10</v>
      </c>
      <c r="C1323">
        <v>27</v>
      </c>
      <c r="D1323" s="1" t="s">
        <v>103</v>
      </c>
      <c r="E1323" s="1">
        <v>60000000</v>
      </c>
      <c r="F1323">
        <f t="shared" si="86"/>
        <v>15850330.611479336</v>
      </c>
      <c r="G1323">
        <f t="shared" si="94"/>
        <v>51063.551408742598</v>
      </c>
      <c r="H1323" s="1" t="s">
        <v>106</v>
      </c>
      <c r="I1323" s="1" t="s">
        <v>233</v>
      </c>
      <c r="J1323" s="1" t="s">
        <v>220</v>
      </c>
      <c r="K1323" s="9">
        <v>2505</v>
      </c>
      <c r="L1323" t="s">
        <v>21</v>
      </c>
      <c r="M1323">
        <f t="shared" si="92"/>
        <v>2.5049999999999999</v>
      </c>
      <c r="N1323">
        <f t="shared" si="89"/>
        <v>777.56201999999996</v>
      </c>
    </row>
    <row r="1324" spans="1:14" x14ac:dyDescent="0.3">
      <c r="A1324" s="1" t="s">
        <v>36</v>
      </c>
      <c r="B1324">
        <v>10</v>
      </c>
      <c r="C1324">
        <v>27</v>
      </c>
      <c r="D1324" s="1" t="s">
        <v>103</v>
      </c>
      <c r="E1324" s="1">
        <v>60000000</v>
      </c>
      <c r="F1324">
        <f t="shared" si="86"/>
        <v>15850330.611479336</v>
      </c>
      <c r="G1324">
        <f t="shared" si="94"/>
        <v>51063.551408742598</v>
      </c>
      <c r="H1324" s="1" t="s">
        <v>106</v>
      </c>
      <c r="I1324" s="1" t="s">
        <v>233</v>
      </c>
      <c r="J1324" s="1" t="s">
        <v>220</v>
      </c>
      <c r="K1324" s="9">
        <v>351</v>
      </c>
      <c r="L1324" t="s">
        <v>21</v>
      </c>
      <c r="M1324">
        <f t="shared" si="92"/>
        <v>0.35099999999999998</v>
      </c>
      <c r="N1324">
        <f t="shared" si="89"/>
        <v>108.951804</v>
      </c>
    </row>
    <row r="1325" spans="1:14" x14ac:dyDescent="0.3">
      <c r="A1325" s="1" t="s">
        <v>39</v>
      </c>
      <c r="B1325">
        <v>10</v>
      </c>
      <c r="C1325">
        <v>27</v>
      </c>
      <c r="D1325" s="1" t="s">
        <v>103</v>
      </c>
      <c r="E1325" s="1">
        <v>60000000</v>
      </c>
      <c r="F1325">
        <f>E1325/3.78541</f>
        <v>15850330.611479336</v>
      </c>
      <c r="G1325">
        <f>F1325/310.404</f>
        <v>51063.551408742598</v>
      </c>
      <c r="H1325" s="1" t="s">
        <v>106</v>
      </c>
      <c r="I1325" s="1" t="s">
        <v>233</v>
      </c>
      <c r="J1325" s="1" t="s">
        <v>220</v>
      </c>
      <c r="K1325" s="9">
        <v>997</v>
      </c>
      <c r="L1325" t="s">
        <v>21</v>
      </c>
      <c r="M1325">
        <f t="shared" si="92"/>
        <v>0.997</v>
      </c>
      <c r="N1325">
        <f t="shared" si="89"/>
        <v>309.47278799999998</v>
      </c>
    </row>
    <row r="1326" spans="1:14" x14ac:dyDescent="0.3">
      <c r="A1326" s="1" t="s">
        <v>23</v>
      </c>
      <c r="B1326">
        <v>11</v>
      </c>
      <c r="C1326">
        <v>28</v>
      </c>
      <c r="D1326" s="1" t="s">
        <v>71</v>
      </c>
      <c r="E1326" s="1">
        <v>6650000</v>
      </c>
      <c r="F1326" s="1">
        <f>E1326</f>
        <v>6650000</v>
      </c>
      <c r="G1326">
        <f t="shared" ref="G1326:G1363" si="95">F1326/310.404</f>
        <v>21423.69299364699</v>
      </c>
      <c r="H1326" s="1" t="s">
        <v>107</v>
      </c>
      <c r="I1326" s="1" t="s">
        <v>224</v>
      </c>
      <c r="J1326" s="1" t="s">
        <v>216</v>
      </c>
      <c r="K1326" s="9">
        <f>1000*198.66</f>
        <v>198660</v>
      </c>
      <c r="L1326" t="s">
        <v>21</v>
      </c>
      <c r="M1326">
        <f t="shared" ref="M1326:M1394" si="96">IFERROR(K1326/1000,"ND")</f>
        <v>198.66</v>
      </c>
      <c r="N1326">
        <f t="shared" si="89"/>
        <v>61664.858639999999</v>
      </c>
    </row>
    <row r="1327" spans="1:14" x14ac:dyDescent="0.3">
      <c r="A1327" s="1" t="s">
        <v>68</v>
      </c>
      <c r="B1327">
        <v>11</v>
      </c>
      <c r="C1327">
        <v>28</v>
      </c>
      <c r="D1327" s="1" t="s">
        <v>71</v>
      </c>
      <c r="E1327" s="1">
        <v>6650000</v>
      </c>
      <c r="F1327" s="1">
        <f t="shared" ref="F1327:F1350" si="97">E1327</f>
        <v>6650000</v>
      </c>
      <c r="G1327">
        <f t="shared" si="95"/>
        <v>21423.69299364699</v>
      </c>
      <c r="H1327" s="1" t="s">
        <v>107</v>
      </c>
      <c r="I1327" s="1" t="s">
        <v>224</v>
      </c>
      <c r="J1327" s="1" t="s">
        <v>216</v>
      </c>
      <c r="K1327" s="9">
        <f>1000*1.02</f>
        <v>1020</v>
      </c>
      <c r="L1327" t="s">
        <v>21</v>
      </c>
      <c r="M1327">
        <f t="shared" si="96"/>
        <v>1.02</v>
      </c>
      <c r="N1327">
        <f t="shared" si="89"/>
        <v>316.61207999999999</v>
      </c>
    </row>
    <row r="1328" spans="1:14" x14ac:dyDescent="0.3">
      <c r="A1328" s="1" t="s">
        <v>35</v>
      </c>
      <c r="B1328">
        <v>11</v>
      </c>
      <c r="C1328">
        <v>28</v>
      </c>
      <c r="D1328" s="1" t="s">
        <v>71</v>
      </c>
      <c r="E1328" s="1">
        <v>6650000</v>
      </c>
      <c r="F1328" s="1">
        <f t="shared" si="97"/>
        <v>6650000</v>
      </c>
      <c r="G1328">
        <f t="shared" si="95"/>
        <v>21423.69299364699</v>
      </c>
      <c r="H1328" s="1" t="s">
        <v>107</v>
      </c>
      <c r="I1328" s="1" t="s">
        <v>224</v>
      </c>
      <c r="J1328" s="1" t="s">
        <v>216</v>
      </c>
      <c r="K1328" s="9">
        <f>1000*28.7</f>
        <v>28700</v>
      </c>
      <c r="L1328" t="s">
        <v>21</v>
      </c>
      <c r="M1328">
        <f t="shared" si="96"/>
        <v>28.7</v>
      </c>
      <c r="N1328">
        <f t="shared" si="89"/>
        <v>8908.5947999999989</v>
      </c>
    </row>
    <row r="1329" spans="1:14" x14ac:dyDescent="0.3">
      <c r="A1329" s="1" t="s">
        <v>40</v>
      </c>
      <c r="B1329">
        <v>11</v>
      </c>
      <c r="C1329">
        <v>28</v>
      </c>
      <c r="D1329" s="1" t="s">
        <v>71</v>
      </c>
      <c r="E1329" s="1">
        <v>6650000</v>
      </c>
      <c r="F1329" s="1">
        <f t="shared" si="97"/>
        <v>6650000</v>
      </c>
      <c r="G1329">
        <f t="shared" si="95"/>
        <v>21423.69299364699</v>
      </c>
      <c r="H1329" s="1" t="s">
        <v>107</v>
      </c>
      <c r="I1329" s="1" t="s">
        <v>224</v>
      </c>
      <c r="J1329" s="1" t="s">
        <v>216</v>
      </c>
      <c r="K1329" s="9">
        <f>1000*0.89</f>
        <v>890</v>
      </c>
      <c r="L1329" t="s">
        <v>21</v>
      </c>
      <c r="M1329">
        <f t="shared" si="96"/>
        <v>0.89</v>
      </c>
      <c r="N1329">
        <f t="shared" si="89"/>
        <v>276.25955999999996</v>
      </c>
    </row>
    <row r="1330" spans="1:14" x14ac:dyDescent="0.3">
      <c r="A1330" s="1" t="s">
        <v>41</v>
      </c>
      <c r="B1330">
        <v>11</v>
      </c>
      <c r="C1330">
        <v>28</v>
      </c>
      <c r="D1330" s="1" t="s">
        <v>71</v>
      </c>
      <c r="E1330" s="1">
        <v>6650000</v>
      </c>
      <c r="F1330" s="1">
        <f t="shared" si="97"/>
        <v>6650000</v>
      </c>
      <c r="G1330">
        <f t="shared" si="95"/>
        <v>21423.69299364699</v>
      </c>
      <c r="H1330" s="1" t="s">
        <v>107</v>
      </c>
      <c r="I1330" s="1" t="s">
        <v>224</v>
      </c>
      <c r="J1330" s="1" t="s">
        <v>216</v>
      </c>
      <c r="K1330" s="9">
        <f>1000*2.19</f>
        <v>2190</v>
      </c>
      <c r="L1330" t="s">
        <v>21</v>
      </c>
      <c r="M1330">
        <f t="shared" si="96"/>
        <v>2.19</v>
      </c>
      <c r="N1330">
        <f t="shared" si="89"/>
        <v>679.78476000000001</v>
      </c>
    </row>
    <row r="1331" spans="1:14" x14ac:dyDescent="0.3">
      <c r="A1331" s="1" t="s">
        <v>23</v>
      </c>
      <c r="B1331">
        <v>11</v>
      </c>
      <c r="C1331">
        <v>28</v>
      </c>
      <c r="D1331" s="1" t="s">
        <v>71</v>
      </c>
      <c r="E1331" s="1">
        <v>6650000</v>
      </c>
      <c r="F1331" s="1">
        <f t="shared" si="97"/>
        <v>6650000</v>
      </c>
      <c r="G1331">
        <f t="shared" si="95"/>
        <v>21423.69299364699</v>
      </c>
      <c r="H1331" s="1" t="s">
        <v>107</v>
      </c>
      <c r="I1331" s="1" t="s">
        <v>224</v>
      </c>
      <c r="J1331" s="1" t="s">
        <v>216</v>
      </c>
      <c r="K1331" s="9">
        <f>1000*173.38</f>
        <v>173380</v>
      </c>
      <c r="L1331" t="s">
        <v>21</v>
      </c>
      <c r="M1331">
        <f t="shared" si="96"/>
        <v>173.38</v>
      </c>
      <c r="N1331">
        <f t="shared" si="89"/>
        <v>53817.845519999995</v>
      </c>
    </row>
    <row r="1332" spans="1:14" x14ac:dyDescent="0.3">
      <c r="A1332" s="1" t="s">
        <v>68</v>
      </c>
      <c r="B1332">
        <v>11</v>
      </c>
      <c r="C1332">
        <v>28</v>
      </c>
      <c r="D1332" s="1" t="s">
        <v>71</v>
      </c>
      <c r="E1332" s="1">
        <v>6650000</v>
      </c>
      <c r="F1332" s="1">
        <f t="shared" si="97"/>
        <v>6650000</v>
      </c>
      <c r="G1332">
        <f t="shared" si="95"/>
        <v>21423.69299364699</v>
      </c>
      <c r="H1332" s="1" t="s">
        <v>107</v>
      </c>
      <c r="I1332" s="1" t="s">
        <v>224</v>
      </c>
      <c r="J1332" s="1" t="s">
        <v>216</v>
      </c>
      <c r="K1332" s="9">
        <f>1000*0.08</f>
        <v>80</v>
      </c>
      <c r="L1332" t="s">
        <v>21</v>
      </c>
      <c r="M1332">
        <f t="shared" si="96"/>
        <v>0.08</v>
      </c>
      <c r="N1332">
        <f t="shared" si="89"/>
        <v>24.832319999999999</v>
      </c>
    </row>
    <row r="1333" spans="1:14" x14ac:dyDescent="0.3">
      <c r="A1333" s="1" t="s">
        <v>35</v>
      </c>
      <c r="B1333">
        <v>11</v>
      </c>
      <c r="C1333">
        <v>28</v>
      </c>
      <c r="D1333" s="1" t="s">
        <v>71</v>
      </c>
      <c r="E1333" s="1">
        <v>6650000</v>
      </c>
      <c r="F1333" s="1">
        <f t="shared" si="97"/>
        <v>6650000</v>
      </c>
      <c r="G1333">
        <f t="shared" si="95"/>
        <v>21423.69299364699</v>
      </c>
      <c r="H1333" s="1" t="s">
        <v>107</v>
      </c>
      <c r="I1333" s="1" t="s">
        <v>224</v>
      </c>
      <c r="J1333" s="1" t="s">
        <v>216</v>
      </c>
      <c r="K1333" s="9">
        <f>1000*37.8</f>
        <v>37800</v>
      </c>
      <c r="L1333" t="s">
        <v>21</v>
      </c>
      <c r="M1333">
        <f t="shared" si="96"/>
        <v>37.799999999999997</v>
      </c>
      <c r="N1333">
        <f t="shared" si="89"/>
        <v>11733.271199999997</v>
      </c>
    </row>
    <row r="1334" spans="1:14" x14ac:dyDescent="0.3">
      <c r="A1334" s="1" t="s">
        <v>40</v>
      </c>
      <c r="B1334">
        <v>11</v>
      </c>
      <c r="C1334">
        <v>28</v>
      </c>
      <c r="D1334" s="1" t="s">
        <v>71</v>
      </c>
      <c r="E1334" s="1">
        <v>6650000</v>
      </c>
      <c r="F1334" s="1">
        <f t="shared" si="97"/>
        <v>6650000</v>
      </c>
      <c r="G1334">
        <f t="shared" si="95"/>
        <v>21423.69299364699</v>
      </c>
      <c r="H1334" s="1" t="s">
        <v>107</v>
      </c>
      <c r="I1334" s="1" t="s">
        <v>224</v>
      </c>
      <c r="J1334" s="1" t="s">
        <v>216</v>
      </c>
      <c r="K1334" s="9">
        <f>1000*0.51</f>
        <v>510</v>
      </c>
      <c r="L1334" t="s">
        <v>21</v>
      </c>
      <c r="M1334">
        <f t="shared" si="96"/>
        <v>0.51</v>
      </c>
      <c r="N1334">
        <f t="shared" si="89"/>
        <v>158.30604</v>
      </c>
    </row>
    <row r="1335" spans="1:14" x14ac:dyDescent="0.3">
      <c r="A1335" s="1" t="s">
        <v>41</v>
      </c>
      <c r="B1335">
        <v>11</v>
      </c>
      <c r="C1335">
        <v>28</v>
      </c>
      <c r="D1335" s="1" t="s">
        <v>71</v>
      </c>
      <c r="E1335" s="1">
        <v>6650000</v>
      </c>
      <c r="F1335" s="1">
        <f t="shared" si="97"/>
        <v>6650000</v>
      </c>
      <c r="G1335">
        <f t="shared" si="95"/>
        <v>21423.69299364699</v>
      </c>
      <c r="H1335" s="1" t="s">
        <v>107</v>
      </c>
      <c r="I1335" s="1" t="s">
        <v>224</v>
      </c>
      <c r="J1335" s="1" t="s">
        <v>216</v>
      </c>
      <c r="K1335" s="9">
        <f>1000*1.91</f>
        <v>1910</v>
      </c>
      <c r="L1335" t="s">
        <v>21</v>
      </c>
      <c r="M1335">
        <f t="shared" si="96"/>
        <v>1.91</v>
      </c>
      <c r="N1335">
        <f t="shared" si="89"/>
        <v>592.87163999999996</v>
      </c>
    </row>
    <row r="1336" spans="1:14" x14ac:dyDescent="0.3">
      <c r="A1336" s="1" t="s">
        <v>23</v>
      </c>
      <c r="B1336">
        <v>11</v>
      </c>
      <c r="C1336">
        <v>28</v>
      </c>
      <c r="D1336" s="1" t="s">
        <v>71</v>
      </c>
      <c r="E1336" s="1">
        <v>6650000</v>
      </c>
      <c r="F1336" s="1">
        <f t="shared" si="97"/>
        <v>6650000</v>
      </c>
      <c r="G1336">
        <f t="shared" si="95"/>
        <v>21423.69299364699</v>
      </c>
      <c r="H1336" s="1" t="s">
        <v>107</v>
      </c>
      <c r="I1336" s="1" t="s">
        <v>224</v>
      </c>
      <c r="J1336" s="1" t="s">
        <v>216</v>
      </c>
      <c r="K1336" s="9">
        <f>1000*1760.8</f>
        <v>1760800</v>
      </c>
      <c r="L1336" t="s">
        <v>21</v>
      </c>
      <c r="M1336">
        <f t="shared" si="96"/>
        <v>1760.8</v>
      </c>
      <c r="N1336">
        <f t="shared" si="89"/>
        <v>546559.36320000002</v>
      </c>
    </row>
    <row r="1337" spans="1:14" x14ac:dyDescent="0.3">
      <c r="A1337" s="1" t="s">
        <v>68</v>
      </c>
      <c r="B1337">
        <v>11</v>
      </c>
      <c r="C1337">
        <v>28</v>
      </c>
      <c r="D1337" s="1" t="s">
        <v>71</v>
      </c>
      <c r="E1337" s="1">
        <v>6650000</v>
      </c>
      <c r="F1337" s="1">
        <f t="shared" si="97"/>
        <v>6650000</v>
      </c>
      <c r="G1337">
        <f t="shared" si="95"/>
        <v>21423.69299364699</v>
      </c>
      <c r="H1337" s="1" t="s">
        <v>107</v>
      </c>
      <c r="I1337" s="1" t="s">
        <v>224</v>
      </c>
      <c r="J1337" s="1" t="s">
        <v>216</v>
      </c>
      <c r="K1337" s="9">
        <f>1000*560.42</f>
        <v>560420</v>
      </c>
      <c r="L1337" t="s">
        <v>21</v>
      </c>
      <c r="M1337">
        <f t="shared" si="96"/>
        <v>560.41999999999996</v>
      </c>
      <c r="N1337">
        <f t="shared" si="89"/>
        <v>173956.60967999997</v>
      </c>
    </row>
    <row r="1338" spans="1:14" x14ac:dyDescent="0.3">
      <c r="A1338" s="1" t="s">
        <v>35</v>
      </c>
      <c r="B1338">
        <v>11</v>
      </c>
      <c r="C1338">
        <v>28</v>
      </c>
      <c r="D1338" s="1" t="s">
        <v>71</v>
      </c>
      <c r="E1338" s="1">
        <v>6650000</v>
      </c>
      <c r="F1338" s="1">
        <f t="shared" si="97"/>
        <v>6650000</v>
      </c>
      <c r="G1338">
        <f t="shared" si="95"/>
        <v>21423.69299364699</v>
      </c>
      <c r="H1338" s="1" t="s">
        <v>107</v>
      </c>
      <c r="I1338" s="1" t="s">
        <v>224</v>
      </c>
      <c r="J1338" s="1" t="s">
        <v>216</v>
      </c>
      <c r="K1338" s="9">
        <f>1000*8.19</f>
        <v>8189.9999999999991</v>
      </c>
      <c r="L1338" t="s">
        <v>21</v>
      </c>
      <c r="M1338">
        <f t="shared" si="96"/>
        <v>8.19</v>
      </c>
      <c r="N1338">
        <f t="shared" si="89"/>
        <v>2542.20876</v>
      </c>
    </row>
    <row r="1339" spans="1:14" x14ac:dyDescent="0.3">
      <c r="A1339" s="1" t="s">
        <v>40</v>
      </c>
      <c r="B1339">
        <v>11</v>
      </c>
      <c r="C1339">
        <v>28</v>
      </c>
      <c r="D1339" s="1" t="s">
        <v>71</v>
      </c>
      <c r="E1339" s="1">
        <v>6650000</v>
      </c>
      <c r="F1339" s="1">
        <f t="shared" si="97"/>
        <v>6650000</v>
      </c>
      <c r="G1339">
        <f t="shared" si="95"/>
        <v>21423.69299364699</v>
      </c>
      <c r="H1339" s="1" t="s">
        <v>107</v>
      </c>
      <c r="I1339" s="1" t="s">
        <v>224</v>
      </c>
      <c r="J1339" s="1" t="s">
        <v>216</v>
      </c>
      <c r="K1339" s="9">
        <f>1000*60.18</f>
        <v>60180</v>
      </c>
      <c r="L1339" t="s">
        <v>21</v>
      </c>
      <c r="M1339">
        <f t="shared" si="96"/>
        <v>60.18</v>
      </c>
      <c r="N1339">
        <f t="shared" si="89"/>
        <v>18680.112720000001</v>
      </c>
    </row>
    <row r="1340" spans="1:14" x14ac:dyDescent="0.3">
      <c r="A1340" s="1" t="s">
        <v>41</v>
      </c>
      <c r="B1340">
        <v>11</v>
      </c>
      <c r="C1340">
        <v>28</v>
      </c>
      <c r="D1340" s="1" t="s">
        <v>71</v>
      </c>
      <c r="E1340" s="1">
        <v>6650000</v>
      </c>
      <c r="F1340" s="1">
        <f t="shared" si="97"/>
        <v>6650000</v>
      </c>
      <c r="G1340">
        <f t="shared" si="95"/>
        <v>21423.69299364699</v>
      </c>
      <c r="H1340" s="1" t="s">
        <v>107</v>
      </c>
      <c r="I1340" s="1" t="s">
        <v>224</v>
      </c>
      <c r="J1340" s="1" t="s">
        <v>216</v>
      </c>
      <c r="K1340" s="9">
        <f>1000*3.12</f>
        <v>3120</v>
      </c>
      <c r="L1340" t="s">
        <v>21</v>
      </c>
      <c r="M1340">
        <f t="shared" si="96"/>
        <v>3.12</v>
      </c>
      <c r="N1340">
        <f t="shared" si="89"/>
        <v>968.46047999999996</v>
      </c>
    </row>
    <row r="1341" spans="1:14" x14ac:dyDescent="0.3">
      <c r="A1341" s="1" t="s">
        <v>23</v>
      </c>
      <c r="B1341">
        <v>11</v>
      </c>
      <c r="C1341">
        <v>28</v>
      </c>
      <c r="D1341" s="1" t="s">
        <v>71</v>
      </c>
      <c r="E1341" s="1">
        <v>6650000</v>
      </c>
      <c r="F1341" s="1">
        <f t="shared" si="97"/>
        <v>6650000</v>
      </c>
      <c r="G1341">
        <f t="shared" si="95"/>
        <v>21423.69299364699</v>
      </c>
      <c r="H1341" s="1" t="s">
        <v>107</v>
      </c>
      <c r="I1341" s="1" t="s">
        <v>224</v>
      </c>
      <c r="J1341" s="1" t="s">
        <v>216</v>
      </c>
      <c r="K1341" s="9">
        <f>1000*10.87</f>
        <v>10870</v>
      </c>
      <c r="L1341" t="s">
        <v>21</v>
      </c>
      <c r="M1341">
        <f t="shared" si="96"/>
        <v>10.87</v>
      </c>
      <c r="N1341">
        <f t="shared" si="89"/>
        <v>3374.09148</v>
      </c>
    </row>
    <row r="1342" spans="1:14" x14ac:dyDescent="0.3">
      <c r="A1342" s="1" t="s">
        <v>68</v>
      </c>
      <c r="B1342">
        <v>11</v>
      </c>
      <c r="C1342">
        <v>28</v>
      </c>
      <c r="D1342" s="1" t="s">
        <v>71</v>
      </c>
      <c r="E1342" s="1">
        <v>6650000</v>
      </c>
      <c r="F1342" s="1">
        <f t="shared" si="97"/>
        <v>6650000</v>
      </c>
      <c r="G1342">
        <f t="shared" si="95"/>
        <v>21423.69299364699</v>
      </c>
      <c r="H1342" s="1" t="s">
        <v>107</v>
      </c>
      <c r="I1342" s="1" t="s">
        <v>224</v>
      </c>
      <c r="J1342" s="1" t="s">
        <v>216</v>
      </c>
      <c r="K1342" s="9">
        <f>1000*46.51</f>
        <v>46510</v>
      </c>
      <c r="L1342" t="s">
        <v>21</v>
      </c>
      <c r="M1342">
        <f t="shared" si="96"/>
        <v>46.51</v>
      </c>
      <c r="N1342">
        <f t="shared" si="89"/>
        <v>14436.89004</v>
      </c>
    </row>
    <row r="1343" spans="1:14" x14ac:dyDescent="0.3">
      <c r="A1343" s="1" t="s">
        <v>35</v>
      </c>
      <c r="B1343">
        <v>11</v>
      </c>
      <c r="C1343">
        <v>28</v>
      </c>
      <c r="D1343" s="1" t="s">
        <v>71</v>
      </c>
      <c r="E1343" s="1">
        <v>6650000</v>
      </c>
      <c r="F1343" s="1">
        <f t="shared" si="97"/>
        <v>6650000</v>
      </c>
      <c r="G1343">
        <f t="shared" si="95"/>
        <v>21423.69299364699</v>
      </c>
      <c r="H1343" s="1" t="s">
        <v>107</v>
      </c>
      <c r="I1343" s="1" t="s">
        <v>224</v>
      </c>
      <c r="J1343" s="1" t="s">
        <v>216</v>
      </c>
      <c r="K1343" s="9">
        <f>1000*2063.84</f>
        <v>2063840.0000000002</v>
      </c>
      <c r="L1343" t="s">
        <v>21</v>
      </c>
      <c r="M1343">
        <f t="shared" si="96"/>
        <v>2063.84</v>
      </c>
      <c r="N1343">
        <f t="shared" si="89"/>
        <v>640624.19136000006</v>
      </c>
    </row>
    <row r="1344" spans="1:14" x14ac:dyDescent="0.3">
      <c r="A1344" s="1" t="s">
        <v>40</v>
      </c>
      <c r="B1344">
        <v>11</v>
      </c>
      <c r="C1344">
        <v>28</v>
      </c>
      <c r="D1344" s="1" t="s">
        <v>71</v>
      </c>
      <c r="E1344" s="1">
        <v>6650000</v>
      </c>
      <c r="F1344" s="1">
        <f t="shared" si="97"/>
        <v>6650000</v>
      </c>
      <c r="G1344">
        <f t="shared" si="95"/>
        <v>21423.69299364699</v>
      </c>
      <c r="H1344" s="1" t="s">
        <v>107</v>
      </c>
      <c r="I1344" s="1" t="s">
        <v>224</v>
      </c>
      <c r="J1344" s="1" t="s">
        <v>216</v>
      </c>
      <c r="K1344" s="9">
        <f>1000*0.29</f>
        <v>290</v>
      </c>
      <c r="L1344" t="s">
        <v>21</v>
      </c>
      <c r="M1344">
        <f t="shared" si="96"/>
        <v>0.28999999999999998</v>
      </c>
      <c r="N1344">
        <f t="shared" si="89"/>
        <v>90.01715999999999</v>
      </c>
    </row>
    <row r="1345" spans="1:14" x14ac:dyDescent="0.3">
      <c r="A1345" s="1" t="s">
        <v>41</v>
      </c>
      <c r="B1345">
        <v>11</v>
      </c>
      <c r="C1345">
        <v>28</v>
      </c>
      <c r="D1345" s="1" t="s">
        <v>71</v>
      </c>
      <c r="E1345" s="1">
        <v>6650000</v>
      </c>
      <c r="F1345" s="1">
        <f t="shared" si="97"/>
        <v>6650000</v>
      </c>
      <c r="G1345">
        <f t="shared" si="95"/>
        <v>21423.69299364699</v>
      </c>
      <c r="H1345" s="1" t="s">
        <v>107</v>
      </c>
      <c r="I1345" s="1" t="s">
        <v>224</v>
      </c>
      <c r="J1345" s="1" t="s">
        <v>216</v>
      </c>
      <c r="K1345" s="9">
        <f>1000*72.01</f>
        <v>72010</v>
      </c>
      <c r="L1345" t="s">
        <v>21</v>
      </c>
      <c r="M1345">
        <f t="shared" si="96"/>
        <v>72.010000000000005</v>
      </c>
      <c r="N1345">
        <f t="shared" si="89"/>
        <v>22352.192040000002</v>
      </c>
    </row>
    <row r="1346" spans="1:14" x14ac:dyDescent="0.3">
      <c r="A1346" s="1" t="s">
        <v>23</v>
      </c>
      <c r="B1346">
        <v>11</v>
      </c>
      <c r="C1346">
        <v>28</v>
      </c>
      <c r="D1346" s="1" t="s">
        <v>71</v>
      </c>
      <c r="E1346" s="1">
        <v>6650000</v>
      </c>
      <c r="F1346" s="1">
        <f t="shared" si="97"/>
        <v>6650000</v>
      </c>
      <c r="G1346">
        <f t="shared" si="95"/>
        <v>21423.69299364699</v>
      </c>
      <c r="H1346" s="1" t="s">
        <v>107</v>
      </c>
      <c r="I1346" s="1" t="s">
        <v>224</v>
      </c>
      <c r="J1346" s="1" t="s">
        <v>216</v>
      </c>
      <c r="K1346" s="9">
        <f>1000*65.02</f>
        <v>65019.999999999993</v>
      </c>
      <c r="L1346" t="s">
        <v>21</v>
      </c>
      <c r="M1346">
        <f t="shared" si="96"/>
        <v>65.02</v>
      </c>
      <c r="N1346">
        <f t="shared" ref="N1346:N1370" si="98">IFERROR((M1346*F1346)/G1346,"ND")</f>
        <v>20182.468079999999</v>
      </c>
    </row>
    <row r="1347" spans="1:14" x14ac:dyDescent="0.3">
      <c r="A1347" s="1" t="s">
        <v>68</v>
      </c>
      <c r="B1347">
        <v>11</v>
      </c>
      <c r="C1347">
        <v>28</v>
      </c>
      <c r="D1347" s="1" t="s">
        <v>71</v>
      </c>
      <c r="E1347" s="1">
        <v>6650000</v>
      </c>
      <c r="F1347" s="1">
        <f t="shared" si="97"/>
        <v>6650000</v>
      </c>
      <c r="G1347">
        <f t="shared" si="95"/>
        <v>21423.69299364699</v>
      </c>
      <c r="H1347" s="1" t="s">
        <v>107</v>
      </c>
      <c r="I1347" s="1" t="s">
        <v>224</v>
      </c>
      <c r="J1347" s="1" t="s">
        <v>216</v>
      </c>
      <c r="K1347" s="9">
        <f>1000*61.2</f>
        <v>61200</v>
      </c>
      <c r="L1347" t="s">
        <v>21</v>
      </c>
      <c r="M1347">
        <f t="shared" si="96"/>
        <v>61.2</v>
      </c>
      <c r="N1347">
        <f t="shared" si="98"/>
        <v>18996.7248</v>
      </c>
    </row>
    <row r="1348" spans="1:14" x14ac:dyDescent="0.3">
      <c r="A1348" s="1" t="s">
        <v>35</v>
      </c>
      <c r="B1348">
        <v>11</v>
      </c>
      <c r="C1348">
        <v>28</v>
      </c>
      <c r="D1348" s="1" t="s">
        <v>71</v>
      </c>
      <c r="E1348" s="1">
        <v>6650000</v>
      </c>
      <c r="F1348" s="1">
        <f t="shared" si="97"/>
        <v>6650000</v>
      </c>
      <c r="G1348">
        <f t="shared" si="95"/>
        <v>21423.69299364699</v>
      </c>
      <c r="H1348" s="1" t="s">
        <v>107</v>
      </c>
      <c r="I1348" s="1" t="s">
        <v>224</v>
      </c>
      <c r="J1348" s="1" t="s">
        <v>216</v>
      </c>
      <c r="K1348" s="9">
        <f>1000*793.03</f>
        <v>793030</v>
      </c>
      <c r="L1348" t="s">
        <v>21</v>
      </c>
      <c r="M1348">
        <f t="shared" si="96"/>
        <v>793.03</v>
      </c>
      <c r="N1348">
        <f t="shared" si="98"/>
        <v>246159.68411999999</v>
      </c>
    </row>
    <row r="1349" spans="1:14" x14ac:dyDescent="0.3">
      <c r="A1349" s="1" t="s">
        <v>40</v>
      </c>
      <c r="B1349">
        <v>11</v>
      </c>
      <c r="C1349">
        <v>28</v>
      </c>
      <c r="D1349" s="1" t="s">
        <v>71</v>
      </c>
      <c r="E1349" s="1">
        <v>6650000</v>
      </c>
      <c r="F1349" s="1">
        <f t="shared" si="97"/>
        <v>6650000</v>
      </c>
      <c r="G1349">
        <f t="shared" si="95"/>
        <v>21423.69299364699</v>
      </c>
      <c r="H1349" s="1" t="s">
        <v>107</v>
      </c>
      <c r="I1349" s="1" t="s">
        <v>224</v>
      </c>
      <c r="J1349" s="1" t="s">
        <v>216</v>
      </c>
      <c r="K1349" s="9">
        <f>1000*1.54</f>
        <v>1540</v>
      </c>
      <c r="L1349" t="s">
        <v>21</v>
      </c>
      <c r="M1349">
        <f t="shared" si="96"/>
        <v>1.54</v>
      </c>
      <c r="N1349">
        <f t="shared" si="98"/>
        <v>478.02215999999999</v>
      </c>
    </row>
    <row r="1350" spans="1:14" x14ac:dyDescent="0.3">
      <c r="A1350" s="1" t="s">
        <v>41</v>
      </c>
      <c r="B1350">
        <v>11</v>
      </c>
      <c r="C1350">
        <v>28</v>
      </c>
      <c r="D1350" s="1" t="s">
        <v>71</v>
      </c>
      <c r="E1350" s="1">
        <v>6650000</v>
      </c>
      <c r="F1350" s="1">
        <f t="shared" si="97"/>
        <v>6650000</v>
      </c>
      <c r="G1350">
        <f t="shared" si="95"/>
        <v>21423.69299364699</v>
      </c>
      <c r="H1350" s="1" t="s">
        <v>107</v>
      </c>
      <c r="I1350" s="1" t="s">
        <v>224</v>
      </c>
      <c r="J1350" s="1" t="s">
        <v>216</v>
      </c>
      <c r="K1350" s="9">
        <f>1000*1.84</f>
        <v>1840</v>
      </c>
      <c r="L1350" t="s">
        <v>21</v>
      </c>
      <c r="M1350">
        <f t="shared" si="96"/>
        <v>1.84</v>
      </c>
      <c r="N1350">
        <f t="shared" si="98"/>
        <v>571.14336000000003</v>
      </c>
    </row>
    <row r="1351" spans="1:14" x14ac:dyDescent="0.3">
      <c r="A1351" s="1" t="s">
        <v>49</v>
      </c>
      <c r="B1351">
        <v>11</v>
      </c>
      <c r="C1351">
        <v>28</v>
      </c>
      <c r="D1351" s="1" t="s">
        <v>71</v>
      </c>
      <c r="E1351" s="1">
        <v>6650000</v>
      </c>
      <c r="F1351" s="1">
        <f>E1351</f>
        <v>6650000</v>
      </c>
      <c r="G1351">
        <f t="shared" si="95"/>
        <v>21423.69299364699</v>
      </c>
      <c r="H1351" s="1" t="s">
        <v>107</v>
      </c>
      <c r="I1351" s="1" t="s">
        <v>224</v>
      </c>
      <c r="J1351" s="1" t="s">
        <v>216</v>
      </c>
      <c r="K1351" s="9">
        <v>1500</v>
      </c>
      <c r="L1351" t="s">
        <v>21</v>
      </c>
      <c r="M1351">
        <f t="shared" si="96"/>
        <v>1.5</v>
      </c>
      <c r="N1351">
        <f t="shared" si="98"/>
        <v>465.60599999999999</v>
      </c>
    </row>
    <row r="1352" spans="1:14" x14ac:dyDescent="0.3">
      <c r="A1352" s="1" t="s">
        <v>49</v>
      </c>
      <c r="B1352">
        <v>11</v>
      </c>
      <c r="C1352">
        <v>28</v>
      </c>
      <c r="D1352" s="1" t="s">
        <v>71</v>
      </c>
      <c r="E1352" s="1">
        <v>6650000</v>
      </c>
      <c r="F1352" s="1">
        <f t="shared" ref="F1352:F1355" si="99">E1352</f>
        <v>6650000</v>
      </c>
      <c r="G1352">
        <f t="shared" si="95"/>
        <v>21423.69299364699</v>
      </c>
      <c r="H1352" s="1" t="s">
        <v>107</v>
      </c>
      <c r="I1352" s="1" t="s">
        <v>224</v>
      </c>
      <c r="J1352" s="1" t="s">
        <v>216</v>
      </c>
      <c r="K1352" s="9">
        <f>19.25*1000</f>
        <v>19250</v>
      </c>
      <c r="L1352" t="s">
        <v>21</v>
      </c>
      <c r="M1352">
        <f t="shared" si="96"/>
        <v>19.25</v>
      </c>
      <c r="N1352">
        <f t="shared" si="98"/>
        <v>5975.277</v>
      </c>
    </row>
    <row r="1353" spans="1:14" x14ac:dyDescent="0.3">
      <c r="A1353" s="1" t="s">
        <v>49</v>
      </c>
      <c r="B1353">
        <v>11</v>
      </c>
      <c r="C1353">
        <v>28</v>
      </c>
      <c r="D1353" s="1" t="s">
        <v>71</v>
      </c>
      <c r="E1353" s="1">
        <v>6650000</v>
      </c>
      <c r="F1353" s="1">
        <f t="shared" si="99"/>
        <v>6650000</v>
      </c>
      <c r="G1353">
        <f t="shared" si="95"/>
        <v>21423.69299364699</v>
      </c>
      <c r="H1353" s="1" t="s">
        <v>107</v>
      </c>
      <c r="I1353" s="1" t="s">
        <v>224</v>
      </c>
      <c r="J1353" s="1" t="s">
        <v>216</v>
      </c>
      <c r="K1353" s="9">
        <f>1.5*1000</f>
        <v>1500</v>
      </c>
      <c r="L1353" t="s">
        <v>21</v>
      </c>
      <c r="M1353">
        <f t="shared" si="96"/>
        <v>1.5</v>
      </c>
      <c r="N1353">
        <f t="shared" si="98"/>
        <v>465.60599999999999</v>
      </c>
    </row>
    <row r="1354" spans="1:14" x14ac:dyDescent="0.3">
      <c r="A1354" s="1" t="s">
        <v>49</v>
      </c>
      <c r="B1354">
        <v>11</v>
      </c>
      <c r="C1354">
        <v>28</v>
      </c>
      <c r="D1354" s="1" t="s">
        <v>71</v>
      </c>
      <c r="E1354" s="1">
        <v>6650000</v>
      </c>
      <c r="F1354" s="1">
        <f t="shared" si="99"/>
        <v>6650000</v>
      </c>
      <c r="G1354">
        <f t="shared" si="95"/>
        <v>21423.69299364699</v>
      </c>
      <c r="H1354" s="1" t="s">
        <v>107</v>
      </c>
      <c r="I1354" s="1" t="s">
        <v>224</v>
      </c>
      <c r="J1354" s="1" t="s">
        <v>216</v>
      </c>
      <c r="K1354" s="9">
        <f>843.2*1000</f>
        <v>843200</v>
      </c>
      <c r="L1354" t="s">
        <v>21</v>
      </c>
      <c r="M1354">
        <f t="shared" si="96"/>
        <v>843.2</v>
      </c>
      <c r="N1354">
        <f t="shared" si="98"/>
        <v>261732.65279999998</v>
      </c>
    </row>
    <row r="1355" spans="1:14" x14ac:dyDescent="0.3">
      <c r="A1355" s="1" t="s">
        <v>49</v>
      </c>
      <c r="B1355">
        <v>11</v>
      </c>
      <c r="C1355">
        <v>28</v>
      </c>
      <c r="D1355" s="1" t="s">
        <v>71</v>
      </c>
      <c r="E1355" s="1">
        <v>6650000</v>
      </c>
      <c r="F1355" s="1">
        <f t="shared" si="99"/>
        <v>6650000</v>
      </c>
      <c r="G1355">
        <f t="shared" si="95"/>
        <v>21423.69299364699</v>
      </c>
      <c r="H1355" s="1" t="s">
        <v>107</v>
      </c>
      <c r="I1355" s="1" t="s">
        <v>224</v>
      </c>
      <c r="J1355" s="1" t="s">
        <v>216</v>
      </c>
      <c r="K1355" s="9">
        <f>2.15*1000</f>
        <v>2150</v>
      </c>
      <c r="L1355" t="s">
        <v>21</v>
      </c>
      <c r="M1355">
        <f t="shared" si="96"/>
        <v>2.15</v>
      </c>
      <c r="N1355">
        <f t="shared" si="98"/>
        <v>667.36860000000001</v>
      </c>
    </row>
    <row r="1356" spans="1:14" x14ac:dyDescent="0.3">
      <c r="A1356" s="5" t="s">
        <v>118</v>
      </c>
      <c r="B1356">
        <v>12</v>
      </c>
      <c r="C1356">
        <v>29</v>
      </c>
      <c r="D1356" s="1" t="s">
        <v>108</v>
      </c>
      <c r="E1356" s="1">
        <v>2600</v>
      </c>
      <c r="F1356">
        <f>E1356*1000</f>
        <v>2600000</v>
      </c>
      <c r="G1356">
        <f t="shared" si="95"/>
        <v>8376.1807193206278</v>
      </c>
      <c r="H1356" s="1" t="s">
        <v>114</v>
      </c>
      <c r="I1356" s="1" t="s">
        <v>98</v>
      </c>
      <c r="J1356" s="1" t="s">
        <v>216</v>
      </c>
      <c r="K1356" s="10">
        <v>16</v>
      </c>
      <c r="L1356" t="s">
        <v>21</v>
      </c>
      <c r="M1356">
        <f t="shared" si="96"/>
        <v>1.6E-2</v>
      </c>
      <c r="N1356">
        <f t="shared" si="98"/>
        <v>4.9664639999999993</v>
      </c>
    </row>
    <row r="1357" spans="1:14" x14ac:dyDescent="0.3">
      <c r="A1357" s="5" t="s">
        <v>118</v>
      </c>
      <c r="B1357">
        <v>12</v>
      </c>
      <c r="C1357">
        <v>30</v>
      </c>
      <c r="D1357" s="1" t="s">
        <v>109</v>
      </c>
      <c r="E1357" s="1">
        <v>1300</v>
      </c>
      <c r="F1357">
        <f t="shared" ref="F1357:F1363" si="100">E1357*1000</f>
        <v>1300000</v>
      </c>
      <c r="G1357">
        <f t="shared" si="95"/>
        <v>4188.0903596603139</v>
      </c>
      <c r="H1357" s="1" t="s">
        <v>114</v>
      </c>
      <c r="I1357" s="1" t="s">
        <v>98</v>
      </c>
      <c r="J1357" s="1" t="s">
        <v>216</v>
      </c>
      <c r="K1357" s="10">
        <v>34</v>
      </c>
      <c r="L1357" t="s">
        <v>21</v>
      </c>
      <c r="M1357">
        <f t="shared" si="96"/>
        <v>3.4000000000000002E-2</v>
      </c>
      <c r="N1357">
        <f t="shared" si="98"/>
        <v>10.553735999999999</v>
      </c>
    </row>
    <row r="1358" spans="1:14" x14ac:dyDescent="0.3">
      <c r="A1358" s="5" t="s">
        <v>118</v>
      </c>
      <c r="B1358">
        <v>12</v>
      </c>
      <c r="C1358">
        <v>30</v>
      </c>
      <c r="D1358" s="1" t="s">
        <v>109</v>
      </c>
      <c r="E1358" s="1">
        <v>1300</v>
      </c>
      <c r="F1358">
        <f t="shared" si="100"/>
        <v>1300000</v>
      </c>
      <c r="G1358">
        <f t="shared" si="95"/>
        <v>4188.0903596603139</v>
      </c>
      <c r="H1358" s="1" t="s">
        <v>114</v>
      </c>
      <c r="I1358" s="1" t="s">
        <v>98</v>
      </c>
      <c r="J1358" s="1" t="s">
        <v>216</v>
      </c>
      <c r="K1358" s="10">
        <v>37</v>
      </c>
      <c r="L1358" t="s">
        <v>21</v>
      </c>
      <c r="M1358">
        <f t="shared" si="96"/>
        <v>3.6999999999999998E-2</v>
      </c>
      <c r="N1358">
        <f t="shared" si="98"/>
        <v>11.484947999999999</v>
      </c>
    </row>
    <row r="1359" spans="1:14" x14ac:dyDescent="0.3">
      <c r="A1359" s="5" t="s">
        <v>118</v>
      </c>
      <c r="B1359">
        <v>12</v>
      </c>
      <c r="C1359">
        <v>30</v>
      </c>
      <c r="D1359" s="1" t="s">
        <v>109</v>
      </c>
      <c r="E1359" s="1">
        <v>1300</v>
      </c>
      <c r="F1359">
        <f t="shared" si="100"/>
        <v>1300000</v>
      </c>
      <c r="G1359">
        <f t="shared" si="95"/>
        <v>4188.0903596603139</v>
      </c>
      <c r="H1359" s="1" t="s">
        <v>114</v>
      </c>
      <c r="I1359" s="1" t="s">
        <v>98</v>
      </c>
      <c r="J1359" s="1" t="s">
        <v>216</v>
      </c>
      <c r="K1359" s="10">
        <v>92</v>
      </c>
      <c r="L1359" t="s">
        <v>21</v>
      </c>
      <c r="M1359">
        <f t="shared" si="96"/>
        <v>9.1999999999999998E-2</v>
      </c>
      <c r="N1359">
        <f t="shared" si="98"/>
        <v>28.557167999999997</v>
      </c>
    </row>
    <row r="1360" spans="1:14" x14ac:dyDescent="0.3">
      <c r="A1360" s="5" t="s">
        <v>118</v>
      </c>
      <c r="B1360">
        <v>12</v>
      </c>
      <c r="C1360">
        <v>30</v>
      </c>
      <c r="D1360" s="1" t="s">
        <v>109</v>
      </c>
      <c r="E1360" s="1">
        <v>1300</v>
      </c>
      <c r="F1360">
        <f t="shared" si="100"/>
        <v>1300000</v>
      </c>
      <c r="G1360">
        <f t="shared" si="95"/>
        <v>4188.0903596603139</v>
      </c>
      <c r="H1360" s="1" t="s">
        <v>114</v>
      </c>
      <c r="I1360" s="1" t="s">
        <v>98</v>
      </c>
      <c r="J1360" s="1" t="s">
        <v>216</v>
      </c>
      <c r="K1360" s="10">
        <v>70</v>
      </c>
      <c r="L1360" t="s">
        <v>21</v>
      </c>
      <c r="M1360">
        <f t="shared" si="96"/>
        <v>7.0000000000000007E-2</v>
      </c>
      <c r="N1360">
        <f t="shared" si="98"/>
        <v>21.728280000000002</v>
      </c>
    </row>
    <row r="1361" spans="1:14" x14ac:dyDescent="0.3">
      <c r="A1361" s="5" t="s">
        <v>118</v>
      </c>
      <c r="B1361">
        <v>12</v>
      </c>
      <c r="C1361">
        <v>31</v>
      </c>
      <c r="D1361" s="1" t="s">
        <v>110</v>
      </c>
      <c r="E1361" s="1">
        <v>6800</v>
      </c>
      <c r="F1361">
        <f t="shared" si="100"/>
        <v>6800000</v>
      </c>
      <c r="G1361">
        <f t="shared" si="95"/>
        <v>21906.934188992411</v>
      </c>
      <c r="H1361" s="1" t="s">
        <v>114</v>
      </c>
      <c r="I1361" s="1" t="s">
        <v>98</v>
      </c>
      <c r="J1361" s="1" t="s">
        <v>216</v>
      </c>
      <c r="K1361" s="10">
        <v>13</v>
      </c>
      <c r="L1361" t="s">
        <v>21</v>
      </c>
      <c r="M1361">
        <f t="shared" si="96"/>
        <v>1.2999999999999999E-2</v>
      </c>
      <c r="N1361">
        <f t="shared" si="98"/>
        <v>4.0352519999999998</v>
      </c>
    </row>
    <row r="1362" spans="1:14" x14ac:dyDescent="0.3">
      <c r="A1362" s="5" t="s">
        <v>118</v>
      </c>
      <c r="B1362">
        <v>12</v>
      </c>
      <c r="C1362">
        <v>31</v>
      </c>
      <c r="D1362" s="1" t="s">
        <v>110</v>
      </c>
      <c r="E1362" s="1">
        <v>6800</v>
      </c>
      <c r="F1362">
        <f t="shared" si="100"/>
        <v>6800000</v>
      </c>
      <c r="G1362">
        <f t="shared" si="95"/>
        <v>21906.934188992411</v>
      </c>
      <c r="H1362" s="1" t="s">
        <v>114</v>
      </c>
      <c r="I1362" s="1" t="s">
        <v>98</v>
      </c>
      <c r="J1362" s="1" t="s">
        <v>216</v>
      </c>
      <c r="K1362" s="10">
        <v>41</v>
      </c>
      <c r="L1362" t="s">
        <v>21</v>
      </c>
      <c r="M1362">
        <f t="shared" si="96"/>
        <v>4.1000000000000002E-2</v>
      </c>
      <c r="N1362">
        <f t="shared" si="98"/>
        <v>12.726564</v>
      </c>
    </row>
    <row r="1363" spans="1:14" x14ac:dyDescent="0.3">
      <c r="A1363" s="5" t="s">
        <v>118</v>
      </c>
      <c r="B1363">
        <v>12</v>
      </c>
      <c r="C1363">
        <v>31</v>
      </c>
      <c r="D1363" s="1" t="s">
        <v>110</v>
      </c>
      <c r="E1363" s="1">
        <v>6800</v>
      </c>
      <c r="F1363">
        <f t="shared" si="100"/>
        <v>6800000</v>
      </c>
      <c r="G1363">
        <f t="shared" si="95"/>
        <v>21906.934188992411</v>
      </c>
      <c r="H1363" s="1" t="s">
        <v>114</v>
      </c>
      <c r="I1363" s="1" t="s">
        <v>98</v>
      </c>
      <c r="J1363" s="1" t="s">
        <v>216</v>
      </c>
      <c r="K1363" s="10">
        <v>14</v>
      </c>
      <c r="L1363" t="s">
        <v>21</v>
      </c>
      <c r="M1363">
        <f t="shared" si="96"/>
        <v>1.4E-2</v>
      </c>
      <c r="N1363">
        <f t="shared" si="98"/>
        <v>4.345656</v>
      </c>
    </row>
    <row r="1364" spans="1:14" x14ac:dyDescent="0.3">
      <c r="A1364" s="5" t="s">
        <v>119</v>
      </c>
      <c r="B1364">
        <v>12</v>
      </c>
      <c r="C1364">
        <v>24</v>
      </c>
      <c r="D1364" s="1" t="s">
        <v>111</v>
      </c>
      <c r="E1364" s="1">
        <v>2500000</v>
      </c>
      <c r="F1364">
        <f>E1364/3.78541</f>
        <v>660430.44214497239</v>
      </c>
      <c r="G1364">
        <v>15000</v>
      </c>
      <c r="H1364" s="2">
        <v>41456</v>
      </c>
      <c r="I1364" s="1" t="s">
        <v>232</v>
      </c>
      <c r="J1364" s="1" t="s">
        <v>216</v>
      </c>
      <c r="K1364" s="11">
        <v>5.58</v>
      </c>
      <c r="L1364" t="s">
        <v>21</v>
      </c>
      <c r="M1364">
        <f t="shared" si="96"/>
        <v>5.5799999999999999E-3</v>
      </c>
      <c r="N1364">
        <f t="shared" si="98"/>
        <v>0.24568012447792972</v>
      </c>
    </row>
    <row r="1365" spans="1:14" x14ac:dyDescent="0.3">
      <c r="A1365" s="5" t="s">
        <v>118</v>
      </c>
      <c r="B1365">
        <v>12</v>
      </c>
      <c r="C1365">
        <v>24</v>
      </c>
      <c r="D1365" s="1" t="s">
        <v>111</v>
      </c>
      <c r="E1365" s="1">
        <v>2500000</v>
      </c>
      <c r="F1365">
        <f t="shared" ref="F1365:F1370" si="101">E1365/3.78541</f>
        <v>660430.44214497239</v>
      </c>
      <c r="G1365">
        <v>15000</v>
      </c>
      <c r="H1365" s="2">
        <v>41456</v>
      </c>
      <c r="I1365" s="1" t="s">
        <v>232</v>
      </c>
      <c r="J1365" s="1" t="s">
        <v>216</v>
      </c>
      <c r="K1365" s="11">
        <v>24.4</v>
      </c>
      <c r="L1365" t="s">
        <v>21</v>
      </c>
      <c r="M1365">
        <f t="shared" si="96"/>
        <v>2.4399999999999998E-2</v>
      </c>
      <c r="N1365">
        <f t="shared" si="98"/>
        <v>1.074300185889155</v>
      </c>
    </row>
    <row r="1366" spans="1:14" x14ac:dyDescent="0.3">
      <c r="A1366" s="5" t="s">
        <v>119</v>
      </c>
      <c r="B1366">
        <v>12</v>
      </c>
      <c r="C1366">
        <v>25</v>
      </c>
      <c r="D1366" s="1" t="s">
        <v>112</v>
      </c>
      <c r="E1366" s="1">
        <v>35000000</v>
      </c>
      <c r="F1366">
        <f t="shared" si="101"/>
        <v>9246026.1900296137</v>
      </c>
      <c r="G1366">
        <v>100000</v>
      </c>
      <c r="H1366" s="2">
        <v>41456</v>
      </c>
      <c r="I1366" s="1" t="s">
        <v>232</v>
      </c>
      <c r="J1366" s="1" t="s">
        <v>216</v>
      </c>
      <c r="K1366" s="11">
        <v>5.43</v>
      </c>
      <c r="L1366" t="s">
        <v>21</v>
      </c>
      <c r="M1366">
        <f t="shared" si="96"/>
        <v>5.4299999999999999E-3</v>
      </c>
      <c r="N1366">
        <f t="shared" si="98"/>
        <v>0.50205922211860798</v>
      </c>
    </row>
    <row r="1367" spans="1:14" x14ac:dyDescent="0.3">
      <c r="A1367" s="5" t="s">
        <v>118</v>
      </c>
      <c r="B1367">
        <v>12</v>
      </c>
      <c r="C1367">
        <v>25</v>
      </c>
      <c r="D1367" s="1" t="s">
        <v>112</v>
      </c>
      <c r="E1367" s="1">
        <v>35000000</v>
      </c>
      <c r="F1367">
        <f t="shared" si="101"/>
        <v>9246026.1900296137</v>
      </c>
      <c r="G1367">
        <v>100000</v>
      </c>
      <c r="H1367" s="2">
        <v>41456</v>
      </c>
      <c r="I1367" s="1" t="s">
        <v>232</v>
      </c>
      <c r="J1367" s="1" t="s">
        <v>216</v>
      </c>
      <c r="K1367" s="11">
        <v>15.5</v>
      </c>
      <c r="L1367" t="s">
        <v>21</v>
      </c>
      <c r="M1367">
        <f t="shared" si="96"/>
        <v>1.55E-2</v>
      </c>
      <c r="N1367">
        <f t="shared" si="98"/>
        <v>1.43313405945459</v>
      </c>
    </row>
    <row r="1368" spans="1:14" x14ac:dyDescent="0.3">
      <c r="A1368" s="6" t="s">
        <v>118</v>
      </c>
      <c r="B1368">
        <v>12</v>
      </c>
      <c r="C1368">
        <v>32</v>
      </c>
      <c r="D1368" s="1" t="s">
        <v>111</v>
      </c>
      <c r="E1368" s="1">
        <v>27200000</v>
      </c>
      <c r="F1368">
        <f t="shared" si="101"/>
        <v>7185483.2105372995</v>
      </c>
      <c r="G1368">
        <v>190000</v>
      </c>
      <c r="H1368" s="1" t="s">
        <v>115</v>
      </c>
      <c r="I1368" s="1" t="s">
        <v>229</v>
      </c>
      <c r="J1368" s="1" t="s">
        <v>216</v>
      </c>
      <c r="K1368" s="11">
        <v>57.3</v>
      </c>
      <c r="L1368" t="s">
        <v>21</v>
      </c>
      <c r="M1368">
        <f t="shared" si="96"/>
        <v>5.7299999999999997E-2</v>
      </c>
      <c r="N1368">
        <f t="shared" si="98"/>
        <v>2.1669904629673011</v>
      </c>
    </row>
    <row r="1369" spans="1:14" x14ac:dyDescent="0.3">
      <c r="A1369" s="6" t="s">
        <v>118</v>
      </c>
      <c r="B1369">
        <v>12</v>
      </c>
      <c r="C1369">
        <v>33</v>
      </c>
      <c r="D1369" s="1" t="s">
        <v>112</v>
      </c>
      <c r="E1369" s="1">
        <v>21000000</v>
      </c>
      <c r="F1369">
        <f t="shared" si="101"/>
        <v>5547615.7140177684</v>
      </c>
      <c r="G1369">
        <v>150000</v>
      </c>
      <c r="H1369" s="1" t="s">
        <v>115</v>
      </c>
      <c r="I1369" s="1" t="s">
        <v>229</v>
      </c>
      <c r="J1369" s="1" t="s">
        <v>216</v>
      </c>
      <c r="K1369" s="11">
        <v>63.5</v>
      </c>
      <c r="L1369" t="s">
        <v>21</v>
      </c>
      <c r="M1369">
        <f t="shared" si="96"/>
        <v>6.3500000000000001E-2</v>
      </c>
      <c r="N1369">
        <f t="shared" si="98"/>
        <v>2.3484906522675217</v>
      </c>
    </row>
    <row r="1370" spans="1:14" x14ac:dyDescent="0.3">
      <c r="A1370" s="6" t="s">
        <v>119</v>
      </c>
      <c r="B1370">
        <v>12</v>
      </c>
      <c r="C1370">
        <v>33</v>
      </c>
      <c r="D1370" s="1" t="s">
        <v>112</v>
      </c>
      <c r="E1370" s="1">
        <v>21000000</v>
      </c>
      <c r="F1370">
        <f t="shared" si="101"/>
        <v>5547615.7140177684</v>
      </c>
      <c r="G1370">
        <v>150000</v>
      </c>
      <c r="H1370" s="1" t="s">
        <v>115</v>
      </c>
      <c r="I1370" s="1" t="s">
        <v>229</v>
      </c>
      <c r="J1370" s="1" t="s">
        <v>216</v>
      </c>
      <c r="K1370" s="11">
        <v>5.69</v>
      </c>
      <c r="L1370" t="s">
        <v>21</v>
      </c>
      <c r="M1370">
        <f t="shared" si="96"/>
        <v>5.6900000000000006E-3</v>
      </c>
      <c r="N1370">
        <f t="shared" si="98"/>
        <v>0.21043955608507406</v>
      </c>
    </row>
    <row r="1371" spans="1:14" s="13" customFormat="1" x14ac:dyDescent="0.3">
      <c r="A1371" s="6" t="s">
        <v>119</v>
      </c>
      <c r="B1371" s="13">
        <v>12</v>
      </c>
      <c r="C1371">
        <v>34</v>
      </c>
      <c r="D1371" s="8" t="s">
        <v>117</v>
      </c>
      <c r="E1371" s="8">
        <f>F1371</f>
        <v>734726.26800000004</v>
      </c>
      <c r="F1371" s="8">
        <f>G1371*310.404</f>
        <v>734726.26800000004</v>
      </c>
      <c r="G1371" s="8">
        <v>2367</v>
      </c>
      <c r="H1371" s="8" t="s">
        <v>116</v>
      </c>
      <c r="I1371" s="8" t="s">
        <v>229</v>
      </c>
      <c r="J1371" s="8" t="s">
        <v>230</v>
      </c>
      <c r="K1371" s="13">
        <v>420</v>
      </c>
      <c r="L1371" s="13" t="s">
        <v>202</v>
      </c>
      <c r="M1371" s="8">
        <f>K1371</f>
        <v>420</v>
      </c>
      <c r="N1371" s="13">
        <f>K1371</f>
        <v>420</v>
      </c>
    </row>
    <row r="1372" spans="1:14" s="13" customFormat="1" x14ac:dyDescent="0.3">
      <c r="A1372" s="6" t="s">
        <v>119</v>
      </c>
      <c r="B1372" s="13">
        <v>12</v>
      </c>
      <c r="C1372">
        <v>34</v>
      </c>
      <c r="D1372" s="8" t="s">
        <v>117</v>
      </c>
      <c r="E1372" s="8">
        <f>F1372</f>
        <v>305747.94</v>
      </c>
      <c r="F1372" s="8">
        <f>G1372*310.404</f>
        <v>305747.94</v>
      </c>
      <c r="G1372" s="8">
        <v>985</v>
      </c>
      <c r="H1372" s="8" t="s">
        <v>116</v>
      </c>
      <c r="I1372" s="8" t="s">
        <v>229</v>
      </c>
      <c r="J1372" s="8" t="s">
        <v>230</v>
      </c>
      <c r="K1372" s="13">
        <v>30</v>
      </c>
      <c r="L1372" s="13" t="s">
        <v>202</v>
      </c>
      <c r="M1372" s="8">
        <f t="shared" ref="M1372:M1374" si="102">K1372</f>
        <v>30</v>
      </c>
      <c r="N1372" s="13">
        <f t="shared" ref="N1372:N1374" si="103">K1372</f>
        <v>30</v>
      </c>
    </row>
    <row r="1373" spans="1:14" s="13" customFormat="1" x14ac:dyDescent="0.3">
      <c r="A1373" s="6" t="s">
        <v>118</v>
      </c>
      <c r="B1373" s="13">
        <v>12</v>
      </c>
      <c r="C1373">
        <v>34</v>
      </c>
      <c r="D1373" s="8" t="s">
        <v>117</v>
      </c>
      <c r="E1373" s="8">
        <f>F1373</f>
        <v>734726.26800000004</v>
      </c>
      <c r="F1373" s="8">
        <f>G1373*310.404</f>
        <v>734726.26800000004</v>
      </c>
      <c r="G1373" s="8">
        <v>2367</v>
      </c>
      <c r="H1373" s="8" t="s">
        <v>116</v>
      </c>
      <c r="I1373" s="8" t="s">
        <v>229</v>
      </c>
      <c r="J1373" s="8" t="s">
        <v>230</v>
      </c>
      <c r="K1373" s="11">
        <v>810</v>
      </c>
      <c r="L1373" s="13" t="s">
        <v>202</v>
      </c>
      <c r="M1373" s="8">
        <f t="shared" si="102"/>
        <v>810</v>
      </c>
      <c r="N1373" s="13">
        <f t="shared" si="103"/>
        <v>810</v>
      </c>
    </row>
    <row r="1374" spans="1:14" s="13" customFormat="1" x14ac:dyDescent="0.3">
      <c r="A1374" s="6" t="s">
        <v>118</v>
      </c>
      <c r="B1374" s="13">
        <v>12</v>
      </c>
      <c r="C1374">
        <v>34</v>
      </c>
      <c r="D1374" s="8" t="s">
        <v>117</v>
      </c>
      <c r="E1374" s="8">
        <f>F1374</f>
        <v>305747.94</v>
      </c>
      <c r="F1374" s="8">
        <f>G1374*310.404</f>
        <v>305747.94</v>
      </c>
      <c r="G1374" s="8">
        <v>985</v>
      </c>
      <c r="H1374" s="8" t="s">
        <v>116</v>
      </c>
      <c r="I1374" s="8" t="s">
        <v>229</v>
      </c>
      <c r="J1374" s="8" t="s">
        <v>230</v>
      </c>
      <c r="K1374" s="11">
        <v>750</v>
      </c>
      <c r="L1374" s="13" t="s">
        <v>202</v>
      </c>
      <c r="M1374" s="8">
        <f t="shared" si="102"/>
        <v>750</v>
      </c>
      <c r="N1374" s="13">
        <f t="shared" si="103"/>
        <v>750</v>
      </c>
    </row>
    <row r="1375" spans="1:14" x14ac:dyDescent="0.3">
      <c r="A1375" s="7" t="s">
        <v>118</v>
      </c>
      <c r="B1375">
        <v>12</v>
      </c>
      <c r="C1375">
        <v>35</v>
      </c>
      <c r="D1375" s="1" t="s">
        <v>113</v>
      </c>
      <c r="E1375">
        <v>5000000</v>
      </c>
      <c r="F1375">
        <f>E1375/3.78541</f>
        <v>1320860.8842899448</v>
      </c>
      <c r="G1375">
        <v>20000</v>
      </c>
      <c r="H1375" s="2">
        <v>43009</v>
      </c>
      <c r="I1375" s="1" t="s">
        <v>229</v>
      </c>
      <c r="J1375" s="1" t="s">
        <v>216</v>
      </c>
      <c r="K1375" s="12">
        <v>41.9</v>
      </c>
      <c r="L1375" t="s">
        <v>21</v>
      </c>
      <c r="M1375">
        <f t="shared" si="96"/>
        <v>4.19E-2</v>
      </c>
      <c r="N1375">
        <f t="shared" ref="N1375:N1438" si="104">IFERROR((M1375*F1375)/G1375,"ND")</f>
        <v>2.7672035525874343</v>
      </c>
    </row>
    <row r="1376" spans="1:14" x14ac:dyDescent="0.3">
      <c r="A1376" t="s">
        <v>23</v>
      </c>
      <c r="B1376">
        <v>13</v>
      </c>
      <c r="C1376">
        <v>36</v>
      </c>
      <c r="D1376" t="s">
        <v>1</v>
      </c>
      <c r="E1376" s="1">
        <v>20000000</v>
      </c>
      <c r="F1376">
        <f>E1376/3.78541</f>
        <v>5283443.5371597791</v>
      </c>
      <c r="G1376">
        <f>F1376/310.404</f>
        <v>17021.183802914198</v>
      </c>
      <c r="H1376" s="4">
        <v>42663</v>
      </c>
      <c r="I1376" s="1" t="s">
        <v>231</v>
      </c>
      <c r="J1376" s="1" t="s">
        <v>220</v>
      </c>
      <c r="K1376">
        <v>54600</v>
      </c>
      <c r="L1376" t="s">
        <v>21</v>
      </c>
      <c r="M1376">
        <f t="shared" si="96"/>
        <v>54.6</v>
      </c>
      <c r="N1376">
        <f t="shared" si="104"/>
        <v>16948.058400000002</v>
      </c>
    </row>
    <row r="1377" spans="1:14" x14ac:dyDescent="0.3">
      <c r="A1377" t="s">
        <v>120</v>
      </c>
      <c r="B1377">
        <v>13</v>
      </c>
      <c r="C1377">
        <v>36</v>
      </c>
      <c r="D1377" t="s">
        <v>1</v>
      </c>
      <c r="E1377" s="1">
        <v>20000000</v>
      </c>
      <c r="F1377">
        <f t="shared" ref="F1377:F1440" si="105">E1377/3.78541</f>
        <v>5283443.5371597791</v>
      </c>
      <c r="G1377">
        <f t="shared" ref="G1377:G1440" si="106">F1377/310.404</f>
        <v>17021.183802914198</v>
      </c>
      <c r="H1377" s="4">
        <v>42663</v>
      </c>
      <c r="I1377" s="1" t="s">
        <v>231</v>
      </c>
      <c r="J1377" s="1" t="s">
        <v>220</v>
      </c>
      <c r="K1377">
        <v>5450</v>
      </c>
      <c r="L1377" t="s">
        <v>21</v>
      </c>
      <c r="M1377">
        <f t="shared" si="96"/>
        <v>5.45</v>
      </c>
      <c r="N1377">
        <f t="shared" si="104"/>
        <v>1691.7018000000003</v>
      </c>
    </row>
    <row r="1378" spans="1:14" x14ac:dyDescent="0.3">
      <c r="A1378" t="s">
        <v>59</v>
      </c>
      <c r="B1378">
        <v>13</v>
      </c>
      <c r="C1378">
        <v>36</v>
      </c>
      <c r="D1378" t="s">
        <v>1</v>
      </c>
      <c r="E1378" s="1">
        <v>20000000</v>
      </c>
      <c r="F1378">
        <f t="shared" si="105"/>
        <v>5283443.5371597791</v>
      </c>
      <c r="G1378">
        <f t="shared" si="106"/>
        <v>17021.183802914198</v>
      </c>
      <c r="H1378" s="4">
        <v>42663</v>
      </c>
      <c r="I1378" s="1" t="s">
        <v>231</v>
      </c>
      <c r="J1378" s="1" t="s">
        <v>220</v>
      </c>
      <c r="K1378">
        <v>21.9</v>
      </c>
      <c r="L1378" t="s">
        <v>21</v>
      </c>
      <c r="M1378">
        <f t="shared" si="96"/>
        <v>2.1899999999999999E-2</v>
      </c>
      <c r="N1378">
        <f t="shared" si="104"/>
        <v>6.7978475999999999</v>
      </c>
    </row>
    <row r="1379" spans="1:14" x14ac:dyDescent="0.3">
      <c r="A1379" t="s">
        <v>24</v>
      </c>
      <c r="B1379">
        <v>13</v>
      </c>
      <c r="C1379">
        <v>36</v>
      </c>
      <c r="D1379" t="s">
        <v>1</v>
      </c>
      <c r="E1379" s="1">
        <v>20000000</v>
      </c>
      <c r="F1379">
        <f t="shared" si="105"/>
        <v>5283443.5371597791</v>
      </c>
      <c r="G1379">
        <f t="shared" si="106"/>
        <v>17021.183802914198</v>
      </c>
      <c r="H1379" s="4">
        <v>42663</v>
      </c>
      <c r="I1379" s="1" t="s">
        <v>231</v>
      </c>
      <c r="J1379" s="1" t="s">
        <v>220</v>
      </c>
      <c r="K1379" t="s">
        <v>20</v>
      </c>
      <c r="L1379" t="s">
        <v>21</v>
      </c>
      <c r="M1379" t="str">
        <f t="shared" si="96"/>
        <v>ND</v>
      </c>
      <c r="N1379" t="str">
        <f t="shared" si="104"/>
        <v>ND</v>
      </c>
    </row>
    <row r="1380" spans="1:14" x14ac:dyDescent="0.3">
      <c r="A1380" t="s">
        <v>17</v>
      </c>
      <c r="B1380">
        <v>13</v>
      </c>
      <c r="C1380">
        <v>36</v>
      </c>
      <c r="D1380" t="s">
        <v>1</v>
      </c>
      <c r="E1380" s="1">
        <v>20000000</v>
      </c>
      <c r="F1380">
        <f t="shared" si="105"/>
        <v>5283443.5371597791</v>
      </c>
      <c r="G1380">
        <f t="shared" si="106"/>
        <v>17021.183802914198</v>
      </c>
      <c r="H1380" s="4">
        <v>42663</v>
      </c>
      <c r="I1380" s="1" t="s">
        <v>231</v>
      </c>
      <c r="J1380" s="1" t="s">
        <v>220</v>
      </c>
      <c r="K1380">
        <v>289</v>
      </c>
      <c r="L1380" t="s">
        <v>21</v>
      </c>
      <c r="M1380">
        <f t="shared" si="96"/>
        <v>0.28899999999999998</v>
      </c>
      <c r="N1380">
        <f t="shared" si="104"/>
        <v>89.706755999999999</v>
      </c>
    </row>
    <row r="1381" spans="1:14" x14ac:dyDescent="0.3">
      <c r="A1381" t="s">
        <v>53</v>
      </c>
      <c r="B1381">
        <v>13</v>
      </c>
      <c r="C1381">
        <v>36</v>
      </c>
      <c r="D1381" t="s">
        <v>1</v>
      </c>
      <c r="E1381" s="1">
        <v>20000000</v>
      </c>
      <c r="F1381">
        <f t="shared" si="105"/>
        <v>5283443.5371597791</v>
      </c>
      <c r="G1381">
        <f t="shared" si="106"/>
        <v>17021.183802914198</v>
      </c>
      <c r="H1381" s="4">
        <v>42663</v>
      </c>
      <c r="I1381" s="1" t="s">
        <v>231</v>
      </c>
      <c r="J1381" s="1" t="s">
        <v>220</v>
      </c>
      <c r="K1381">
        <v>1430</v>
      </c>
      <c r="L1381" t="s">
        <v>21</v>
      </c>
      <c r="M1381">
        <f t="shared" si="96"/>
        <v>1.43</v>
      </c>
      <c r="N1381">
        <f t="shared" si="104"/>
        <v>443.87772000000001</v>
      </c>
    </row>
    <row r="1382" spans="1:14" x14ac:dyDescent="0.3">
      <c r="A1382" t="s">
        <v>26</v>
      </c>
      <c r="B1382">
        <v>13</v>
      </c>
      <c r="C1382">
        <v>36</v>
      </c>
      <c r="D1382" t="s">
        <v>1</v>
      </c>
      <c r="E1382" s="1">
        <v>20000000</v>
      </c>
      <c r="F1382">
        <f t="shared" si="105"/>
        <v>5283443.5371597791</v>
      </c>
      <c r="G1382">
        <f t="shared" si="106"/>
        <v>17021.183802914198</v>
      </c>
      <c r="H1382" s="4">
        <v>42663</v>
      </c>
      <c r="I1382" s="1" t="s">
        <v>231</v>
      </c>
      <c r="J1382" s="1" t="s">
        <v>220</v>
      </c>
      <c r="K1382">
        <v>176</v>
      </c>
      <c r="L1382" t="s">
        <v>21</v>
      </c>
      <c r="M1382">
        <f t="shared" si="96"/>
        <v>0.17599999999999999</v>
      </c>
      <c r="N1382">
        <f t="shared" si="104"/>
        <v>54.631104000000001</v>
      </c>
    </row>
    <row r="1383" spans="1:14" x14ac:dyDescent="0.3">
      <c r="A1383" t="s">
        <v>27</v>
      </c>
      <c r="B1383">
        <v>13</v>
      </c>
      <c r="C1383">
        <v>36</v>
      </c>
      <c r="D1383" t="s">
        <v>1</v>
      </c>
      <c r="E1383" s="1">
        <v>20000000</v>
      </c>
      <c r="F1383">
        <f t="shared" si="105"/>
        <v>5283443.5371597791</v>
      </c>
      <c r="G1383">
        <f t="shared" si="106"/>
        <v>17021.183802914198</v>
      </c>
      <c r="H1383" s="4">
        <v>42663</v>
      </c>
      <c r="I1383" s="1" t="s">
        <v>231</v>
      </c>
      <c r="J1383" s="1" t="s">
        <v>220</v>
      </c>
      <c r="K1383">
        <v>163</v>
      </c>
      <c r="L1383" t="s">
        <v>21</v>
      </c>
      <c r="M1383">
        <f t="shared" si="96"/>
        <v>0.16300000000000001</v>
      </c>
      <c r="N1383">
        <f t="shared" si="104"/>
        <v>50.595852000000008</v>
      </c>
    </row>
    <row r="1384" spans="1:14" x14ac:dyDescent="0.3">
      <c r="A1384" t="s">
        <v>29</v>
      </c>
      <c r="B1384">
        <v>13</v>
      </c>
      <c r="C1384">
        <v>36</v>
      </c>
      <c r="D1384" t="s">
        <v>1</v>
      </c>
      <c r="E1384" s="1">
        <v>20000000</v>
      </c>
      <c r="F1384">
        <f t="shared" si="105"/>
        <v>5283443.5371597791</v>
      </c>
      <c r="G1384">
        <f t="shared" si="106"/>
        <v>17021.183802914198</v>
      </c>
      <c r="H1384" s="4">
        <v>42663</v>
      </c>
      <c r="I1384" s="1" t="s">
        <v>231</v>
      </c>
      <c r="J1384" s="1" t="s">
        <v>220</v>
      </c>
      <c r="K1384">
        <v>150</v>
      </c>
      <c r="L1384" t="s">
        <v>21</v>
      </c>
      <c r="M1384">
        <f t="shared" si="96"/>
        <v>0.15</v>
      </c>
      <c r="N1384">
        <f t="shared" si="104"/>
        <v>46.560600000000001</v>
      </c>
    </row>
    <row r="1385" spans="1:14" x14ac:dyDescent="0.3">
      <c r="A1385" t="s">
        <v>4</v>
      </c>
      <c r="B1385">
        <v>13</v>
      </c>
      <c r="C1385">
        <v>36</v>
      </c>
      <c r="D1385" t="s">
        <v>1</v>
      </c>
      <c r="E1385" s="1">
        <v>20000000</v>
      </c>
      <c r="F1385">
        <f t="shared" si="105"/>
        <v>5283443.5371597791</v>
      </c>
      <c r="G1385">
        <f t="shared" si="106"/>
        <v>17021.183802914198</v>
      </c>
      <c r="H1385" s="4">
        <v>42663</v>
      </c>
      <c r="I1385" s="1" t="s">
        <v>231</v>
      </c>
      <c r="J1385" s="1" t="s">
        <v>220</v>
      </c>
      <c r="K1385">
        <v>148</v>
      </c>
      <c r="L1385" t="s">
        <v>21</v>
      </c>
      <c r="M1385">
        <f t="shared" si="96"/>
        <v>0.14799999999999999</v>
      </c>
      <c r="N1385">
        <f t="shared" si="104"/>
        <v>45.939791999999997</v>
      </c>
    </row>
    <row r="1386" spans="1:14" x14ac:dyDescent="0.3">
      <c r="A1386" t="s">
        <v>121</v>
      </c>
      <c r="B1386">
        <v>13</v>
      </c>
      <c r="C1386">
        <v>36</v>
      </c>
      <c r="D1386" t="s">
        <v>1</v>
      </c>
      <c r="E1386" s="1">
        <v>20000000</v>
      </c>
      <c r="F1386">
        <f t="shared" si="105"/>
        <v>5283443.5371597791</v>
      </c>
      <c r="G1386">
        <f t="shared" si="106"/>
        <v>17021.183802914198</v>
      </c>
      <c r="H1386" s="4">
        <v>42663</v>
      </c>
      <c r="I1386" s="1" t="s">
        <v>231</v>
      </c>
      <c r="J1386" s="1" t="s">
        <v>220</v>
      </c>
      <c r="K1386">
        <v>765</v>
      </c>
      <c r="L1386" t="s">
        <v>21</v>
      </c>
      <c r="M1386">
        <f t="shared" si="96"/>
        <v>0.76500000000000001</v>
      </c>
      <c r="N1386">
        <f t="shared" si="104"/>
        <v>237.45906000000002</v>
      </c>
    </row>
    <row r="1387" spans="1:14" x14ac:dyDescent="0.3">
      <c r="A1387" t="s">
        <v>122</v>
      </c>
      <c r="B1387">
        <v>13</v>
      </c>
      <c r="C1387">
        <v>36</v>
      </c>
      <c r="D1387" t="s">
        <v>1</v>
      </c>
      <c r="E1387" s="1">
        <v>20000000</v>
      </c>
      <c r="F1387">
        <f t="shared" si="105"/>
        <v>5283443.5371597791</v>
      </c>
      <c r="G1387">
        <f t="shared" si="106"/>
        <v>17021.183802914198</v>
      </c>
      <c r="H1387" s="4">
        <v>42663</v>
      </c>
      <c r="I1387" s="1" t="s">
        <v>231</v>
      </c>
      <c r="J1387" s="1" t="s">
        <v>220</v>
      </c>
      <c r="K1387">
        <v>84.7</v>
      </c>
      <c r="L1387" t="s">
        <v>21</v>
      </c>
      <c r="M1387">
        <f t="shared" si="96"/>
        <v>8.4699999999999998E-2</v>
      </c>
      <c r="N1387">
        <f t="shared" si="104"/>
        <v>26.291218799999999</v>
      </c>
    </row>
    <row r="1388" spans="1:14" x14ac:dyDescent="0.3">
      <c r="A1388" t="s">
        <v>12</v>
      </c>
      <c r="B1388">
        <v>13</v>
      </c>
      <c r="C1388">
        <v>36</v>
      </c>
      <c r="D1388" t="s">
        <v>1</v>
      </c>
      <c r="E1388" s="1">
        <v>20000000</v>
      </c>
      <c r="F1388">
        <f t="shared" si="105"/>
        <v>5283443.5371597791</v>
      </c>
      <c r="G1388">
        <f t="shared" si="106"/>
        <v>17021.183802914198</v>
      </c>
      <c r="H1388" s="4">
        <v>42663</v>
      </c>
      <c r="I1388" s="1" t="s">
        <v>231</v>
      </c>
      <c r="J1388" s="1" t="s">
        <v>220</v>
      </c>
      <c r="K1388" t="s">
        <v>20</v>
      </c>
      <c r="L1388" t="s">
        <v>21</v>
      </c>
      <c r="M1388" t="str">
        <f t="shared" si="96"/>
        <v>ND</v>
      </c>
      <c r="N1388" t="str">
        <f t="shared" si="104"/>
        <v>ND</v>
      </c>
    </row>
    <row r="1389" spans="1:14" x14ac:dyDescent="0.3">
      <c r="A1389" t="s">
        <v>46</v>
      </c>
      <c r="B1389">
        <v>13</v>
      </c>
      <c r="C1389">
        <v>36</v>
      </c>
      <c r="D1389" t="s">
        <v>1</v>
      </c>
      <c r="E1389" s="1">
        <v>20000000</v>
      </c>
      <c r="F1389">
        <f t="shared" si="105"/>
        <v>5283443.5371597791</v>
      </c>
      <c r="G1389">
        <f t="shared" si="106"/>
        <v>17021.183802914198</v>
      </c>
      <c r="H1389" s="4">
        <v>42663</v>
      </c>
      <c r="I1389" s="1" t="s">
        <v>231</v>
      </c>
      <c r="J1389" s="1" t="s">
        <v>220</v>
      </c>
      <c r="K1389">
        <v>148</v>
      </c>
      <c r="L1389" t="s">
        <v>21</v>
      </c>
      <c r="M1389">
        <f t="shared" si="96"/>
        <v>0.14799999999999999</v>
      </c>
      <c r="N1389">
        <f t="shared" si="104"/>
        <v>45.939791999999997</v>
      </c>
    </row>
    <row r="1390" spans="1:14" x14ac:dyDescent="0.3">
      <c r="A1390" t="s">
        <v>44</v>
      </c>
      <c r="B1390">
        <v>13</v>
      </c>
      <c r="C1390">
        <v>36</v>
      </c>
      <c r="D1390" t="s">
        <v>1</v>
      </c>
      <c r="E1390" s="1">
        <v>20000000</v>
      </c>
      <c r="F1390">
        <f t="shared" si="105"/>
        <v>5283443.5371597791</v>
      </c>
      <c r="G1390">
        <f t="shared" si="106"/>
        <v>17021.183802914198</v>
      </c>
      <c r="H1390" s="4">
        <v>42663</v>
      </c>
      <c r="I1390" s="1" t="s">
        <v>231</v>
      </c>
      <c r="J1390" s="1" t="s">
        <v>220</v>
      </c>
      <c r="K1390">
        <v>1410</v>
      </c>
      <c r="L1390" t="s">
        <v>21</v>
      </c>
      <c r="M1390">
        <f t="shared" si="96"/>
        <v>1.41</v>
      </c>
      <c r="N1390">
        <f t="shared" si="104"/>
        <v>437.66964000000002</v>
      </c>
    </row>
    <row r="1391" spans="1:14" x14ac:dyDescent="0.3">
      <c r="A1391" t="s">
        <v>32</v>
      </c>
      <c r="B1391">
        <v>13</v>
      </c>
      <c r="C1391">
        <v>36</v>
      </c>
      <c r="D1391" t="s">
        <v>1</v>
      </c>
      <c r="E1391" s="1">
        <v>20000000</v>
      </c>
      <c r="F1391">
        <f t="shared" si="105"/>
        <v>5283443.5371597791</v>
      </c>
      <c r="G1391">
        <f t="shared" si="106"/>
        <v>17021.183802914198</v>
      </c>
      <c r="H1391" s="4">
        <v>42663</v>
      </c>
      <c r="I1391" s="1" t="s">
        <v>231</v>
      </c>
      <c r="J1391" s="1" t="s">
        <v>220</v>
      </c>
      <c r="K1391">
        <v>12.5</v>
      </c>
      <c r="L1391" t="s">
        <v>21</v>
      </c>
      <c r="M1391">
        <f t="shared" si="96"/>
        <v>1.2500000000000001E-2</v>
      </c>
      <c r="N1391">
        <f t="shared" si="104"/>
        <v>3.8800500000000007</v>
      </c>
    </row>
    <row r="1392" spans="1:14" x14ac:dyDescent="0.3">
      <c r="A1392" t="s">
        <v>123</v>
      </c>
      <c r="B1392">
        <v>13</v>
      </c>
      <c r="C1392">
        <v>36</v>
      </c>
      <c r="D1392" t="s">
        <v>1</v>
      </c>
      <c r="E1392" s="1">
        <v>20000000</v>
      </c>
      <c r="F1392">
        <f t="shared" si="105"/>
        <v>5283443.5371597791</v>
      </c>
      <c r="G1392">
        <f t="shared" si="106"/>
        <v>17021.183802914198</v>
      </c>
      <c r="H1392" s="4">
        <v>42663</v>
      </c>
      <c r="I1392" s="1" t="s">
        <v>231</v>
      </c>
      <c r="J1392" s="1" t="s">
        <v>220</v>
      </c>
      <c r="K1392">
        <v>168</v>
      </c>
      <c r="L1392" t="s">
        <v>21</v>
      </c>
      <c r="M1392">
        <f t="shared" si="96"/>
        <v>0.16800000000000001</v>
      </c>
      <c r="N1392">
        <f t="shared" si="104"/>
        <v>52.147872000000007</v>
      </c>
    </row>
    <row r="1393" spans="1:14" x14ac:dyDescent="0.3">
      <c r="A1393" t="s">
        <v>54</v>
      </c>
      <c r="B1393">
        <v>13</v>
      </c>
      <c r="C1393">
        <v>36</v>
      </c>
      <c r="D1393" t="s">
        <v>1</v>
      </c>
      <c r="E1393" s="1">
        <v>20000000</v>
      </c>
      <c r="F1393">
        <f t="shared" si="105"/>
        <v>5283443.5371597791</v>
      </c>
      <c r="G1393">
        <f t="shared" si="106"/>
        <v>17021.183802914198</v>
      </c>
      <c r="H1393" s="4">
        <v>42663</v>
      </c>
      <c r="I1393" s="1" t="s">
        <v>231</v>
      </c>
      <c r="J1393" s="1" t="s">
        <v>220</v>
      </c>
      <c r="K1393">
        <v>19.100000000000001</v>
      </c>
      <c r="L1393" t="s">
        <v>21</v>
      </c>
      <c r="M1393">
        <f t="shared" si="96"/>
        <v>1.9100000000000002E-2</v>
      </c>
      <c r="N1393">
        <f t="shared" si="104"/>
        <v>5.9287164000000017</v>
      </c>
    </row>
    <row r="1394" spans="1:14" x14ac:dyDescent="0.3">
      <c r="A1394" t="s">
        <v>124</v>
      </c>
      <c r="B1394">
        <v>13</v>
      </c>
      <c r="C1394">
        <v>36</v>
      </c>
      <c r="D1394" t="s">
        <v>1</v>
      </c>
      <c r="E1394" s="1">
        <v>20000000</v>
      </c>
      <c r="F1394">
        <f t="shared" si="105"/>
        <v>5283443.5371597791</v>
      </c>
      <c r="G1394">
        <f t="shared" si="106"/>
        <v>17021.183802914198</v>
      </c>
      <c r="H1394" s="4">
        <v>42663</v>
      </c>
      <c r="I1394" s="1" t="s">
        <v>231</v>
      </c>
      <c r="J1394" s="1" t="s">
        <v>220</v>
      </c>
      <c r="K1394">
        <v>1680</v>
      </c>
      <c r="L1394" t="s">
        <v>21</v>
      </c>
      <c r="M1394">
        <f t="shared" si="96"/>
        <v>1.68</v>
      </c>
      <c r="N1394">
        <f t="shared" si="104"/>
        <v>521.47871999999995</v>
      </c>
    </row>
    <row r="1395" spans="1:14" x14ac:dyDescent="0.3">
      <c r="A1395" t="s">
        <v>125</v>
      </c>
      <c r="B1395">
        <v>13</v>
      </c>
      <c r="C1395">
        <v>36</v>
      </c>
      <c r="D1395" t="s">
        <v>1</v>
      </c>
      <c r="E1395" s="1">
        <v>20000000</v>
      </c>
      <c r="F1395">
        <f t="shared" si="105"/>
        <v>5283443.5371597791</v>
      </c>
      <c r="G1395">
        <f t="shared" si="106"/>
        <v>17021.183802914198</v>
      </c>
      <c r="H1395" s="4">
        <v>42663</v>
      </c>
      <c r="I1395" s="1" t="s">
        <v>231</v>
      </c>
      <c r="J1395" s="1" t="s">
        <v>220</v>
      </c>
      <c r="K1395">
        <v>248</v>
      </c>
      <c r="L1395" t="s">
        <v>21</v>
      </c>
      <c r="M1395">
        <f t="shared" ref="M1395:M1458" si="107">IFERROR(K1395/1000,"ND")</f>
        <v>0.248</v>
      </c>
      <c r="N1395">
        <f t="shared" si="104"/>
        <v>76.980192000000002</v>
      </c>
    </row>
    <row r="1396" spans="1:14" x14ac:dyDescent="0.3">
      <c r="A1396" t="s">
        <v>19</v>
      </c>
      <c r="B1396">
        <v>13</v>
      </c>
      <c r="C1396">
        <v>36</v>
      </c>
      <c r="D1396" t="s">
        <v>1</v>
      </c>
      <c r="E1396" s="1">
        <v>20000000</v>
      </c>
      <c r="F1396">
        <f t="shared" si="105"/>
        <v>5283443.5371597791</v>
      </c>
      <c r="G1396">
        <f t="shared" si="106"/>
        <v>17021.183802914198</v>
      </c>
      <c r="H1396" s="4">
        <v>42663</v>
      </c>
      <c r="I1396" s="1" t="s">
        <v>231</v>
      </c>
      <c r="J1396" s="1" t="s">
        <v>220</v>
      </c>
      <c r="K1396" t="s">
        <v>20</v>
      </c>
      <c r="L1396" t="s">
        <v>21</v>
      </c>
      <c r="M1396" t="str">
        <f t="shared" si="107"/>
        <v>ND</v>
      </c>
      <c r="N1396" t="str">
        <f t="shared" si="104"/>
        <v>ND</v>
      </c>
    </row>
    <row r="1397" spans="1:14" x14ac:dyDescent="0.3">
      <c r="A1397" t="s">
        <v>126</v>
      </c>
      <c r="B1397">
        <v>13</v>
      </c>
      <c r="C1397">
        <v>36</v>
      </c>
      <c r="D1397" t="s">
        <v>1</v>
      </c>
      <c r="E1397" s="1">
        <v>20000000</v>
      </c>
      <c r="F1397">
        <f t="shared" si="105"/>
        <v>5283443.5371597791</v>
      </c>
      <c r="G1397">
        <f t="shared" si="106"/>
        <v>17021.183802914198</v>
      </c>
      <c r="H1397" s="4">
        <v>42663</v>
      </c>
      <c r="I1397" s="1" t="s">
        <v>231</v>
      </c>
      <c r="J1397" s="1" t="s">
        <v>220</v>
      </c>
      <c r="K1397">
        <v>5.9</v>
      </c>
      <c r="L1397" t="s">
        <v>21</v>
      </c>
      <c r="M1397">
        <f t="shared" si="107"/>
        <v>5.9000000000000007E-3</v>
      </c>
      <c r="N1397">
        <f t="shared" si="104"/>
        <v>1.8313836000000003</v>
      </c>
    </row>
    <row r="1398" spans="1:14" x14ac:dyDescent="0.3">
      <c r="A1398" t="s">
        <v>6</v>
      </c>
      <c r="B1398">
        <v>13</v>
      </c>
      <c r="C1398">
        <v>36</v>
      </c>
      <c r="D1398" t="s">
        <v>1</v>
      </c>
      <c r="E1398" s="1">
        <v>20000000</v>
      </c>
      <c r="F1398">
        <f t="shared" si="105"/>
        <v>5283443.5371597791</v>
      </c>
      <c r="G1398">
        <f t="shared" si="106"/>
        <v>17021.183802914198</v>
      </c>
      <c r="H1398" s="4">
        <v>42663</v>
      </c>
      <c r="I1398" s="1" t="s">
        <v>231</v>
      </c>
      <c r="J1398" s="1" t="s">
        <v>220</v>
      </c>
      <c r="K1398">
        <v>36.299999999999997</v>
      </c>
      <c r="L1398" t="s">
        <v>21</v>
      </c>
      <c r="M1398">
        <f t="shared" si="107"/>
        <v>3.6299999999999999E-2</v>
      </c>
      <c r="N1398">
        <f t="shared" si="104"/>
        <v>11.267665200000001</v>
      </c>
    </row>
    <row r="1399" spans="1:14" x14ac:dyDescent="0.3">
      <c r="A1399" t="s">
        <v>127</v>
      </c>
      <c r="B1399">
        <v>13</v>
      </c>
      <c r="C1399">
        <v>36</v>
      </c>
      <c r="D1399" t="s">
        <v>1</v>
      </c>
      <c r="E1399" s="1">
        <v>20000000</v>
      </c>
      <c r="F1399">
        <f t="shared" si="105"/>
        <v>5283443.5371597791</v>
      </c>
      <c r="G1399">
        <f t="shared" si="106"/>
        <v>17021.183802914198</v>
      </c>
      <c r="H1399" s="4">
        <v>42663</v>
      </c>
      <c r="I1399" s="1" t="s">
        <v>231</v>
      </c>
      <c r="J1399" s="1" t="s">
        <v>220</v>
      </c>
      <c r="K1399">
        <v>37.9</v>
      </c>
      <c r="L1399" t="s">
        <v>21</v>
      </c>
      <c r="M1399">
        <f t="shared" si="107"/>
        <v>3.7899999999999996E-2</v>
      </c>
      <c r="N1399">
        <f t="shared" si="104"/>
        <v>11.764311599999999</v>
      </c>
    </row>
    <row r="1400" spans="1:14" x14ac:dyDescent="0.3">
      <c r="A1400" t="s">
        <v>128</v>
      </c>
      <c r="B1400">
        <v>13</v>
      </c>
      <c r="C1400">
        <v>36</v>
      </c>
      <c r="D1400" t="s">
        <v>1</v>
      </c>
      <c r="E1400" s="1">
        <v>20000000</v>
      </c>
      <c r="F1400">
        <f t="shared" si="105"/>
        <v>5283443.5371597791</v>
      </c>
      <c r="G1400">
        <f t="shared" si="106"/>
        <v>17021.183802914198</v>
      </c>
      <c r="H1400" s="4">
        <v>42663</v>
      </c>
      <c r="I1400" s="1" t="s">
        <v>231</v>
      </c>
      <c r="J1400" s="1" t="s">
        <v>220</v>
      </c>
      <c r="K1400">
        <v>30.4</v>
      </c>
      <c r="L1400" t="s">
        <v>21</v>
      </c>
      <c r="M1400">
        <f t="shared" si="107"/>
        <v>3.04E-2</v>
      </c>
      <c r="N1400">
        <f t="shared" si="104"/>
        <v>9.4362816000000009</v>
      </c>
    </row>
    <row r="1401" spans="1:14" x14ac:dyDescent="0.3">
      <c r="A1401" t="s">
        <v>129</v>
      </c>
      <c r="B1401">
        <v>13</v>
      </c>
      <c r="C1401">
        <v>36</v>
      </c>
      <c r="D1401" t="s">
        <v>1</v>
      </c>
      <c r="E1401" s="1">
        <v>20000000</v>
      </c>
      <c r="F1401">
        <f t="shared" si="105"/>
        <v>5283443.5371597791</v>
      </c>
      <c r="G1401">
        <f t="shared" si="106"/>
        <v>17021.183802914198</v>
      </c>
      <c r="H1401" s="4">
        <v>42663</v>
      </c>
      <c r="I1401" s="1" t="s">
        <v>231</v>
      </c>
      <c r="J1401" s="1" t="s">
        <v>220</v>
      </c>
      <c r="K1401">
        <v>31800</v>
      </c>
      <c r="L1401" t="s">
        <v>21</v>
      </c>
      <c r="M1401">
        <f t="shared" si="107"/>
        <v>31.8</v>
      </c>
      <c r="N1401">
        <f t="shared" si="104"/>
        <v>9870.847200000002</v>
      </c>
    </row>
    <row r="1402" spans="1:14" x14ac:dyDescent="0.3">
      <c r="A1402" t="s">
        <v>130</v>
      </c>
      <c r="B1402">
        <v>13</v>
      </c>
      <c r="C1402">
        <v>36</v>
      </c>
      <c r="D1402" t="s">
        <v>1</v>
      </c>
      <c r="E1402" s="1">
        <v>20000000</v>
      </c>
      <c r="F1402">
        <f t="shared" si="105"/>
        <v>5283443.5371597791</v>
      </c>
      <c r="G1402">
        <f t="shared" si="106"/>
        <v>17021.183802914198</v>
      </c>
      <c r="H1402" s="4">
        <v>42663</v>
      </c>
      <c r="I1402" s="1" t="s">
        <v>231</v>
      </c>
      <c r="J1402" s="1" t="s">
        <v>220</v>
      </c>
      <c r="K1402">
        <v>1880</v>
      </c>
      <c r="L1402" t="s">
        <v>21</v>
      </c>
      <c r="M1402">
        <f t="shared" si="107"/>
        <v>1.88</v>
      </c>
      <c r="N1402">
        <f t="shared" si="104"/>
        <v>583.55952000000002</v>
      </c>
    </row>
    <row r="1403" spans="1:14" x14ac:dyDescent="0.3">
      <c r="A1403" t="s">
        <v>56</v>
      </c>
      <c r="B1403">
        <v>13</v>
      </c>
      <c r="C1403">
        <v>36</v>
      </c>
      <c r="D1403" t="s">
        <v>1</v>
      </c>
      <c r="E1403" s="1">
        <v>20000000</v>
      </c>
      <c r="F1403">
        <f t="shared" si="105"/>
        <v>5283443.5371597791</v>
      </c>
      <c r="G1403">
        <f t="shared" si="106"/>
        <v>17021.183802914198</v>
      </c>
      <c r="H1403" s="4">
        <v>42663</v>
      </c>
      <c r="I1403" s="1" t="s">
        <v>231</v>
      </c>
      <c r="J1403" s="1" t="s">
        <v>220</v>
      </c>
      <c r="K1403">
        <v>237</v>
      </c>
      <c r="L1403" t="s">
        <v>21</v>
      </c>
      <c r="M1403">
        <f t="shared" si="107"/>
        <v>0.23699999999999999</v>
      </c>
      <c r="N1403">
        <f t="shared" si="104"/>
        <v>73.565747999999999</v>
      </c>
    </row>
    <row r="1404" spans="1:14" x14ac:dyDescent="0.3">
      <c r="A1404" t="s">
        <v>5</v>
      </c>
      <c r="B1404">
        <v>13</v>
      </c>
      <c r="C1404">
        <v>36</v>
      </c>
      <c r="D1404" t="s">
        <v>1</v>
      </c>
      <c r="E1404" s="1">
        <v>20000000</v>
      </c>
      <c r="F1404">
        <f t="shared" si="105"/>
        <v>5283443.5371597791</v>
      </c>
      <c r="G1404">
        <f t="shared" si="106"/>
        <v>17021.183802914198</v>
      </c>
      <c r="H1404" s="4">
        <v>42663</v>
      </c>
      <c r="I1404" s="1" t="s">
        <v>231</v>
      </c>
      <c r="J1404" s="1" t="s">
        <v>220</v>
      </c>
      <c r="K1404">
        <v>555</v>
      </c>
      <c r="L1404" t="s">
        <v>21</v>
      </c>
      <c r="M1404">
        <f t="shared" si="107"/>
        <v>0.55500000000000005</v>
      </c>
      <c r="N1404">
        <f t="shared" si="104"/>
        <v>172.27422000000001</v>
      </c>
    </row>
    <row r="1405" spans="1:14" x14ac:dyDescent="0.3">
      <c r="A1405" t="s">
        <v>131</v>
      </c>
      <c r="B1405">
        <v>13</v>
      </c>
      <c r="C1405">
        <v>36</v>
      </c>
      <c r="D1405" t="s">
        <v>1</v>
      </c>
      <c r="E1405" s="1">
        <v>20000000</v>
      </c>
      <c r="F1405">
        <f t="shared" si="105"/>
        <v>5283443.5371597791</v>
      </c>
      <c r="G1405">
        <f t="shared" si="106"/>
        <v>17021.183802914198</v>
      </c>
      <c r="H1405" s="4">
        <v>42663</v>
      </c>
      <c r="I1405" s="1" t="s">
        <v>231</v>
      </c>
      <c r="J1405" s="1" t="s">
        <v>220</v>
      </c>
      <c r="K1405">
        <v>15.1</v>
      </c>
      <c r="L1405" t="s">
        <v>21</v>
      </c>
      <c r="M1405">
        <f t="shared" si="107"/>
        <v>1.5099999999999999E-2</v>
      </c>
      <c r="N1405">
        <f t="shared" si="104"/>
        <v>4.6871004000000003</v>
      </c>
    </row>
    <row r="1406" spans="1:14" x14ac:dyDescent="0.3">
      <c r="A1406" t="s">
        <v>8</v>
      </c>
      <c r="B1406">
        <v>13</v>
      </c>
      <c r="C1406">
        <v>36</v>
      </c>
      <c r="D1406" t="s">
        <v>1</v>
      </c>
      <c r="E1406" s="1">
        <v>20000000</v>
      </c>
      <c r="F1406">
        <f t="shared" si="105"/>
        <v>5283443.5371597791</v>
      </c>
      <c r="G1406">
        <f t="shared" si="106"/>
        <v>17021.183802914198</v>
      </c>
      <c r="H1406" s="4">
        <v>42663</v>
      </c>
      <c r="I1406" s="1" t="s">
        <v>231</v>
      </c>
      <c r="J1406" s="1" t="s">
        <v>220</v>
      </c>
      <c r="K1406">
        <v>77.2</v>
      </c>
      <c r="L1406" t="s">
        <v>21</v>
      </c>
      <c r="M1406">
        <f t="shared" si="107"/>
        <v>7.7200000000000005E-2</v>
      </c>
      <c r="N1406">
        <f t="shared" si="104"/>
        <v>23.963188800000005</v>
      </c>
    </row>
    <row r="1407" spans="1:14" x14ac:dyDescent="0.3">
      <c r="A1407" t="s">
        <v>132</v>
      </c>
      <c r="B1407">
        <v>13</v>
      </c>
      <c r="C1407">
        <v>36</v>
      </c>
      <c r="D1407" t="s">
        <v>1</v>
      </c>
      <c r="E1407" s="1">
        <v>20000000</v>
      </c>
      <c r="F1407">
        <f t="shared" si="105"/>
        <v>5283443.5371597791</v>
      </c>
      <c r="G1407">
        <f t="shared" si="106"/>
        <v>17021.183802914198</v>
      </c>
      <c r="H1407" s="4">
        <v>42663</v>
      </c>
      <c r="I1407" s="1" t="s">
        <v>231</v>
      </c>
      <c r="J1407" s="1" t="s">
        <v>220</v>
      </c>
      <c r="K1407">
        <v>84.4</v>
      </c>
      <c r="L1407" t="s">
        <v>21</v>
      </c>
      <c r="M1407">
        <f t="shared" si="107"/>
        <v>8.4400000000000003E-2</v>
      </c>
      <c r="N1407">
        <f t="shared" si="104"/>
        <v>26.198097600000001</v>
      </c>
    </row>
    <row r="1408" spans="1:14" x14ac:dyDescent="0.3">
      <c r="A1408" t="s">
        <v>57</v>
      </c>
      <c r="B1408">
        <v>13</v>
      </c>
      <c r="C1408">
        <v>36</v>
      </c>
      <c r="D1408" t="s">
        <v>1</v>
      </c>
      <c r="E1408" s="1">
        <v>20000000</v>
      </c>
      <c r="F1408">
        <f t="shared" si="105"/>
        <v>5283443.5371597791</v>
      </c>
      <c r="G1408">
        <f t="shared" si="106"/>
        <v>17021.183802914198</v>
      </c>
      <c r="H1408" s="4">
        <v>42663</v>
      </c>
      <c r="I1408" s="1" t="s">
        <v>231</v>
      </c>
      <c r="J1408" s="1" t="s">
        <v>220</v>
      </c>
      <c r="K1408">
        <v>53.2</v>
      </c>
      <c r="L1408" t="s">
        <v>21</v>
      </c>
      <c r="M1408">
        <f t="shared" si="107"/>
        <v>5.3200000000000004E-2</v>
      </c>
      <c r="N1408">
        <f t="shared" si="104"/>
        <v>16.513492800000005</v>
      </c>
    </row>
    <row r="1409" spans="1:14" x14ac:dyDescent="0.3">
      <c r="A1409" t="s">
        <v>133</v>
      </c>
      <c r="B1409">
        <v>13</v>
      </c>
      <c r="C1409">
        <v>36</v>
      </c>
      <c r="D1409" t="s">
        <v>1</v>
      </c>
      <c r="E1409" s="1">
        <v>20000000</v>
      </c>
      <c r="F1409">
        <f t="shared" si="105"/>
        <v>5283443.5371597791</v>
      </c>
      <c r="G1409">
        <f t="shared" si="106"/>
        <v>17021.183802914198</v>
      </c>
      <c r="H1409" s="4">
        <v>42663</v>
      </c>
      <c r="I1409" s="1" t="s">
        <v>231</v>
      </c>
      <c r="J1409" s="1" t="s">
        <v>220</v>
      </c>
      <c r="K1409">
        <v>1330</v>
      </c>
      <c r="L1409" t="s">
        <v>21</v>
      </c>
      <c r="M1409">
        <f t="shared" si="107"/>
        <v>1.33</v>
      </c>
      <c r="N1409">
        <f t="shared" si="104"/>
        <v>412.83732000000003</v>
      </c>
    </row>
    <row r="1410" spans="1:14" x14ac:dyDescent="0.3">
      <c r="A1410" t="s">
        <v>134</v>
      </c>
      <c r="B1410">
        <v>13</v>
      </c>
      <c r="C1410">
        <v>36</v>
      </c>
      <c r="D1410" t="s">
        <v>1</v>
      </c>
      <c r="E1410" s="1">
        <v>20000000</v>
      </c>
      <c r="F1410">
        <f t="shared" si="105"/>
        <v>5283443.5371597791</v>
      </c>
      <c r="G1410">
        <f t="shared" si="106"/>
        <v>17021.183802914198</v>
      </c>
      <c r="H1410" s="4">
        <v>42663</v>
      </c>
      <c r="I1410" s="1" t="s">
        <v>231</v>
      </c>
      <c r="J1410" s="1" t="s">
        <v>220</v>
      </c>
      <c r="K1410">
        <v>21.65</v>
      </c>
      <c r="L1410" t="s">
        <v>21</v>
      </c>
      <c r="M1410">
        <f t="shared" si="107"/>
        <v>2.1649999999999999E-2</v>
      </c>
      <c r="N1410">
        <f t="shared" si="104"/>
        <v>6.7202466000000003</v>
      </c>
    </row>
    <row r="1411" spans="1:14" x14ac:dyDescent="0.3">
      <c r="A1411" t="s">
        <v>58</v>
      </c>
      <c r="B1411">
        <v>13</v>
      </c>
      <c r="C1411">
        <v>36</v>
      </c>
      <c r="D1411" t="s">
        <v>1</v>
      </c>
      <c r="E1411" s="1">
        <v>20000000</v>
      </c>
      <c r="F1411">
        <f t="shared" si="105"/>
        <v>5283443.5371597791</v>
      </c>
      <c r="G1411">
        <f t="shared" si="106"/>
        <v>17021.183802914198</v>
      </c>
      <c r="H1411" s="4">
        <v>42663</v>
      </c>
      <c r="I1411" s="1" t="s">
        <v>231</v>
      </c>
      <c r="J1411" s="1" t="s">
        <v>220</v>
      </c>
      <c r="K1411">
        <v>542</v>
      </c>
      <c r="L1411" t="s">
        <v>21</v>
      </c>
      <c r="M1411">
        <f t="shared" si="107"/>
        <v>0.54200000000000004</v>
      </c>
      <c r="N1411">
        <f t="shared" si="104"/>
        <v>168.238968</v>
      </c>
    </row>
    <row r="1412" spans="1:14" x14ac:dyDescent="0.3">
      <c r="A1412" t="s">
        <v>39</v>
      </c>
      <c r="B1412">
        <v>13</v>
      </c>
      <c r="C1412">
        <v>36</v>
      </c>
      <c r="D1412" t="s">
        <v>1</v>
      </c>
      <c r="E1412" s="1">
        <v>20000000</v>
      </c>
      <c r="F1412">
        <f t="shared" si="105"/>
        <v>5283443.5371597791</v>
      </c>
      <c r="G1412">
        <f t="shared" si="106"/>
        <v>17021.183802914198</v>
      </c>
      <c r="H1412" s="4">
        <v>42663</v>
      </c>
      <c r="I1412" s="1" t="s">
        <v>231</v>
      </c>
      <c r="J1412" s="1" t="s">
        <v>220</v>
      </c>
      <c r="K1412" t="s">
        <v>20</v>
      </c>
      <c r="L1412" t="s">
        <v>21</v>
      </c>
      <c r="M1412" t="str">
        <f t="shared" si="107"/>
        <v>ND</v>
      </c>
      <c r="N1412" t="str">
        <f t="shared" si="104"/>
        <v>ND</v>
      </c>
    </row>
    <row r="1413" spans="1:14" x14ac:dyDescent="0.3">
      <c r="A1413" t="s">
        <v>40</v>
      </c>
      <c r="B1413">
        <v>13</v>
      </c>
      <c r="C1413">
        <v>36</v>
      </c>
      <c r="D1413" t="s">
        <v>1</v>
      </c>
      <c r="E1413" s="1">
        <v>20000000</v>
      </c>
      <c r="F1413">
        <f t="shared" si="105"/>
        <v>5283443.5371597791</v>
      </c>
      <c r="G1413">
        <f t="shared" si="106"/>
        <v>17021.183802914198</v>
      </c>
      <c r="H1413" s="4">
        <v>42663</v>
      </c>
      <c r="I1413" s="1" t="s">
        <v>231</v>
      </c>
      <c r="J1413" s="1" t="s">
        <v>220</v>
      </c>
      <c r="K1413">
        <v>2000</v>
      </c>
      <c r="L1413" t="s">
        <v>21</v>
      </c>
      <c r="M1413">
        <f t="shared" si="107"/>
        <v>2</v>
      </c>
      <c r="N1413">
        <f t="shared" si="104"/>
        <v>620.80799999999999</v>
      </c>
    </row>
    <row r="1414" spans="1:14" x14ac:dyDescent="0.3">
      <c r="A1414" t="s">
        <v>13</v>
      </c>
      <c r="B1414">
        <v>13</v>
      </c>
      <c r="C1414">
        <v>36</v>
      </c>
      <c r="D1414" t="s">
        <v>1</v>
      </c>
      <c r="E1414" s="1">
        <v>20000000</v>
      </c>
      <c r="F1414">
        <f t="shared" si="105"/>
        <v>5283443.5371597791</v>
      </c>
      <c r="G1414">
        <f t="shared" si="106"/>
        <v>17021.183802914198</v>
      </c>
      <c r="H1414" s="4">
        <v>42663</v>
      </c>
      <c r="I1414" s="1" t="s">
        <v>231</v>
      </c>
      <c r="J1414" s="1" t="s">
        <v>220</v>
      </c>
      <c r="K1414">
        <v>173</v>
      </c>
      <c r="L1414" t="s">
        <v>21</v>
      </c>
      <c r="M1414">
        <f t="shared" si="107"/>
        <v>0.17299999999999999</v>
      </c>
      <c r="N1414">
        <f t="shared" si="104"/>
        <v>53.699891999999998</v>
      </c>
    </row>
    <row r="1415" spans="1:14" x14ac:dyDescent="0.3">
      <c r="A1415" t="s">
        <v>9</v>
      </c>
      <c r="B1415">
        <v>13</v>
      </c>
      <c r="C1415">
        <v>36</v>
      </c>
      <c r="D1415" t="s">
        <v>1</v>
      </c>
      <c r="E1415" s="1">
        <v>20000000</v>
      </c>
      <c r="F1415">
        <f t="shared" si="105"/>
        <v>5283443.5371597791</v>
      </c>
      <c r="G1415">
        <f t="shared" si="106"/>
        <v>17021.183802914198</v>
      </c>
      <c r="H1415" s="4">
        <v>42663</v>
      </c>
      <c r="I1415" s="1" t="s">
        <v>231</v>
      </c>
      <c r="J1415" s="1" t="s">
        <v>220</v>
      </c>
      <c r="K1415">
        <v>668</v>
      </c>
      <c r="L1415" t="s">
        <v>21</v>
      </c>
      <c r="M1415">
        <f t="shared" si="107"/>
        <v>0.66800000000000004</v>
      </c>
      <c r="N1415">
        <f t="shared" si="104"/>
        <v>207.34987200000003</v>
      </c>
    </row>
    <row r="1416" spans="1:14" x14ac:dyDescent="0.3">
      <c r="A1416" t="s">
        <v>135</v>
      </c>
      <c r="B1416">
        <v>13</v>
      </c>
      <c r="C1416">
        <v>36</v>
      </c>
      <c r="D1416" t="s">
        <v>1</v>
      </c>
      <c r="E1416" s="1">
        <v>20000000</v>
      </c>
      <c r="F1416">
        <f t="shared" si="105"/>
        <v>5283443.5371597791</v>
      </c>
      <c r="G1416">
        <f t="shared" si="106"/>
        <v>17021.183802914198</v>
      </c>
      <c r="H1416" s="4">
        <v>42663</v>
      </c>
      <c r="I1416" s="1" t="s">
        <v>231</v>
      </c>
      <c r="J1416" s="1" t="s">
        <v>220</v>
      </c>
      <c r="K1416">
        <v>62</v>
      </c>
      <c r="L1416" t="s">
        <v>21</v>
      </c>
      <c r="M1416">
        <f t="shared" si="107"/>
        <v>6.2E-2</v>
      </c>
      <c r="N1416">
        <f t="shared" si="104"/>
        <v>19.245048000000001</v>
      </c>
    </row>
    <row r="1417" spans="1:14" x14ac:dyDescent="0.3">
      <c r="A1417" t="s">
        <v>41</v>
      </c>
      <c r="B1417">
        <v>13</v>
      </c>
      <c r="C1417">
        <v>36</v>
      </c>
      <c r="D1417" t="s">
        <v>1</v>
      </c>
      <c r="E1417" s="1">
        <v>20000000</v>
      </c>
      <c r="F1417">
        <f t="shared" si="105"/>
        <v>5283443.5371597791</v>
      </c>
      <c r="G1417">
        <f t="shared" si="106"/>
        <v>17021.183802914198</v>
      </c>
      <c r="H1417" s="4">
        <v>42663</v>
      </c>
      <c r="I1417" s="1" t="s">
        <v>231</v>
      </c>
      <c r="J1417" s="1" t="s">
        <v>220</v>
      </c>
      <c r="K1417">
        <v>582</v>
      </c>
      <c r="L1417" t="s">
        <v>21</v>
      </c>
      <c r="M1417">
        <f t="shared" si="107"/>
        <v>0.58199999999999996</v>
      </c>
      <c r="N1417">
        <f t="shared" si="104"/>
        <v>180.65512799999999</v>
      </c>
    </row>
    <row r="1418" spans="1:14" x14ac:dyDescent="0.3">
      <c r="A1418" t="s">
        <v>136</v>
      </c>
      <c r="B1418">
        <v>13</v>
      </c>
      <c r="C1418">
        <v>36</v>
      </c>
      <c r="D1418" t="s">
        <v>1</v>
      </c>
      <c r="E1418" s="1">
        <v>20000000</v>
      </c>
      <c r="F1418">
        <f t="shared" si="105"/>
        <v>5283443.5371597791</v>
      </c>
      <c r="G1418">
        <f t="shared" si="106"/>
        <v>17021.183802914198</v>
      </c>
      <c r="H1418" s="4">
        <v>42663</v>
      </c>
      <c r="I1418" s="1" t="s">
        <v>231</v>
      </c>
      <c r="J1418" s="1" t="s">
        <v>220</v>
      </c>
      <c r="K1418">
        <v>224</v>
      </c>
      <c r="L1418" t="s">
        <v>21</v>
      </c>
      <c r="M1418">
        <f t="shared" si="107"/>
        <v>0.224</v>
      </c>
      <c r="N1418">
        <f t="shared" si="104"/>
        <v>69.530495999999999</v>
      </c>
    </row>
    <row r="1419" spans="1:14" x14ac:dyDescent="0.3">
      <c r="A1419" t="s">
        <v>42</v>
      </c>
      <c r="B1419">
        <v>13</v>
      </c>
      <c r="C1419">
        <v>36</v>
      </c>
      <c r="D1419" t="s">
        <v>1</v>
      </c>
      <c r="E1419" s="1">
        <v>20000000</v>
      </c>
      <c r="F1419">
        <f t="shared" si="105"/>
        <v>5283443.5371597791</v>
      </c>
      <c r="G1419">
        <f t="shared" si="106"/>
        <v>17021.183802914198</v>
      </c>
      <c r="H1419" s="4">
        <v>42663</v>
      </c>
      <c r="I1419" s="1" t="s">
        <v>231</v>
      </c>
      <c r="J1419" s="1" t="s">
        <v>220</v>
      </c>
      <c r="K1419">
        <v>233</v>
      </c>
      <c r="L1419" t="s">
        <v>21</v>
      </c>
      <c r="M1419">
        <f t="shared" si="107"/>
        <v>0.23300000000000001</v>
      </c>
      <c r="N1419">
        <f t="shared" si="104"/>
        <v>72.324132000000006</v>
      </c>
    </row>
    <row r="1420" spans="1:14" x14ac:dyDescent="0.3">
      <c r="A1420" t="s">
        <v>137</v>
      </c>
      <c r="B1420">
        <v>13</v>
      </c>
      <c r="C1420">
        <v>36</v>
      </c>
      <c r="D1420" t="s">
        <v>1</v>
      </c>
      <c r="E1420" s="1">
        <v>20000000</v>
      </c>
      <c r="F1420">
        <f t="shared" si="105"/>
        <v>5283443.5371597791</v>
      </c>
      <c r="G1420">
        <f t="shared" si="106"/>
        <v>17021.183802914198</v>
      </c>
      <c r="H1420" s="4">
        <v>42663</v>
      </c>
      <c r="I1420" s="1" t="s">
        <v>231</v>
      </c>
      <c r="J1420" s="1" t="s">
        <v>220</v>
      </c>
      <c r="K1420">
        <v>34.6</v>
      </c>
      <c r="L1420" t="s">
        <v>21</v>
      </c>
      <c r="M1420">
        <f t="shared" si="107"/>
        <v>3.4599999999999999E-2</v>
      </c>
      <c r="N1420">
        <f t="shared" si="104"/>
        <v>10.7399784</v>
      </c>
    </row>
    <row r="1421" spans="1:14" x14ac:dyDescent="0.3">
      <c r="A1421" t="s">
        <v>138</v>
      </c>
      <c r="B1421">
        <v>13</v>
      </c>
      <c r="C1421">
        <v>36</v>
      </c>
      <c r="D1421" t="s">
        <v>1</v>
      </c>
      <c r="E1421" s="1">
        <v>20000000</v>
      </c>
      <c r="F1421">
        <f t="shared" si="105"/>
        <v>5283443.5371597791</v>
      </c>
      <c r="G1421">
        <f t="shared" si="106"/>
        <v>17021.183802914198</v>
      </c>
      <c r="H1421" s="4">
        <v>42663</v>
      </c>
      <c r="I1421" s="1" t="s">
        <v>231</v>
      </c>
      <c r="J1421" s="1" t="s">
        <v>220</v>
      </c>
      <c r="K1421">
        <v>530</v>
      </c>
      <c r="L1421" t="s">
        <v>21</v>
      </c>
      <c r="M1421">
        <f t="shared" si="107"/>
        <v>0.53</v>
      </c>
      <c r="N1421">
        <f t="shared" si="104"/>
        <v>164.51412000000002</v>
      </c>
    </row>
    <row r="1422" spans="1:14" x14ac:dyDescent="0.3">
      <c r="A1422" t="s">
        <v>139</v>
      </c>
      <c r="B1422">
        <v>13</v>
      </c>
      <c r="C1422">
        <v>36</v>
      </c>
      <c r="D1422" t="s">
        <v>1</v>
      </c>
      <c r="E1422" s="1">
        <v>20000000</v>
      </c>
      <c r="F1422">
        <f t="shared" si="105"/>
        <v>5283443.5371597791</v>
      </c>
      <c r="G1422">
        <f t="shared" si="106"/>
        <v>17021.183802914198</v>
      </c>
      <c r="H1422" s="4">
        <v>42663</v>
      </c>
      <c r="I1422" s="1" t="s">
        <v>231</v>
      </c>
      <c r="J1422" s="1" t="s">
        <v>220</v>
      </c>
      <c r="K1422">
        <v>1280</v>
      </c>
      <c r="L1422" t="s">
        <v>21</v>
      </c>
      <c r="M1422">
        <f t="shared" si="107"/>
        <v>1.28</v>
      </c>
      <c r="N1422">
        <f t="shared" si="104"/>
        <v>397.31712000000005</v>
      </c>
    </row>
    <row r="1423" spans="1:14" x14ac:dyDescent="0.3">
      <c r="A1423" t="s">
        <v>23</v>
      </c>
      <c r="B1423">
        <v>13</v>
      </c>
      <c r="C1423">
        <v>37</v>
      </c>
      <c r="D1423" t="s">
        <v>3</v>
      </c>
      <c r="E1423" s="1">
        <v>1700000</v>
      </c>
      <c r="F1423">
        <f t="shared" si="105"/>
        <v>449092.70065858122</v>
      </c>
      <c r="G1423">
        <f t="shared" si="106"/>
        <v>1446.8006232477069</v>
      </c>
      <c r="H1423" s="4">
        <v>42628</v>
      </c>
      <c r="I1423" s="1" t="s">
        <v>231</v>
      </c>
      <c r="J1423" s="1" t="s">
        <v>220</v>
      </c>
      <c r="K1423" t="s">
        <v>20</v>
      </c>
      <c r="L1423" t="s">
        <v>21</v>
      </c>
      <c r="M1423" t="str">
        <f t="shared" si="107"/>
        <v>ND</v>
      </c>
      <c r="N1423" t="str">
        <f t="shared" si="104"/>
        <v>ND</v>
      </c>
    </row>
    <row r="1424" spans="1:14" x14ac:dyDescent="0.3">
      <c r="A1424" t="s">
        <v>120</v>
      </c>
      <c r="B1424">
        <v>13</v>
      </c>
      <c r="C1424">
        <v>37</v>
      </c>
      <c r="D1424" t="s">
        <v>3</v>
      </c>
      <c r="E1424" s="1">
        <v>1700000</v>
      </c>
      <c r="F1424">
        <f t="shared" si="105"/>
        <v>449092.70065858122</v>
      </c>
      <c r="G1424">
        <f t="shared" si="106"/>
        <v>1446.8006232477069</v>
      </c>
      <c r="H1424" s="4">
        <v>42628</v>
      </c>
      <c r="I1424" s="1" t="s">
        <v>231</v>
      </c>
      <c r="J1424" s="1" t="s">
        <v>220</v>
      </c>
      <c r="K1424">
        <v>20700</v>
      </c>
      <c r="L1424" t="s">
        <v>21</v>
      </c>
      <c r="M1424">
        <f t="shared" si="107"/>
        <v>20.7</v>
      </c>
      <c r="N1424">
        <f t="shared" si="104"/>
        <v>6425.3628000000008</v>
      </c>
    </row>
    <row r="1425" spans="1:14" x14ac:dyDescent="0.3">
      <c r="A1425" t="s">
        <v>59</v>
      </c>
      <c r="B1425">
        <v>13</v>
      </c>
      <c r="C1425">
        <v>37</v>
      </c>
      <c r="D1425" t="s">
        <v>3</v>
      </c>
      <c r="E1425" s="1">
        <v>1700000</v>
      </c>
      <c r="F1425">
        <f t="shared" si="105"/>
        <v>449092.70065858122</v>
      </c>
      <c r="G1425">
        <f t="shared" si="106"/>
        <v>1446.8006232477069</v>
      </c>
      <c r="H1425" s="4">
        <v>42628</v>
      </c>
      <c r="I1425" s="1" t="s">
        <v>231</v>
      </c>
      <c r="J1425" s="1" t="s">
        <v>220</v>
      </c>
      <c r="K1425" t="s">
        <v>20</v>
      </c>
      <c r="L1425" t="s">
        <v>21</v>
      </c>
      <c r="M1425" t="str">
        <f t="shared" si="107"/>
        <v>ND</v>
      </c>
      <c r="N1425" t="str">
        <f t="shared" si="104"/>
        <v>ND</v>
      </c>
    </row>
    <row r="1426" spans="1:14" x14ac:dyDescent="0.3">
      <c r="A1426" t="s">
        <v>24</v>
      </c>
      <c r="B1426">
        <v>13</v>
      </c>
      <c r="C1426">
        <v>37</v>
      </c>
      <c r="D1426" t="s">
        <v>3</v>
      </c>
      <c r="E1426" s="1">
        <v>1700000</v>
      </c>
      <c r="F1426">
        <f t="shared" si="105"/>
        <v>449092.70065858122</v>
      </c>
      <c r="G1426">
        <f t="shared" si="106"/>
        <v>1446.8006232477069</v>
      </c>
      <c r="H1426" s="4">
        <v>42628</v>
      </c>
      <c r="I1426" s="1" t="s">
        <v>231</v>
      </c>
      <c r="J1426" s="1" t="s">
        <v>220</v>
      </c>
      <c r="K1426">
        <v>77.7</v>
      </c>
      <c r="L1426" t="s">
        <v>21</v>
      </c>
      <c r="M1426">
        <f t="shared" si="107"/>
        <v>7.7700000000000005E-2</v>
      </c>
      <c r="N1426">
        <f t="shared" si="104"/>
        <v>24.118390800000004</v>
      </c>
    </row>
    <row r="1427" spans="1:14" x14ac:dyDescent="0.3">
      <c r="A1427" t="s">
        <v>17</v>
      </c>
      <c r="B1427">
        <v>13</v>
      </c>
      <c r="C1427">
        <v>37</v>
      </c>
      <c r="D1427" t="s">
        <v>3</v>
      </c>
      <c r="E1427" s="1">
        <v>1700000</v>
      </c>
      <c r="F1427">
        <f t="shared" si="105"/>
        <v>449092.70065858122</v>
      </c>
      <c r="G1427">
        <f t="shared" si="106"/>
        <v>1446.8006232477069</v>
      </c>
      <c r="H1427" s="4">
        <v>42628</v>
      </c>
      <c r="I1427" s="1" t="s">
        <v>231</v>
      </c>
      <c r="J1427" s="1" t="s">
        <v>220</v>
      </c>
      <c r="K1427">
        <v>394</v>
      </c>
      <c r="L1427" t="s">
        <v>21</v>
      </c>
      <c r="M1427">
        <f t="shared" si="107"/>
        <v>0.39400000000000002</v>
      </c>
      <c r="N1427">
        <f t="shared" si="104"/>
        <v>122.29917600000002</v>
      </c>
    </row>
    <row r="1428" spans="1:14" x14ac:dyDescent="0.3">
      <c r="A1428" t="s">
        <v>53</v>
      </c>
      <c r="B1428">
        <v>13</v>
      </c>
      <c r="C1428">
        <v>37</v>
      </c>
      <c r="D1428" t="s">
        <v>3</v>
      </c>
      <c r="E1428" s="1">
        <v>1700000</v>
      </c>
      <c r="F1428">
        <f t="shared" si="105"/>
        <v>449092.70065858122</v>
      </c>
      <c r="G1428">
        <f t="shared" si="106"/>
        <v>1446.8006232477069</v>
      </c>
      <c r="H1428" s="4">
        <v>42628</v>
      </c>
      <c r="I1428" s="1" t="s">
        <v>231</v>
      </c>
      <c r="J1428" s="1" t="s">
        <v>220</v>
      </c>
      <c r="K1428">
        <v>3700</v>
      </c>
      <c r="L1428" t="s">
        <v>21</v>
      </c>
      <c r="M1428">
        <f t="shared" si="107"/>
        <v>3.7</v>
      </c>
      <c r="N1428">
        <f t="shared" si="104"/>
        <v>1148.4948000000002</v>
      </c>
    </row>
    <row r="1429" spans="1:14" x14ac:dyDescent="0.3">
      <c r="A1429" t="s">
        <v>26</v>
      </c>
      <c r="B1429">
        <v>13</v>
      </c>
      <c r="C1429">
        <v>37</v>
      </c>
      <c r="D1429" t="s">
        <v>3</v>
      </c>
      <c r="E1429" s="1">
        <v>1700000</v>
      </c>
      <c r="F1429">
        <f t="shared" si="105"/>
        <v>449092.70065858122</v>
      </c>
      <c r="G1429">
        <f t="shared" si="106"/>
        <v>1446.8006232477069</v>
      </c>
      <c r="H1429" s="4">
        <v>42628</v>
      </c>
      <c r="I1429" s="1" t="s">
        <v>231</v>
      </c>
      <c r="J1429" s="1" t="s">
        <v>220</v>
      </c>
      <c r="K1429">
        <v>166</v>
      </c>
      <c r="L1429" t="s">
        <v>21</v>
      </c>
      <c r="M1429">
        <f t="shared" si="107"/>
        <v>0.16600000000000001</v>
      </c>
      <c r="N1429">
        <f t="shared" si="104"/>
        <v>51.527064000000003</v>
      </c>
    </row>
    <row r="1430" spans="1:14" x14ac:dyDescent="0.3">
      <c r="A1430" t="s">
        <v>27</v>
      </c>
      <c r="B1430">
        <v>13</v>
      </c>
      <c r="C1430">
        <v>37</v>
      </c>
      <c r="D1430" t="s">
        <v>3</v>
      </c>
      <c r="E1430" s="1">
        <v>1700000</v>
      </c>
      <c r="F1430">
        <f t="shared" si="105"/>
        <v>449092.70065858122</v>
      </c>
      <c r="G1430">
        <f t="shared" si="106"/>
        <v>1446.8006232477069</v>
      </c>
      <c r="H1430" s="4">
        <v>42628</v>
      </c>
      <c r="I1430" s="1" t="s">
        <v>231</v>
      </c>
      <c r="J1430" s="1" t="s">
        <v>220</v>
      </c>
      <c r="K1430">
        <v>209</v>
      </c>
      <c r="L1430" t="s">
        <v>21</v>
      </c>
      <c r="M1430">
        <f t="shared" si="107"/>
        <v>0.20899999999999999</v>
      </c>
      <c r="N1430">
        <f t="shared" si="104"/>
        <v>64.874436000000003</v>
      </c>
    </row>
    <row r="1431" spans="1:14" x14ac:dyDescent="0.3">
      <c r="A1431" t="s">
        <v>29</v>
      </c>
      <c r="B1431">
        <v>13</v>
      </c>
      <c r="C1431">
        <v>37</v>
      </c>
      <c r="D1431" t="s">
        <v>3</v>
      </c>
      <c r="E1431" s="1">
        <v>1700000</v>
      </c>
      <c r="F1431">
        <f t="shared" si="105"/>
        <v>449092.70065858122</v>
      </c>
      <c r="G1431">
        <f t="shared" si="106"/>
        <v>1446.8006232477069</v>
      </c>
      <c r="H1431" s="4">
        <v>42628</v>
      </c>
      <c r="I1431" s="1" t="s">
        <v>231</v>
      </c>
      <c r="J1431" s="1" t="s">
        <v>220</v>
      </c>
      <c r="K1431">
        <v>389</v>
      </c>
      <c r="L1431" t="s">
        <v>21</v>
      </c>
      <c r="M1431">
        <f t="shared" si="107"/>
        <v>0.38900000000000001</v>
      </c>
      <c r="N1431">
        <f t="shared" si="104"/>
        <v>120.74715600000002</v>
      </c>
    </row>
    <row r="1432" spans="1:14" x14ac:dyDescent="0.3">
      <c r="A1432" t="s">
        <v>4</v>
      </c>
      <c r="B1432">
        <v>13</v>
      </c>
      <c r="C1432">
        <v>37</v>
      </c>
      <c r="D1432" t="s">
        <v>3</v>
      </c>
      <c r="E1432" s="1">
        <v>1700000</v>
      </c>
      <c r="F1432">
        <f t="shared" si="105"/>
        <v>449092.70065858122</v>
      </c>
      <c r="G1432">
        <f t="shared" si="106"/>
        <v>1446.8006232477069</v>
      </c>
      <c r="H1432" s="4">
        <v>42628</v>
      </c>
      <c r="I1432" s="1" t="s">
        <v>231</v>
      </c>
      <c r="J1432" s="1" t="s">
        <v>220</v>
      </c>
      <c r="K1432">
        <v>242</v>
      </c>
      <c r="L1432" t="s">
        <v>21</v>
      </c>
      <c r="M1432">
        <f t="shared" si="107"/>
        <v>0.24199999999999999</v>
      </c>
      <c r="N1432">
        <f t="shared" si="104"/>
        <v>75.117767999999998</v>
      </c>
    </row>
    <row r="1433" spans="1:14" x14ac:dyDescent="0.3">
      <c r="A1433" t="s">
        <v>121</v>
      </c>
      <c r="B1433">
        <v>13</v>
      </c>
      <c r="C1433">
        <v>37</v>
      </c>
      <c r="D1433" t="s">
        <v>3</v>
      </c>
      <c r="E1433" s="1">
        <v>1700000</v>
      </c>
      <c r="F1433">
        <f t="shared" si="105"/>
        <v>449092.70065858122</v>
      </c>
      <c r="G1433">
        <f t="shared" si="106"/>
        <v>1446.8006232477069</v>
      </c>
      <c r="H1433" s="4">
        <v>42628</v>
      </c>
      <c r="I1433" s="1" t="s">
        <v>231</v>
      </c>
      <c r="J1433" s="1" t="s">
        <v>220</v>
      </c>
      <c r="K1433">
        <v>2390</v>
      </c>
      <c r="L1433" t="s">
        <v>21</v>
      </c>
      <c r="M1433">
        <f t="shared" si="107"/>
        <v>2.39</v>
      </c>
      <c r="N1433">
        <f t="shared" si="104"/>
        <v>741.86556000000007</v>
      </c>
    </row>
    <row r="1434" spans="1:14" x14ac:dyDescent="0.3">
      <c r="A1434" t="s">
        <v>122</v>
      </c>
      <c r="B1434">
        <v>13</v>
      </c>
      <c r="C1434">
        <v>37</v>
      </c>
      <c r="D1434" t="s">
        <v>3</v>
      </c>
      <c r="E1434" s="1">
        <v>1700000</v>
      </c>
      <c r="F1434">
        <f t="shared" si="105"/>
        <v>449092.70065858122</v>
      </c>
      <c r="G1434">
        <f t="shared" si="106"/>
        <v>1446.8006232477069</v>
      </c>
      <c r="H1434" s="4">
        <v>42628</v>
      </c>
      <c r="I1434" s="1" t="s">
        <v>231</v>
      </c>
      <c r="J1434" s="1" t="s">
        <v>220</v>
      </c>
      <c r="K1434">
        <v>85</v>
      </c>
      <c r="L1434" t="s">
        <v>21</v>
      </c>
      <c r="M1434">
        <f t="shared" si="107"/>
        <v>8.5000000000000006E-2</v>
      </c>
      <c r="N1434">
        <f t="shared" si="104"/>
        <v>26.384340000000005</v>
      </c>
    </row>
    <row r="1435" spans="1:14" x14ac:dyDescent="0.3">
      <c r="A1435" t="s">
        <v>12</v>
      </c>
      <c r="B1435">
        <v>13</v>
      </c>
      <c r="C1435">
        <v>37</v>
      </c>
      <c r="D1435" t="s">
        <v>3</v>
      </c>
      <c r="E1435" s="1">
        <v>1700000</v>
      </c>
      <c r="F1435">
        <f t="shared" si="105"/>
        <v>449092.70065858122</v>
      </c>
      <c r="G1435">
        <f t="shared" si="106"/>
        <v>1446.8006232477069</v>
      </c>
      <c r="H1435" s="4">
        <v>42628</v>
      </c>
      <c r="I1435" s="1" t="s">
        <v>231</v>
      </c>
      <c r="J1435" s="1" t="s">
        <v>220</v>
      </c>
      <c r="K1435" t="s">
        <v>20</v>
      </c>
      <c r="L1435" t="s">
        <v>21</v>
      </c>
      <c r="M1435" t="str">
        <f t="shared" si="107"/>
        <v>ND</v>
      </c>
      <c r="N1435" t="str">
        <f t="shared" si="104"/>
        <v>ND</v>
      </c>
    </row>
    <row r="1436" spans="1:14" x14ac:dyDescent="0.3">
      <c r="A1436" t="s">
        <v>46</v>
      </c>
      <c r="B1436">
        <v>13</v>
      </c>
      <c r="C1436">
        <v>37</v>
      </c>
      <c r="D1436" t="s">
        <v>3</v>
      </c>
      <c r="E1436" s="1">
        <v>1700000</v>
      </c>
      <c r="F1436">
        <f t="shared" si="105"/>
        <v>449092.70065858122</v>
      </c>
      <c r="G1436">
        <f t="shared" si="106"/>
        <v>1446.8006232477069</v>
      </c>
      <c r="H1436" s="4">
        <v>42628</v>
      </c>
      <c r="I1436" s="1" t="s">
        <v>231</v>
      </c>
      <c r="J1436" s="1" t="s">
        <v>220</v>
      </c>
      <c r="K1436">
        <v>281</v>
      </c>
      <c r="L1436" t="s">
        <v>21</v>
      </c>
      <c r="M1436">
        <f t="shared" si="107"/>
        <v>0.28100000000000003</v>
      </c>
      <c r="N1436">
        <f t="shared" si="104"/>
        <v>87.223524000000012</v>
      </c>
    </row>
    <row r="1437" spans="1:14" x14ac:dyDescent="0.3">
      <c r="A1437" t="s">
        <v>44</v>
      </c>
      <c r="B1437">
        <v>13</v>
      </c>
      <c r="C1437">
        <v>37</v>
      </c>
      <c r="D1437" t="s">
        <v>3</v>
      </c>
      <c r="E1437" s="1">
        <v>1700000</v>
      </c>
      <c r="F1437">
        <f t="shared" si="105"/>
        <v>449092.70065858122</v>
      </c>
      <c r="G1437">
        <f t="shared" si="106"/>
        <v>1446.8006232477069</v>
      </c>
      <c r="H1437" s="4">
        <v>42628</v>
      </c>
      <c r="I1437" s="1" t="s">
        <v>231</v>
      </c>
      <c r="J1437" s="1" t="s">
        <v>220</v>
      </c>
      <c r="K1437">
        <v>1860</v>
      </c>
      <c r="L1437" t="s">
        <v>21</v>
      </c>
      <c r="M1437">
        <f t="shared" si="107"/>
        <v>1.86</v>
      </c>
      <c r="N1437">
        <f t="shared" si="104"/>
        <v>577.35144000000003</v>
      </c>
    </row>
    <row r="1438" spans="1:14" x14ac:dyDescent="0.3">
      <c r="A1438" t="s">
        <v>32</v>
      </c>
      <c r="B1438">
        <v>13</v>
      </c>
      <c r="C1438">
        <v>37</v>
      </c>
      <c r="D1438" t="s">
        <v>3</v>
      </c>
      <c r="E1438" s="1">
        <v>1700000</v>
      </c>
      <c r="F1438">
        <f t="shared" si="105"/>
        <v>449092.70065858122</v>
      </c>
      <c r="G1438">
        <f t="shared" si="106"/>
        <v>1446.8006232477069</v>
      </c>
      <c r="H1438" s="4">
        <v>42628</v>
      </c>
      <c r="I1438" s="1" t="s">
        <v>231</v>
      </c>
      <c r="J1438" s="1" t="s">
        <v>220</v>
      </c>
      <c r="K1438" t="s">
        <v>20</v>
      </c>
      <c r="L1438" t="s">
        <v>21</v>
      </c>
      <c r="M1438" t="str">
        <f t="shared" si="107"/>
        <v>ND</v>
      </c>
      <c r="N1438" t="str">
        <f t="shared" si="104"/>
        <v>ND</v>
      </c>
    </row>
    <row r="1439" spans="1:14" x14ac:dyDescent="0.3">
      <c r="A1439" t="s">
        <v>123</v>
      </c>
      <c r="B1439">
        <v>13</v>
      </c>
      <c r="C1439">
        <v>37</v>
      </c>
      <c r="D1439" t="s">
        <v>3</v>
      </c>
      <c r="E1439" s="1">
        <v>1700000</v>
      </c>
      <c r="F1439">
        <f t="shared" si="105"/>
        <v>449092.70065858122</v>
      </c>
      <c r="G1439">
        <f t="shared" si="106"/>
        <v>1446.8006232477069</v>
      </c>
      <c r="H1439" s="4">
        <v>42628</v>
      </c>
      <c r="I1439" s="1" t="s">
        <v>231</v>
      </c>
      <c r="J1439" s="1" t="s">
        <v>220</v>
      </c>
      <c r="K1439">
        <v>294</v>
      </c>
      <c r="L1439" t="s">
        <v>21</v>
      </c>
      <c r="M1439">
        <f t="shared" si="107"/>
        <v>0.29399999999999998</v>
      </c>
      <c r="N1439">
        <f t="shared" ref="N1439:N1502" si="108">IFERROR((M1439*F1439)/G1439,"ND")</f>
        <v>91.258775999999997</v>
      </c>
    </row>
    <row r="1440" spans="1:14" x14ac:dyDescent="0.3">
      <c r="A1440" t="s">
        <v>54</v>
      </c>
      <c r="B1440">
        <v>13</v>
      </c>
      <c r="C1440">
        <v>37</v>
      </c>
      <c r="D1440" t="s">
        <v>3</v>
      </c>
      <c r="E1440" s="1">
        <v>1700000</v>
      </c>
      <c r="F1440">
        <f t="shared" si="105"/>
        <v>449092.70065858122</v>
      </c>
      <c r="G1440">
        <f t="shared" si="106"/>
        <v>1446.8006232477069</v>
      </c>
      <c r="H1440" s="4">
        <v>42628</v>
      </c>
      <c r="I1440" s="1" t="s">
        <v>231</v>
      </c>
      <c r="J1440" s="1" t="s">
        <v>220</v>
      </c>
      <c r="K1440" t="s">
        <v>20</v>
      </c>
      <c r="L1440" t="s">
        <v>21</v>
      </c>
      <c r="M1440" t="str">
        <f t="shared" si="107"/>
        <v>ND</v>
      </c>
      <c r="N1440" t="str">
        <f t="shared" si="108"/>
        <v>ND</v>
      </c>
    </row>
    <row r="1441" spans="1:14" x14ac:dyDescent="0.3">
      <c r="A1441" t="s">
        <v>124</v>
      </c>
      <c r="B1441">
        <v>13</v>
      </c>
      <c r="C1441">
        <v>37</v>
      </c>
      <c r="D1441" t="s">
        <v>3</v>
      </c>
      <c r="E1441" s="1">
        <v>1700000</v>
      </c>
      <c r="F1441">
        <f t="shared" ref="F1441:F1504" si="109">E1441/3.78541</f>
        <v>449092.70065858122</v>
      </c>
      <c r="G1441">
        <f t="shared" ref="G1441:G1504" si="110">F1441/310.404</f>
        <v>1446.8006232477069</v>
      </c>
      <c r="H1441" s="4">
        <v>42628</v>
      </c>
      <c r="I1441" s="1" t="s">
        <v>231</v>
      </c>
      <c r="J1441" s="1" t="s">
        <v>220</v>
      </c>
      <c r="K1441">
        <v>2890</v>
      </c>
      <c r="L1441" t="s">
        <v>21</v>
      </c>
      <c r="M1441">
        <f t="shared" si="107"/>
        <v>2.89</v>
      </c>
      <c r="N1441">
        <f t="shared" si="108"/>
        <v>897.06756000000019</v>
      </c>
    </row>
    <row r="1442" spans="1:14" x14ac:dyDescent="0.3">
      <c r="A1442" t="s">
        <v>125</v>
      </c>
      <c r="B1442">
        <v>13</v>
      </c>
      <c r="C1442">
        <v>37</v>
      </c>
      <c r="D1442" t="s">
        <v>3</v>
      </c>
      <c r="E1442" s="1">
        <v>1700000</v>
      </c>
      <c r="F1442">
        <f t="shared" si="109"/>
        <v>449092.70065858122</v>
      </c>
      <c r="G1442">
        <f t="shared" si="110"/>
        <v>1446.8006232477069</v>
      </c>
      <c r="H1442" s="4">
        <v>42628</v>
      </c>
      <c r="I1442" s="1" t="s">
        <v>231</v>
      </c>
      <c r="J1442" s="1" t="s">
        <v>220</v>
      </c>
      <c r="K1442">
        <v>178</v>
      </c>
      <c r="L1442" t="s">
        <v>21</v>
      </c>
      <c r="M1442">
        <f t="shared" si="107"/>
        <v>0.17799999999999999</v>
      </c>
      <c r="N1442">
        <f t="shared" si="108"/>
        <v>55.251911999999997</v>
      </c>
    </row>
    <row r="1443" spans="1:14" x14ac:dyDescent="0.3">
      <c r="A1443" t="s">
        <v>19</v>
      </c>
      <c r="B1443">
        <v>13</v>
      </c>
      <c r="C1443">
        <v>37</v>
      </c>
      <c r="D1443" t="s">
        <v>3</v>
      </c>
      <c r="E1443" s="1">
        <v>1700000</v>
      </c>
      <c r="F1443">
        <f t="shared" si="109"/>
        <v>449092.70065858122</v>
      </c>
      <c r="G1443">
        <f t="shared" si="110"/>
        <v>1446.8006232477069</v>
      </c>
      <c r="H1443" s="4">
        <v>42628</v>
      </c>
      <c r="I1443" s="1" t="s">
        <v>231</v>
      </c>
      <c r="J1443" s="1" t="s">
        <v>220</v>
      </c>
      <c r="K1443">
        <v>54.3</v>
      </c>
      <c r="L1443" t="s">
        <v>21</v>
      </c>
      <c r="M1443">
        <f t="shared" si="107"/>
        <v>5.4299999999999994E-2</v>
      </c>
      <c r="N1443">
        <f t="shared" si="108"/>
        <v>16.854937199999998</v>
      </c>
    </row>
    <row r="1444" spans="1:14" x14ac:dyDescent="0.3">
      <c r="A1444" t="s">
        <v>126</v>
      </c>
      <c r="B1444">
        <v>13</v>
      </c>
      <c r="C1444">
        <v>37</v>
      </c>
      <c r="D1444" t="s">
        <v>3</v>
      </c>
      <c r="E1444" s="1">
        <v>1700000</v>
      </c>
      <c r="F1444">
        <f t="shared" si="109"/>
        <v>449092.70065858122</v>
      </c>
      <c r="G1444">
        <f t="shared" si="110"/>
        <v>1446.8006232477069</v>
      </c>
      <c r="H1444" s="4">
        <v>42628</v>
      </c>
      <c r="I1444" s="1" t="s">
        <v>231</v>
      </c>
      <c r="J1444" s="1" t="s">
        <v>220</v>
      </c>
      <c r="K1444">
        <v>14.2</v>
      </c>
      <c r="L1444" t="s">
        <v>21</v>
      </c>
      <c r="M1444">
        <f t="shared" si="107"/>
        <v>1.4199999999999999E-2</v>
      </c>
      <c r="N1444">
        <f t="shared" si="108"/>
        <v>4.4077367999999995</v>
      </c>
    </row>
    <row r="1445" spans="1:14" x14ac:dyDescent="0.3">
      <c r="A1445" t="s">
        <v>6</v>
      </c>
      <c r="B1445">
        <v>13</v>
      </c>
      <c r="C1445">
        <v>37</v>
      </c>
      <c r="D1445" t="s">
        <v>3</v>
      </c>
      <c r="E1445" s="1">
        <v>1700000</v>
      </c>
      <c r="F1445">
        <f t="shared" si="109"/>
        <v>449092.70065858122</v>
      </c>
      <c r="G1445">
        <f t="shared" si="110"/>
        <v>1446.8006232477069</v>
      </c>
      <c r="H1445" s="4">
        <v>42628</v>
      </c>
      <c r="I1445" s="1" t="s">
        <v>231</v>
      </c>
      <c r="J1445" s="1" t="s">
        <v>220</v>
      </c>
      <c r="K1445">
        <v>65.7</v>
      </c>
      <c r="L1445" t="s">
        <v>21</v>
      </c>
      <c r="M1445">
        <f t="shared" si="107"/>
        <v>6.5700000000000008E-2</v>
      </c>
      <c r="N1445">
        <f t="shared" si="108"/>
        <v>20.393542800000002</v>
      </c>
    </row>
    <row r="1446" spans="1:14" x14ac:dyDescent="0.3">
      <c r="A1446" t="s">
        <v>127</v>
      </c>
      <c r="B1446">
        <v>13</v>
      </c>
      <c r="C1446">
        <v>37</v>
      </c>
      <c r="D1446" t="s">
        <v>3</v>
      </c>
      <c r="E1446" s="1">
        <v>1700000</v>
      </c>
      <c r="F1446">
        <f t="shared" si="109"/>
        <v>449092.70065858122</v>
      </c>
      <c r="G1446">
        <f t="shared" si="110"/>
        <v>1446.8006232477069</v>
      </c>
      <c r="H1446" s="4">
        <v>42628</v>
      </c>
      <c r="I1446" s="1" t="s">
        <v>231</v>
      </c>
      <c r="J1446" s="1" t="s">
        <v>220</v>
      </c>
      <c r="K1446">
        <v>22</v>
      </c>
      <c r="L1446" t="s">
        <v>21</v>
      </c>
      <c r="M1446">
        <f t="shared" si="107"/>
        <v>2.1999999999999999E-2</v>
      </c>
      <c r="N1446">
        <f t="shared" si="108"/>
        <v>6.8288880000000001</v>
      </c>
    </row>
    <row r="1447" spans="1:14" x14ac:dyDescent="0.3">
      <c r="A1447" t="s">
        <v>128</v>
      </c>
      <c r="B1447">
        <v>13</v>
      </c>
      <c r="C1447">
        <v>37</v>
      </c>
      <c r="D1447" t="s">
        <v>3</v>
      </c>
      <c r="E1447" s="1">
        <v>1700000</v>
      </c>
      <c r="F1447">
        <f t="shared" si="109"/>
        <v>449092.70065858122</v>
      </c>
      <c r="G1447">
        <f t="shared" si="110"/>
        <v>1446.8006232477069</v>
      </c>
      <c r="H1447" s="4">
        <v>42628</v>
      </c>
      <c r="I1447" s="1" t="s">
        <v>231</v>
      </c>
      <c r="J1447" s="1" t="s">
        <v>220</v>
      </c>
      <c r="K1447">
        <v>187</v>
      </c>
      <c r="L1447" t="s">
        <v>21</v>
      </c>
      <c r="M1447">
        <f t="shared" si="107"/>
        <v>0.187</v>
      </c>
      <c r="N1447">
        <f t="shared" si="108"/>
        <v>58.045548000000004</v>
      </c>
    </row>
    <row r="1448" spans="1:14" x14ac:dyDescent="0.3">
      <c r="A1448" t="s">
        <v>129</v>
      </c>
      <c r="B1448">
        <v>13</v>
      </c>
      <c r="C1448">
        <v>37</v>
      </c>
      <c r="D1448" t="s">
        <v>3</v>
      </c>
      <c r="E1448" s="1">
        <v>1700000</v>
      </c>
      <c r="F1448">
        <f t="shared" si="109"/>
        <v>449092.70065858122</v>
      </c>
      <c r="G1448">
        <f t="shared" si="110"/>
        <v>1446.8006232477069</v>
      </c>
      <c r="H1448" s="4">
        <v>42628</v>
      </c>
      <c r="I1448" s="1" t="s">
        <v>231</v>
      </c>
      <c r="J1448" s="1" t="s">
        <v>220</v>
      </c>
      <c r="K1448">
        <v>39900</v>
      </c>
      <c r="L1448" t="s">
        <v>21</v>
      </c>
      <c r="M1448">
        <f t="shared" si="107"/>
        <v>39.9</v>
      </c>
      <c r="N1448">
        <f t="shared" si="108"/>
        <v>12385.1196</v>
      </c>
    </row>
    <row r="1449" spans="1:14" x14ac:dyDescent="0.3">
      <c r="A1449" t="s">
        <v>130</v>
      </c>
      <c r="B1449">
        <v>13</v>
      </c>
      <c r="C1449">
        <v>37</v>
      </c>
      <c r="D1449" t="s">
        <v>3</v>
      </c>
      <c r="E1449" s="1">
        <v>1700000</v>
      </c>
      <c r="F1449">
        <f t="shared" si="109"/>
        <v>449092.70065858122</v>
      </c>
      <c r="G1449">
        <f t="shared" si="110"/>
        <v>1446.8006232477069</v>
      </c>
      <c r="H1449" s="4">
        <v>42628</v>
      </c>
      <c r="I1449" s="1" t="s">
        <v>231</v>
      </c>
      <c r="J1449" s="1" t="s">
        <v>220</v>
      </c>
      <c r="K1449">
        <v>4940</v>
      </c>
      <c r="L1449" t="s">
        <v>21</v>
      </c>
      <c r="M1449">
        <f t="shared" si="107"/>
        <v>4.9400000000000004</v>
      </c>
      <c r="N1449">
        <f t="shared" si="108"/>
        <v>1533.3957600000003</v>
      </c>
    </row>
    <row r="1450" spans="1:14" x14ac:dyDescent="0.3">
      <c r="A1450" t="s">
        <v>56</v>
      </c>
      <c r="B1450">
        <v>13</v>
      </c>
      <c r="C1450">
        <v>37</v>
      </c>
      <c r="D1450" t="s">
        <v>3</v>
      </c>
      <c r="E1450" s="1">
        <v>1700000</v>
      </c>
      <c r="F1450">
        <f t="shared" si="109"/>
        <v>449092.70065858122</v>
      </c>
      <c r="G1450">
        <f t="shared" si="110"/>
        <v>1446.8006232477069</v>
      </c>
      <c r="H1450" s="4">
        <v>42628</v>
      </c>
      <c r="I1450" s="1" t="s">
        <v>231</v>
      </c>
      <c r="J1450" s="1" t="s">
        <v>220</v>
      </c>
      <c r="K1450">
        <v>984</v>
      </c>
      <c r="L1450" t="s">
        <v>21</v>
      </c>
      <c r="M1450">
        <f t="shared" si="107"/>
        <v>0.98399999999999999</v>
      </c>
      <c r="N1450">
        <f t="shared" si="108"/>
        <v>305.43753600000002</v>
      </c>
    </row>
    <row r="1451" spans="1:14" x14ac:dyDescent="0.3">
      <c r="A1451" t="s">
        <v>5</v>
      </c>
      <c r="B1451">
        <v>13</v>
      </c>
      <c r="C1451">
        <v>37</v>
      </c>
      <c r="D1451" t="s">
        <v>3</v>
      </c>
      <c r="E1451" s="1">
        <v>1700000</v>
      </c>
      <c r="F1451">
        <f t="shared" si="109"/>
        <v>449092.70065858122</v>
      </c>
      <c r="G1451">
        <f t="shared" si="110"/>
        <v>1446.8006232477069</v>
      </c>
      <c r="H1451" s="4">
        <v>42628</v>
      </c>
      <c r="I1451" s="1" t="s">
        <v>231</v>
      </c>
      <c r="J1451" s="1" t="s">
        <v>220</v>
      </c>
      <c r="K1451">
        <v>368</v>
      </c>
      <c r="L1451" t="s">
        <v>21</v>
      </c>
      <c r="M1451">
        <f t="shared" si="107"/>
        <v>0.36799999999999999</v>
      </c>
      <c r="N1451">
        <f t="shared" si="108"/>
        <v>114.228672</v>
      </c>
    </row>
    <row r="1452" spans="1:14" x14ac:dyDescent="0.3">
      <c r="A1452" t="s">
        <v>131</v>
      </c>
      <c r="B1452">
        <v>13</v>
      </c>
      <c r="C1452">
        <v>37</v>
      </c>
      <c r="D1452" t="s">
        <v>3</v>
      </c>
      <c r="E1452" s="1">
        <v>1700000</v>
      </c>
      <c r="F1452">
        <f t="shared" si="109"/>
        <v>449092.70065858122</v>
      </c>
      <c r="G1452">
        <f t="shared" si="110"/>
        <v>1446.8006232477069</v>
      </c>
      <c r="H1452" s="4">
        <v>42628</v>
      </c>
      <c r="I1452" s="1" t="s">
        <v>231</v>
      </c>
      <c r="J1452" s="1" t="s">
        <v>220</v>
      </c>
      <c r="K1452">
        <v>141</v>
      </c>
      <c r="L1452" t="s">
        <v>21</v>
      </c>
      <c r="M1452">
        <f t="shared" si="107"/>
        <v>0.14099999999999999</v>
      </c>
      <c r="N1452">
        <f t="shared" si="108"/>
        <v>43.766963999999994</v>
      </c>
    </row>
    <row r="1453" spans="1:14" x14ac:dyDescent="0.3">
      <c r="A1453" t="s">
        <v>8</v>
      </c>
      <c r="B1453">
        <v>13</v>
      </c>
      <c r="C1453">
        <v>37</v>
      </c>
      <c r="D1453" t="s">
        <v>3</v>
      </c>
      <c r="E1453" s="1">
        <v>1700000</v>
      </c>
      <c r="F1453">
        <f t="shared" si="109"/>
        <v>449092.70065858122</v>
      </c>
      <c r="G1453">
        <f t="shared" si="110"/>
        <v>1446.8006232477069</v>
      </c>
      <c r="H1453" s="4">
        <v>42628</v>
      </c>
      <c r="I1453" s="1" t="s">
        <v>231</v>
      </c>
      <c r="J1453" s="1" t="s">
        <v>220</v>
      </c>
      <c r="K1453">
        <v>168</v>
      </c>
      <c r="L1453" t="s">
        <v>21</v>
      </c>
      <c r="M1453">
        <f t="shared" si="107"/>
        <v>0.16800000000000001</v>
      </c>
      <c r="N1453">
        <f t="shared" si="108"/>
        <v>52.147872000000007</v>
      </c>
    </row>
    <row r="1454" spans="1:14" x14ac:dyDescent="0.3">
      <c r="A1454" t="s">
        <v>132</v>
      </c>
      <c r="B1454">
        <v>13</v>
      </c>
      <c r="C1454">
        <v>37</v>
      </c>
      <c r="D1454" t="s">
        <v>3</v>
      </c>
      <c r="E1454" s="1">
        <v>1700000</v>
      </c>
      <c r="F1454">
        <f t="shared" si="109"/>
        <v>449092.70065858122</v>
      </c>
      <c r="G1454">
        <f t="shared" si="110"/>
        <v>1446.8006232477069</v>
      </c>
      <c r="H1454" s="4">
        <v>42628</v>
      </c>
      <c r="I1454" s="1" t="s">
        <v>231</v>
      </c>
      <c r="J1454" s="1" t="s">
        <v>220</v>
      </c>
      <c r="K1454" t="s">
        <v>20</v>
      </c>
      <c r="L1454" t="s">
        <v>21</v>
      </c>
      <c r="M1454" t="str">
        <f t="shared" si="107"/>
        <v>ND</v>
      </c>
      <c r="N1454" t="str">
        <f t="shared" si="108"/>
        <v>ND</v>
      </c>
    </row>
    <row r="1455" spans="1:14" x14ac:dyDescent="0.3">
      <c r="A1455" t="s">
        <v>57</v>
      </c>
      <c r="B1455">
        <v>13</v>
      </c>
      <c r="C1455">
        <v>37</v>
      </c>
      <c r="D1455" t="s">
        <v>3</v>
      </c>
      <c r="E1455" s="1">
        <v>1700000</v>
      </c>
      <c r="F1455">
        <f t="shared" si="109"/>
        <v>449092.70065858122</v>
      </c>
      <c r="G1455">
        <f t="shared" si="110"/>
        <v>1446.8006232477069</v>
      </c>
      <c r="H1455" s="4">
        <v>42628</v>
      </c>
      <c r="I1455" s="1" t="s">
        <v>231</v>
      </c>
      <c r="J1455" s="1" t="s">
        <v>220</v>
      </c>
      <c r="K1455">
        <v>151</v>
      </c>
      <c r="L1455" t="s">
        <v>21</v>
      </c>
      <c r="M1455">
        <f t="shared" si="107"/>
        <v>0.151</v>
      </c>
      <c r="N1455">
        <f t="shared" si="108"/>
        <v>46.871003999999999</v>
      </c>
    </row>
    <row r="1456" spans="1:14" x14ac:dyDescent="0.3">
      <c r="A1456" t="s">
        <v>133</v>
      </c>
      <c r="B1456">
        <v>13</v>
      </c>
      <c r="C1456">
        <v>37</v>
      </c>
      <c r="D1456" t="s">
        <v>3</v>
      </c>
      <c r="E1456" s="1">
        <v>1700000</v>
      </c>
      <c r="F1456">
        <f t="shared" si="109"/>
        <v>449092.70065858122</v>
      </c>
      <c r="G1456">
        <f t="shared" si="110"/>
        <v>1446.8006232477069</v>
      </c>
      <c r="H1456" s="4">
        <v>42628</v>
      </c>
      <c r="I1456" s="1" t="s">
        <v>231</v>
      </c>
      <c r="J1456" s="1" t="s">
        <v>220</v>
      </c>
      <c r="K1456">
        <v>1300</v>
      </c>
      <c r="L1456" t="s">
        <v>21</v>
      </c>
      <c r="M1456">
        <f t="shared" si="107"/>
        <v>1.3</v>
      </c>
      <c r="N1456">
        <f t="shared" si="108"/>
        <v>403.52520000000004</v>
      </c>
    </row>
    <row r="1457" spans="1:14" x14ac:dyDescent="0.3">
      <c r="A1457" t="s">
        <v>134</v>
      </c>
      <c r="B1457">
        <v>13</v>
      </c>
      <c r="C1457">
        <v>37</v>
      </c>
      <c r="D1457" t="s">
        <v>3</v>
      </c>
      <c r="E1457" s="1">
        <v>1700000</v>
      </c>
      <c r="F1457">
        <f t="shared" si="109"/>
        <v>449092.70065858122</v>
      </c>
      <c r="G1457">
        <f t="shared" si="110"/>
        <v>1446.8006232477069</v>
      </c>
      <c r="H1457" s="4">
        <v>42628</v>
      </c>
      <c r="I1457" s="1" t="s">
        <v>231</v>
      </c>
      <c r="J1457" s="1" t="s">
        <v>220</v>
      </c>
      <c r="K1457" t="s">
        <v>20</v>
      </c>
      <c r="L1457" t="s">
        <v>21</v>
      </c>
      <c r="M1457" t="str">
        <f t="shared" si="107"/>
        <v>ND</v>
      </c>
      <c r="N1457" t="str">
        <f t="shared" si="108"/>
        <v>ND</v>
      </c>
    </row>
    <row r="1458" spans="1:14" x14ac:dyDescent="0.3">
      <c r="A1458" t="s">
        <v>58</v>
      </c>
      <c r="B1458">
        <v>13</v>
      </c>
      <c r="C1458">
        <v>37</v>
      </c>
      <c r="D1458" t="s">
        <v>3</v>
      </c>
      <c r="E1458" s="1">
        <v>1700000</v>
      </c>
      <c r="F1458">
        <f t="shared" si="109"/>
        <v>449092.70065858122</v>
      </c>
      <c r="G1458">
        <f t="shared" si="110"/>
        <v>1446.8006232477069</v>
      </c>
      <c r="H1458" s="4">
        <v>42628</v>
      </c>
      <c r="I1458" s="1" t="s">
        <v>231</v>
      </c>
      <c r="J1458" s="1" t="s">
        <v>220</v>
      </c>
      <c r="K1458" t="s">
        <v>20</v>
      </c>
      <c r="L1458" t="s">
        <v>21</v>
      </c>
      <c r="M1458" t="str">
        <f t="shared" si="107"/>
        <v>ND</v>
      </c>
      <c r="N1458" t="str">
        <f t="shared" si="108"/>
        <v>ND</v>
      </c>
    </row>
    <row r="1459" spans="1:14" x14ac:dyDescent="0.3">
      <c r="A1459" t="s">
        <v>39</v>
      </c>
      <c r="B1459">
        <v>13</v>
      </c>
      <c r="C1459">
        <v>37</v>
      </c>
      <c r="D1459" t="s">
        <v>3</v>
      </c>
      <c r="E1459" s="1">
        <v>1700000</v>
      </c>
      <c r="F1459">
        <f t="shared" si="109"/>
        <v>449092.70065858122</v>
      </c>
      <c r="G1459">
        <f t="shared" si="110"/>
        <v>1446.8006232477069</v>
      </c>
      <c r="H1459" s="4">
        <v>42628</v>
      </c>
      <c r="I1459" s="1" t="s">
        <v>231</v>
      </c>
      <c r="J1459" s="1" t="s">
        <v>220</v>
      </c>
      <c r="K1459">
        <v>23.5</v>
      </c>
      <c r="L1459" t="s">
        <v>21</v>
      </c>
      <c r="M1459">
        <f t="shared" ref="M1459:M1522" si="111">IFERROR(K1459/1000,"ND")</f>
        <v>2.35E-2</v>
      </c>
      <c r="N1459">
        <f t="shared" si="108"/>
        <v>7.2944939999999994</v>
      </c>
    </row>
    <row r="1460" spans="1:14" x14ac:dyDescent="0.3">
      <c r="A1460" t="s">
        <v>40</v>
      </c>
      <c r="B1460">
        <v>13</v>
      </c>
      <c r="C1460">
        <v>37</v>
      </c>
      <c r="D1460" t="s">
        <v>3</v>
      </c>
      <c r="E1460" s="1">
        <v>1700000</v>
      </c>
      <c r="F1460">
        <f t="shared" si="109"/>
        <v>449092.70065858122</v>
      </c>
      <c r="G1460">
        <f t="shared" si="110"/>
        <v>1446.8006232477069</v>
      </c>
      <c r="H1460" s="4">
        <v>42628</v>
      </c>
      <c r="I1460" s="1" t="s">
        <v>231</v>
      </c>
      <c r="J1460" s="1" t="s">
        <v>220</v>
      </c>
      <c r="K1460">
        <v>3270</v>
      </c>
      <c r="L1460" t="s">
        <v>21</v>
      </c>
      <c r="M1460">
        <f t="shared" si="111"/>
        <v>3.27</v>
      </c>
      <c r="N1460">
        <f t="shared" si="108"/>
        <v>1015.0210800000001</v>
      </c>
    </row>
    <row r="1461" spans="1:14" x14ac:dyDescent="0.3">
      <c r="A1461" t="s">
        <v>13</v>
      </c>
      <c r="B1461">
        <v>13</v>
      </c>
      <c r="C1461">
        <v>37</v>
      </c>
      <c r="D1461" t="s">
        <v>3</v>
      </c>
      <c r="E1461" s="1">
        <v>1700000</v>
      </c>
      <c r="F1461">
        <f t="shared" si="109"/>
        <v>449092.70065858122</v>
      </c>
      <c r="G1461">
        <f t="shared" si="110"/>
        <v>1446.8006232477069</v>
      </c>
      <c r="H1461" s="4">
        <v>42628</v>
      </c>
      <c r="I1461" s="1" t="s">
        <v>231</v>
      </c>
      <c r="J1461" s="1" t="s">
        <v>220</v>
      </c>
      <c r="K1461">
        <v>481</v>
      </c>
      <c r="L1461" t="s">
        <v>21</v>
      </c>
      <c r="M1461">
        <f t="shared" si="111"/>
        <v>0.48099999999999998</v>
      </c>
      <c r="N1461">
        <f t="shared" si="108"/>
        <v>149.30432399999998</v>
      </c>
    </row>
    <row r="1462" spans="1:14" x14ac:dyDescent="0.3">
      <c r="A1462" t="s">
        <v>9</v>
      </c>
      <c r="B1462">
        <v>13</v>
      </c>
      <c r="C1462">
        <v>37</v>
      </c>
      <c r="D1462" t="s">
        <v>3</v>
      </c>
      <c r="E1462" s="1">
        <v>1700000</v>
      </c>
      <c r="F1462">
        <f t="shared" si="109"/>
        <v>449092.70065858122</v>
      </c>
      <c r="G1462">
        <f t="shared" si="110"/>
        <v>1446.8006232477069</v>
      </c>
      <c r="H1462" s="4">
        <v>42628</v>
      </c>
      <c r="I1462" s="1" t="s">
        <v>231</v>
      </c>
      <c r="J1462" s="1" t="s">
        <v>220</v>
      </c>
      <c r="K1462">
        <v>1240</v>
      </c>
      <c r="L1462" t="s">
        <v>21</v>
      </c>
      <c r="M1462">
        <f t="shared" si="111"/>
        <v>1.24</v>
      </c>
      <c r="N1462">
        <f t="shared" si="108"/>
        <v>384.90095999999994</v>
      </c>
    </row>
    <row r="1463" spans="1:14" x14ac:dyDescent="0.3">
      <c r="A1463" t="s">
        <v>135</v>
      </c>
      <c r="B1463">
        <v>13</v>
      </c>
      <c r="C1463">
        <v>37</v>
      </c>
      <c r="D1463" t="s">
        <v>3</v>
      </c>
      <c r="E1463" s="1">
        <v>1700000</v>
      </c>
      <c r="F1463">
        <f t="shared" si="109"/>
        <v>449092.70065858122</v>
      </c>
      <c r="G1463">
        <f t="shared" si="110"/>
        <v>1446.8006232477069</v>
      </c>
      <c r="H1463" s="4">
        <v>42628</v>
      </c>
      <c r="I1463" s="1" t="s">
        <v>231</v>
      </c>
      <c r="J1463" s="1" t="s">
        <v>220</v>
      </c>
      <c r="K1463">
        <v>249</v>
      </c>
      <c r="L1463" t="s">
        <v>21</v>
      </c>
      <c r="M1463">
        <f t="shared" si="111"/>
        <v>0.249</v>
      </c>
      <c r="N1463">
        <f t="shared" si="108"/>
        <v>77.290595999999994</v>
      </c>
    </row>
    <row r="1464" spans="1:14" x14ac:dyDescent="0.3">
      <c r="A1464" t="s">
        <v>41</v>
      </c>
      <c r="B1464">
        <v>13</v>
      </c>
      <c r="C1464">
        <v>37</v>
      </c>
      <c r="D1464" t="s">
        <v>3</v>
      </c>
      <c r="E1464" s="1">
        <v>1700000</v>
      </c>
      <c r="F1464">
        <f t="shared" si="109"/>
        <v>449092.70065858122</v>
      </c>
      <c r="G1464">
        <f t="shared" si="110"/>
        <v>1446.8006232477069</v>
      </c>
      <c r="H1464" s="4">
        <v>42628</v>
      </c>
      <c r="I1464" s="1" t="s">
        <v>231</v>
      </c>
      <c r="J1464" s="1" t="s">
        <v>220</v>
      </c>
      <c r="K1464">
        <v>762</v>
      </c>
      <c r="L1464" t="s">
        <v>21</v>
      </c>
      <c r="M1464">
        <f t="shared" si="111"/>
        <v>0.76200000000000001</v>
      </c>
      <c r="N1464">
        <f t="shared" si="108"/>
        <v>236.52784800000001</v>
      </c>
    </row>
    <row r="1465" spans="1:14" x14ac:dyDescent="0.3">
      <c r="A1465" t="s">
        <v>136</v>
      </c>
      <c r="B1465">
        <v>13</v>
      </c>
      <c r="C1465">
        <v>37</v>
      </c>
      <c r="D1465" t="s">
        <v>3</v>
      </c>
      <c r="E1465" s="1">
        <v>1700000</v>
      </c>
      <c r="F1465">
        <f t="shared" si="109"/>
        <v>449092.70065858122</v>
      </c>
      <c r="G1465">
        <f t="shared" si="110"/>
        <v>1446.8006232477069</v>
      </c>
      <c r="H1465" s="4">
        <v>42628</v>
      </c>
      <c r="I1465" s="1" t="s">
        <v>231</v>
      </c>
      <c r="J1465" s="1" t="s">
        <v>220</v>
      </c>
      <c r="K1465" t="s">
        <v>20</v>
      </c>
      <c r="L1465" t="s">
        <v>21</v>
      </c>
      <c r="M1465" t="str">
        <f t="shared" si="111"/>
        <v>ND</v>
      </c>
      <c r="N1465" t="str">
        <f t="shared" si="108"/>
        <v>ND</v>
      </c>
    </row>
    <row r="1466" spans="1:14" x14ac:dyDescent="0.3">
      <c r="A1466" t="s">
        <v>42</v>
      </c>
      <c r="B1466">
        <v>13</v>
      </c>
      <c r="C1466">
        <v>37</v>
      </c>
      <c r="D1466" t="s">
        <v>3</v>
      </c>
      <c r="E1466" s="1">
        <v>1700000</v>
      </c>
      <c r="F1466">
        <f t="shared" si="109"/>
        <v>449092.70065858122</v>
      </c>
      <c r="G1466">
        <f t="shared" si="110"/>
        <v>1446.8006232477069</v>
      </c>
      <c r="H1466" s="4">
        <v>42628</v>
      </c>
      <c r="I1466" s="1" t="s">
        <v>231</v>
      </c>
      <c r="J1466" s="1" t="s">
        <v>220</v>
      </c>
      <c r="K1466">
        <v>635</v>
      </c>
      <c r="L1466" t="s">
        <v>21</v>
      </c>
      <c r="M1466">
        <f t="shared" si="111"/>
        <v>0.63500000000000001</v>
      </c>
      <c r="N1466">
        <f t="shared" si="108"/>
        <v>197.10654</v>
      </c>
    </row>
    <row r="1467" spans="1:14" x14ac:dyDescent="0.3">
      <c r="A1467" t="s">
        <v>137</v>
      </c>
      <c r="B1467">
        <v>13</v>
      </c>
      <c r="C1467">
        <v>37</v>
      </c>
      <c r="D1467" t="s">
        <v>3</v>
      </c>
      <c r="E1467" s="1">
        <v>1700000</v>
      </c>
      <c r="F1467">
        <f t="shared" si="109"/>
        <v>449092.70065858122</v>
      </c>
      <c r="G1467">
        <f t="shared" si="110"/>
        <v>1446.8006232477069</v>
      </c>
      <c r="H1467" s="4">
        <v>42628</v>
      </c>
      <c r="I1467" s="1" t="s">
        <v>231</v>
      </c>
      <c r="J1467" s="1" t="s">
        <v>220</v>
      </c>
      <c r="K1467">
        <v>52.3</v>
      </c>
      <c r="L1467" t="s">
        <v>21</v>
      </c>
      <c r="M1467">
        <f t="shared" si="111"/>
        <v>5.2299999999999999E-2</v>
      </c>
      <c r="N1467">
        <f t="shared" si="108"/>
        <v>16.234129200000002</v>
      </c>
    </row>
    <row r="1468" spans="1:14" x14ac:dyDescent="0.3">
      <c r="A1468" t="s">
        <v>138</v>
      </c>
      <c r="B1468">
        <v>13</v>
      </c>
      <c r="C1468">
        <v>37</v>
      </c>
      <c r="D1468" t="s">
        <v>3</v>
      </c>
      <c r="E1468" s="1">
        <v>1700000</v>
      </c>
      <c r="F1468">
        <f t="shared" si="109"/>
        <v>449092.70065858122</v>
      </c>
      <c r="G1468">
        <f t="shared" si="110"/>
        <v>1446.8006232477069</v>
      </c>
      <c r="H1468" s="4">
        <v>42628</v>
      </c>
      <c r="I1468" s="1" t="s">
        <v>231</v>
      </c>
      <c r="J1468" s="1" t="s">
        <v>220</v>
      </c>
      <c r="K1468">
        <v>1170</v>
      </c>
      <c r="L1468" t="s">
        <v>21</v>
      </c>
      <c r="M1468">
        <f t="shared" si="111"/>
        <v>1.17</v>
      </c>
      <c r="N1468">
        <f t="shared" si="108"/>
        <v>363.17268000000001</v>
      </c>
    </row>
    <row r="1469" spans="1:14" x14ac:dyDescent="0.3">
      <c r="A1469" t="s">
        <v>139</v>
      </c>
      <c r="B1469">
        <v>13</v>
      </c>
      <c r="C1469">
        <v>37</v>
      </c>
      <c r="D1469" t="s">
        <v>3</v>
      </c>
      <c r="E1469" s="1">
        <v>1700000</v>
      </c>
      <c r="F1469">
        <f t="shared" si="109"/>
        <v>449092.70065858122</v>
      </c>
      <c r="G1469">
        <f t="shared" si="110"/>
        <v>1446.8006232477069</v>
      </c>
      <c r="H1469" s="4">
        <v>42628</v>
      </c>
      <c r="I1469" s="1" t="s">
        <v>231</v>
      </c>
      <c r="J1469" s="1" t="s">
        <v>220</v>
      </c>
      <c r="K1469">
        <v>1870</v>
      </c>
      <c r="L1469" t="s">
        <v>21</v>
      </c>
      <c r="M1469">
        <f t="shared" si="111"/>
        <v>1.87</v>
      </c>
      <c r="N1469">
        <f t="shared" si="108"/>
        <v>580.45548000000008</v>
      </c>
    </row>
    <row r="1470" spans="1:14" x14ac:dyDescent="0.3">
      <c r="A1470" t="s">
        <v>23</v>
      </c>
      <c r="B1470">
        <v>13</v>
      </c>
      <c r="C1470">
        <v>38</v>
      </c>
      <c r="D1470" t="s">
        <v>140</v>
      </c>
      <c r="E1470" s="1">
        <v>3500000</v>
      </c>
      <c r="F1470">
        <f t="shared" si="109"/>
        <v>924602.61900296132</v>
      </c>
      <c r="G1470">
        <f t="shared" si="110"/>
        <v>2978.7071655099849</v>
      </c>
      <c r="H1470" s="4">
        <v>42581</v>
      </c>
      <c r="I1470" s="1" t="s">
        <v>231</v>
      </c>
      <c r="J1470" s="1" t="s">
        <v>220</v>
      </c>
      <c r="K1470">
        <v>58100</v>
      </c>
      <c r="L1470" t="s">
        <v>21</v>
      </c>
      <c r="M1470">
        <f t="shared" si="111"/>
        <v>58.1</v>
      </c>
      <c r="N1470">
        <f t="shared" si="108"/>
        <v>18034.472399999999</v>
      </c>
    </row>
    <row r="1471" spans="1:14" x14ac:dyDescent="0.3">
      <c r="A1471" t="s">
        <v>120</v>
      </c>
      <c r="B1471">
        <v>13</v>
      </c>
      <c r="C1471">
        <v>38</v>
      </c>
      <c r="D1471" t="s">
        <v>140</v>
      </c>
      <c r="E1471" s="1">
        <v>3500000</v>
      </c>
      <c r="F1471">
        <f t="shared" si="109"/>
        <v>924602.61900296132</v>
      </c>
      <c r="G1471">
        <f t="shared" si="110"/>
        <v>2978.7071655099849</v>
      </c>
      <c r="H1471" s="4">
        <v>42581</v>
      </c>
      <c r="I1471" s="1" t="s">
        <v>231</v>
      </c>
      <c r="J1471" s="1" t="s">
        <v>220</v>
      </c>
      <c r="K1471">
        <v>5070</v>
      </c>
      <c r="L1471" t="s">
        <v>21</v>
      </c>
      <c r="M1471">
        <f t="shared" si="111"/>
        <v>5.07</v>
      </c>
      <c r="N1471">
        <f t="shared" si="108"/>
        <v>1573.74828</v>
      </c>
    </row>
    <row r="1472" spans="1:14" x14ac:dyDescent="0.3">
      <c r="A1472" t="s">
        <v>59</v>
      </c>
      <c r="B1472">
        <v>13</v>
      </c>
      <c r="C1472">
        <v>38</v>
      </c>
      <c r="D1472" t="s">
        <v>140</v>
      </c>
      <c r="E1472" s="1">
        <v>3500000</v>
      </c>
      <c r="F1472">
        <f t="shared" si="109"/>
        <v>924602.61900296132</v>
      </c>
      <c r="G1472">
        <f t="shared" si="110"/>
        <v>2978.7071655099849</v>
      </c>
      <c r="H1472" s="4">
        <v>42581</v>
      </c>
      <c r="I1472" s="1" t="s">
        <v>231</v>
      </c>
      <c r="J1472" s="1" t="s">
        <v>220</v>
      </c>
      <c r="K1472">
        <v>36.4</v>
      </c>
      <c r="L1472" t="s">
        <v>21</v>
      </c>
      <c r="M1472">
        <f t="shared" si="111"/>
        <v>3.6400000000000002E-2</v>
      </c>
      <c r="N1472">
        <f t="shared" si="108"/>
        <v>11.298705600000002</v>
      </c>
    </row>
    <row r="1473" spans="1:14" x14ac:dyDescent="0.3">
      <c r="A1473" t="s">
        <v>24</v>
      </c>
      <c r="B1473">
        <v>13</v>
      </c>
      <c r="C1473">
        <v>38</v>
      </c>
      <c r="D1473" t="s">
        <v>140</v>
      </c>
      <c r="E1473" s="1">
        <v>3500000</v>
      </c>
      <c r="F1473">
        <f t="shared" si="109"/>
        <v>924602.61900296132</v>
      </c>
      <c r="G1473">
        <f t="shared" si="110"/>
        <v>2978.7071655099849</v>
      </c>
      <c r="H1473" s="4">
        <v>42581</v>
      </c>
      <c r="I1473" s="1" t="s">
        <v>231</v>
      </c>
      <c r="J1473" s="1" t="s">
        <v>220</v>
      </c>
      <c r="K1473">
        <v>53.4</v>
      </c>
      <c r="L1473" t="s">
        <v>21</v>
      </c>
      <c r="M1473">
        <f t="shared" si="111"/>
        <v>5.3399999999999996E-2</v>
      </c>
      <c r="N1473">
        <f t="shared" si="108"/>
        <v>16.575573599999998</v>
      </c>
    </row>
    <row r="1474" spans="1:14" x14ac:dyDescent="0.3">
      <c r="A1474" t="s">
        <v>17</v>
      </c>
      <c r="B1474">
        <v>13</v>
      </c>
      <c r="C1474">
        <v>38</v>
      </c>
      <c r="D1474" t="s">
        <v>140</v>
      </c>
      <c r="E1474" s="1">
        <v>3500000</v>
      </c>
      <c r="F1474">
        <f t="shared" si="109"/>
        <v>924602.61900296132</v>
      </c>
      <c r="G1474">
        <f t="shared" si="110"/>
        <v>2978.7071655099849</v>
      </c>
      <c r="H1474" s="4">
        <v>42581</v>
      </c>
      <c r="I1474" s="1" t="s">
        <v>231</v>
      </c>
      <c r="J1474" s="1" t="s">
        <v>220</v>
      </c>
      <c r="K1474">
        <v>303</v>
      </c>
      <c r="L1474" t="s">
        <v>21</v>
      </c>
      <c r="M1474">
        <f t="shared" si="111"/>
        <v>0.30299999999999999</v>
      </c>
      <c r="N1474">
        <f t="shared" si="108"/>
        <v>94.05241199999999</v>
      </c>
    </row>
    <row r="1475" spans="1:14" x14ac:dyDescent="0.3">
      <c r="A1475" t="s">
        <v>53</v>
      </c>
      <c r="B1475">
        <v>13</v>
      </c>
      <c r="C1475">
        <v>38</v>
      </c>
      <c r="D1475" t="s">
        <v>140</v>
      </c>
      <c r="E1475" s="1">
        <v>3500000</v>
      </c>
      <c r="F1475">
        <f t="shared" si="109"/>
        <v>924602.61900296132</v>
      </c>
      <c r="G1475">
        <f t="shared" si="110"/>
        <v>2978.7071655099849</v>
      </c>
      <c r="H1475" s="4">
        <v>42581</v>
      </c>
      <c r="I1475" s="1" t="s">
        <v>231</v>
      </c>
      <c r="J1475" s="1" t="s">
        <v>220</v>
      </c>
      <c r="K1475">
        <v>2040</v>
      </c>
      <c r="L1475" t="s">
        <v>21</v>
      </c>
      <c r="M1475">
        <f t="shared" si="111"/>
        <v>2.04</v>
      </c>
      <c r="N1475">
        <f t="shared" si="108"/>
        <v>633.22415999999998</v>
      </c>
    </row>
    <row r="1476" spans="1:14" x14ac:dyDescent="0.3">
      <c r="A1476" t="s">
        <v>26</v>
      </c>
      <c r="B1476">
        <v>13</v>
      </c>
      <c r="C1476">
        <v>38</v>
      </c>
      <c r="D1476" t="s">
        <v>140</v>
      </c>
      <c r="E1476" s="1">
        <v>3500000</v>
      </c>
      <c r="F1476">
        <f t="shared" si="109"/>
        <v>924602.61900296132</v>
      </c>
      <c r="G1476">
        <f t="shared" si="110"/>
        <v>2978.7071655099849</v>
      </c>
      <c r="H1476" s="4">
        <v>42581</v>
      </c>
      <c r="I1476" s="1" t="s">
        <v>231</v>
      </c>
      <c r="J1476" s="1" t="s">
        <v>220</v>
      </c>
      <c r="K1476">
        <v>173</v>
      </c>
      <c r="L1476" t="s">
        <v>21</v>
      </c>
      <c r="M1476">
        <f t="shared" si="111"/>
        <v>0.17299999999999999</v>
      </c>
      <c r="N1476">
        <f t="shared" si="108"/>
        <v>53.699891999999998</v>
      </c>
    </row>
    <row r="1477" spans="1:14" x14ac:dyDescent="0.3">
      <c r="A1477" t="s">
        <v>27</v>
      </c>
      <c r="B1477">
        <v>13</v>
      </c>
      <c r="C1477">
        <v>38</v>
      </c>
      <c r="D1477" t="s">
        <v>140</v>
      </c>
      <c r="E1477" s="1">
        <v>3500000</v>
      </c>
      <c r="F1477">
        <f t="shared" si="109"/>
        <v>924602.61900296132</v>
      </c>
      <c r="G1477">
        <f t="shared" si="110"/>
        <v>2978.7071655099849</v>
      </c>
      <c r="H1477" s="4">
        <v>42581</v>
      </c>
      <c r="I1477" s="1" t="s">
        <v>231</v>
      </c>
      <c r="J1477" s="1" t="s">
        <v>220</v>
      </c>
      <c r="K1477">
        <v>213</v>
      </c>
      <c r="L1477" t="s">
        <v>21</v>
      </c>
      <c r="M1477">
        <f t="shared" si="111"/>
        <v>0.21299999999999999</v>
      </c>
      <c r="N1477">
        <f t="shared" si="108"/>
        <v>66.116051999999996</v>
      </c>
    </row>
    <row r="1478" spans="1:14" x14ac:dyDescent="0.3">
      <c r="A1478" t="s">
        <v>29</v>
      </c>
      <c r="B1478">
        <v>13</v>
      </c>
      <c r="C1478">
        <v>38</v>
      </c>
      <c r="D1478" t="s">
        <v>140</v>
      </c>
      <c r="E1478" s="1">
        <v>3500000</v>
      </c>
      <c r="F1478">
        <f t="shared" si="109"/>
        <v>924602.61900296132</v>
      </c>
      <c r="G1478">
        <f t="shared" si="110"/>
        <v>2978.7071655099849</v>
      </c>
      <c r="H1478" s="4">
        <v>42581</v>
      </c>
      <c r="I1478" s="1" t="s">
        <v>231</v>
      </c>
      <c r="J1478" s="1" t="s">
        <v>220</v>
      </c>
      <c r="K1478">
        <v>370</v>
      </c>
      <c r="L1478" t="s">
        <v>21</v>
      </c>
      <c r="M1478">
        <f t="shared" si="111"/>
        <v>0.37</v>
      </c>
      <c r="N1478">
        <f t="shared" si="108"/>
        <v>114.84948</v>
      </c>
    </row>
    <row r="1479" spans="1:14" x14ac:dyDescent="0.3">
      <c r="A1479" t="s">
        <v>4</v>
      </c>
      <c r="B1479">
        <v>13</v>
      </c>
      <c r="C1479">
        <v>38</v>
      </c>
      <c r="D1479" t="s">
        <v>140</v>
      </c>
      <c r="E1479" s="1">
        <v>3500000</v>
      </c>
      <c r="F1479">
        <f t="shared" si="109"/>
        <v>924602.61900296132</v>
      </c>
      <c r="G1479">
        <f t="shared" si="110"/>
        <v>2978.7071655099849</v>
      </c>
      <c r="H1479" s="4">
        <v>42581</v>
      </c>
      <c r="I1479" s="1" t="s">
        <v>231</v>
      </c>
      <c r="J1479" s="1" t="s">
        <v>220</v>
      </c>
      <c r="K1479">
        <v>94.2</v>
      </c>
      <c r="L1479" t="s">
        <v>21</v>
      </c>
      <c r="M1479">
        <f t="shared" si="111"/>
        <v>9.4200000000000006E-2</v>
      </c>
      <c r="N1479">
        <f t="shared" si="108"/>
        <v>29.240056800000001</v>
      </c>
    </row>
    <row r="1480" spans="1:14" x14ac:dyDescent="0.3">
      <c r="A1480" t="s">
        <v>121</v>
      </c>
      <c r="B1480">
        <v>13</v>
      </c>
      <c r="C1480">
        <v>38</v>
      </c>
      <c r="D1480" t="s">
        <v>140</v>
      </c>
      <c r="E1480" s="1">
        <v>3500000</v>
      </c>
      <c r="F1480">
        <f t="shared" si="109"/>
        <v>924602.61900296132</v>
      </c>
      <c r="G1480">
        <f t="shared" si="110"/>
        <v>2978.7071655099849</v>
      </c>
      <c r="H1480" s="4">
        <v>42581</v>
      </c>
      <c r="I1480" s="1" t="s">
        <v>231</v>
      </c>
      <c r="J1480" s="1" t="s">
        <v>220</v>
      </c>
      <c r="K1480">
        <v>2000</v>
      </c>
      <c r="L1480" t="s">
        <v>21</v>
      </c>
      <c r="M1480">
        <f t="shared" si="111"/>
        <v>2</v>
      </c>
      <c r="N1480">
        <f t="shared" si="108"/>
        <v>620.80799999999999</v>
      </c>
    </row>
    <row r="1481" spans="1:14" x14ac:dyDescent="0.3">
      <c r="A1481" t="s">
        <v>122</v>
      </c>
      <c r="B1481">
        <v>13</v>
      </c>
      <c r="C1481">
        <v>38</v>
      </c>
      <c r="D1481" t="s">
        <v>140</v>
      </c>
      <c r="E1481" s="1">
        <v>3500000</v>
      </c>
      <c r="F1481">
        <f t="shared" si="109"/>
        <v>924602.61900296132</v>
      </c>
      <c r="G1481">
        <f t="shared" si="110"/>
        <v>2978.7071655099849</v>
      </c>
      <c r="H1481" s="4">
        <v>42581</v>
      </c>
      <c r="I1481" s="1" t="s">
        <v>231</v>
      </c>
      <c r="J1481" s="1" t="s">
        <v>220</v>
      </c>
      <c r="K1481">
        <v>86.3</v>
      </c>
      <c r="L1481" t="s">
        <v>21</v>
      </c>
      <c r="M1481">
        <f t="shared" si="111"/>
        <v>8.6300000000000002E-2</v>
      </c>
      <c r="N1481">
        <f t="shared" si="108"/>
        <v>26.787865200000002</v>
      </c>
    </row>
    <row r="1482" spans="1:14" x14ac:dyDescent="0.3">
      <c r="A1482" t="s">
        <v>12</v>
      </c>
      <c r="B1482">
        <v>13</v>
      </c>
      <c r="C1482">
        <v>38</v>
      </c>
      <c r="D1482" t="s">
        <v>140</v>
      </c>
      <c r="E1482" s="1">
        <v>3500000</v>
      </c>
      <c r="F1482">
        <f t="shared" si="109"/>
        <v>924602.61900296132</v>
      </c>
      <c r="G1482">
        <f t="shared" si="110"/>
        <v>2978.7071655099849</v>
      </c>
      <c r="H1482" s="4">
        <v>42581</v>
      </c>
      <c r="I1482" s="1" t="s">
        <v>231</v>
      </c>
      <c r="J1482" s="1" t="s">
        <v>220</v>
      </c>
      <c r="K1482">
        <v>14.6</v>
      </c>
      <c r="L1482" t="s">
        <v>21</v>
      </c>
      <c r="M1482">
        <f t="shared" si="111"/>
        <v>1.46E-2</v>
      </c>
      <c r="N1482">
        <f t="shared" si="108"/>
        <v>4.5318984000000002</v>
      </c>
    </row>
    <row r="1483" spans="1:14" x14ac:dyDescent="0.3">
      <c r="A1483" t="s">
        <v>46</v>
      </c>
      <c r="B1483">
        <v>13</v>
      </c>
      <c r="C1483">
        <v>38</v>
      </c>
      <c r="D1483" t="s">
        <v>140</v>
      </c>
      <c r="E1483" s="1">
        <v>3500000</v>
      </c>
      <c r="F1483">
        <f t="shared" si="109"/>
        <v>924602.61900296132</v>
      </c>
      <c r="G1483">
        <f t="shared" si="110"/>
        <v>2978.7071655099849</v>
      </c>
      <c r="H1483" s="4">
        <v>42581</v>
      </c>
      <c r="I1483" s="1" t="s">
        <v>231</v>
      </c>
      <c r="J1483" s="1" t="s">
        <v>220</v>
      </c>
      <c r="K1483">
        <v>378</v>
      </c>
      <c r="L1483" t="s">
        <v>21</v>
      </c>
      <c r="M1483">
        <f t="shared" si="111"/>
        <v>0.378</v>
      </c>
      <c r="N1483">
        <f t="shared" si="108"/>
        <v>117.332712</v>
      </c>
    </row>
    <row r="1484" spans="1:14" x14ac:dyDescent="0.3">
      <c r="A1484" t="s">
        <v>44</v>
      </c>
      <c r="B1484">
        <v>13</v>
      </c>
      <c r="C1484">
        <v>38</v>
      </c>
      <c r="D1484" t="s">
        <v>140</v>
      </c>
      <c r="E1484" s="1">
        <v>3500000</v>
      </c>
      <c r="F1484">
        <f t="shared" si="109"/>
        <v>924602.61900296132</v>
      </c>
      <c r="G1484">
        <f t="shared" si="110"/>
        <v>2978.7071655099849</v>
      </c>
      <c r="H1484" s="4">
        <v>42581</v>
      </c>
      <c r="I1484" s="1" t="s">
        <v>231</v>
      </c>
      <c r="J1484" s="1" t="s">
        <v>220</v>
      </c>
      <c r="K1484">
        <v>2520</v>
      </c>
      <c r="L1484" t="s">
        <v>21</v>
      </c>
      <c r="M1484">
        <f t="shared" si="111"/>
        <v>2.52</v>
      </c>
      <c r="N1484">
        <f t="shared" si="108"/>
        <v>782.21807999999987</v>
      </c>
    </row>
    <row r="1485" spans="1:14" x14ac:dyDescent="0.3">
      <c r="A1485" t="s">
        <v>32</v>
      </c>
      <c r="B1485">
        <v>13</v>
      </c>
      <c r="C1485">
        <v>38</v>
      </c>
      <c r="D1485" t="s">
        <v>140</v>
      </c>
      <c r="E1485" s="1">
        <v>3500000</v>
      </c>
      <c r="F1485">
        <f t="shared" si="109"/>
        <v>924602.61900296132</v>
      </c>
      <c r="G1485">
        <f t="shared" si="110"/>
        <v>2978.7071655099849</v>
      </c>
      <c r="H1485" s="4">
        <v>42581</v>
      </c>
      <c r="I1485" s="1" t="s">
        <v>231</v>
      </c>
      <c r="J1485" s="1" t="s">
        <v>220</v>
      </c>
      <c r="K1485">
        <v>20.100000000000001</v>
      </c>
      <c r="L1485" t="s">
        <v>21</v>
      </c>
      <c r="M1485">
        <f t="shared" si="111"/>
        <v>2.01E-2</v>
      </c>
      <c r="N1485">
        <f t="shared" si="108"/>
        <v>6.2391204</v>
      </c>
    </row>
    <row r="1486" spans="1:14" x14ac:dyDescent="0.3">
      <c r="A1486" t="s">
        <v>123</v>
      </c>
      <c r="B1486">
        <v>13</v>
      </c>
      <c r="C1486">
        <v>38</v>
      </c>
      <c r="D1486" t="s">
        <v>140</v>
      </c>
      <c r="E1486" s="1">
        <v>3500000</v>
      </c>
      <c r="F1486">
        <f t="shared" si="109"/>
        <v>924602.61900296132</v>
      </c>
      <c r="G1486">
        <f t="shared" si="110"/>
        <v>2978.7071655099849</v>
      </c>
      <c r="H1486" s="4">
        <v>42581</v>
      </c>
      <c r="I1486" s="1" t="s">
        <v>231</v>
      </c>
      <c r="J1486" s="1" t="s">
        <v>220</v>
      </c>
      <c r="K1486">
        <v>147</v>
      </c>
      <c r="L1486" t="s">
        <v>21</v>
      </c>
      <c r="M1486">
        <f t="shared" si="111"/>
        <v>0.14699999999999999</v>
      </c>
      <c r="N1486">
        <f t="shared" si="108"/>
        <v>45.629387999999999</v>
      </c>
    </row>
    <row r="1487" spans="1:14" x14ac:dyDescent="0.3">
      <c r="A1487" t="s">
        <v>54</v>
      </c>
      <c r="B1487">
        <v>13</v>
      </c>
      <c r="C1487">
        <v>38</v>
      </c>
      <c r="D1487" t="s">
        <v>140</v>
      </c>
      <c r="E1487" s="1">
        <v>3500000</v>
      </c>
      <c r="F1487">
        <f t="shared" si="109"/>
        <v>924602.61900296132</v>
      </c>
      <c r="G1487">
        <f t="shared" si="110"/>
        <v>2978.7071655099849</v>
      </c>
      <c r="H1487" s="4">
        <v>42581</v>
      </c>
      <c r="I1487" s="1" t="s">
        <v>231</v>
      </c>
      <c r="J1487" s="1" t="s">
        <v>220</v>
      </c>
      <c r="K1487">
        <v>23.1</v>
      </c>
      <c r="L1487" t="s">
        <v>21</v>
      </c>
      <c r="M1487">
        <f t="shared" si="111"/>
        <v>2.3100000000000002E-2</v>
      </c>
      <c r="N1487">
        <f t="shared" si="108"/>
        <v>7.1703324000000004</v>
      </c>
    </row>
    <row r="1488" spans="1:14" x14ac:dyDescent="0.3">
      <c r="A1488" t="s">
        <v>124</v>
      </c>
      <c r="B1488">
        <v>13</v>
      </c>
      <c r="C1488">
        <v>38</v>
      </c>
      <c r="D1488" t="s">
        <v>140</v>
      </c>
      <c r="E1488" s="1">
        <v>3500000</v>
      </c>
      <c r="F1488">
        <f t="shared" si="109"/>
        <v>924602.61900296132</v>
      </c>
      <c r="G1488">
        <f t="shared" si="110"/>
        <v>2978.7071655099849</v>
      </c>
      <c r="H1488" s="4">
        <v>42581</v>
      </c>
      <c r="I1488" s="1" t="s">
        <v>231</v>
      </c>
      <c r="J1488" s="1" t="s">
        <v>220</v>
      </c>
      <c r="K1488">
        <v>3670</v>
      </c>
      <c r="L1488" t="s">
        <v>21</v>
      </c>
      <c r="M1488">
        <f t="shared" si="111"/>
        <v>3.67</v>
      </c>
      <c r="N1488">
        <f t="shared" si="108"/>
        <v>1139.1826799999999</v>
      </c>
    </row>
    <row r="1489" spans="1:14" x14ac:dyDescent="0.3">
      <c r="A1489" t="s">
        <v>125</v>
      </c>
      <c r="B1489">
        <v>13</v>
      </c>
      <c r="C1489">
        <v>38</v>
      </c>
      <c r="D1489" t="s">
        <v>140</v>
      </c>
      <c r="E1489" s="1">
        <v>3500000</v>
      </c>
      <c r="F1489">
        <f t="shared" si="109"/>
        <v>924602.61900296132</v>
      </c>
      <c r="G1489">
        <f t="shared" si="110"/>
        <v>2978.7071655099849</v>
      </c>
      <c r="H1489" s="4">
        <v>42581</v>
      </c>
      <c r="I1489" s="1" t="s">
        <v>231</v>
      </c>
      <c r="J1489" s="1" t="s">
        <v>220</v>
      </c>
      <c r="K1489">
        <v>316</v>
      </c>
      <c r="L1489" t="s">
        <v>21</v>
      </c>
      <c r="M1489">
        <f t="shared" si="111"/>
        <v>0.316</v>
      </c>
      <c r="N1489">
        <f t="shared" si="108"/>
        <v>98.08766399999999</v>
      </c>
    </row>
    <row r="1490" spans="1:14" x14ac:dyDescent="0.3">
      <c r="A1490" t="s">
        <v>19</v>
      </c>
      <c r="B1490">
        <v>13</v>
      </c>
      <c r="C1490">
        <v>38</v>
      </c>
      <c r="D1490" t="s">
        <v>140</v>
      </c>
      <c r="E1490" s="1">
        <v>3500000</v>
      </c>
      <c r="F1490">
        <f t="shared" si="109"/>
        <v>924602.61900296132</v>
      </c>
      <c r="G1490">
        <f t="shared" si="110"/>
        <v>2978.7071655099849</v>
      </c>
      <c r="H1490" s="4">
        <v>42581</v>
      </c>
      <c r="I1490" s="1" t="s">
        <v>231</v>
      </c>
      <c r="J1490" s="1" t="s">
        <v>220</v>
      </c>
      <c r="K1490">
        <v>48.7</v>
      </c>
      <c r="L1490" t="s">
        <v>21</v>
      </c>
      <c r="M1490">
        <f t="shared" si="111"/>
        <v>4.87E-2</v>
      </c>
      <c r="N1490">
        <f t="shared" si="108"/>
        <v>15.1166748</v>
      </c>
    </row>
    <row r="1491" spans="1:14" x14ac:dyDescent="0.3">
      <c r="A1491" t="s">
        <v>126</v>
      </c>
      <c r="B1491">
        <v>13</v>
      </c>
      <c r="C1491">
        <v>38</v>
      </c>
      <c r="D1491" t="s">
        <v>140</v>
      </c>
      <c r="E1491" s="1">
        <v>3500000</v>
      </c>
      <c r="F1491">
        <f t="shared" si="109"/>
        <v>924602.61900296132</v>
      </c>
      <c r="G1491">
        <f t="shared" si="110"/>
        <v>2978.7071655099849</v>
      </c>
      <c r="H1491" s="4">
        <v>42581</v>
      </c>
      <c r="I1491" s="1" t="s">
        <v>231</v>
      </c>
      <c r="J1491" s="1" t="s">
        <v>220</v>
      </c>
      <c r="K1491">
        <v>6.19</v>
      </c>
      <c r="L1491" t="s">
        <v>21</v>
      </c>
      <c r="M1491">
        <f t="shared" si="111"/>
        <v>6.1900000000000002E-3</v>
      </c>
      <c r="N1491">
        <f t="shared" si="108"/>
        <v>1.9214007599999998</v>
      </c>
    </row>
    <row r="1492" spans="1:14" x14ac:dyDescent="0.3">
      <c r="A1492" t="s">
        <v>6</v>
      </c>
      <c r="B1492">
        <v>13</v>
      </c>
      <c r="C1492">
        <v>38</v>
      </c>
      <c r="D1492" t="s">
        <v>140</v>
      </c>
      <c r="E1492" s="1">
        <v>3500000</v>
      </c>
      <c r="F1492">
        <f t="shared" si="109"/>
        <v>924602.61900296132</v>
      </c>
      <c r="G1492">
        <f t="shared" si="110"/>
        <v>2978.7071655099849</v>
      </c>
      <c r="H1492" s="4">
        <v>42581</v>
      </c>
      <c r="I1492" s="1" t="s">
        <v>231</v>
      </c>
      <c r="J1492" s="1" t="s">
        <v>220</v>
      </c>
      <c r="K1492">
        <v>71.900000000000006</v>
      </c>
      <c r="L1492" t="s">
        <v>21</v>
      </c>
      <c r="M1492">
        <f t="shared" si="111"/>
        <v>7.1900000000000006E-2</v>
      </c>
      <c r="N1492">
        <f t="shared" si="108"/>
        <v>22.318047600000003</v>
      </c>
    </row>
    <row r="1493" spans="1:14" x14ac:dyDescent="0.3">
      <c r="A1493" t="s">
        <v>127</v>
      </c>
      <c r="B1493">
        <v>13</v>
      </c>
      <c r="C1493">
        <v>38</v>
      </c>
      <c r="D1493" t="s">
        <v>140</v>
      </c>
      <c r="E1493" s="1">
        <v>3500000</v>
      </c>
      <c r="F1493">
        <f t="shared" si="109"/>
        <v>924602.61900296132</v>
      </c>
      <c r="G1493">
        <f t="shared" si="110"/>
        <v>2978.7071655099849</v>
      </c>
      <c r="H1493" s="4">
        <v>42581</v>
      </c>
      <c r="I1493" s="1" t="s">
        <v>231</v>
      </c>
      <c r="J1493" s="1" t="s">
        <v>220</v>
      </c>
      <c r="K1493">
        <v>8.19</v>
      </c>
      <c r="L1493" t="s">
        <v>21</v>
      </c>
      <c r="M1493">
        <f t="shared" si="111"/>
        <v>8.1899999999999994E-3</v>
      </c>
      <c r="N1493">
        <f t="shared" si="108"/>
        <v>2.5422087599999998</v>
      </c>
    </row>
    <row r="1494" spans="1:14" x14ac:dyDescent="0.3">
      <c r="A1494" t="s">
        <v>128</v>
      </c>
      <c r="B1494">
        <v>13</v>
      </c>
      <c r="C1494">
        <v>38</v>
      </c>
      <c r="D1494" t="s">
        <v>140</v>
      </c>
      <c r="E1494" s="1">
        <v>3500000</v>
      </c>
      <c r="F1494">
        <f t="shared" si="109"/>
        <v>924602.61900296132</v>
      </c>
      <c r="G1494">
        <f t="shared" si="110"/>
        <v>2978.7071655099849</v>
      </c>
      <c r="H1494" s="4">
        <v>42581</v>
      </c>
      <c r="I1494" s="1" t="s">
        <v>231</v>
      </c>
      <c r="J1494" s="1" t="s">
        <v>220</v>
      </c>
      <c r="K1494">
        <v>63.5</v>
      </c>
      <c r="L1494" t="s">
        <v>21</v>
      </c>
      <c r="M1494">
        <f t="shared" si="111"/>
        <v>6.3500000000000001E-2</v>
      </c>
      <c r="N1494">
        <f t="shared" si="108"/>
        <v>19.710653999999998</v>
      </c>
    </row>
    <row r="1495" spans="1:14" x14ac:dyDescent="0.3">
      <c r="A1495" t="s">
        <v>129</v>
      </c>
      <c r="B1495">
        <v>13</v>
      </c>
      <c r="C1495">
        <v>38</v>
      </c>
      <c r="D1495" t="s">
        <v>140</v>
      </c>
      <c r="E1495" s="1">
        <v>3500000</v>
      </c>
      <c r="F1495">
        <f t="shared" si="109"/>
        <v>924602.61900296132</v>
      </c>
      <c r="G1495">
        <f t="shared" si="110"/>
        <v>2978.7071655099849</v>
      </c>
      <c r="H1495" s="4">
        <v>42581</v>
      </c>
      <c r="I1495" s="1" t="s">
        <v>231</v>
      </c>
      <c r="J1495" s="1" t="s">
        <v>220</v>
      </c>
      <c r="K1495">
        <v>28400</v>
      </c>
      <c r="L1495" t="s">
        <v>21</v>
      </c>
      <c r="M1495">
        <f t="shared" si="111"/>
        <v>28.4</v>
      </c>
      <c r="N1495">
        <f t="shared" si="108"/>
        <v>8815.4735999999994</v>
      </c>
    </row>
    <row r="1496" spans="1:14" x14ac:dyDescent="0.3">
      <c r="A1496" t="s">
        <v>130</v>
      </c>
      <c r="B1496">
        <v>13</v>
      </c>
      <c r="C1496">
        <v>38</v>
      </c>
      <c r="D1496" t="s">
        <v>140</v>
      </c>
      <c r="E1496" s="1">
        <v>3500000</v>
      </c>
      <c r="F1496">
        <f t="shared" si="109"/>
        <v>924602.61900296132</v>
      </c>
      <c r="G1496">
        <f t="shared" si="110"/>
        <v>2978.7071655099849</v>
      </c>
      <c r="H1496" s="4">
        <v>42581</v>
      </c>
      <c r="I1496" s="1" t="s">
        <v>231</v>
      </c>
      <c r="J1496" s="1" t="s">
        <v>220</v>
      </c>
      <c r="K1496">
        <v>3510</v>
      </c>
      <c r="L1496" t="s">
        <v>21</v>
      </c>
      <c r="M1496">
        <f t="shared" si="111"/>
        <v>3.51</v>
      </c>
      <c r="N1496">
        <f t="shared" si="108"/>
        <v>1089.5180399999999</v>
      </c>
    </row>
    <row r="1497" spans="1:14" x14ac:dyDescent="0.3">
      <c r="A1497" t="s">
        <v>56</v>
      </c>
      <c r="B1497">
        <v>13</v>
      </c>
      <c r="C1497">
        <v>38</v>
      </c>
      <c r="D1497" t="s">
        <v>140</v>
      </c>
      <c r="E1497" s="1">
        <v>3500000</v>
      </c>
      <c r="F1497">
        <f t="shared" si="109"/>
        <v>924602.61900296132</v>
      </c>
      <c r="G1497">
        <f t="shared" si="110"/>
        <v>2978.7071655099849</v>
      </c>
      <c r="H1497" s="4">
        <v>42581</v>
      </c>
      <c r="I1497" s="1" t="s">
        <v>231</v>
      </c>
      <c r="J1497" s="1" t="s">
        <v>220</v>
      </c>
      <c r="K1497">
        <v>552</v>
      </c>
      <c r="L1497" t="s">
        <v>21</v>
      </c>
      <c r="M1497">
        <f t="shared" si="111"/>
        <v>0.55200000000000005</v>
      </c>
      <c r="N1497">
        <f t="shared" si="108"/>
        <v>171.343008</v>
      </c>
    </row>
    <row r="1498" spans="1:14" x14ac:dyDescent="0.3">
      <c r="A1498" t="s">
        <v>5</v>
      </c>
      <c r="B1498">
        <v>13</v>
      </c>
      <c r="C1498">
        <v>38</v>
      </c>
      <c r="D1498" t="s">
        <v>140</v>
      </c>
      <c r="E1498" s="1">
        <v>3500000</v>
      </c>
      <c r="F1498">
        <f t="shared" si="109"/>
        <v>924602.61900296132</v>
      </c>
      <c r="G1498">
        <f t="shared" si="110"/>
        <v>2978.7071655099849</v>
      </c>
      <c r="H1498" s="4">
        <v>42581</v>
      </c>
      <c r="I1498" s="1" t="s">
        <v>231</v>
      </c>
      <c r="J1498" s="1" t="s">
        <v>220</v>
      </c>
      <c r="K1498">
        <v>444</v>
      </c>
      <c r="L1498" t="s">
        <v>21</v>
      </c>
      <c r="M1498">
        <f t="shared" si="111"/>
        <v>0.44400000000000001</v>
      </c>
      <c r="N1498">
        <f t="shared" si="108"/>
        <v>137.81937600000001</v>
      </c>
    </row>
    <row r="1499" spans="1:14" x14ac:dyDescent="0.3">
      <c r="A1499" t="s">
        <v>131</v>
      </c>
      <c r="B1499">
        <v>13</v>
      </c>
      <c r="C1499">
        <v>38</v>
      </c>
      <c r="D1499" t="s">
        <v>140</v>
      </c>
      <c r="E1499" s="1">
        <v>3500000</v>
      </c>
      <c r="F1499">
        <f t="shared" si="109"/>
        <v>924602.61900296132</v>
      </c>
      <c r="G1499">
        <f t="shared" si="110"/>
        <v>2978.7071655099849</v>
      </c>
      <c r="H1499" s="4">
        <v>42581</v>
      </c>
      <c r="I1499" s="1" t="s">
        <v>231</v>
      </c>
      <c r="J1499" s="1" t="s">
        <v>220</v>
      </c>
      <c r="K1499">
        <v>18</v>
      </c>
      <c r="L1499" t="s">
        <v>21</v>
      </c>
      <c r="M1499">
        <f t="shared" si="111"/>
        <v>1.7999999999999999E-2</v>
      </c>
      <c r="N1499">
        <f t="shared" si="108"/>
        <v>5.5872719999999996</v>
      </c>
    </row>
    <row r="1500" spans="1:14" x14ac:dyDescent="0.3">
      <c r="A1500" t="s">
        <v>8</v>
      </c>
      <c r="B1500">
        <v>13</v>
      </c>
      <c r="C1500">
        <v>38</v>
      </c>
      <c r="D1500" t="s">
        <v>140</v>
      </c>
      <c r="E1500" s="1">
        <v>3500000</v>
      </c>
      <c r="F1500">
        <f t="shared" si="109"/>
        <v>924602.61900296132</v>
      </c>
      <c r="G1500">
        <f t="shared" si="110"/>
        <v>2978.7071655099849</v>
      </c>
      <c r="H1500" s="4">
        <v>42581</v>
      </c>
      <c r="I1500" s="1" t="s">
        <v>231</v>
      </c>
      <c r="J1500" s="1" t="s">
        <v>220</v>
      </c>
      <c r="K1500">
        <v>157</v>
      </c>
      <c r="L1500" t="s">
        <v>21</v>
      </c>
      <c r="M1500">
        <f t="shared" si="111"/>
        <v>0.157</v>
      </c>
      <c r="N1500">
        <f t="shared" si="108"/>
        <v>48.733428000000004</v>
      </c>
    </row>
    <row r="1501" spans="1:14" x14ac:dyDescent="0.3">
      <c r="A1501" t="s">
        <v>132</v>
      </c>
      <c r="B1501">
        <v>13</v>
      </c>
      <c r="C1501">
        <v>38</v>
      </c>
      <c r="D1501" t="s">
        <v>140</v>
      </c>
      <c r="E1501" s="1">
        <v>3500000</v>
      </c>
      <c r="F1501">
        <f t="shared" si="109"/>
        <v>924602.61900296132</v>
      </c>
      <c r="G1501">
        <f t="shared" si="110"/>
        <v>2978.7071655099849</v>
      </c>
      <c r="H1501" s="4">
        <v>42581</v>
      </c>
      <c r="I1501" s="1" t="s">
        <v>231</v>
      </c>
      <c r="J1501" s="1" t="s">
        <v>220</v>
      </c>
      <c r="K1501">
        <v>160</v>
      </c>
      <c r="L1501" t="s">
        <v>21</v>
      </c>
      <c r="M1501">
        <f t="shared" si="111"/>
        <v>0.16</v>
      </c>
      <c r="N1501">
        <f t="shared" si="108"/>
        <v>49.664639999999999</v>
      </c>
    </row>
    <row r="1502" spans="1:14" x14ac:dyDescent="0.3">
      <c r="A1502" t="s">
        <v>57</v>
      </c>
      <c r="B1502">
        <v>13</v>
      </c>
      <c r="C1502">
        <v>38</v>
      </c>
      <c r="D1502" t="s">
        <v>140</v>
      </c>
      <c r="E1502" s="1">
        <v>3500000</v>
      </c>
      <c r="F1502">
        <f t="shared" si="109"/>
        <v>924602.61900296132</v>
      </c>
      <c r="G1502">
        <f t="shared" si="110"/>
        <v>2978.7071655099849</v>
      </c>
      <c r="H1502" s="4">
        <v>42581</v>
      </c>
      <c r="I1502" s="1" t="s">
        <v>231</v>
      </c>
      <c r="J1502" s="1" t="s">
        <v>220</v>
      </c>
      <c r="K1502">
        <v>156</v>
      </c>
      <c r="L1502" t="s">
        <v>21</v>
      </c>
      <c r="M1502">
        <f t="shared" si="111"/>
        <v>0.156</v>
      </c>
      <c r="N1502">
        <f t="shared" si="108"/>
        <v>48.423023999999998</v>
      </c>
    </row>
    <row r="1503" spans="1:14" x14ac:dyDescent="0.3">
      <c r="A1503" t="s">
        <v>133</v>
      </c>
      <c r="B1503">
        <v>13</v>
      </c>
      <c r="C1503">
        <v>38</v>
      </c>
      <c r="D1503" t="s">
        <v>140</v>
      </c>
      <c r="E1503" s="1">
        <v>3500000</v>
      </c>
      <c r="F1503">
        <f t="shared" si="109"/>
        <v>924602.61900296132</v>
      </c>
      <c r="G1503">
        <f t="shared" si="110"/>
        <v>2978.7071655099849</v>
      </c>
      <c r="H1503" s="4">
        <v>42581</v>
      </c>
      <c r="I1503" s="1" t="s">
        <v>231</v>
      </c>
      <c r="J1503" s="1" t="s">
        <v>220</v>
      </c>
      <c r="K1503">
        <v>1810</v>
      </c>
      <c r="L1503" t="s">
        <v>21</v>
      </c>
      <c r="M1503">
        <f t="shared" si="111"/>
        <v>1.81</v>
      </c>
      <c r="N1503">
        <f t="shared" ref="N1503:N1566" si="112">IFERROR((M1503*F1503)/G1503,"ND")</f>
        <v>561.83123999999998</v>
      </c>
    </row>
    <row r="1504" spans="1:14" x14ac:dyDescent="0.3">
      <c r="A1504" t="s">
        <v>134</v>
      </c>
      <c r="B1504">
        <v>13</v>
      </c>
      <c r="C1504">
        <v>38</v>
      </c>
      <c r="D1504" t="s">
        <v>140</v>
      </c>
      <c r="E1504" s="1">
        <v>3500000</v>
      </c>
      <c r="F1504">
        <f t="shared" si="109"/>
        <v>924602.61900296132</v>
      </c>
      <c r="G1504">
        <f t="shared" si="110"/>
        <v>2978.7071655099849</v>
      </c>
      <c r="H1504" s="4">
        <v>42581</v>
      </c>
      <c r="I1504" s="1" t="s">
        <v>231</v>
      </c>
      <c r="J1504" s="1" t="s">
        <v>220</v>
      </c>
      <c r="K1504">
        <v>109</v>
      </c>
      <c r="L1504" t="s">
        <v>21</v>
      </c>
      <c r="M1504">
        <f t="shared" si="111"/>
        <v>0.109</v>
      </c>
      <c r="N1504">
        <f t="shared" si="112"/>
        <v>33.834035999999998</v>
      </c>
    </row>
    <row r="1505" spans="1:14" x14ac:dyDescent="0.3">
      <c r="A1505" t="s">
        <v>58</v>
      </c>
      <c r="B1505">
        <v>13</v>
      </c>
      <c r="C1505">
        <v>38</v>
      </c>
      <c r="D1505" t="s">
        <v>140</v>
      </c>
      <c r="E1505" s="1">
        <v>3500000</v>
      </c>
      <c r="F1505">
        <f t="shared" ref="F1505:F1568" si="113">E1505/3.78541</f>
        <v>924602.61900296132</v>
      </c>
      <c r="G1505">
        <f t="shared" ref="G1505:G1568" si="114">F1505/310.404</f>
        <v>2978.7071655099849</v>
      </c>
      <c r="H1505" s="4">
        <v>42581</v>
      </c>
      <c r="I1505" s="1" t="s">
        <v>231</v>
      </c>
      <c r="J1505" s="1" t="s">
        <v>220</v>
      </c>
      <c r="K1505" t="s">
        <v>20</v>
      </c>
      <c r="L1505" t="s">
        <v>21</v>
      </c>
      <c r="M1505" t="str">
        <f t="shared" si="111"/>
        <v>ND</v>
      </c>
      <c r="N1505" t="str">
        <f t="shared" si="112"/>
        <v>ND</v>
      </c>
    </row>
    <row r="1506" spans="1:14" x14ac:dyDescent="0.3">
      <c r="A1506" t="s">
        <v>39</v>
      </c>
      <c r="B1506">
        <v>13</v>
      </c>
      <c r="C1506">
        <v>38</v>
      </c>
      <c r="D1506" t="s">
        <v>140</v>
      </c>
      <c r="E1506" s="1">
        <v>3500000</v>
      </c>
      <c r="F1506">
        <f t="shared" si="113"/>
        <v>924602.61900296132</v>
      </c>
      <c r="G1506">
        <f t="shared" si="114"/>
        <v>2978.7071655099849</v>
      </c>
      <c r="H1506" s="4">
        <v>42581</v>
      </c>
      <c r="I1506" s="1" t="s">
        <v>231</v>
      </c>
      <c r="J1506" s="1" t="s">
        <v>220</v>
      </c>
      <c r="K1506">
        <v>16.5</v>
      </c>
      <c r="L1506" t="s">
        <v>21</v>
      </c>
      <c r="M1506">
        <f t="shared" si="111"/>
        <v>1.6500000000000001E-2</v>
      </c>
      <c r="N1506">
        <f t="shared" si="112"/>
        <v>5.1216660000000003</v>
      </c>
    </row>
    <row r="1507" spans="1:14" x14ac:dyDescent="0.3">
      <c r="A1507" t="s">
        <v>40</v>
      </c>
      <c r="B1507">
        <v>13</v>
      </c>
      <c r="C1507">
        <v>38</v>
      </c>
      <c r="D1507" t="s">
        <v>140</v>
      </c>
      <c r="E1507" s="1">
        <v>3500000</v>
      </c>
      <c r="F1507">
        <f t="shared" si="113"/>
        <v>924602.61900296132</v>
      </c>
      <c r="G1507">
        <f t="shared" si="114"/>
        <v>2978.7071655099849</v>
      </c>
      <c r="H1507" s="4">
        <v>42581</v>
      </c>
      <c r="I1507" s="1" t="s">
        <v>231</v>
      </c>
      <c r="J1507" s="1" t="s">
        <v>220</v>
      </c>
      <c r="K1507">
        <v>4030</v>
      </c>
      <c r="L1507" t="s">
        <v>21</v>
      </c>
      <c r="M1507">
        <f t="shared" si="111"/>
        <v>4.03</v>
      </c>
      <c r="N1507">
        <f t="shared" si="112"/>
        <v>1250.92812</v>
      </c>
    </row>
    <row r="1508" spans="1:14" x14ac:dyDescent="0.3">
      <c r="A1508" t="s">
        <v>13</v>
      </c>
      <c r="B1508">
        <v>13</v>
      </c>
      <c r="C1508">
        <v>38</v>
      </c>
      <c r="D1508" t="s">
        <v>140</v>
      </c>
      <c r="E1508" s="1">
        <v>3500000</v>
      </c>
      <c r="F1508">
        <f t="shared" si="113"/>
        <v>924602.61900296132</v>
      </c>
      <c r="G1508">
        <f t="shared" si="114"/>
        <v>2978.7071655099849</v>
      </c>
      <c r="H1508" s="4">
        <v>42581</v>
      </c>
      <c r="I1508" s="1" t="s">
        <v>231</v>
      </c>
      <c r="J1508" s="1" t="s">
        <v>220</v>
      </c>
      <c r="K1508">
        <v>231</v>
      </c>
      <c r="L1508" t="s">
        <v>21</v>
      </c>
      <c r="M1508">
        <f t="shared" si="111"/>
        <v>0.23100000000000001</v>
      </c>
      <c r="N1508">
        <f t="shared" si="112"/>
        <v>71.703324000000009</v>
      </c>
    </row>
    <row r="1509" spans="1:14" x14ac:dyDescent="0.3">
      <c r="A1509" t="s">
        <v>9</v>
      </c>
      <c r="B1509">
        <v>13</v>
      </c>
      <c r="C1509">
        <v>38</v>
      </c>
      <c r="D1509" t="s">
        <v>140</v>
      </c>
      <c r="E1509" s="1">
        <v>3500000</v>
      </c>
      <c r="F1509">
        <f t="shared" si="113"/>
        <v>924602.61900296132</v>
      </c>
      <c r="G1509">
        <f t="shared" si="114"/>
        <v>2978.7071655099849</v>
      </c>
      <c r="H1509" s="4">
        <v>42581</v>
      </c>
      <c r="I1509" s="1" t="s">
        <v>231</v>
      </c>
      <c r="J1509" s="1" t="s">
        <v>220</v>
      </c>
      <c r="K1509">
        <v>908</v>
      </c>
      <c r="L1509" t="s">
        <v>21</v>
      </c>
      <c r="M1509">
        <f t="shared" si="111"/>
        <v>0.90800000000000003</v>
      </c>
      <c r="N1509">
        <f t="shared" si="112"/>
        <v>281.84683200000001</v>
      </c>
    </row>
    <row r="1510" spans="1:14" x14ac:dyDescent="0.3">
      <c r="A1510" t="s">
        <v>135</v>
      </c>
      <c r="B1510">
        <v>13</v>
      </c>
      <c r="C1510">
        <v>38</v>
      </c>
      <c r="D1510" t="s">
        <v>140</v>
      </c>
      <c r="E1510" s="1">
        <v>3500000</v>
      </c>
      <c r="F1510">
        <f t="shared" si="113"/>
        <v>924602.61900296132</v>
      </c>
      <c r="G1510">
        <f t="shared" si="114"/>
        <v>2978.7071655099849</v>
      </c>
      <c r="H1510" s="4">
        <v>42581</v>
      </c>
      <c r="I1510" s="1" t="s">
        <v>231</v>
      </c>
      <c r="J1510" s="1" t="s">
        <v>220</v>
      </c>
      <c r="K1510">
        <v>189</v>
      </c>
      <c r="L1510" t="s">
        <v>21</v>
      </c>
      <c r="M1510">
        <f t="shared" si="111"/>
        <v>0.189</v>
      </c>
      <c r="N1510">
        <f t="shared" si="112"/>
        <v>58.666356</v>
      </c>
    </row>
    <row r="1511" spans="1:14" x14ac:dyDescent="0.3">
      <c r="A1511" t="s">
        <v>41</v>
      </c>
      <c r="B1511">
        <v>13</v>
      </c>
      <c r="C1511">
        <v>38</v>
      </c>
      <c r="D1511" t="s">
        <v>140</v>
      </c>
      <c r="E1511" s="1">
        <v>3500000</v>
      </c>
      <c r="F1511">
        <f t="shared" si="113"/>
        <v>924602.61900296132</v>
      </c>
      <c r="G1511">
        <f t="shared" si="114"/>
        <v>2978.7071655099849</v>
      </c>
      <c r="H1511" s="4">
        <v>42581</v>
      </c>
      <c r="I1511" s="1" t="s">
        <v>231</v>
      </c>
      <c r="J1511" s="1" t="s">
        <v>220</v>
      </c>
      <c r="K1511">
        <v>797</v>
      </c>
      <c r="L1511" t="s">
        <v>21</v>
      </c>
      <c r="M1511">
        <f t="shared" si="111"/>
        <v>0.79700000000000004</v>
      </c>
      <c r="N1511">
        <f t="shared" si="112"/>
        <v>247.39198800000003</v>
      </c>
    </row>
    <row r="1512" spans="1:14" x14ac:dyDescent="0.3">
      <c r="A1512" t="s">
        <v>136</v>
      </c>
      <c r="B1512">
        <v>13</v>
      </c>
      <c r="C1512">
        <v>38</v>
      </c>
      <c r="D1512" t="s">
        <v>140</v>
      </c>
      <c r="E1512" s="1">
        <v>3500000</v>
      </c>
      <c r="F1512">
        <f t="shared" si="113"/>
        <v>924602.61900296132</v>
      </c>
      <c r="G1512">
        <f t="shared" si="114"/>
        <v>2978.7071655099849</v>
      </c>
      <c r="H1512" s="4">
        <v>42581</v>
      </c>
      <c r="I1512" s="1" t="s">
        <v>231</v>
      </c>
      <c r="J1512" s="1" t="s">
        <v>220</v>
      </c>
      <c r="K1512" t="s">
        <v>20</v>
      </c>
      <c r="L1512" t="s">
        <v>21</v>
      </c>
      <c r="M1512" t="str">
        <f t="shared" si="111"/>
        <v>ND</v>
      </c>
      <c r="N1512" t="str">
        <f t="shared" si="112"/>
        <v>ND</v>
      </c>
    </row>
    <row r="1513" spans="1:14" x14ac:dyDescent="0.3">
      <c r="A1513" t="s">
        <v>42</v>
      </c>
      <c r="B1513">
        <v>13</v>
      </c>
      <c r="C1513">
        <v>38</v>
      </c>
      <c r="D1513" t="s">
        <v>140</v>
      </c>
      <c r="E1513" s="1">
        <v>3500000</v>
      </c>
      <c r="F1513">
        <f t="shared" si="113"/>
        <v>924602.61900296132</v>
      </c>
      <c r="G1513">
        <f t="shared" si="114"/>
        <v>2978.7071655099849</v>
      </c>
      <c r="H1513" s="4">
        <v>42581</v>
      </c>
      <c r="I1513" s="1" t="s">
        <v>231</v>
      </c>
      <c r="J1513" s="1" t="s">
        <v>220</v>
      </c>
      <c r="K1513">
        <v>554</v>
      </c>
      <c r="L1513" t="s">
        <v>21</v>
      </c>
      <c r="M1513">
        <f t="shared" si="111"/>
        <v>0.55400000000000005</v>
      </c>
      <c r="N1513">
        <f t="shared" si="112"/>
        <v>171.96381600000001</v>
      </c>
    </row>
    <row r="1514" spans="1:14" x14ac:dyDescent="0.3">
      <c r="A1514" t="s">
        <v>137</v>
      </c>
      <c r="B1514">
        <v>13</v>
      </c>
      <c r="C1514">
        <v>38</v>
      </c>
      <c r="D1514" t="s">
        <v>140</v>
      </c>
      <c r="E1514" s="1">
        <v>3500000</v>
      </c>
      <c r="F1514">
        <f t="shared" si="113"/>
        <v>924602.61900296132</v>
      </c>
      <c r="G1514">
        <f t="shared" si="114"/>
        <v>2978.7071655099849</v>
      </c>
      <c r="H1514" s="4">
        <v>42581</v>
      </c>
      <c r="I1514" s="1" t="s">
        <v>231</v>
      </c>
      <c r="J1514" s="1" t="s">
        <v>220</v>
      </c>
      <c r="K1514">
        <v>90.8</v>
      </c>
      <c r="L1514" t="s">
        <v>21</v>
      </c>
      <c r="M1514">
        <f t="shared" si="111"/>
        <v>9.0799999999999992E-2</v>
      </c>
      <c r="N1514">
        <f t="shared" si="112"/>
        <v>28.184683199999998</v>
      </c>
    </row>
    <row r="1515" spans="1:14" x14ac:dyDescent="0.3">
      <c r="A1515" t="s">
        <v>138</v>
      </c>
      <c r="B1515">
        <v>13</v>
      </c>
      <c r="C1515">
        <v>38</v>
      </c>
      <c r="D1515" t="s">
        <v>140</v>
      </c>
      <c r="E1515" s="1">
        <v>3500000</v>
      </c>
      <c r="F1515">
        <f t="shared" si="113"/>
        <v>924602.61900296132</v>
      </c>
      <c r="G1515">
        <f t="shared" si="114"/>
        <v>2978.7071655099849</v>
      </c>
      <c r="H1515" s="4">
        <v>42581</v>
      </c>
      <c r="I1515" s="1" t="s">
        <v>231</v>
      </c>
      <c r="J1515" s="1" t="s">
        <v>220</v>
      </c>
      <c r="K1515">
        <v>791</v>
      </c>
      <c r="L1515" t="s">
        <v>21</v>
      </c>
      <c r="M1515">
        <f t="shared" si="111"/>
        <v>0.79100000000000004</v>
      </c>
      <c r="N1515">
        <f t="shared" si="112"/>
        <v>245.52956399999999</v>
      </c>
    </row>
    <row r="1516" spans="1:14" x14ac:dyDescent="0.3">
      <c r="A1516" t="s">
        <v>139</v>
      </c>
      <c r="B1516">
        <v>13</v>
      </c>
      <c r="C1516">
        <v>38</v>
      </c>
      <c r="D1516" t="s">
        <v>140</v>
      </c>
      <c r="E1516" s="1">
        <v>3500000</v>
      </c>
      <c r="F1516">
        <f t="shared" si="113"/>
        <v>924602.61900296132</v>
      </c>
      <c r="G1516">
        <f t="shared" si="114"/>
        <v>2978.7071655099849</v>
      </c>
      <c r="H1516" s="4">
        <v>42581</v>
      </c>
      <c r="I1516" s="1" t="s">
        <v>231</v>
      </c>
      <c r="J1516" s="1" t="s">
        <v>220</v>
      </c>
      <c r="K1516">
        <v>2070</v>
      </c>
      <c r="L1516" t="s">
        <v>21</v>
      </c>
      <c r="M1516">
        <f t="shared" si="111"/>
        <v>2.0699999999999998</v>
      </c>
      <c r="N1516">
        <f t="shared" si="112"/>
        <v>642.53627999999992</v>
      </c>
    </row>
    <row r="1517" spans="1:14" x14ac:dyDescent="0.3">
      <c r="A1517" t="s">
        <v>23</v>
      </c>
      <c r="B1517">
        <v>13</v>
      </c>
      <c r="C1517">
        <v>39</v>
      </c>
      <c r="D1517" t="s">
        <v>141</v>
      </c>
      <c r="E1517" s="1">
        <v>5500000</v>
      </c>
      <c r="F1517">
        <f t="shared" si="113"/>
        <v>1452946.9727189392</v>
      </c>
      <c r="G1517">
        <f t="shared" si="114"/>
        <v>4680.8255458014046</v>
      </c>
      <c r="H1517" s="4">
        <v>42561</v>
      </c>
      <c r="I1517" s="1" t="s">
        <v>231</v>
      </c>
      <c r="J1517" s="1" t="s">
        <v>220</v>
      </c>
      <c r="K1517">
        <v>22200</v>
      </c>
      <c r="L1517" t="s">
        <v>21</v>
      </c>
      <c r="M1517">
        <f t="shared" si="111"/>
        <v>22.2</v>
      </c>
      <c r="N1517">
        <f t="shared" si="112"/>
        <v>6890.9687999999996</v>
      </c>
    </row>
    <row r="1518" spans="1:14" x14ac:dyDescent="0.3">
      <c r="A1518" t="s">
        <v>120</v>
      </c>
      <c r="B1518">
        <v>13</v>
      </c>
      <c r="C1518">
        <v>39</v>
      </c>
      <c r="D1518" t="s">
        <v>141</v>
      </c>
      <c r="E1518" s="1">
        <v>5500000</v>
      </c>
      <c r="F1518">
        <f t="shared" si="113"/>
        <v>1452946.9727189392</v>
      </c>
      <c r="G1518">
        <f t="shared" si="114"/>
        <v>4680.8255458014046</v>
      </c>
      <c r="H1518" s="4">
        <v>42561</v>
      </c>
      <c r="I1518" s="1" t="s">
        <v>231</v>
      </c>
      <c r="J1518" s="1" t="s">
        <v>220</v>
      </c>
      <c r="K1518">
        <v>4730</v>
      </c>
      <c r="L1518" t="s">
        <v>21</v>
      </c>
      <c r="M1518">
        <f t="shared" si="111"/>
        <v>4.7300000000000004</v>
      </c>
      <c r="N1518">
        <f t="shared" si="112"/>
        <v>1468.21092</v>
      </c>
    </row>
    <row r="1519" spans="1:14" x14ac:dyDescent="0.3">
      <c r="A1519" t="s">
        <v>59</v>
      </c>
      <c r="B1519">
        <v>13</v>
      </c>
      <c r="C1519">
        <v>39</v>
      </c>
      <c r="D1519" t="s">
        <v>141</v>
      </c>
      <c r="E1519" s="1">
        <v>5500000</v>
      </c>
      <c r="F1519">
        <f t="shared" si="113"/>
        <v>1452946.9727189392</v>
      </c>
      <c r="G1519">
        <f t="shared" si="114"/>
        <v>4680.8255458014046</v>
      </c>
      <c r="H1519" s="4">
        <v>42561</v>
      </c>
      <c r="I1519" s="1" t="s">
        <v>231</v>
      </c>
      <c r="J1519" s="1" t="s">
        <v>220</v>
      </c>
      <c r="K1519">
        <v>12.3</v>
      </c>
      <c r="L1519" t="s">
        <v>21</v>
      </c>
      <c r="M1519">
        <f t="shared" si="111"/>
        <v>1.23E-2</v>
      </c>
      <c r="N1519">
        <f t="shared" si="112"/>
        <v>3.8179692000000003</v>
      </c>
    </row>
    <row r="1520" spans="1:14" x14ac:dyDescent="0.3">
      <c r="A1520" t="s">
        <v>24</v>
      </c>
      <c r="B1520">
        <v>13</v>
      </c>
      <c r="C1520">
        <v>39</v>
      </c>
      <c r="D1520" t="s">
        <v>141</v>
      </c>
      <c r="E1520" s="1">
        <v>5500000</v>
      </c>
      <c r="F1520">
        <f t="shared" si="113"/>
        <v>1452946.9727189392</v>
      </c>
      <c r="G1520">
        <f t="shared" si="114"/>
        <v>4680.8255458014046</v>
      </c>
      <c r="H1520" s="4">
        <v>42561</v>
      </c>
      <c r="I1520" s="1" t="s">
        <v>231</v>
      </c>
      <c r="J1520" s="1" t="s">
        <v>220</v>
      </c>
      <c r="K1520" t="s">
        <v>20</v>
      </c>
      <c r="L1520" t="s">
        <v>21</v>
      </c>
      <c r="M1520" t="str">
        <f t="shared" si="111"/>
        <v>ND</v>
      </c>
      <c r="N1520" t="str">
        <f t="shared" si="112"/>
        <v>ND</v>
      </c>
    </row>
    <row r="1521" spans="1:14" x14ac:dyDescent="0.3">
      <c r="A1521" t="s">
        <v>17</v>
      </c>
      <c r="B1521">
        <v>13</v>
      </c>
      <c r="C1521">
        <v>39</v>
      </c>
      <c r="D1521" t="s">
        <v>141</v>
      </c>
      <c r="E1521" s="1">
        <v>5500000</v>
      </c>
      <c r="F1521">
        <f t="shared" si="113"/>
        <v>1452946.9727189392</v>
      </c>
      <c r="G1521">
        <f t="shared" si="114"/>
        <v>4680.8255458014046</v>
      </c>
      <c r="H1521" s="4">
        <v>42561</v>
      </c>
      <c r="I1521" s="1" t="s">
        <v>231</v>
      </c>
      <c r="J1521" s="1" t="s">
        <v>220</v>
      </c>
      <c r="K1521">
        <v>133</v>
      </c>
      <c r="L1521" t="s">
        <v>21</v>
      </c>
      <c r="M1521">
        <f t="shared" si="111"/>
        <v>0.13300000000000001</v>
      </c>
      <c r="N1521">
        <f t="shared" si="112"/>
        <v>41.283732000000001</v>
      </c>
    </row>
    <row r="1522" spans="1:14" x14ac:dyDescent="0.3">
      <c r="A1522" t="s">
        <v>53</v>
      </c>
      <c r="B1522">
        <v>13</v>
      </c>
      <c r="C1522">
        <v>39</v>
      </c>
      <c r="D1522" t="s">
        <v>141</v>
      </c>
      <c r="E1522" s="1">
        <v>5500000</v>
      </c>
      <c r="F1522">
        <f t="shared" si="113"/>
        <v>1452946.9727189392</v>
      </c>
      <c r="G1522">
        <f t="shared" si="114"/>
        <v>4680.8255458014046</v>
      </c>
      <c r="H1522" s="4">
        <v>42561</v>
      </c>
      <c r="I1522" s="1" t="s">
        <v>231</v>
      </c>
      <c r="J1522" s="1" t="s">
        <v>220</v>
      </c>
      <c r="K1522">
        <v>1180</v>
      </c>
      <c r="L1522" t="s">
        <v>21</v>
      </c>
      <c r="M1522">
        <f t="shared" si="111"/>
        <v>1.18</v>
      </c>
      <c r="N1522">
        <f t="shared" si="112"/>
        <v>366.27671999999995</v>
      </c>
    </row>
    <row r="1523" spans="1:14" x14ac:dyDescent="0.3">
      <c r="A1523" t="s">
        <v>26</v>
      </c>
      <c r="B1523">
        <v>13</v>
      </c>
      <c r="C1523">
        <v>39</v>
      </c>
      <c r="D1523" t="s">
        <v>141</v>
      </c>
      <c r="E1523" s="1">
        <v>5500000</v>
      </c>
      <c r="F1523">
        <f t="shared" si="113"/>
        <v>1452946.9727189392</v>
      </c>
      <c r="G1523">
        <f t="shared" si="114"/>
        <v>4680.8255458014046</v>
      </c>
      <c r="H1523" s="4">
        <v>42561</v>
      </c>
      <c r="I1523" s="1" t="s">
        <v>231</v>
      </c>
      <c r="J1523" s="1" t="s">
        <v>220</v>
      </c>
      <c r="K1523">
        <v>42.2</v>
      </c>
      <c r="L1523" t="s">
        <v>21</v>
      </c>
      <c r="M1523">
        <f t="shared" ref="M1523:M1586" si="115">IFERROR(K1523/1000,"ND")</f>
        <v>4.2200000000000001E-2</v>
      </c>
      <c r="N1523">
        <f t="shared" si="112"/>
        <v>13.0990488</v>
      </c>
    </row>
    <row r="1524" spans="1:14" x14ac:dyDescent="0.3">
      <c r="A1524" t="s">
        <v>27</v>
      </c>
      <c r="B1524">
        <v>13</v>
      </c>
      <c r="C1524">
        <v>39</v>
      </c>
      <c r="D1524" t="s">
        <v>141</v>
      </c>
      <c r="E1524" s="1">
        <v>5500000</v>
      </c>
      <c r="F1524">
        <f t="shared" si="113"/>
        <v>1452946.9727189392</v>
      </c>
      <c r="G1524">
        <f t="shared" si="114"/>
        <v>4680.8255458014046</v>
      </c>
      <c r="H1524" s="4">
        <v>42561</v>
      </c>
      <c r="I1524" s="1" t="s">
        <v>231</v>
      </c>
      <c r="J1524" s="1" t="s">
        <v>220</v>
      </c>
      <c r="K1524">
        <v>97.8</v>
      </c>
      <c r="L1524" t="s">
        <v>21</v>
      </c>
      <c r="M1524">
        <f t="shared" si="115"/>
        <v>9.7799999999999998E-2</v>
      </c>
      <c r="N1524">
        <f t="shared" si="112"/>
        <v>30.357511199999998</v>
      </c>
    </row>
    <row r="1525" spans="1:14" x14ac:dyDescent="0.3">
      <c r="A1525" t="s">
        <v>29</v>
      </c>
      <c r="B1525">
        <v>13</v>
      </c>
      <c r="C1525">
        <v>39</v>
      </c>
      <c r="D1525" t="s">
        <v>141</v>
      </c>
      <c r="E1525" s="1">
        <v>5500000</v>
      </c>
      <c r="F1525">
        <f t="shared" si="113"/>
        <v>1452946.9727189392</v>
      </c>
      <c r="G1525">
        <f t="shared" si="114"/>
        <v>4680.8255458014046</v>
      </c>
      <c r="H1525" s="4">
        <v>42561</v>
      </c>
      <c r="I1525" s="1" t="s">
        <v>231</v>
      </c>
      <c r="J1525" s="1" t="s">
        <v>220</v>
      </c>
      <c r="K1525">
        <v>110</v>
      </c>
      <c r="L1525" t="s">
        <v>21</v>
      </c>
      <c r="M1525">
        <f t="shared" si="115"/>
        <v>0.11</v>
      </c>
      <c r="N1525">
        <f t="shared" si="112"/>
        <v>34.144439999999996</v>
      </c>
    </row>
    <row r="1526" spans="1:14" x14ac:dyDescent="0.3">
      <c r="A1526" t="s">
        <v>4</v>
      </c>
      <c r="B1526">
        <v>13</v>
      </c>
      <c r="C1526">
        <v>39</v>
      </c>
      <c r="D1526" t="s">
        <v>141</v>
      </c>
      <c r="E1526" s="1">
        <v>5500000</v>
      </c>
      <c r="F1526">
        <f t="shared" si="113"/>
        <v>1452946.9727189392</v>
      </c>
      <c r="G1526">
        <f t="shared" si="114"/>
        <v>4680.8255458014046</v>
      </c>
      <c r="H1526" s="4">
        <v>42561</v>
      </c>
      <c r="I1526" s="1" t="s">
        <v>231</v>
      </c>
      <c r="J1526" s="1" t="s">
        <v>220</v>
      </c>
      <c r="K1526">
        <v>107</v>
      </c>
      <c r="L1526" t="s">
        <v>21</v>
      </c>
      <c r="M1526">
        <f t="shared" si="115"/>
        <v>0.107</v>
      </c>
      <c r="N1526">
        <f t="shared" si="112"/>
        <v>33.213228000000001</v>
      </c>
    </row>
    <row r="1527" spans="1:14" x14ac:dyDescent="0.3">
      <c r="A1527" t="s">
        <v>121</v>
      </c>
      <c r="B1527">
        <v>13</v>
      </c>
      <c r="C1527">
        <v>39</v>
      </c>
      <c r="D1527" t="s">
        <v>141</v>
      </c>
      <c r="E1527" s="1">
        <v>5500000</v>
      </c>
      <c r="F1527">
        <f t="shared" si="113"/>
        <v>1452946.9727189392</v>
      </c>
      <c r="G1527">
        <f t="shared" si="114"/>
        <v>4680.8255458014046</v>
      </c>
      <c r="H1527" s="4">
        <v>42561</v>
      </c>
      <c r="I1527" s="1" t="s">
        <v>231</v>
      </c>
      <c r="J1527" s="1" t="s">
        <v>220</v>
      </c>
      <c r="K1527">
        <v>360</v>
      </c>
      <c r="L1527" t="s">
        <v>21</v>
      </c>
      <c r="M1527">
        <f t="shared" si="115"/>
        <v>0.36</v>
      </c>
      <c r="N1527">
        <f t="shared" si="112"/>
        <v>111.74544</v>
      </c>
    </row>
    <row r="1528" spans="1:14" x14ac:dyDescent="0.3">
      <c r="A1528" t="s">
        <v>122</v>
      </c>
      <c r="B1528">
        <v>13</v>
      </c>
      <c r="C1528">
        <v>39</v>
      </c>
      <c r="D1528" t="s">
        <v>141</v>
      </c>
      <c r="E1528" s="1">
        <v>5500000</v>
      </c>
      <c r="F1528">
        <f t="shared" si="113"/>
        <v>1452946.9727189392</v>
      </c>
      <c r="G1528">
        <f t="shared" si="114"/>
        <v>4680.8255458014046</v>
      </c>
      <c r="H1528" s="4">
        <v>42561</v>
      </c>
      <c r="I1528" s="1" t="s">
        <v>231</v>
      </c>
      <c r="J1528" s="1" t="s">
        <v>220</v>
      </c>
      <c r="K1528">
        <v>40</v>
      </c>
      <c r="L1528" t="s">
        <v>21</v>
      </c>
      <c r="M1528">
        <f t="shared" si="115"/>
        <v>0.04</v>
      </c>
      <c r="N1528">
        <f t="shared" si="112"/>
        <v>12.416160000000001</v>
      </c>
    </row>
    <row r="1529" spans="1:14" x14ac:dyDescent="0.3">
      <c r="A1529" t="s">
        <v>12</v>
      </c>
      <c r="B1529">
        <v>13</v>
      </c>
      <c r="C1529">
        <v>39</v>
      </c>
      <c r="D1529" t="s">
        <v>141</v>
      </c>
      <c r="E1529" s="1">
        <v>5500000</v>
      </c>
      <c r="F1529">
        <f t="shared" si="113"/>
        <v>1452946.9727189392</v>
      </c>
      <c r="G1529">
        <f t="shared" si="114"/>
        <v>4680.8255458014046</v>
      </c>
      <c r="H1529" s="4">
        <v>42561</v>
      </c>
      <c r="I1529" s="1" t="s">
        <v>231</v>
      </c>
      <c r="J1529" s="1" t="s">
        <v>220</v>
      </c>
      <c r="K1529" t="s">
        <v>20</v>
      </c>
      <c r="L1529" t="s">
        <v>21</v>
      </c>
      <c r="M1529" t="str">
        <f t="shared" si="115"/>
        <v>ND</v>
      </c>
      <c r="N1529" t="str">
        <f t="shared" si="112"/>
        <v>ND</v>
      </c>
    </row>
    <row r="1530" spans="1:14" x14ac:dyDescent="0.3">
      <c r="A1530" t="s">
        <v>46</v>
      </c>
      <c r="B1530">
        <v>13</v>
      </c>
      <c r="C1530">
        <v>39</v>
      </c>
      <c r="D1530" t="s">
        <v>141</v>
      </c>
      <c r="E1530" s="1">
        <v>5500000</v>
      </c>
      <c r="F1530">
        <f t="shared" si="113"/>
        <v>1452946.9727189392</v>
      </c>
      <c r="G1530">
        <f t="shared" si="114"/>
        <v>4680.8255458014046</v>
      </c>
      <c r="H1530" s="4">
        <v>42561</v>
      </c>
      <c r="I1530" s="1" t="s">
        <v>231</v>
      </c>
      <c r="J1530" s="1" t="s">
        <v>220</v>
      </c>
      <c r="K1530">
        <v>91.5</v>
      </c>
      <c r="L1530" t="s">
        <v>21</v>
      </c>
      <c r="M1530">
        <f t="shared" si="115"/>
        <v>9.1499999999999998E-2</v>
      </c>
      <c r="N1530">
        <f t="shared" si="112"/>
        <v>28.401965999999998</v>
      </c>
    </row>
    <row r="1531" spans="1:14" x14ac:dyDescent="0.3">
      <c r="A1531" t="s">
        <v>44</v>
      </c>
      <c r="B1531">
        <v>13</v>
      </c>
      <c r="C1531">
        <v>39</v>
      </c>
      <c r="D1531" t="s">
        <v>141</v>
      </c>
      <c r="E1531" s="1">
        <v>5500000</v>
      </c>
      <c r="F1531">
        <f t="shared" si="113"/>
        <v>1452946.9727189392</v>
      </c>
      <c r="G1531">
        <f t="shared" si="114"/>
        <v>4680.8255458014046</v>
      </c>
      <c r="H1531" s="4">
        <v>42561</v>
      </c>
      <c r="I1531" s="1" t="s">
        <v>231</v>
      </c>
      <c r="J1531" s="1" t="s">
        <v>220</v>
      </c>
      <c r="K1531">
        <v>1040</v>
      </c>
      <c r="L1531" t="s">
        <v>21</v>
      </c>
      <c r="M1531">
        <f t="shared" si="115"/>
        <v>1.04</v>
      </c>
      <c r="N1531">
        <f t="shared" si="112"/>
        <v>322.82015999999999</v>
      </c>
    </row>
    <row r="1532" spans="1:14" x14ac:dyDescent="0.3">
      <c r="A1532" t="s">
        <v>32</v>
      </c>
      <c r="B1532">
        <v>13</v>
      </c>
      <c r="C1532">
        <v>39</v>
      </c>
      <c r="D1532" t="s">
        <v>141</v>
      </c>
      <c r="E1532" s="1">
        <v>5500000</v>
      </c>
      <c r="F1532">
        <f t="shared" si="113"/>
        <v>1452946.9727189392</v>
      </c>
      <c r="G1532">
        <f t="shared" si="114"/>
        <v>4680.8255458014046</v>
      </c>
      <c r="H1532" s="4">
        <v>42561</v>
      </c>
      <c r="I1532" s="1" t="s">
        <v>231</v>
      </c>
      <c r="J1532" s="1" t="s">
        <v>220</v>
      </c>
      <c r="K1532" t="s">
        <v>20</v>
      </c>
      <c r="L1532" t="s">
        <v>21</v>
      </c>
      <c r="M1532" t="str">
        <f t="shared" si="115"/>
        <v>ND</v>
      </c>
      <c r="N1532" t="str">
        <f t="shared" si="112"/>
        <v>ND</v>
      </c>
    </row>
    <row r="1533" spans="1:14" x14ac:dyDescent="0.3">
      <c r="A1533" t="s">
        <v>123</v>
      </c>
      <c r="B1533">
        <v>13</v>
      </c>
      <c r="C1533">
        <v>39</v>
      </c>
      <c r="D1533" t="s">
        <v>141</v>
      </c>
      <c r="E1533" s="1">
        <v>5500000</v>
      </c>
      <c r="F1533">
        <f t="shared" si="113"/>
        <v>1452946.9727189392</v>
      </c>
      <c r="G1533">
        <f t="shared" si="114"/>
        <v>4680.8255458014046</v>
      </c>
      <c r="H1533" s="4">
        <v>42561</v>
      </c>
      <c r="I1533" s="1" t="s">
        <v>231</v>
      </c>
      <c r="J1533" s="1" t="s">
        <v>220</v>
      </c>
      <c r="K1533">
        <v>117</v>
      </c>
      <c r="L1533" t="s">
        <v>21</v>
      </c>
      <c r="M1533">
        <f t="shared" si="115"/>
        <v>0.11700000000000001</v>
      </c>
      <c r="N1533">
        <f t="shared" si="112"/>
        <v>36.317267999999999</v>
      </c>
    </row>
    <row r="1534" spans="1:14" x14ac:dyDescent="0.3">
      <c r="A1534" t="s">
        <v>54</v>
      </c>
      <c r="B1534">
        <v>13</v>
      </c>
      <c r="C1534">
        <v>39</v>
      </c>
      <c r="D1534" t="s">
        <v>141</v>
      </c>
      <c r="E1534" s="1">
        <v>5500000</v>
      </c>
      <c r="F1534">
        <f t="shared" si="113"/>
        <v>1452946.9727189392</v>
      </c>
      <c r="G1534">
        <f t="shared" si="114"/>
        <v>4680.8255458014046</v>
      </c>
      <c r="H1534" s="4">
        <v>42561</v>
      </c>
      <c r="I1534" s="1" t="s">
        <v>231</v>
      </c>
      <c r="J1534" s="1" t="s">
        <v>220</v>
      </c>
      <c r="K1534" t="s">
        <v>20</v>
      </c>
      <c r="L1534" t="s">
        <v>21</v>
      </c>
      <c r="M1534" t="str">
        <f t="shared" si="115"/>
        <v>ND</v>
      </c>
      <c r="N1534" t="str">
        <f t="shared" si="112"/>
        <v>ND</v>
      </c>
    </row>
    <row r="1535" spans="1:14" x14ac:dyDescent="0.3">
      <c r="A1535" t="s">
        <v>124</v>
      </c>
      <c r="B1535">
        <v>13</v>
      </c>
      <c r="C1535">
        <v>39</v>
      </c>
      <c r="D1535" t="s">
        <v>141</v>
      </c>
      <c r="E1535" s="1">
        <v>5500000</v>
      </c>
      <c r="F1535">
        <f t="shared" si="113"/>
        <v>1452946.9727189392</v>
      </c>
      <c r="G1535">
        <f t="shared" si="114"/>
        <v>4680.8255458014046</v>
      </c>
      <c r="H1535" s="4">
        <v>42561</v>
      </c>
      <c r="I1535" s="1" t="s">
        <v>231</v>
      </c>
      <c r="J1535" s="1" t="s">
        <v>220</v>
      </c>
      <c r="K1535">
        <v>1230</v>
      </c>
      <c r="L1535" t="s">
        <v>21</v>
      </c>
      <c r="M1535">
        <f t="shared" si="115"/>
        <v>1.23</v>
      </c>
      <c r="N1535">
        <f t="shared" si="112"/>
        <v>381.79692</v>
      </c>
    </row>
    <row r="1536" spans="1:14" x14ac:dyDescent="0.3">
      <c r="A1536" t="s">
        <v>125</v>
      </c>
      <c r="B1536">
        <v>13</v>
      </c>
      <c r="C1536">
        <v>39</v>
      </c>
      <c r="D1536" t="s">
        <v>141</v>
      </c>
      <c r="E1536" s="1">
        <v>5500000</v>
      </c>
      <c r="F1536">
        <f t="shared" si="113"/>
        <v>1452946.9727189392</v>
      </c>
      <c r="G1536">
        <f t="shared" si="114"/>
        <v>4680.8255458014046</v>
      </c>
      <c r="H1536" s="4">
        <v>42561</v>
      </c>
      <c r="I1536" s="1" t="s">
        <v>231</v>
      </c>
      <c r="J1536" s="1" t="s">
        <v>220</v>
      </c>
      <c r="K1536">
        <v>190</v>
      </c>
      <c r="L1536" t="s">
        <v>21</v>
      </c>
      <c r="M1536">
        <f t="shared" si="115"/>
        <v>0.19</v>
      </c>
      <c r="N1536">
        <f t="shared" si="112"/>
        <v>58.976760000000006</v>
      </c>
    </row>
    <row r="1537" spans="1:14" x14ac:dyDescent="0.3">
      <c r="A1537" t="s">
        <v>19</v>
      </c>
      <c r="B1537">
        <v>13</v>
      </c>
      <c r="C1537">
        <v>39</v>
      </c>
      <c r="D1537" t="s">
        <v>141</v>
      </c>
      <c r="E1537" s="1">
        <v>5500000</v>
      </c>
      <c r="F1537">
        <f t="shared" si="113"/>
        <v>1452946.9727189392</v>
      </c>
      <c r="G1537">
        <f t="shared" si="114"/>
        <v>4680.8255458014046</v>
      </c>
      <c r="H1537" s="4">
        <v>42561</v>
      </c>
      <c r="I1537" s="1" t="s">
        <v>231</v>
      </c>
      <c r="J1537" s="1" t="s">
        <v>220</v>
      </c>
      <c r="K1537" t="s">
        <v>20</v>
      </c>
      <c r="L1537" t="s">
        <v>21</v>
      </c>
      <c r="M1537" t="str">
        <f t="shared" si="115"/>
        <v>ND</v>
      </c>
      <c r="N1537" t="str">
        <f t="shared" si="112"/>
        <v>ND</v>
      </c>
    </row>
    <row r="1538" spans="1:14" x14ac:dyDescent="0.3">
      <c r="A1538" t="s">
        <v>126</v>
      </c>
      <c r="B1538">
        <v>13</v>
      </c>
      <c r="C1538">
        <v>39</v>
      </c>
      <c r="D1538" t="s">
        <v>141</v>
      </c>
      <c r="E1538" s="1">
        <v>5500000</v>
      </c>
      <c r="F1538">
        <f t="shared" si="113"/>
        <v>1452946.9727189392</v>
      </c>
      <c r="G1538">
        <f t="shared" si="114"/>
        <v>4680.8255458014046</v>
      </c>
      <c r="H1538" s="4">
        <v>42561</v>
      </c>
      <c r="I1538" s="1" t="s">
        <v>231</v>
      </c>
      <c r="J1538" s="1" t="s">
        <v>220</v>
      </c>
      <c r="K1538">
        <v>1.43</v>
      </c>
      <c r="L1538" t="s">
        <v>21</v>
      </c>
      <c r="M1538">
        <f t="shared" si="115"/>
        <v>1.4299999999999998E-3</v>
      </c>
      <c r="N1538">
        <f t="shared" si="112"/>
        <v>0.44387771999999998</v>
      </c>
    </row>
    <row r="1539" spans="1:14" x14ac:dyDescent="0.3">
      <c r="A1539" t="s">
        <v>6</v>
      </c>
      <c r="B1539">
        <v>13</v>
      </c>
      <c r="C1539">
        <v>39</v>
      </c>
      <c r="D1539" t="s">
        <v>141</v>
      </c>
      <c r="E1539" s="1">
        <v>5500000</v>
      </c>
      <c r="F1539">
        <f t="shared" si="113"/>
        <v>1452946.9727189392</v>
      </c>
      <c r="G1539">
        <f t="shared" si="114"/>
        <v>4680.8255458014046</v>
      </c>
      <c r="H1539" s="4">
        <v>42561</v>
      </c>
      <c r="I1539" s="1" t="s">
        <v>231</v>
      </c>
      <c r="J1539" s="1" t="s">
        <v>220</v>
      </c>
      <c r="K1539">
        <v>49.3</v>
      </c>
      <c r="L1539" t="s">
        <v>21</v>
      </c>
      <c r="M1539">
        <f t="shared" si="115"/>
        <v>4.9299999999999997E-2</v>
      </c>
      <c r="N1539">
        <f t="shared" si="112"/>
        <v>15.3029172</v>
      </c>
    </row>
    <row r="1540" spans="1:14" x14ac:dyDescent="0.3">
      <c r="A1540" t="s">
        <v>127</v>
      </c>
      <c r="B1540">
        <v>13</v>
      </c>
      <c r="C1540">
        <v>39</v>
      </c>
      <c r="D1540" t="s">
        <v>141</v>
      </c>
      <c r="E1540" s="1">
        <v>5500000</v>
      </c>
      <c r="F1540">
        <f t="shared" si="113"/>
        <v>1452946.9727189392</v>
      </c>
      <c r="G1540">
        <f t="shared" si="114"/>
        <v>4680.8255458014046</v>
      </c>
      <c r="H1540" s="4">
        <v>42561</v>
      </c>
      <c r="I1540" s="1" t="s">
        <v>231</v>
      </c>
      <c r="J1540" s="1" t="s">
        <v>220</v>
      </c>
      <c r="K1540">
        <v>16.899999999999999</v>
      </c>
      <c r="L1540" t="s">
        <v>21</v>
      </c>
      <c r="M1540">
        <f t="shared" si="115"/>
        <v>1.6899999999999998E-2</v>
      </c>
      <c r="N1540">
        <f t="shared" si="112"/>
        <v>5.2458275999999993</v>
      </c>
    </row>
    <row r="1541" spans="1:14" x14ac:dyDescent="0.3">
      <c r="A1541" t="s">
        <v>128</v>
      </c>
      <c r="B1541">
        <v>13</v>
      </c>
      <c r="C1541">
        <v>39</v>
      </c>
      <c r="D1541" t="s">
        <v>141</v>
      </c>
      <c r="E1541" s="1">
        <v>5500000</v>
      </c>
      <c r="F1541">
        <f t="shared" si="113"/>
        <v>1452946.9727189392</v>
      </c>
      <c r="G1541">
        <f t="shared" si="114"/>
        <v>4680.8255458014046</v>
      </c>
      <c r="H1541" s="4">
        <v>42561</v>
      </c>
      <c r="I1541" s="1" t="s">
        <v>231</v>
      </c>
      <c r="J1541" s="1" t="s">
        <v>220</v>
      </c>
      <c r="K1541" t="s">
        <v>20</v>
      </c>
      <c r="L1541" t="s">
        <v>21</v>
      </c>
      <c r="M1541" t="str">
        <f t="shared" si="115"/>
        <v>ND</v>
      </c>
      <c r="N1541" t="str">
        <f t="shared" si="112"/>
        <v>ND</v>
      </c>
    </row>
    <row r="1542" spans="1:14" x14ac:dyDescent="0.3">
      <c r="A1542" t="s">
        <v>129</v>
      </c>
      <c r="B1542">
        <v>13</v>
      </c>
      <c r="C1542">
        <v>39</v>
      </c>
      <c r="D1542" t="s">
        <v>141</v>
      </c>
      <c r="E1542" s="1">
        <v>5500000</v>
      </c>
      <c r="F1542">
        <f t="shared" si="113"/>
        <v>1452946.9727189392</v>
      </c>
      <c r="G1542">
        <f t="shared" si="114"/>
        <v>4680.8255458014046</v>
      </c>
      <c r="H1542" s="4">
        <v>42561</v>
      </c>
      <c r="I1542" s="1" t="s">
        <v>231</v>
      </c>
      <c r="J1542" s="1" t="s">
        <v>220</v>
      </c>
      <c r="K1542">
        <v>7510</v>
      </c>
      <c r="L1542" t="s">
        <v>21</v>
      </c>
      <c r="M1542">
        <f t="shared" si="115"/>
        <v>7.51</v>
      </c>
      <c r="N1542">
        <f t="shared" si="112"/>
        <v>2331.1340399999999</v>
      </c>
    </row>
    <row r="1543" spans="1:14" x14ac:dyDescent="0.3">
      <c r="A1543" t="s">
        <v>130</v>
      </c>
      <c r="B1543">
        <v>13</v>
      </c>
      <c r="C1543">
        <v>39</v>
      </c>
      <c r="D1543" t="s">
        <v>141</v>
      </c>
      <c r="E1543" s="1">
        <v>5500000</v>
      </c>
      <c r="F1543">
        <f t="shared" si="113"/>
        <v>1452946.9727189392</v>
      </c>
      <c r="G1543">
        <f t="shared" si="114"/>
        <v>4680.8255458014046</v>
      </c>
      <c r="H1543" s="4">
        <v>42561</v>
      </c>
      <c r="I1543" s="1" t="s">
        <v>231</v>
      </c>
      <c r="J1543" s="1" t="s">
        <v>220</v>
      </c>
      <c r="K1543">
        <v>2040</v>
      </c>
      <c r="L1543" t="s">
        <v>21</v>
      </c>
      <c r="M1543">
        <f t="shared" si="115"/>
        <v>2.04</v>
      </c>
      <c r="N1543">
        <f t="shared" si="112"/>
        <v>633.22415999999998</v>
      </c>
    </row>
    <row r="1544" spans="1:14" x14ac:dyDescent="0.3">
      <c r="A1544" t="s">
        <v>56</v>
      </c>
      <c r="B1544">
        <v>13</v>
      </c>
      <c r="C1544">
        <v>39</v>
      </c>
      <c r="D1544" t="s">
        <v>141</v>
      </c>
      <c r="E1544" s="1">
        <v>5500000</v>
      </c>
      <c r="F1544">
        <f t="shared" si="113"/>
        <v>1452946.9727189392</v>
      </c>
      <c r="G1544">
        <f t="shared" si="114"/>
        <v>4680.8255458014046</v>
      </c>
      <c r="H1544" s="4">
        <v>42561</v>
      </c>
      <c r="I1544" s="1" t="s">
        <v>231</v>
      </c>
      <c r="J1544" s="1" t="s">
        <v>220</v>
      </c>
      <c r="K1544">
        <v>185</v>
      </c>
      <c r="L1544" t="s">
        <v>21</v>
      </c>
      <c r="M1544">
        <f t="shared" si="115"/>
        <v>0.185</v>
      </c>
      <c r="N1544">
        <f t="shared" si="112"/>
        <v>57.424739999999993</v>
      </c>
    </row>
    <row r="1545" spans="1:14" x14ac:dyDescent="0.3">
      <c r="A1545" t="s">
        <v>5</v>
      </c>
      <c r="B1545">
        <v>13</v>
      </c>
      <c r="C1545">
        <v>39</v>
      </c>
      <c r="D1545" t="s">
        <v>141</v>
      </c>
      <c r="E1545" s="1">
        <v>5500000</v>
      </c>
      <c r="F1545">
        <f t="shared" si="113"/>
        <v>1452946.9727189392</v>
      </c>
      <c r="G1545">
        <f t="shared" si="114"/>
        <v>4680.8255458014046</v>
      </c>
      <c r="H1545" s="4">
        <v>42561</v>
      </c>
      <c r="I1545" s="1" t="s">
        <v>231</v>
      </c>
      <c r="J1545" s="1" t="s">
        <v>220</v>
      </c>
      <c r="K1545">
        <v>249</v>
      </c>
      <c r="L1545" t="s">
        <v>21</v>
      </c>
      <c r="M1545">
        <f t="shared" si="115"/>
        <v>0.249</v>
      </c>
      <c r="N1545">
        <f t="shared" si="112"/>
        <v>77.290596000000008</v>
      </c>
    </row>
    <row r="1546" spans="1:14" x14ac:dyDescent="0.3">
      <c r="A1546" t="s">
        <v>131</v>
      </c>
      <c r="B1546">
        <v>13</v>
      </c>
      <c r="C1546">
        <v>39</v>
      </c>
      <c r="D1546" t="s">
        <v>141</v>
      </c>
      <c r="E1546" s="1">
        <v>5500000</v>
      </c>
      <c r="F1546">
        <f t="shared" si="113"/>
        <v>1452946.9727189392</v>
      </c>
      <c r="G1546">
        <f t="shared" si="114"/>
        <v>4680.8255458014046</v>
      </c>
      <c r="H1546" s="4">
        <v>42561</v>
      </c>
      <c r="I1546" s="1" t="s">
        <v>231</v>
      </c>
      <c r="J1546" s="1" t="s">
        <v>220</v>
      </c>
      <c r="K1546">
        <v>28.2</v>
      </c>
      <c r="L1546" t="s">
        <v>21</v>
      </c>
      <c r="M1546">
        <f t="shared" si="115"/>
        <v>2.8199999999999999E-2</v>
      </c>
      <c r="N1546">
        <f t="shared" si="112"/>
        <v>8.7533928000000003</v>
      </c>
    </row>
    <row r="1547" spans="1:14" x14ac:dyDescent="0.3">
      <c r="A1547" t="s">
        <v>8</v>
      </c>
      <c r="B1547">
        <v>13</v>
      </c>
      <c r="C1547">
        <v>39</v>
      </c>
      <c r="D1547" t="s">
        <v>141</v>
      </c>
      <c r="E1547" s="1">
        <v>5500000</v>
      </c>
      <c r="F1547">
        <f t="shared" si="113"/>
        <v>1452946.9727189392</v>
      </c>
      <c r="G1547">
        <f t="shared" si="114"/>
        <v>4680.8255458014046</v>
      </c>
      <c r="H1547" s="4">
        <v>42561</v>
      </c>
      <c r="I1547" s="1" t="s">
        <v>231</v>
      </c>
      <c r="J1547" s="1" t="s">
        <v>220</v>
      </c>
      <c r="K1547">
        <v>46.1</v>
      </c>
      <c r="L1547" t="s">
        <v>21</v>
      </c>
      <c r="M1547">
        <f t="shared" si="115"/>
        <v>4.6100000000000002E-2</v>
      </c>
      <c r="N1547">
        <f t="shared" si="112"/>
        <v>14.309624400000002</v>
      </c>
    </row>
    <row r="1548" spans="1:14" x14ac:dyDescent="0.3">
      <c r="A1548" t="s">
        <v>132</v>
      </c>
      <c r="B1548">
        <v>13</v>
      </c>
      <c r="C1548">
        <v>39</v>
      </c>
      <c r="D1548" t="s">
        <v>141</v>
      </c>
      <c r="E1548" s="1">
        <v>5500000</v>
      </c>
      <c r="F1548">
        <f t="shared" si="113"/>
        <v>1452946.9727189392</v>
      </c>
      <c r="G1548">
        <f t="shared" si="114"/>
        <v>4680.8255458014046</v>
      </c>
      <c r="H1548" s="4">
        <v>42561</v>
      </c>
      <c r="I1548" s="1" t="s">
        <v>231</v>
      </c>
      <c r="J1548" s="1" t="s">
        <v>220</v>
      </c>
      <c r="K1548" t="s">
        <v>20</v>
      </c>
      <c r="L1548" t="s">
        <v>21</v>
      </c>
      <c r="M1548" t="str">
        <f t="shared" si="115"/>
        <v>ND</v>
      </c>
      <c r="N1548" t="str">
        <f t="shared" si="112"/>
        <v>ND</v>
      </c>
    </row>
    <row r="1549" spans="1:14" x14ac:dyDescent="0.3">
      <c r="A1549" t="s">
        <v>57</v>
      </c>
      <c r="B1549">
        <v>13</v>
      </c>
      <c r="C1549">
        <v>39</v>
      </c>
      <c r="D1549" t="s">
        <v>141</v>
      </c>
      <c r="E1549" s="1">
        <v>5500000</v>
      </c>
      <c r="F1549">
        <f t="shared" si="113"/>
        <v>1452946.9727189392</v>
      </c>
      <c r="G1549">
        <f t="shared" si="114"/>
        <v>4680.8255458014046</v>
      </c>
      <c r="H1549" s="4">
        <v>42561</v>
      </c>
      <c r="I1549" s="1" t="s">
        <v>231</v>
      </c>
      <c r="J1549" s="1" t="s">
        <v>220</v>
      </c>
      <c r="K1549">
        <v>42.6</v>
      </c>
      <c r="L1549" t="s">
        <v>21</v>
      </c>
      <c r="M1549">
        <f t="shared" si="115"/>
        <v>4.2599999999999999E-2</v>
      </c>
      <c r="N1549">
        <f t="shared" si="112"/>
        <v>13.223210399999999</v>
      </c>
    </row>
    <row r="1550" spans="1:14" x14ac:dyDescent="0.3">
      <c r="A1550" t="s">
        <v>133</v>
      </c>
      <c r="B1550">
        <v>13</v>
      </c>
      <c r="C1550">
        <v>39</v>
      </c>
      <c r="D1550" t="s">
        <v>141</v>
      </c>
      <c r="E1550" s="1">
        <v>5500000</v>
      </c>
      <c r="F1550">
        <f t="shared" si="113"/>
        <v>1452946.9727189392</v>
      </c>
      <c r="G1550">
        <f t="shared" si="114"/>
        <v>4680.8255458014046</v>
      </c>
      <c r="H1550" s="4">
        <v>42561</v>
      </c>
      <c r="I1550" s="1" t="s">
        <v>231</v>
      </c>
      <c r="J1550" s="1" t="s">
        <v>220</v>
      </c>
      <c r="K1550">
        <v>825</v>
      </c>
      <c r="L1550" t="s">
        <v>21</v>
      </c>
      <c r="M1550">
        <f t="shared" si="115"/>
        <v>0.82499999999999996</v>
      </c>
      <c r="N1550">
        <f t="shared" si="112"/>
        <v>256.08329999999995</v>
      </c>
    </row>
    <row r="1551" spans="1:14" x14ac:dyDescent="0.3">
      <c r="A1551" t="s">
        <v>134</v>
      </c>
      <c r="B1551">
        <v>13</v>
      </c>
      <c r="C1551">
        <v>39</v>
      </c>
      <c r="D1551" t="s">
        <v>141</v>
      </c>
      <c r="E1551" s="1">
        <v>5500000</v>
      </c>
      <c r="F1551">
        <f t="shared" si="113"/>
        <v>1452946.9727189392</v>
      </c>
      <c r="G1551">
        <f t="shared" si="114"/>
        <v>4680.8255458014046</v>
      </c>
      <c r="H1551" s="4">
        <v>42561</v>
      </c>
      <c r="I1551" s="1" t="s">
        <v>231</v>
      </c>
      <c r="J1551" s="1" t="s">
        <v>220</v>
      </c>
      <c r="K1551">
        <v>42.6</v>
      </c>
      <c r="L1551" t="s">
        <v>21</v>
      </c>
      <c r="M1551">
        <f t="shared" si="115"/>
        <v>4.2599999999999999E-2</v>
      </c>
      <c r="N1551">
        <f t="shared" si="112"/>
        <v>13.223210399999999</v>
      </c>
    </row>
    <row r="1552" spans="1:14" x14ac:dyDescent="0.3">
      <c r="A1552" t="s">
        <v>58</v>
      </c>
      <c r="B1552">
        <v>13</v>
      </c>
      <c r="C1552">
        <v>39</v>
      </c>
      <c r="D1552" t="s">
        <v>141</v>
      </c>
      <c r="E1552" s="1">
        <v>5500000</v>
      </c>
      <c r="F1552">
        <f t="shared" si="113"/>
        <v>1452946.9727189392</v>
      </c>
      <c r="G1552">
        <f t="shared" si="114"/>
        <v>4680.8255458014046</v>
      </c>
      <c r="H1552" s="4">
        <v>42561</v>
      </c>
      <c r="I1552" s="1" t="s">
        <v>231</v>
      </c>
      <c r="J1552" s="1" t="s">
        <v>220</v>
      </c>
      <c r="K1552">
        <v>434</v>
      </c>
      <c r="L1552" t="s">
        <v>21</v>
      </c>
      <c r="M1552">
        <f t="shared" si="115"/>
        <v>0.434</v>
      </c>
      <c r="N1552">
        <f t="shared" si="112"/>
        <v>134.71533600000001</v>
      </c>
    </row>
    <row r="1553" spans="1:14" x14ac:dyDescent="0.3">
      <c r="A1553" t="s">
        <v>39</v>
      </c>
      <c r="B1553">
        <v>13</v>
      </c>
      <c r="C1553">
        <v>39</v>
      </c>
      <c r="D1553" t="s">
        <v>141</v>
      </c>
      <c r="E1553" s="1">
        <v>5500000</v>
      </c>
      <c r="F1553">
        <f t="shared" si="113"/>
        <v>1452946.9727189392</v>
      </c>
      <c r="G1553">
        <f t="shared" si="114"/>
        <v>4680.8255458014046</v>
      </c>
      <c r="H1553" s="4">
        <v>42561</v>
      </c>
      <c r="I1553" s="1" t="s">
        <v>231</v>
      </c>
      <c r="J1553" s="1" t="s">
        <v>220</v>
      </c>
      <c r="K1553" t="s">
        <v>20</v>
      </c>
      <c r="L1553" t="s">
        <v>21</v>
      </c>
      <c r="M1553" t="str">
        <f t="shared" si="115"/>
        <v>ND</v>
      </c>
      <c r="N1553" t="str">
        <f t="shared" si="112"/>
        <v>ND</v>
      </c>
    </row>
    <row r="1554" spans="1:14" x14ac:dyDescent="0.3">
      <c r="A1554" t="s">
        <v>40</v>
      </c>
      <c r="B1554">
        <v>13</v>
      </c>
      <c r="C1554">
        <v>39</v>
      </c>
      <c r="D1554" t="s">
        <v>141</v>
      </c>
      <c r="E1554" s="1">
        <v>5500000</v>
      </c>
      <c r="F1554">
        <f t="shared" si="113"/>
        <v>1452946.9727189392</v>
      </c>
      <c r="G1554">
        <f t="shared" si="114"/>
        <v>4680.8255458014046</v>
      </c>
      <c r="H1554" s="4">
        <v>42561</v>
      </c>
      <c r="I1554" s="1" t="s">
        <v>231</v>
      </c>
      <c r="J1554" s="1" t="s">
        <v>220</v>
      </c>
      <c r="K1554">
        <v>1290</v>
      </c>
      <c r="L1554" t="s">
        <v>21</v>
      </c>
      <c r="M1554">
        <f t="shared" si="115"/>
        <v>1.29</v>
      </c>
      <c r="N1554">
        <f t="shared" si="112"/>
        <v>400.42115999999999</v>
      </c>
    </row>
    <row r="1555" spans="1:14" x14ac:dyDescent="0.3">
      <c r="A1555" t="s">
        <v>13</v>
      </c>
      <c r="B1555">
        <v>13</v>
      </c>
      <c r="C1555">
        <v>39</v>
      </c>
      <c r="D1555" t="s">
        <v>141</v>
      </c>
      <c r="E1555" s="1">
        <v>5500000</v>
      </c>
      <c r="F1555">
        <f t="shared" si="113"/>
        <v>1452946.9727189392</v>
      </c>
      <c r="G1555">
        <f t="shared" si="114"/>
        <v>4680.8255458014046</v>
      </c>
      <c r="H1555" s="4">
        <v>42561</v>
      </c>
      <c r="I1555" s="1" t="s">
        <v>231</v>
      </c>
      <c r="J1555" s="1" t="s">
        <v>220</v>
      </c>
      <c r="K1555">
        <v>85.2</v>
      </c>
      <c r="L1555" t="s">
        <v>21</v>
      </c>
      <c r="M1555">
        <f t="shared" si="115"/>
        <v>8.5199999999999998E-2</v>
      </c>
      <c r="N1555">
        <f t="shared" si="112"/>
        <v>26.446420799999999</v>
      </c>
    </row>
    <row r="1556" spans="1:14" x14ac:dyDescent="0.3">
      <c r="A1556" t="s">
        <v>9</v>
      </c>
      <c r="B1556">
        <v>13</v>
      </c>
      <c r="C1556">
        <v>39</v>
      </c>
      <c r="D1556" t="s">
        <v>141</v>
      </c>
      <c r="E1556" s="1">
        <v>5500000</v>
      </c>
      <c r="F1556">
        <f t="shared" si="113"/>
        <v>1452946.9727189392</v>
      </c>
      <c r="G1556">
        <f t="shared" si="114"/>
        <v>4680.8255458014046</v>
      </c>
      <c r="H1556" s="4">
        <v>42561</v>
      </c>
      <c r="I1556" s="1" t="s">
        <v>231</v>
      </c>
      <c r="J1556" s="1" t="s">
        <v>220</v>
      </c>
      <c r="K1556">
        <v>505</v>
      </c>
      <c r="L1556" t="s">
        <v>21</v>
      </c>
      <c r="M1556">
        <f t="shared" si="115"/>
        <v>0.505</v>
      </c>
      <c r="N1556">
        <f t="shared" si="112"/>
        <v>156.75402000000003</v>
      </c>
    </row>
    <row r="1557" spans="1:14" x14ac:dyDescent="0.3">
      <c r="A1557" t="s">
        <v>135</v>
      </c>
      <c r="B1557">
        <v>13</v>
      </c>
      <c r="C1557">
        <v>39</v>
      </c>
      <c r="D1557" t="s">
        <v>141</v>
      </c>
      <c r="E1557" s="1">
        <v>5500000</v>
      </c>
      <c r="F1557">
        <f t="shared" si="113"/>
        <v>1452946.9727189392</v>
      </c>
      <c r="G1557">
        <f t="shared" si="114"/>
        <v>4680.8255458014046</v>
      </c>
      <c r="H1557" s="4">
        <v>42561</v>
      </c>
      <c r="I1557" s="1" t="s">
        <v>231</v>
      </c>
      <c r="J1557" s="1" t="s">
        <v>220</v>
      </c>
      <c r="K1557">
        <v>75.2</v>
      </c>
      <c r="L1557" t="s">
        <v>21</v>
      </c>
      <c r="M1557">
        <f t="shared" si="115"/>
        <v>7.5200000000000003E-2</v>
      </c>
      <c r="N1557">
        <f t="shared" si="112"/>
        <v>23.342380800000001</v>
      </c>
    </row>
    <row r="1558" spans="1:14" x14ac:dyDescent="0.3">
      <c r="A1558" t="s">
        <v>41</v>
      </c>
      <c r="B1558">
        <v>13</v>
      </c>
      <c r="C1558">
        <v>39</v>
      </c>
      <c r="D1558" t="s">
        <v>141</v>
      </c>
      <c r="E1558" s="1">
        <v>5500000</v>
      </c>
      <c r="F1558">
        <f t="shared" si="113"/>
        <v>1452946.9727189392</v>
      </c>
      <c r="G1558">
        <f t="shared" si="114"/>
        <v>4680.8255458014046</v>
      </c>
      <c r="H1558" s="4">
        <v>42561</v>
      </c>
      <c r="I1558" s="1" t="s">
        <v>231</v>
      </c>
      <c r="J1558" s="1" t="s">
        <v>220</v>
      </c>
      <c r="K1558">
        <v>361</v>
      </c>
      <c r="L1558" t="s">
        <v>21</v>
      </c>
      <c r="M1558">
        <f t="shared" si="115"/>
        <v>0.36099999999999999</v>
      </c>
      <c r="N1558">
        <f t="shared" si="112"/>
        <v>112.05584400000001</v>
      </c>
    </row>
    <row r="1559" spans="1:14" x14ac:dyDescent="0.3">
      <c r="A1559" t="s">
        <v>136</v>
      </c>
      <c r="B1559">
        <v>13</v>
      </c>
      <c r="C1559">
        <v>39</v>
      </c>
      <c r="D1559" t="s">
        <v>141</v>
      </c>
      <c r="E1559" s="1">
        <v>5500000</v>
      </c>
      <c r="F1559">
        <f t="shared" si="113"/>
        <v>1452946.9727189392</v>
      </c>
      <c r="G1559">
        <f t="shared" si="114"/>
        <v>4680.8255458014046</v>
      </c>
      <c r="H1559" s="4">
        <v>42561</v>
      </c>
      <c r="I1559" s="1" t="s">
        <v>231</v>
      </c>
      <c r="J1559" s="1" t="s">
        <v>220</v>
      </c>
      <c r="K1559" t="s">
        <v>20</v>
      </c>
      <c r="L1559" t="s">
        <v>21</v>
      </c>
      <c r="M1559" t="str">
        <f t="shared" si="115"/>
        <v>ND</v>
      </c>
      <c r="N1559" t="str">
        <f t="shared" si="112"/>
        <v>ND</v>
      </c>
    </row>
    <row r="1560" spans="1:14" x14ac:dyDescent="0.3">
      <c r="A1560" t="s">
        <v>42</v>
      </c>
      <c r="B1560">
        <v>13</v>
      </c>
      <c r="C1560">
        <v>39</v>
      </c>
      <c r="D1560" t="s">
        <v>141</v>
      </c>
      <c r="E1560" s="1">
        <v>5500000</v>
      </c>
      <c r="F1560">
        <f t="shared" si="113"/>
        <v>1452946.9727189392</v>
      </c>
      <c r="G1560">
        <f t="shared" si="114"/>
        <v>4680.8255458014046</v>
      </c>
      <c r="H1560" s="4">
        <v>42561</v>
      </c>
      <c r="I1560" s="1" t="s">
        <v>231</v>
      </c>
      <c r="J1560" s="1" t="s">
        <v>220</v>
      </c>
      <c r="K1560">
        <v>110</v>
      </c>
      <c r="L1560" t="s">
        <v>21</v>
      </c>
      <c r="M1560">
        <f t="shared" si="115"/>
        <v>0.11</v>
      </c>
      <c r="N1560">
        <f t="shared" si="112"/>
        <v>34.144439999999996</v>
      </c>
    </row>
    <row r="1561" spans="1:14" x14ac:dyDescent="0.3">
      <c r="A1561" t="s">
        <v>137</v>
      </c>
      <c r="B1561">
        <v>13</v>
      </c>
      <c r="C1561">
        <v>39</v>
      </c>
      <c r="D1561" t="s">
        <v>141</v>
      </c>
      <c r="E1561" s="1">
        <v>5500000</v>
      </c>
      <c r="F1561">
        <f t="shared" si="113"/>
        <v>1452946.9727189392</v>
      </c>
      <c r="G1561">
        <f t="shared" si="114"/>
        <v>4680.8255458014046</v>
      </c>
      <c r="H1561" s="4">
        <v>42561</v>
      </c>
      <c r="I1561" s="1" t="s">
        <v>231</v>
      </c>
      <c r="J1561" s="1" t="s">
        <v>220</v>
      </c>
      <c r="K1561">
        <v>23.2</v>
      </c>
      <c r="L1561" t="s">
        <v>21</v>
      </c>
      <c r="M1561">
        <f t="shared" si="115"/>
        <v>2.3199999999999998E-2</v>
      </c>
      <c r="N1561">
        <f t="shared" si="112"/>
        <v>7.2013727999999988</v>
      </c>
    </row>
    <row r="1562" spans="1:14" x14ac:dyDescent="0.3">
      <c r="A1562" t="s">
        <v>138</v>
      </c>
      <c r="B1562">
        <v>13</v>
      </c>
      <c r="C1562">
        <v>39</v>
      </c>
      <c r="D1562" t="s">
        <v>141</v>
      </c>
      <c r="E1562" s="1">
        <v>5500000</v>
      </c>
      <c r="F1562">
        <f t="shared" si="113"/>
        <v>1452946.9727189392</v>
      </c>
      <c r="G1562">
        <f t="shared" si="114"/>
        <v>4680.8255458014046</v>
      </c>
      <c r="H1562" s="4">
        <v>42561</v>
      </c>
      <c r="I1562" s="1" t="s">
        <v>231</v>
      </c>
      <c r="J1562" s="1" t="s">
        <v>220</v>
      </c>
      <c r="K1562">
        <v>475</v>
      </c>
      <c r="L1562" t="s">
        <v>21</v>
      </c>
      <c r="M1562">
        <f t="shared" si="115"/>
        <v>0.47499999999999998</v>
      </c>
      <c r="N1562">
        <f t="shared" si="112"/>
        <v>147.44189999999998</v>
      </c>
    </row>
    <row r="1563" spans="1:14" x14ac:dyDescent="0.3">
      <c r="A1563" t="s">
        <v>139</v>
      </c>
      <c r="B1563">
        <v>13</v>
      </c>
      <c r="C1563">
        <v>39</v>
      </c>
      <c r="D1563" t="s">
        <v>141</v>
      </c>
      <c r="E1563" s="1">
        <v>5500000</v>
      </c>
      <c r="F1563">
        <f t="shared" si="113"/>
        <v>1452946.9727189392</v>
      </c>
      <c r="G1563">
        <f t="shared" si="114"/>
        <v>4680.8255458014046</v>
      </c>
      <c r="H1563" s="4">
        <v>42561</v>
      </c>
      <c r="I1563" s="1" t="s">
        <v>231</v>
      </c>
      <c r="J1563" s="1" t="s">
        <v>220</v>
      </c>
      <c r="K1563">
        <v>652</v>
      </c>
      <c r="L1563" t="s">
        <v>21</v>
      </c>
      <c r="M1563">
        <f t="shared" si="115"/>
        <v>0.65200000000000002</v>
      </c>
      <c r="N1563">
        <f t="shared" si="112"/>
        <v>202.383408</v>
      </c>
    </row>
    <row r="1564" spans="1:14" x14ac:dyDescent="0.3">
      <c r="A1564" t="s">
        <v>23</v>
      </c>
      <c r="B1564">
        <v>13</v>
      </c>
      <c r="C1564">
        <v>40</v>
      </c>
      <c r="D1564" t="s">
        <v>142</v>
      </c>
      <c r="E1564" s="1">
        <v>39000000</v>
      </c>
      <c r="F1564">
        <f t="shared" si="113"/>
        <v>10302714.897461569</v>
      </c>
      <c r="G1564">
        <f t="shared" si="114"/>
        <v>33191.308415682688</v>
      </c>
      <c r="H1564" s="4">
        <v>42559</v>
      </c>
      <c r="I1564" s="1" t="s">
        <v>231</v>
      </c>
      <c r="J1564" s="1" t="s">
        <v>220</v>
      </c>
      <c r="K1564">
        <v>60900</v>
      </c>
      <c r="L1564" t="s">
        <v>21</v>
      </c>
      <c r="M1564">
        <f t="shared" si="115"/>
        <v>60.9</v>
      </c>
      <c r="N1564">
        <f t="shared" si="112"/>
        <v>18903.603599999999</v>
      </c>
    </row>
    <row r="1565" spans="1:14" x14ac:dyDescent="0.3">
      <c r="A1565" t="s">
        <v>120</v>
      </c>
      <c r="B1565">
        <v>13</v>
      </c>
      <c r="C1565">
        <v>40</v>
      </c>
      <c r="D1565" t="s">
        <v>142</v>
      </c>
      <c r="E1565" s="1">
        <v>39000000</v>
      </c>
      <c r="F1565">
        <f t="shared" si="113"/>
        <v>10302714.897461569</v>
      </c>
      <c r="G1565">
        <f t="shared" si="114"/>
        <v>33191.308415682688</v>
      </c>
      <c r="H1565" s="4">
        <v>42559</v>
      </c>
      <c r="I1565" s="1" t="s">
        <v>231</v>
      </c>
      <c r="J1565" s="1" t="s">
        <v>220</v>
      </c>
      <c r="K1565">
        <v>5680</v>
      </c>
      <c r="L1565" t="s">
        <v>21</v>
      </c>
      <c r="M1565">
        <f t="shared" si="115"/>
        <v>5.68</v>
      </c>
      <c r="N1565">
        <f t="shared" si="112"/>
        <v>1763.0947199999998</v>
      </c>
    </row>
    <row r="1566" spans="1:14" x14ac:dyDescent="0.3">
      <c r="A1566" t="s">
        <v>59</v>
      </c>
      <c r="B1566">
        <v>13</v>
      </c>
      <c r="C1566">
        <v>40</v>
      </c>
      <c r="D1566" t="s">
        <v>142</v>
      </c>
      <c r="E1566" s="1">
        <v>39000000</v>
      </c>
      <c r="F1566">
        <f t="shared" si="113"/>
        <v>10302714.897461569</v>
      </c>
      <c r="G1566">
        <f t="shared" si="114"/>
        <v>33191.308415682688</v>
      </c>
      <c r="H1566" s="4">
        <v>42559</v>
      </c>
      <c r="I1566" s="1" t="s">
        <v>231</v>
      </c>
      <c r="J1566" s="1" t="s">
        <v>220</v>
      </c>
      <c r="K1566">
        <v>11.9</v>
      </c>
      <c r="L1566" t="s">
        <v>21</v>
      </c>
      <c r="M1566">
        <f t="shared" si="115"/>
        <v>1.1900000000000001E-2</v>
      </c>
      <c r="N1566">
        <f t="shared" si="112"/>
        <v>3.6938076</v>
      </c>
    </row>
    <row r="1567" spans="1:14" x14ac:dyDescent="0.3">
      <c r="A1567" t="s">
        <v>24</v>
      </c>
      <c r="B1567">
        <v>13</v>
      </c>
      <c r="C1567">
        <v>40</v>
      </c>
      <c r="D1567" t="s">
        <v>142</v>
      </c>
      <c r="E1567" s="1">
        <v>39000000</v>
      </c>
      <c r="F1567">
        <f t="shared" si="113"/>
        <v>10302714.897461569</v>
      </c>
      <c r="G1567">
        <f t="shared" si="114"/>
        <v>33191.308415682688</v>
      </c>
      <c r="H1567" s="4">
        <v>42559</v>
      </c>
      <c r="I1567" s="1" t="s">
        <v>231</v>
      </c>
      <c r="J1567" s="1" t="s">
        <v>220</v>
      </c>
      <c r="K1567" t="s">
        <v>20</v>
      </c>
      <c r="L1567" t="s">
        <v>21</v>
      </c>
      <c r="M1567" t="str">
        <f t="shared" si="115"/>
        <v>ND</v>
      </c>
      <c r="N1567" t="str">
        <f t="shared" ref="N1567:N1630" si="116">IFERROR((M1567*F1567)/G1567,"ND")</f>
        <v>ND</v>
      </c>
    </row>
    <row r="1568" spans="1:14" x14ac:dyDescent="0.3">
      <c r="A1568" t="s">
        <v>17</v>
      </c>
      <c r="B1568">
        <v>13</v>
      </c>
      <c r="C1568">
        <v>40</v>
      </c>
      <c r="D1568" t="s">
        <v>142</v>
      </c>
      <c r="E1568" s="1">
        <v>39000000</v>
      </c>
      <c r="F1568">
        <f t="shared" si="113"/>
        <v>10302714.897461569</v>
      </c>
      <c r="G1568">
        <f t="shared" si="114"/>
        <v>33191.308415682688</v>
      </c>
      <c r="H1568" s="4">
        <v>42559</v>
      </c>
      <c r="I1568" s="1" t="s">
        <v>231</v>
      </c>
      <c r="J1568" s="1" t="s">
        <v>220</v>
      </c>
      <c r="K1568">
        <v>163</v>
      </c>
      <c r="L1568" t="s">
        <v>21</v>
      </c>
      <c r="M1568">
        <f t="shared" si="115"/>
        <v>0.16300000000000001</v>
      </c>
      <c r="N1568">
        <f t="shared" si="116"/>
        <v>50.595852000000001</v>
      </c>
    </row>
    <row r="1569" spans="1:14" x14ac:dyDescent="0.3">
      <c r="A1569" t="s">
        <v>53</v>
      </c>
      <c r="B1569">
        <v>13</v>
      </c>
      <c r="C1569">
        <v>40</v>
      </c>
      <c r="D1569" t="s">
        <v>142</v>
      </c>
      <c r="E1569" s="1">
        <v>39000000</v>
      </c>
      <c r="F1569">
        <f t="shared" ref="F1569:F1609" si="117">E1569/3.78541</f>
        <v>10302714.897461569</v>
      </c>
      <c r="G1569">
        <f t="shared" ref="G1569:G1632" si="118">F1569/310.404</f>
        <v>33191.308415682688</v>
      </c>
      <c r="H1569" s="4">
        <v>42559</v>
      </c>
      <c r="I1569" s="1" t="s">
        <v>231</v>
      </c>
      <c r="J1569" s="1" t="s">
        <v>220</v>
      </c>
      <c r="K1569">
        <v>1050</v>
      </c>
      <c r="L1569" t="s">
        <v>21</v>
      </c>
      <c r="M1569">
        <f t="shared" si="115"/>
        <v>1.05</v>
      </c>
      <c r="N1569">
        <f t="shared" si="116"/>
        <v>325.92419999999998</v>
      </c>
    </row>
    <row r="1570" spans="1:14" x14ac:dyDescent="0.3">
      <c r="A1570" t="s">
        <v>26</v>
      </c>
      <c r="B1570">
        <v>13</v>
      </c>
      <c r="C1570">
        <v>40</v>
      </c>
      <c r="D1570" t="s">
        <v>142</v>
      </c>
      <c r="E1570" s="1">
        <v>39000000</v>
      </c>
      <c r="F1570">
        <f t="shared" si="117"/>
        <v>10302714.897461569</v>
      </c>
      <c r="G1570">
        <f t="shared" si="118"/>
        <v>33191.308415682688</v>
      </c>
      <c r="H1570" s="4">
        <v>42559</v>
      </c>
      <c r="I1570" s="1" t="s">
        <v>231</v>
      </c>
      <c r="J1570" s="1" t="s">
        <v>220</v>
      </c>
      <c r="K1570">
        <v>77.3</v>
      </c>
      <c r="L1570" t="s">
        <v>21</v>
      </c>
      <c r="M1570">
        <f t="shared" si="115"/>
        <v>7.7299999999999994E-2</v>
      </c>
      <c r="N1570">
        <f t="shared" si="116"/>
        <v>23.994229199999999</v>
      </c>
    </row>
    <row r="1571" spans="1:14" x14ac:dyDescent="0.3">
      <c r="A1571" t="s">
        <v>27</v>
      </c>
      <c r="B1571">
        <v>13</v>
      </c>
      <c r="C1571">
        <v>40</v>
      </c>
      <c r="D1571" t="s">
        <v>142</v>
      </c>
      <c r="E1571" s="1">
        <v>39000000</v>
      </c>
      <c r="F1571">
        <f t="shared" si="117"/>
        <v>10302714.897461569</v>
      </c>
      <c r="G1571">
        <f t="shared" si="118"/>
        <v>33191.308415682688</v>
      </c>
      <c r="H1571" s="4">
        <v>42559</v>
      </c>
      <c r="I1571" s="1" t="s">
        <v>231</v>
      </c>
      <c r="J1571" s="1" t="s">
        <v>220</v>
      </c>
      <c r="K1571">
        <v>237</v>
      </c>
      <c r="L1571" t="s">
        <v>21</v>
      </c>
      <c r="M1571">
        <f t="shared" si="115"/>
        <v>0.23699999999999999</v>
      </c>
      <c r="N1571">
        <f t="shared" si="116"/>
        <v>73.565747999999985</v>
      </c>
    </row>
    <row r="1572" spans="1:14" x14ac:dyDescent="0.3">
      <c r="A1572" t="s">
        <v>29</v>
      </c>
      <c r="B1572">
        <v>13</v>
      </c>
      <c r="C1572">
        <v>40</v>
      </c>
      <c r="D1572" t="s">
        <v>142</v>
      </c>
      <c r="E1572" s="1">
        <v>39000000</v>
      </c>
      <c r="F1572">
        <f t="shared" si="117"/>
        <v>10302714.897461569</v>
      </c>
      <c r="G1572">
        <f t="shared" si="118"/>
        <v>33191.308415682688</v>
      </c>
      <c r="H1572" s="4">
        <v>42559</v>
      </c>
      <c r="I1572" s="1" t="s">
        <v>231</v>
      </c>
      <c r="J1572" s="1" t="s">
        <v>220</v>
      </c>
      <c r="K1572">
        <v>141</v>
      </c>
      <c r="L1572" t="s">
        <v>21</v>
      </c>
      <c r="M1572">
        <f t="shared" si="115"/>
        <v>0.14099999999999999</v>
      </c>
      <c r="N1572">
        <f t="shared" si="116"/>
        <v>43.766963999999994</v>
      </c>
    </row>
    <row r="1573" spans="1:14" x14ac:dyDescent="0.3">
      <c r="A1573" t="s">
        <v>4</v>
      </c>
      <c r="B1573">
        <v>13</v>
      </c>
      <c r="C1573">
        <v>40</v>
      </c>
      <c r="D1573" t="s">
        <v>142</v>
      </c>
      <c r="E1573" s="1">
        <v>39000000</v>
      </c>
      <c r="F1573">
        <f t="shared" si="117"/>
        <v>10302714.897461569</v>
      </c>
      <c r="G1573">
        <f t="shared" si="118"/>
        <v>33191.308415682688</v>
      </c>
      <c r="H1573" s="4">
        <v>42559</v>
      </c>
      <c r="I1573" s="1" t="s">
        <v>231</v>
      </c>
      <c r="J1573" s="1" t="s">
        <v>220</v>
      </c>
      <c r="K1573">
        <v>117</v>
      </c>
      <c r="L1573" t="s">
        <v>21</v>
      </c>
      <c r="M1573">
        <f t="shared" si="115"/>
        <v>0.11700000000000001</v>
      </c>
      <c r="N1573">
        <f t="shared" si="116"/>
        <v>36.317268000000006</v>
      </c>
    </row>
    <row r="1574" spans="1:14" x14ac:dyDescent="0.3">
      <c r="A1574" t="s">
        <v>121</v>
      </c>
      <c r="B1574">
        <v>13</v>
      </c>
      <c r="C1574">
        <v>40</v>
      </c>
      <c r="D1574" t="s">
        <v>142</v>
      </c>
      <c r="E1574" s="1">
        <v>39000000</v>
      </c>
      <c r="F1574">
        <f t="shared" si="117"/>
        <v>10302714.897461569</v>
      </c>
      <c r="G1574">
        <f t="shared" si="118"/>
        <v>33191.308415682688</v>
      </c>
      <c r="H1574" s="4">
        <v>42559</v>
      </c>
      <c r="I1574" s="1" t="s">
        <v>231</v>
      </c>
      <c r="J1574" s="1" t="s">
        <v>220</v>
      </c>
      <c r="K1574">
        <v>509</v>
      </c>
      <c r="L1574" t="s">
        <v>21</v>
      </c>
      <c r="M1574">
        <f t="shared" si="115"/>
        <v>0.50900000000000001</v>
      </c>
      <c r="N1574">
        <f t="shared" si="116"/>
        <v>157.99563599999999</v>
      </c>
    </row>
    <row r="1575" spans="1:14" x14ac:dyDescent="0.3">
      <c r="A1575" t="s">
        <v>122</v>
      </c>
      <c r="B1575">
        <v>13</v>
      </c>
      <c r="C1575">
        <v>40</v>
      </c>
      <c r="D1575" t="s">
        <v>142</v>
      </c>
      <c r="E1575" s="1">
        <v>39000000</v>
      </c>
      <c r="F1575">
        <f t="shared" si="117"/>
        <v>10302714.897461569</v>
      </c>
      <c r="G1575">
        <f t="shared" si="118"/>
        <v>33191.308415682688</v>
      </c>
      <c r="H1575" s="4">
        <v>42559</v>
      </c>
      <c r="I1575" s="1" t="s">
        <v>231</v>
      </c>
      <c r="J1575" s="1" t="s">
        <v>220</v>
      </c>
      <c r="K1575">
        <v>39.799999999999997</v>
      </c>
      <c r="L1575" t="s">
        <v>21</v>
      </c>
      <c r="M1575">
        <f t="shared" si="115"/>
        <v>3.9799999999999995E-2</v>
      </c>
      <c r="N1575">
        <f t="shared" si="116"/>
        <v>12.354079199999999</v>
      </c>
    </row>
    <row r="1576" spans="1:14" x14ac:dyDescent="0.3">
      <c r="A1576" t="s">
        <v>12</v>
      </c>
      <c r="B1576">
        <v>13</v>
      </c>
      <c r="C1576">
        <v>40</v>
      </c>
      <c r="D1576" t="s">
        <v>142</v>
      </c>
      <c r="E1576" s="1">
        <v>39000000</v>
      </c>
      <c r="F1576">
        <f t="shared" si="117"/>
        <v>10302714.897461569</v>
      </c>
      <c r="G1576">
        <f t="shared" si="118"/>
        <v>33191.308415682688</v>
      </c>
      <c r="H1576" s="4">
        <v>42559</v>
      </c>
      <c r="I1576" s="1" t="s">
        <v>231</v>
      </c>
      <c r="J1576" s="1" t="s">
        <v>220</v>
      </c>
      <c r="K1576" t="s">
        <v>20</v>
      </c>
      <c r="L1576" t="s">
        <v>21</v>
      </c>
      <c r="M1576" t="str">
        <f t="shared" si="115"/>
        <v>ND</v>
      </c>
      <c r="N1576" t="str">
        <f t="shared" si="116"/>
        <v>ND</v>
      </c>
    </row>
    <row r="1577" spans="1:14" x14ac:dyDescent="0.3">
      <c r="A1577" t="s">
        <v>46</v>
      </c>
      <c r="B1577">
        <v>13</v>
      </c>
      <c r="C1577">
        <v>40</v>
      </c>
      <c r="D1577" t="s">
        <v>142</v>
      </c>
      <c r="E1577" s="1">
        <v>39000000</v>
      </c>
      <c r="F1577">
        <f t="shared" si="117"/>
        <v>10302714.897461569</v>
      </c>
      <c r="G1577">
        <f t="shared" si="118"/>
        <v>33191.308415682688</v>
      </c>
      <c r="H1577" s="4">
        <v>42559</v>
      </c>
      <c r="I1577" s="1" t="s">
        <v>231</v>
      </c>
      <c r="J1577" s="1" t="s">
        <v>220</v>
      </c>
      <c r="K1577">
        <v>87.6</v>
      </c>
      <c r="L1577" t="s">
        <v>21</v>
      </c>
      <c r="M1577">
        <f t="shared" si="115"/>
        <v>8.7599999999999997E-2</v>
      </c>
      <c r="N1577">
        <f t="shared" si="116"/>
        <v>27.1913904</v>
      </c>
    </row>
    <row r="1578" spans="1:14" x14ac:dyDescent="0.3">
      <c r="A1578" t="s">
        <v>44</v>
      </c>
      <c r="B1578">
        <v>13</v>
      </c>
      <c r="C1578">
        <v>40</v>
      </c>
      <c r="D1578" t="s">
        <v>142</v>
      </c>
      <c r="E1578" s="1">
        <v>39000000</v>
      </c>
      <c r="F1578">
        <f t="shared" si="117"/>
        <v>10302714.897461569</v>
      </c>
      <c r="G1578">
        <f t="shared" si="118"/>
        <v>33191.308415682688</v>
      </c>
      <c r="H1578" s="4">
        <v>42559</v>
      </c>
      <c r="I1578" s="1" t="s">
        <v>231</v>
      </c>
      <c r="J1578" s="1" t="s">
        <v>220</v>
      </c>
      <c r="K1578">
        <v>1020</v>
      </c>
      <c r="L1578" t="s">
        <v>21</v>
      </c>
      <c r="M1578">
        <f t="shared" si="115"/>
        <v>1.02</v>
      </c>
      <c r="N1578">
        <f t="shared" si="116"/>
        <v>316.61207999999999</v>
      </c>
    </row>
    <row r="1579" spans="1:14" x14ac:dyDescent="0.3">
      <c r="A1579" t="s">
        <v>32</v>
      </c>
      <c r="B1579">
        <v>13</v>
      </c>
      <c r="C1579">
        <v>40</v>
      </c>
      <c r="D1579" t="s">
        <v>142</v>
      </c>
      <c r="E1579" s="1">
        <v>39000000</v>
      </c>
      <c r="F1579">
        <f t="shared" si="117"/>
        <v>10302714.897461569</v>
      </c>
      <c r="G1579">
        <f t="shared" si="118"/>
        <v>33191.308415682688</v>
      </c>
      <c r="H1579" s="4">
        <v>42559</v>
      </c>
      <c r="I1579" s="1" t="s">
        <v>231</v>
      </c>
      <c r="J1579" s="1" t="s">
        <v>220</v>
      </c>
      <c r="K1579">
        <v>56</v>
      </c>
      <c r="L1579" t="s">
        <v>21</v>
      </c>
      <c r="M1579">
        <f t="shared" si="115"/>
        <v>5.6000000000000001E-2</v>
      </c>
      <c r="N1579">
        <f t="shared" si="116"/>
        <v>17.382624</v>
      </c>
    </row>
    <row r="1580" spans="1:14" x14ac:dyDescent="0.3">
      <c r="A1580" t="s">
        <v>123</v>
      </c>
      <c r="B1580">
        <v>13</v>
      </c>
      <c r="C1580">
        <v>40</v>
      </c>
      <c r="D1580" t="s">
        <v>142</v>
      </c>
      <c r="E1580" s="1">
        <v>39000000</v>
      </c>
      <c r="F1580">
        <f t="shared" si="117"/>
        <v>10302714.897461569</v>
      </c>
      <c r="G1580">
        <f t="shared" si="118"/>
        <v>33191.308415682688</v>
      </c>
      <c r="H1580" s="4">
        <v>42559</v>
      </c>
      <c r="I1580" s="1" t="s">
        <v>231</v>
      </c>
      <c r="J1580" s="1" t="s">
        <v>220</v>
      </c>
      <c r="K1580">
        <v>193</v>
      </c>
      <c r="L1580" t="s">
        <v>21</v>
      </c>
      <c r="M1580">
        <f t="shared" si="115"/>
        <v>0.193</v>
      </c>
      <c r="N1580">
        <f t="shared" si="116"/>
        <v>59.907972000000001</v>
      </c>
    </row>
    <row r="1581" spans="1:14" x14ac:dyDescent="0.3">
      <c r="A1581" t="s">
        <v>54</v>
      </c>
      <c r="B1581">
        <v>13</v>
      </c>
      <c r="C1581">
        <v>40</v>
      </c>
      <c r="D1581" t="s">
        <v>142</v>
      </c>
      <c r="E1581" s="1">
        <v>39000000</v>
      </c>
      <c r="F1581">
        <f t="shared" si="117"/>
        <v>10302714.897461569</v>
      </c>
      <c r="G1581">
        <f t="shared" si="118"/>
        <v>33191.308415682688</v>
      </c>
      <c r="H1581" s="4">
        <v>42559</v>
      </c>
      <c r="I1581" s="1" t="s">
        <v>231</v>
      </c>
      <c r="J1581" s="1" t="s">
        <v>220</v>
      </c>
      <c r="K1581">
        <v>29.8</v>
      </c>
      <c r="L1581" t="s">
        <v>21</v>
      </c>
      <c r="M1581">
        <f t="shared" si="115"/>
        <v>2.98E-2</v>
      </c>
      <c r="N1581">
        <f t="shared" si="116"/>
        <v>9.2500391999999998</v>
      </c>
    </row>
    <row r="1582" spans="1:14" x14ac:dyDescent="0.3">
      <c r="A1582" t="s">
        <v>124</v>
      </c>
      <c r="B1582">
        <v>13</v>
      </c>
      <c r="C1582">
        <v>40</v>
      </c>
      <c r="D1582" t="s">
        <v>142</v>
      </c>
      <c r="E1582" s="1">
        <v>39000000</v>
      </c>
      <c r="F1582">
        <f t="shared" si="117"/>
        <v>10302714.897461569</v>
      </c>
      <c r="G1582">
        <f t="shared" si="118"/>
        <v>33191.308415682688</v>
      </c>
      <c r="H1582" s="4">
        <v>42559</v>
      </c>
      <c r="I1582" s="1" t="s">
        <v>231</v>
      </c>
      <c r="J1582" s="1" t="s">
        <v>220</v>
      </c>
      <c r="K1582">
        <v>1950</v>
      </c>
      <c r="L1582" t="s">
        <v>21</v>
      </c>
      <c r="M1582">
        <f t="shared" si="115"/>
        <v>1.95</v>
      </c>
      <c r="N1582">
        <f t="shared" si="116"/>
        <v>605.28779999999995</v>
      </c>
    </row>
    <row r="1583" spans="1:14" x14ac:dyDescent="0.3">
      <c r="A1583" t="s">
        <v>125</v>
      </c>
      <c r="B1583">
        <v>13</v>
      </c>
      <c r="C1583">
        <v>40</v>
      </c>
      <c r="D1583" t="s">
        <v>142</v>
      </c>
      <c r="E1583" s="1">
        <v>39000000</v>
      </c>
      <c r="F1583">
        <f t="shared" si="117"/>
        <v>10302714.897461569</v>
      </c>
      <c r="G1583">
        <f t="shared" si="118"/>
        <v>33191.308415682688</v>
      </c>
      <c r="H1583" s="4">
        <v>42559</v>
      </c>
      <c r="I1583" s="1" t="s">
        <v>231</v>
      </c>
      <c r="J1583" s="1" t="s">
        <v>220</v>
      </c>
      <c r="K1583">
        <v>234</v>
      </c>
      <c r="L1583" t="s">
        <v>21</v>
      </c>
      <c r="M1583">
        <f t="shared" si="115"/>
        <v>0.23400000000000001</v>
      </c>
      <c r="N1583">
        <f t="shared" si="116"/>
        <v>72.634536000000011</v>
      </c>
    </row>
    <row r="1584" spans="1:14" x14ac:dyDescent="0.3">
      <c r="A1584" t="s">
        <v>19</v>
      </c>
      <c r="B1584">
        <v>13</v>
      </c>
      <c r="C1584">
        <v>40</v>
      </c>
      <c r="D1584" t="s">
        <v>142</v>
      </c>
      <c r="E1584" s="1">
        <v>39000000</v>
      </c>
      <c r="F1584">
        <f t="shared" si="117"/>
        <v>10302714.897461569</v>
      </c>
      <c r="G1584">
        <f t="shared" si="118"/>
        <v>33191.308415682688</v>
      </c>
      <c r="H1584" s="4">
        <v>42559</v>
      </c>
      <c r="I1584" s="1" t="s">
        <v>231</v>
      </c>
      <c r="J1584" s="1" t="s">
        <v>220</v>
      </c>
      <c r="K1584" t="s">
        <v>20</v>
      </c>
      <c r="L1584" t="s">
        <v>21</v>
      </c>
      <c r="M1584" t="str">
        <f t="shared" si="115"/>
        <v>ND</v>
      </c>
      <c r="N1584" t="str">
        <f t="shared" si="116"/>
        <v>ND</v>
      </c>
    </row>
    <row r="1585" spans="1:14" x14ac:dyDescent="0.3">
      <c r="A1585" t="s">
        <v>126</v>
      </c>
      <c r="B1585">
        <v>13</v>
      </c>
      <c r="C1585">
        <v>40</v>
      </c>
      <c r="D1585" t="s">
        <v>142</v>
      </c>
      <c r="E1585" s="1">
        <v>39000000</v>
      </c>
      <c r="F1585">
        <f t="shared" si="117"/>
        <v>10302714.897461569</v>
      </c>
      <c r="G1585">
        <f t="shared" si="118"/>
        <v>33191.308415682688</v>
      </c>
      <c r="H1585" s="4">
        <v>42559</v>
      </c>
      <c r="I1585" s="1" t="s">
        <v>231</v>
      </c>
      <c r="J1585" s="1" t="s">
        <v>220</v>
      </c>
      <c r="K1585" t="s">
        <v>20</v>
      </c>
      <c r="L1585" t="s">
        <v>21</v>
      </c>
      <c r="M1585" t="str">
        <f t="shared" si="115"/>
        <v>ND</v>
      </c>
      <c r="N1585" t="str">
        <f t="shared" si="116"/>
        <v>ND</v>
      </c>
    </row>
    <row r="1586" spans="1:14" x14ac:dyDescent="0.3">
      <c r="A1586" t="s">
        <v>6</v>
      </c>
      <c r="B1586">
        <v>13</v>
      </c>
      <c r="C1586">
        <v>40</v>
      </c>
      <c r="D1586" t="s">
        <v>142</v>
      </c>
      <c r="E1586" s="1">
        <v>39000000</v>
      </c>
      <c r="F1586">
        <f t="shared" si="117"/>
        <v>10302714.897461569</v>
      </c>
      <c r="G1586">
        <f t="shared" si="118"/>
        <v>33191.308415682688</v>
      </c>
      <c r="H1586" s="4">
        <v>42559</v>
      </c>
      <c r="I1586" s="1" t="s">
        <v>231</v>
      </c>
      <c r="J1586" s="1" t="s">
        <v>220</v>
      </c>
      <c r="K1586" t="s">
        <v>20</v>
      </c>
      <c r="L1586" t="s">
        <v>21</v>
      </c>
      <c r="M1586" t="str">
        <f t="shared" si="115"/>
        <v>ND</v>
      </c>
      <c r="N1586" t="str">
        <f t="shared" si="116"/>
        <v>ND</v>
      </c>
    </row>
    <row r="1587" spans="1:14" x14ac:dyDescent="0.3">
      <c r="A1587" t="s">
        <v>127</v>
      </c>
      <c r="B1587">
        <v>13</v>
      </c>
      <c r="C1587">
        <v>40</v>
      </c>
      <c r="D1587" t="s">
        <v>142</v>
      </c>
      <c r="E1587" s="1">
        <v>39000000</v>
      </c>
      <c r="F1587">
        <f t="shared" si="117"/>
        <v>10302714.897461569</v>
      </c>
      <c r="G1587">
        <f t="shared" si="118"/>
        <v>33191.308415682688</v>
      </c>
      <c r="H1587" s="4">
        <v>42559</v>
      </c>
      <c r="I1587" s="1" t="s">
        <v>231</v>
      </c>
      <c r="J1587" s="1" t="s">
        <v>220</v>
      </c>
      <c r="K1587">
        <v>19.2</v>
      </c>
      <c r="L1587" t="s">
        <v>21</v>
      </c>
      <c r="M1587">
        <f t="shared" ref="M1587:M1610" si="119">IFERROR(K1587/1000,"ND")</f>
        <v>1.9199999999999998E-2</v>
      </c>
      <c r="N1587">
        <f t="shared" si="116"/>
        <v>5.9597567999999992</v>
      </c>
    </row>
    <row r="1588" spans="1:14" x14ac:dyDescent="0.3">
      <c r="A1588" t="s">
        <v>128</v>
      </c>
      <c r="B1588">
        <v>13</v>
      </c>
      <c r="C1588">
        <v>40</v>
      </c>
      <c r="D1588" t="s">
        <v>142</v>
      </c>
      <c r="E1588" s="1">
        <v>39000000</v>
      </c>
      <c r="F1588">
        <f t="shared" si="117"/>
        <v>10302714.897461569</v>
      </c>
      <c r="G1588">
        <f t="shared" si="118"/>
        <v>33191.308415682688</v>
      </c>
      <c r="H1588" s="4">
        <v>42559</v>
      </c>
      <c r="I1588" s="1" t="s">
        <v>231</v>
      </c>
      <c r="J1588" s="1" t="s">
        <v>220</v>
      </c>
      <c r="K1588" t="s">
        <v>20</v>
      </c>
      <c r="L1588" t="s">
        <v>21</v>
      </c>
      <c r="M1588" t="str">
        <f t="shared" si="119"/>
        <v>ND</v>
      </c>
      <c r="N1588" t="str">
        <f t="shared" si="116"/>
        <v>ND</v>
      </c>
    </row>
    <row r="1589" spans="1:14" x14ac:dyDescent="0.3">
      <c r="A1589" t="s">
        <v>129</v>
      </c>
      <c r="B1589">
        <v>13</v>
      </c>
      <c r="C1589">
        <v>40</v>
      </c>
      <c r="D1589" t="s">
        <v>142</v>
      </c>
      <c r="E1589" s="1">
        <v>39000000</v>
      </c>
      <c r="F1589">
        <f t="shared" si="117"/>
        <v>10302714.897461569</v>
      </c>
      <c r="G1589">
        <f t="shared" si="118"/>
        <v>33191.308415682688</v>
      </c>
      <c r="H1589" s="4">
        <v>42559</v>
      </c>
      <c r="I1589" s="1" t="s">
        <v>231</v>
      </c>
      <c r="J1589" s="1" t="s">
        <v>220</v>
      </c>
      <c r="K1589">
        <v>57100</v>
      </c>
      <c r="L1589" t="s">
        <v>21</v>
      </c>
      <c r="M1589">
        <f t="shared" si="119"/>
        <v>57.1</v>
      </c>
      <c r="N1589">
        <f t="shared" si="116"/>
        <v>17724.0684</v>
      </c>
    </row>
    <row r="1590" spans="1:14" x14ac:dyDescent="0.3">
      <c r="A1590" t="s">
        <v>130</v>
      </c>
      <c r="B1590">
        <v>13</v>
      </c>
      <c r="C1590">
        <v>40</v>
      </c>
      <c r="D1590" t="s">
        <v>142</v>
      </c>
      <c r="E1590" s="1">
        <v>39000000</v>
      </c>
      <c r="F1590">
        <f t="shared" si="117"/>
        <v>10302714.897461569</v>
      </c>
      <c r="G1590">
        <f t="shared" si="118"/>
        <v>33191.308415682688</v>
      </c>
      <c r="H1590" s="4">
        <v>42559</v>
      </c>
      <c r="I1590" s="1" t="s">
        <v>231</v>
      </c>
      <c r="J1590" s="1" t="s">
        <v>220</v>
      </c>
      <c r="K1590">
        <v>1370</v>
      </c>
      <c r="L1590" t="s">
        <v>21</v>
      </c>
      <c r="M1590">
        <f t="shared" si="119"/>
        <v>1.37</v>
      </c>
      <c r="N1590">
        <f t="shared" si="116"/>
        <v>425.25348000000002</v>
      </c>
    </row>
    <row r="1591" spans="1:14" x14ac:dyDescent="0.3">
      <c r="A1591" t="s">
        <v>56</v>
      </c>
      <c r="B1591">
        <v>13</v>
      </c>
      <c r="C1591">
        <v>40</v>
      </c>
      <c r="D1591" t="s">
        <v>142</v>
      </c>
      <c r="E1591" s="1">
        <v>39000000</v>
      </c>
      <c r="F1591">
        <f t="shared" si="117"/>
        <v>10302714.897461569</v>
      </c>
      <c r="G1591">
        <f t="shared" si="118"/>
        <v>33191.308415682688</v>
      </c>
      <c r="H1591" s="4">
        <v>42559</v>
      </c>
      <c r="I1591" s="1" t="s">
        <v>231</v>
      </c>
      <c r="J1591" s="1" t="s">
        <v>220</v>
      </c>
      <c r="K1591">
        <v>152</v>
      </c>
      <c r="L1591" t="s">
        <v>21</v>
      </c>
      <c r="M1591">
        <f t="shared" si="119"/>
        <v>0.152</v>
      </c>
      <c r="N1591">
        <f t="shared" si="116"/>
        <v>47.181407999999998</v>
      </c>
    </row>
    <row r="1592" spans="1:14" x14ac:dyDescent="0.3">
      <c r="A1592" t="s">
        <v>5</v>
      </c>
      <c r="B1592">
        <v>13</v>
      </c>
      <c r="C1592">
        <v>40</v>
      </c>
      <c r="D1592" t="s">
        <v>142</v>
      </c>
      <c r="E1592" s="1">
        <v>39000000</v>
      </c>
      <c r="F1592">
        <f t="shared" si="117"/>
        <v>10302714.897461569</v>
      </c>
      <c r="G1592">
        <f t="shared" si="118"/>
        <v>33191.308415682688</v>
      </c>
      <c r="H1592" s="4">
        <v>42559</v>
      </c>
      <c r="I1592" s="1" t="s">
        <v>231</v>
      </c>
      <c r="J1592" s="1" t="s">
        <v>220</v>
      </c>
      <c r="K1592">
        <v>312</v>
      </c>
      <c r="L1592" t="s">
        <v>21</v>
      </c>
      <c r="M1592">
        <f t="shared" si="119"/>
        <v>0.312</v>
      </c>
      <c r="N1592">
        <f t="shared" si="116"/>
        <v>96.846047999999996</v>
      </c>
    </row>
    <row r="1593" spans="1:14" x14ac:dyDescent="0.3">
      <c r="A1593" t="s">
        <v>131</v>
      </c>
      <c r="B1593">
        <v>13</v>
      </c>
      <c r="C1593">
        <v>40</v>
      </c>
      <c r="D1593" t="s">
        <v>142</v>
      </c>
      <c r="E1593" s="1">
        <v>39000000</v>
      </c>
      <c r="F1593">
        <f t="shared" si="117"/>
        <v>10302714.897461569</v>
      </c>
      <c r="G1593">
        <f t="shared" si="118"/>
        <v>33191.308415682688</v>
      </c>
      <c r="H1593" s="4">
        <v>42559</v>
      </c>
      <c r="I1593" s="1" t="s">
        <v>231</v>
      </c>
      <c r="J1593" s="1" t="s">
        <v>220</v>
      </c>
      <c r="K1593" t="s">
        <v>20</v>
      </c>
      <c r="L1593" t="s">
        <v>21</v>
      </c>
      <c r="M1593" t="str">
        <f t="shared" si="119"/>
        <v>ND</v>
      </c>
      <c r="N1593" t="str">
        <f t="shared" si="116"/>
        <v>ND</v>
      </c>
    </row>
    <row r="1594" spans="1:14" x14ac:dyDescent="0.3">
      <c r="A1594" t="s">
        <v>8</v>
      </c>
      <c r="B1594">
        <v>13</v>
      </c>
      <c r="C1594">
        <v>40</v>
      </c>
      <c r="D1594" t="s">
        <v>142</v>
      </c>
      <c r="E1594" s="1">
        <v>39000000</v>
      </c>
      <c r="F1594">
        <f t="shared" si="117"/>
        <v>10302714.897461569</v>
      </c>
      <c r="G1594">
        <f t="shared" si="118"/>
        <v>33191.308415682688</v>
      </c>
      <c r="H1594" s="4">
        <v>42559</v>
      </c>
      <c r="I1594" s="1" t="s">
        <v>231</v>
      </c>
      <c r="J1594" s="1" t="s">
        <v>220</v>
      </c>
      <c r="K1594">
        <v>44.7</v>
      </c>
      <c r="L1594" t="s">
        <v>21</v>
      </c>
      <c r="M1594">
        <f t="shared" si="119"/>
        <v>4.4700000000000004E-2</v>
      </c>
      <c r="N1594">
        <f t="shared" si="116"/>
        <v>13.875058800000001</v>
      </c>
    </row>
    <row r="1595" spans="1:14" x14ac:dyDescent="0.3">
      <c r="A1595" t="s">
        <v>132</v>
      </c>
      <c r="B1595">
        <v>13</v>
      </c>
      <c r="C1595">
        <v>40</v>
      </c>
      <c r="D1595" t="s">
        <v>142</v>
      </c>
      <c r="E1595" s="1">
        <v>39000000</v>
      </c>
      <c r="F1595">
        <f t="shared" si="117"/>
        <v>10302714.897461569</v>
      </c>
      <c r="G1595">
        <f t="shared" si="118"/>
        <v>33191.308415682688</v>
      </c>
      <c r="H1595" s="4">
        <v>42559</v>
      </c>
      <c r="I1595" s="1" t="s">
        <v>231</v>
      </c>
      <c r="J1595" s="1" t="s">
        <v>220</v>
      </c>
      <c r="K1595" t="s">
        <v>20</v>
      </c>
      <c r="L1595" t="s">
        <v>21</v>
      </c>
      <c r="M1595" t="str">
        <f t="shared" si="119"/>
        <v>ND</v>
      </c>
      <c r="N1595" t="str">
        <f t="shared" si="116"/>
        <v>ND</v>
      </c>
    </row>
    <row r="1596" spans="1:14" x14ac:dyDescent="0.3">
      <c r="A1596" t="s">
        <v>57</v>
      </c>
      <c r="B1596">
        <v>13</v>
      </c>
      <c r="C1596">
        <v>40</v>
      </c>
      <c r="D1596" t="s">
        <v>142</v>
      </c>
      <c r="E1596" s="1">
        <v>39000000</v>
      </c>
      <c r="F1596">
        <f t="shared" si="117"/>
        <v>10302714.897461569</v>
      </c>
      <c r="G1596">
        <f t="shared" si="118"/>
        <v>33191.308415682688</v>
      </c>
      <c r="H1596" s="4">
        <v>42559</v>
      </c>
      <c r="I1596" s="1" t="s">
        <v>231</v>
      </c>
      <c r="J1596" s="1" t="s">
        <v>220</v>
      </c>
      <c r="K1596" t="s">
        <v>20</v>
      </c>
      <c r="L1596" t="s">
        <v>21</v>
      </c>
      <c r="M1596" t="str">
        <f t="shared" si="119"/>
        <v>ND</v>
      </c>
      <c r="N1596" t="str">
        <f t="shared" si="116"/>
        <v>ND</v>
      </c>
    </row>
    <row r="1597" spans="1:14" x14ac:dyDescent="0.3">
      <c r="A1597" t="s">
        <v>133</v>
      </c>
      <c r="B1597">
        <v>13</v>
      </c>
      <c r="C1597">
        <v>40</v>
      </c>
      <c r="D1597" t="s">
        <v>142</v>
      </c>
      <c r="E1597" s="1">
        <v>39000000</v>
      </c>
      <c r="F1597">
        <f t="shared" si="117"/>
        <v>10302714.897461569</v>
      </c>
      <c r="G1597">
        <f t="shared" si="118"/>
        <v>33191.308415682688</v>
      </c>
      <c r="H1597" s="4">
        <v>42559</v>
      </c>
      <c r="I1597" s="1" t="s">
        <v>231</v>
      </c>
      <c r="J1597" s="1" t="s">
        <v>220</v>
      </c>
      <c r="K1597">
        <v>1120</v>
      </c>
      <c r="L1597" t="s">
        <v>21</v>
      </c>
      <c r="M1597">
        <f t="shared" si="119"/>
        <v>1.1200000000000001</v>
      </c>
      <c r="N1597">
        <f t="shared" si="116"/>
        <v>347.65248000000003</v>
      </c>
    </row>
    <row r="1598" spans="1:14" x14ac:dyDescent="0.3">
      <c r="A1598" t="s">
        <v>134</v>
      </c>
      <c r="B1598">
        <v>13</v>
      </c>
      <c r="C1598">
        <v>40</v>
      </c>
      <c r="D1598" t="s">
        <v>142</v>
      </c>
      <c r="E1598" s="1">
        <v>39000000</v>
      </c>
      <c r="F1598">
        <f t="shared" si="117"/>
        <v>10302714.897461569</v>
      </c>
      <c r="G1598">
        <f t="shared" si="118"/>
        <v>33191.308415682688</v>
      </c>
      <c r="H1598" s="4">
        <v>42559</v>
      </c>
      <c r="I1598" s="1" t="s">
        <v>231</v>
      </c>
      <c r="J1598" s="1" t="s">
        <v>220</v>
      </c>
      <c r="K1598" t="s">
        <v>20</v>
      </c>
      <c r="L1598" t="s">
        <v>21</v>
      </c>
      <c r="M1598" t="str">
        <f t="shared" si="119"/>
        <v>ND</v>
      </c>
      <c r="N1598" t="str">
        <f t="shared" si="116"/>
        <v>ND</v>
      </c>
    </row>
    <row r="1599" spans="1:14" x14ac:dyDescent="0.3">
      <c r="A1599" t="s">
        <v>58</v>
      </c>
      <c r="B1599">
        <v>13</v>
      </c>
      <c r="C1599">
        <v>40</v>
      </c>
      <c r="D1599" t="s">
        <v>142</v>
      </c>
      <c r="E1599" s="1">
        <v>39000000</v>
      </c>
      <c r="F1599">
        <f t="shared" si="117"/>
        <v>10302714.897461569</v>
      </c>
      <c r="G1599">
        <f t="shared" si="118"/>
        <v>33191.308415682688</v>
      </c>
      <c r="H1599" s="4">
        <v>42559</v>
      </c>
      <c r="I1599" s="1" t="s">
        <v>231</v>
      </c>
      <c r="J1599" s="1" t="s">
        <v>220</v>
      </c>
      <c r="K1599">
        <v>797</v>
      </c>
      <c r="L1599" t="s">
        <v>21</v>
      </c>
      <c r="M1599">
        <f t="shared" si="119"/>
        <v>0.79700000000000004</v>
      </c>
      <c r="N1599">
        <f t="shared" si="116"/>
        <v>247.39198800000003</v>
      </c>
    </row>
    <row r="1600" spans="1:14" x14ac:dyDescent="0.3">
      <c r="A1600" t="s">
        <v>39</v>
      </c>
      <c r="B1600">
        <v>13</v>
      </c>
      <c r="C1600">
        <v>40</v>
      </c>
      <c r="D1600" t="s">
        <v>142</v>
      </c>
      <c r="E1600" s="1">
        <v>39000000</v>
      </c>
      <c r="F1600">
        <f t="shared" si="117"/>
        <v>10302714.897461569</v>
      </c>
      <c r="G1600">
        <f t="shared" si="118"/>
        <v>33191.308415682688</v>
      </c>
      <c r="H1600" s="4">
        <v>42559</v>
      </c>
      <c r="I1600" s="1" t="s">
        <v>231</v>
      </c>
      <c r="J1600" s="1" t="s">
        <v>220</v>
      </c>
      <c r="K1600" t="s">
        <v>20</v>
      </c>
      <c r="L1600" t="s">
        <v>21</v>
      </c>
      <c r="M1600" t="str">
        <f t="shared" si="119"/>
        <v>ND</v>
      </c>
      <c r="N1600" t="str">
        <f t="shared" si="116"/>
        <v>ND</v>
      </c>
    </row>
    <row r="1601" spans="1:14" x14ac:dyDescent="0.3">
      <c r="A1601" t="s">
        <v>40</v>
      </c>
      <c r="B1601">
        <v>13</v>
      </c>
      <c r="C1601">
        <v>40</v>
      </c>
      <c r="D1601" t="s">
        <v>142</v>
      </c>
      <c r="E1601" s="1">
        <v>39000000</v>
      </c>
      <c r="F1601">
        <f t="shared" si="117"/>
        <v>10302714.897461569</v>
      </c>
      <c r="G1601">
        <f t="shared" si="118"/>
        <v>33191.308415682688</v>
      </c>
      <c r="H1601" s="4">
        <v>42559</v>
      </c>
      <c r="I1601" s="1" t="s">
        <v>231</v>
      </c>
      <c r="J1601" s="1" t="s">
        <v>220</v>
      </c>
      <c r="K1601">
        <v>813</v>
      </c>
      <c r="L1601" t="s">
        <v>21</v>
      </c>
      <c r="M1601">
        <f t="shared" si="119"/>
        <v>0.81299999999999994</v>
      </c>
      <c r="N1601">
        <f t="shared" si="116"/>
        <v>252.35845199999997</v>
      </c>
    </row>
    <row r="1602" spans="1:14" x14ac:dyDescent="0.3">
      <c r="A1602" t="s">
        <v>13</v>
      </c>
      <c r="B1602">
        <v>13</v>
      </c>
      <c r="C1602">
        <v>40</v>
      </c>
      <c r="D1602" t="s">
        <v>142</v>
      </c>
      <c r="E1602" s="1">
        <v>39000000</v>
      </c>
      <c r="F1602">
        <f t="shared" si="117"/>
        <v>10302714.897461569</v>
      </c>
      <c r="G1602">
        <f t="shared" si="118"/>
        <v>33191.308415682688</v>
      </c>
      <c r="H1602" s="4">
        <v>42559</v>
      </c>
      <c r="I1602" s="1" t="s">
        <v>231</v>
      </c>
      <c r="J1602" s="1" t="s">
        <v>220</v>
      </c>
      <c r="K1602" t="s">
        <v>20</v>
      </c>
      <c r="L1602" t="s">
        <v>21</v>
      </c>
      <c r="M1602" t="str">
        <f t="shared" si="119"/>
        <v>ND</v>
      </c>
      <c r="N1602" t="str">
        <f t="shared" si="116"/>
        <v>ND</v>
      </c>
    </row>
    <row r="1603" spans="1:14" x14ac:dyDescent="0.3">
      <c r="A1603" t="s">
        <v>9</v>
      </c>
      <c r="B1603">
        <v>13</v>
      </c>
      <c r="C1603">
        <v>40</v>
      </c>
      <c r="D1603" t="s">
        <v>142</v>
      </c>
      <c r="E1603" s="1">
        <v>39000000</v>
      </c>
      <c r="F1603">
        <f t="shared" si="117"/>
        <v>10302714.897461569</v>
      </c>
      <c r="G1603">
        <f t="shared" si="118"/>
        <v>33191.308415682688</v>
      </c>
      <c r="H1603" s="4">
        <v>42559</v>
      </c>
      <c r="I1603" s="1" t="s">
        <v>231</v>
      </c>
      <c r="J1603" s="1" t="s">
        <v>220</v>
      </c>
      <c r="K1603">
        <v>477</v>
      </c>
      <c r="L1603" t="s">
        <v>21</v>
      </c>
      <c r="M1603">
        <f t="shared" si="119"/>
        <v>0.47699999999999998</v>
      </c>
      <c r="N1603">
        <f t="shared" si="116"/>
        <v>148.06270800000001</v>
      </c>
    </row>
    <row r="1604" spans="1:14" x14ac:dyDescent="0.3">
      <c r="A1604" t="s">
        <v>135</v>
      </c>
      <c r="B1604">
        <v>13</v>
      </c>
      <c r="C1604">
        <v>40</v>
      </c>
      <c r="D1604" t="s">
        <v>142</v>
      </c>
      <c r="E1604" s="1">
        <v>39000000</v>
      </c>
      <c r="F1604">
        <f t="shared" si="117"/>
        <v>10302714.897461569</v>
      </c>
      <c r="G1604">
        <f t="shared" si="118"/>
        <v>33191.308415682688</v>
      </c>
      <c r="H1604" s="4">
        <v>42559</v>
      </c>
      <c r="I1604" s="1" t="s">
        <v>231</v>
      </c>
      <c r="J1604" s="1" t="s">
        <v>220</v>
      </c>
      <c r="K1604">
        <v>56.6</v>
      </c>
      <c r="L1604" t="s">
        <v>21</v>
      </c>
      <c r="M1604">
        <f t="shared" si="119"/>
        <v>5.6600000000000004E-2</v>
      </c>
      <c r="N1604">
        <f t="shared" si="116"/>
        <v>17.568866400000001</v>
      </c>
    </row>
    <row r="1605" spans="1:14" x14ac:dyDescent="0.3">
      <c r="A1605" t="s">
        <v>41</v>
      </c>
      <c r="B1605">
        <v>13</v>
      </c>
      <c r="C1605">
        <v>40</v>
      </c>
      <c r="D1605" t="s">
        <v>142</v>
      </c>
      <c r="E1605" s="1">
        <v>39000000</v>
      </c>
      <c r="F1605">
        <f t="shared" si="117"/>
        <v>10302714.897461569</v>
      </c>
      <c r="G1605">
        <f t="shared" si="118"/>
        <v>33191.308415682688</v>
      </c>
      <c r="H1605" s="4">
        <v>42559</v>
      </c>
      <c r="I1605" s="1" t="s">
        <v>231</v>
      </c>
      <c r="J1605" s="1" t="s">
        <v>220</v>
      </c>
      <c r="K1605">
        <v>399</v>
      </c>
      <c r="L1605" t="s">
        <v>21</v>
      </c>
      <c r="M1605">
        <f t="shared" si="119"/>
        <v>0.39900000000000002</v>
      </c>
      <c r="N1605">
        <f t="shared" si="116"/>
        <v>123.851196</v>
      </c>
    </row>
    <row r="1606" spans="1:14" x14ac:dyDescent="0.3">
      <c r="A1606" t="s">
        <v>136</v>
      </c>
      <c r="B1606">
        <v>13</v>
      </c>
      <c r="C1606">
        <v>40</v>
      </c>
      <c r="D1606" t="s">
        <v>142</v>
      </c>
      <c r="E1606" s="1">
        <v>39000000</v>
      </c>
      <c r="F1606">
        <f t="shared" si="117"/>
        <v>10302714.897461569</v>
      </c>
      <c r="G1606">
        <f t="shared" si="118"/>
        <v>33191.308415682688</v>
      </c>
      <c r="H1606" s="4">
        <v>42559</v>
      </c>
      <c r="I1606" s="1" t="s">
        <v>231</v>
      </c>
      <c r="J1606" s="1" t="s">
        <v>220</v>
      </c>
      <c r="K1606" t="s">
        <v>20</v>
      </c>
      <c r="L1606" t="s">
        <v>21</v>
      </c>
      <c r="M1606" t="str">
        <f t="shared" si="119"/>
        <v>ND</v>
      </c>
      <c r="N1606" t="str">
        <f t="shared" si="116"/>
        <v>ND</v>
      </c>
    </row>
    <row r="1607" spans="1:14" x14ac:dyDescent="0.3">
      <c r="A1607" t="s">
        <v>42</v>
      </c>
      <c r="B1607">
        <v>13</v>
      </c>
      <c r="C1607">
        <v>40</v>
      </c>
      <c r="D1607" t="s">
        <v>142</v>
      </c>
      <c r="E1607" s="1">
        <v>39000000</v>
      </c>
      <c r="F1607">
        <f t="shared" si="117"/>
        <v>10302714.897461569</v>
      </c>
      <c r="G1607">
        <f t="shared" si="118"/>
        <v>33191.308415682688</v>
      </c>
      <c r="H1607" s="4">
        <v>42559</v>
      </c>
      <c r="I1607" s="1" t="s">
        <v>231</v>
      </c>
      <c r="J1607" s="1" t="s">
        <v>220</v>
      </c>
      <c r="K1607">
        <v>172</v>
      </c>
      <c r="L1607" t="s">
        <v>21</v>
      </c>
      <c r="M1607">
        <f t="shared" si="119"/>
        <v>0.17199999999999999</v>
      </c>
      <c r="N1607">
        <f t="shared" si="116"/>
        <v>53.389488</v>
      </c>
    </row>
    <row r="1608" spans="1:14" x14ac:dyDescent="0.3">
      <c r="A1608" t="s">
        <v>137</v>
      </c>
      <c r="B1608">
        <v>13</v>
      </c>
      <c r="C1608">
        <v>40</v>
      </c>
      <c r="D1608" t="s">
        <v>142</v>
      </c>
      <c r="E1608" s="1">
        <v>39000000</v>
      </c>
      <c r="F1608">
        <f t="shared" si="117"/>
        <v>10302714.897461569</v>
      </c>
      <c r="G1608">
        <f t="shared" si="118"/>
        <v>33191.308415682688</v>
      </c>
      <c r="H1608" s="4">
        <v>42559</v>
      </c>
      <c r="I1608" s="1" t="s">
        <v>231</v>
      </c>
      <c r="J1608" s="1" t="s">
        <v>220</v>
      </c>
      <c r="K1608">
        <v>32.4</v>
      </c>
      <c r="L1608" t="s">
        <v>21</v>
      </c>
      <c r="M1608">
        <f t="shared" si="119"/>
        <v>3.2399999999999998E-2</v>
      </c>
      <c r="N1608">
        <f t="shared" si="116"/>
        <v>10.057089599999999</v>
      </c>
    </row>
    <row r="1609" spans="1:14" x14ac:dyDescent="0.3">
      <c r="A1609" t="s">
        <v>138</v>
      </c>
      <c r="B1609">
        <v>13</v>
      </c>
      <c r="C1609">
        <v>40</v>
      </c>
      <c r="D1609" t="s">
        <v>142</v>
      </c>
      <c r="E1609" s="1">
        <v>39000000</v>
      </c>
      <c r="F1609">
        <f t="shared" si="117"/>
        <v>10302714.897461569</v>
      </c>
      <c r="G1609">
        <f t="shared" si="118"/>
        <v>33191.308415682688</v>
      </c>
      <c r="H1609" s="4">
        <v>42559</v>
      </c>
      <c r="I1609" s="1" t="s">
        <v>231</v>
      </c>
      <c r="J1609" s="1" t="s">
        <v>220</v>
      </c>
      <c r="K1609">
        <v>464</v>
      </c>
      <c r="L1609" t="s">
        <v>21</v>
      </c>
      <c r="M1609">
        <f t="shared" si="119"/>
        <v>0.46400000000000002</v>
      </c>
      <c r="N1609">
        <f t="shared" si="116"/>
        <v>144.027456</v>
      </c>
    </row>
    <row r="1610" spans="1:14" x14ac:dyDescent="0.3">
      <c r="A1610" t="s">
        <v>139</v>
      </c>
      <c r="B1610">
        <v>13</v>
      </c>
      <c r="C1610">
        <v>40</v>
      </c>
      <c r="D1610" t="s">
        <v>142</v>
      </c>
      <c r="E1610" s="1">
        <v>39000000</v>
      </c>
      <c r="F1610">
        <f>E1610/3.78541</f>
        <v>10302714.897461569</v>
      </c>
      <c r="G1610">
        <f t="shared" si="118"/>
        <v>33191.308415682688</v>
      </c>
      <c r="H1610" s="4">
        <v>42559</v>
      </c>
      <c r="I1610" s="1" t="s">
        <v>231</v>
      </c>
      <c r="J1610" s="1" t="s">
        <v>220</v>
      </c>
      <c r="K1610">
        <v>1010</v>
      </c>
      <c r="L1610" t="s">
        <v>21</v>
      </c>
      <c r="M1610">
        <f t="shared" si="119"/>
        <v>1.01</v>
      </c>
      <c r="N1610">
        <f t="shared" si="116"/>
        <v>313.50803999999999</v>
      </c>
    </row>
    <row r="1611" spans="1:14" x14ac:dyDescent="0.3">
      <c r="A1611" s="6" t="s">
        <v>143</v>
      </c>
      <c r="B1611">
        <v>14</v>
      </c>
      <c r="C1611">
        <v>41</v>
      </c>
      <c r="D1611" t="s">
        <v>258</v>
      </c>
      <c r="E1611" s="1">
        <v>1135.6400000000001</v>
      </c>
      <c r="F1611">
        <f>E1611*1000</f>
        <v>1135640</v>
      </c>
      <c r="G1611">
        <f t="shared" si="118"/>
        <v>3658.5868738804911</v>
      </c>
      <c r="H1611" s="1" t="s">
        <v>144</v>
      </c>
      <c r="I1611" s="1" t="s">
        <v>238</v>
      </c>
      <c r="J1611" s="1" t="s">
        <v>220</v>
      </c>
      <c r="K1611" s="9">
        <v>1560</v>
      </c>
      <c r="L1611" t="s">
        <v>21</v>
      </c>
      <c r="M1611">
        <f t="shared" ref="M1611:M1612" si="120">IFERROR(K1611/1000,"ND")</f>
        <v>1.56</v>
      </c>
      <c r="N1611">
        <f t="shared" si="116"/>
        <v>484.23024000000004</v>
      </c>
    </row>
    <row r="1612" spans="1:14" x14ac:dyDescent="0.3">
      <c r="A1612" s="6" t="s">
        <v>48</v>
      </c>
      <c r="B1612">
        <v>14</v>
      </c>
      <c r="C1612">
        <v>41</v>
      </c>
      <c r="D1612" t="s">
        <v>258</v>
      </c>
      <c r="E1612" s="1">
        <v>1135.6400000000001</v>
      </c>
      <c r="F1612">
        <f>E1612*1000</f>
        <v>1135640</v>
      </c>
      <c r="G1612">
        <f t="shared" si="118"/>
        <v>3658.5868738804911</v>
      </c>
      <c r="H1612" s="1" t="s">
        <v>144</v>
      </c>
      <c r="I1612" s="1" t="s">
        <v>238</v>
      </c>
      <c r="J1612" s="1" t="s">
        <v>220</v>
      </c>
      <c r="K1612" s="9">
        <v>1230</v>
      </c>
      <c r="L1612" t="s">
        <v>21</v>
      </c>
      <c r="M1612">
        <f t="shared" si="120"/>
        <v>1.23</v>
      </c>
      <c r="N1612">
        <f t="shared" si="116"/>
        <v>381.79692</v>
      </c>
    </row>
    <row r="1613" spans="1:14" x14ac:dyDescent="0.3">
      <c r="A1613" s="6" t="s">
        <v>27</v>
      </c>
      <c r="B1613">
        <v>15</v>
      </c>
      <c r="C1613">
        <v>42</v>
      </c>
      <c r="D1613" s="1" t="s">
        <v>146</v>
      </c>
      <c r="E1613" s="1">
        <v>28000000</v>
      </c>
      <c r="F1613">
        <f>E1613/3.78541</f>
        <v>7396820.9520236906</v>
      </c>
      <c r="G1613">
        <f t="shared" si="118"/>
        <v>23829.657324079879</v>
      </c>
      <c r="H1613" s="1" t="s">
        <v>145</v>
      </c>
      <c r="I1613" s="1" t="s">
        <v>239</v>
      </c>
      <c r="J1613" s="1" t="s">
        <v>220</v>
      </c>
      <c r="K1613" s="9">
        <v>30.33</v>
      </c>
      <c r="L1613" t="s">
        <v>21</v>
      </c>
      <c r="M1613">
        <f t="shared" ref="M1613:M1640" si="121">IFERROR(K1613/1000,"ND")</f>
        <v>3.0329999999999999E-2</v>
      </c>
      <c r="N1613">
        <f t="shared" si="116"/>
        <v>9.4145533199999996</v>
      </c>
    </row>
    <row r="1614" spans="1:14" x14ac:dyDescent="0.3">
      <c r="A1614" s="6" t="s">
        <v>27</v>
      </c>
      <c r="B1614">
        <v>15</v>
      </c>
      <c r="C1614">
        <v>43</v>
      </c>
      <c r="D1614" s="1" t="s">
        <v>147</v>
      </c>
      <c r="E1614" s="1">
        <v>50000</v>
      </c>
      <c r="F1614">
        <f t="shared" ref="F1614:F1641" si="122">E1614/3.78541</f>
        <v>13208.608842899448</v>
      </c>
      <c r="G1614">
        <f t="shared" si="118"/>
        <v>42.5529595072855</v>
      </c>
      <c r="H1614" s="1" t="s">
        <v>145</v>
      </c>
      <c r="I1614" s="1" t="s">
        <v>239</v>
      </c>
      <c r="J1614" s="1" t="s">
        <v>220</v>
      </c>
      <c r="K1614" s="9">
        <v>26.44</v>
      </c>
      <c r="L1614" t="s">
        <v>21</v>
      </c>
      <c r="M1614">
        <f t="shared" si="121"/>
        <v>2.6440000000000002E-2</v>
      </c>
      <c r="N1614">
        <f t="shared" si="116"/>
        <v>8.2070817599999994</v>
      </c>
    </row>
    <row r="1615" spans="1:14" x14ac:dyDescent="0.3">
      <c r="A1615" s="6" t="s">
        <v>27</v>
      </c>
      <c r="B1615">
        <v>15</v>
      </c>
      <c r="C1615">
        <v>44</v>
      </c>
      <c r="D1615" s="1" t="s">
        <v>148</v>
      </c>
      <c r="E1615" s="1">
        <v>5000</v>
      </c>
      <c r="F1615">
        <f t="shared" si="122"/>
        <v>1320.8608842899448</v>
      </c>
      <c r="G1615">
        <f t="shared" si="118"/>
        <v>4.2552959507285504</v>
      </c>
      <c r="H1615" s="1" t="s">
        <v>145</v>
      </c>
      <c r="I1615" s="1" t="s">
        <v>239</v>
      </c>
      <c r="J1615" s="1" t="s">
        <v>220</v>
      </c>
      <c r="K1615" s="9">
        <v>64.239999999999995</v>
      </c>
      <c r="L1615" t="s">
        <v>21</v>
      </c>
      <c r="M1615">
        <f t="shared" si="121"/>
        <v>6.4239999999999992E-2</v>
      </c>
      <c r="N1615">
        <f t="shared" si="116"/>
        <v>19.940352959999995</v>
      </c>
    </row>
    <row r="1616" spans="1:14" x14ac:dyDescent="0.3">
      <c r="A1616" s="6" t="s">
        <v>27</v>
      </c>
      <c r="B1616">
        <v>15</v>
      </c>
      <c r="C1616">
        <v>45</v>
      </c>
      <c r="D1616" s="1" t="s">
        <v>149</v>
      </c>
      <c r="E1616" s="1">
        <v>15000</v>
      </c>
      <c r="F1616">
        <f t="shared" si="122"/>
        <v>3962.5826528698344</v>
      </c>
      <c r="G1616">
        <f t="shared" si="118"/>
        <v>12.765887852185649</v>
      </c>
      <c r="H1616" s="1" t="s">
        <v>145</v>
      </c>
      <c r="I1616" s="1" t="s">
        <v>239</v>
      </c>
      <c r="J1616" s="1" t="s">
        <v>220</v>
      </c>
      <c r="K1616" s="9">
        <v>11.58</v>
      </c>
      <c r="L1616" t="s">
        <v>21</v>
      </c>
      <c r="M1616">
        <f t="shared" si="121"/>
        <v>1.158E-2</v>
      </c>
      <c r="N1616">
        <f t="shared" si="116"/>
        <v>3.5944783200000003</v>
      </c>
    </row>
    <row r="1617" spans="1:14" x14ac:dyDescent="0.3">
      <c r="A1617" s="6" t="s">
        <v>27</v>
      </c>
      <c r="B1617">
        <v>15</v>
      </c>
      <c r="C1617">
        <v>42</v>
      </c>
      <c r="D1617" s="1" t="s">
        <v>146</v>
      </c>
      <c r="E1617" s="1">
        <v>28000000</v>
      </c>
      <c r="F1617">
        <f t="shared" si="122"/>
        <v>7396820.9520236906</v>
      </c>
      <c r="G1617">
        <f t="shared" si="118"/>
        <v>23829.657324079879</v>
      </c>
      <c r="H1617" s="1" t="s">
        <v>145</v>
      </c>
      <c r="I1617" s="1" t="s">
        <v>239</v>
      </c>
      <c r="J1617" s="1" t="s">
        <v>220</v>
      </c>
      <c r="K1617" s="9">
        <v>20.91</v>
      </c>
      <c r="L1617" t="s">
        <v>21</v>
      </c>
      <c r="M1617">
        <f t="shared" si="121"/>
        <v>2.0910000000000002E-2</v>
      </c>
      <c r="N1617">
        <f t="shared" si="116"/>
        <v>6.49054764</v>
      </c>
    </row>
    <row r="1618" spans="1:14" x14ac:dyDescent="0.3">
      <c r="A1618" s="6" t="s">
        <v>27</v>
      </c>
      <c r="B1618">
        <v>15</v>
      </c>
      <c r="C1618">
        <v>43</v>
      </c>
      <c r="D1618" s="1" t="s">
        <v>147</v>
      </c>
      <c r="E1618" s="1">
        <v>50000</v>
      </c>
      <c r="F1618">
        <f t="shared" si="122"/>
        <v>13208.608842899448</v>
      </c>
      <c r="G1618">
        <f t="shared" si="118"/>
        <v>42.5529595072855</v>
      </c>
      <c r="H1618" s="1" t="s">
        <v>145</v>
      </c>
      <c r="I1618" s="1" t="s">
        <v>239</v>
      </c>
      <c r="J1618" s="1" t="s">
        <v>220</v>
      </c>
      <c r="K1618" s="9">
        <v>32.35</v>
      </c>
      <c r="L1618" t="s">
        <v>21</v>
      </c>
      <c r="M1618">
        <f t="shared" si="121"/>
        <v>3.2350000000000004E-2</v>
      </c>
      <c r="N1618">
        <f t="shared" si="116"/>
        <v>10.0415694</v>
      </c>
    </row>
    <row r="1619" spans="1:14" x14ac:dyDescent="0.3">
      <c r="A1619" s="6" t="s">
        <v>27</v>
      </c>
      <c r="B1619">
        <v>15</v>
      </c>
      <c r="C1619">
        <v>44</v>
      </c>
      <c r="D1619" s="1" t="s">
        <v>148</v>
      </c>
      <c r="E1619" s="1">
        <v>5000</v>
      </c>
      <c r="F1619">
        <f t="shared" si="122"/>
        <v>1320.8608842899448</v>
      </c>
      <c r="G1619">
        <f t="shared" si="118"/>
        <v>4.2552959507285504</v>
      </c>
      <c r="H1619" s="1" t="s">
        <v>145</v>
      </c>
      <c r="I1619" s="1" t="s">
        <v>239</v>
      </c>
      <c r="J1619" s="1" t="s">
        <v>220</v>
      </c>
      <c r="K1619" s="9">
        <v>50.21</v>
      </c>
      <c r="L1619" t="s">
        <v>21</v>
      </c>
      <c r="M1619">
        <f t="shared" si="121"/>
        <v>5.0209999999999998E-2</v>
      </c>
      <c r="N1619">
        <f t="shared" si="116"/>
        <v>15.585384839999998</v>
      </c>
    </row>
    <row r="1620" spans="1:14" x14ac:dyDescent="0.3">
      <c r="A1620" s="6" t="s">
        <v>27</v>
      </c>
      <c r="B1620">
        <v>15</v>
      </c>
      <c r="C1620">
        <v>45</v>
      </c>
      <c r="D1620" s="1" t="s">
        <v>149</v>
      </c>
      <c r="E1620" s="1">
        <v>15000</v>
      </c>
      <c r="F1620">
        <f t="shared" si="122"/>
        <v>3962.5826528698344</v>
      </c>
      <c r="G1620">
        <f t="shared" si="118"/>
        <v>12.765887852185649</v>
      </c>
      <c r="H1620" s="1" t="s">
        <v>145</v>
      </c>
      <c r="I1620" s="1" t="s">
        <v>239</v>
      </c>
      <c r="J1620" s="1" t="s">
        <v>220</v>
      </c>
      <c r="K1620" s="9">
        <v>18.86</v>
      </c>
      <c r="L1620" t="s">
        <v>21</v>
      </c>
      <c r="M1620">
        <f t="shared" si="121"/>
        <v>1.8859999999999998E-2</v>
      </c>
      <c r="N1620">
        <f t="shared" si="116"/>
        <v>5.8542194399999996</v>
      </c>
    </row>
    <row r="1621" spans="1:14" x14ac:dyDescent="0.3">
      <c r="A1621" s="6" t="s">
        <v>27</v>
      </c>
      <c r="B1621">
        <v>15</v>
      </c>
      <c r="C1621">
        <v>42</v>
      </c>
      <c r="D1621" s="1" t="s">
        <v>146</v>
      </c>
      <c r="E1621" s="1">
        <v>28000000</v>
      </c>
      <c r="F1621">
        <f t="shared" si="122"/>
        <v>7396820.9520236906</v>
      </c>
      <c r="G1621">
        <f t="shared" si="118"/>
        <v>23829.657324079879</v>
      </c>
      <c r="H1621" s="1" t="s">
        <v>145</v>
      </c>
      <c r="I1621" s="1" t="s">
        <v>239</v>
      </c>
      <c r="J1621" s="1" t="s">
        <v>220</v>
      </c>
      <c r="K1621" s="9">
        <v>10.4</v>
      </c>
      <c r="L1621" t="s">
        <v>21</v>
      </c>
      <c r="M1621">
        <f t="shared" si="121"/>
        <v>1.04E-2</v>
      </c>
      <c r="N1621">
        <f t="shared" si="116"/>
        <v>3.2282015999999998</v>
      </c>
    </row>
    <row r="1622" spans="1:14" x14ac:dyDescent="0.3">
      <c r="A1622" s="6" t="s">
        <v>27</v>
      </c>
      <c r="B1622">
        <v>15</v>
      </c>
      <c r="C1622">
        <v>43</v>
      </c>
      <c r="D1622" s="1" t="s">
        <v>147</v>
      </c>
      <c r="E1622" s="1">
        <v>50000</v>
      </c>
      <c r="F1622">
        <f t="shared" si="122"/>
        <v>13208.608842899448</v>
      </c>
      <c r="G1622">
        <f t="shared" si="118"/>
        <v>42.5529595072855</v>
      </c>
      <c r="H1622" s="1" t="s">
        <v>145</v>
      </c>
      <c r="I1622" s="1" t="s">
        <v>239</v>
      </c>
      <c r="J1622" s="1" t="s">
        <v>220</v>
      </c>
      <c r="K1622" s="9">
        <v>8.5</v>
      </c>
      <c r="L1622" t="s">
        <v>21</v>
      </c>
      <c r="M1622">
        <f t="shared" si="121"/>
        <v>8.5000000000000006E-3</v>
      </c>
      <c r="N1622">
        <f t="shared" si="116"/>
        <v>2.6384340000000002</v>
      </c>
    </row>
    <row r="1623" spans="1:14" x14ac:dyDescent="0.3">
      <c r="A1623" s="6" t="s">
        <v>27</v>
      </c>
      <c r="B1623">
        <v>15</v>
      </c>
      <c r="C1623">
        <v>44</v>
      </c>
      <c r="D1623" s="1" t="s">
        <v>148</v>
      </c>
      <c r="E1623" s="1">
        <v>5000</v>
      </c>
      <c r="F1623">
        <f t="shared" si="122"/>
        <v>1320.8608842899448</v>
      </c>
      <c r="G1623">
        <f t="shared" si="118"/>
        <v>4.2552959507285504</v>
      </c>
      <c r="H1623" s="1" t="s">
        <v>145</v>
      </c>
      <c r="I1623" s="1" t="s">
        <v>239</v>
      </c>
      <c r="J1623" s="1" t="s">
        <v>220</v>
      </c>
      <c r="K1623" s="9">
        <v>15.94</v>
      </c>
      <c r="L1623" t="s">
        <v>21</v>
      </c>
      <c r="M1623">
        <f t="shared" si="121"/>
        <v>1.5939999999999999E-2</v>
      </c>
      <c r="N1623">
        <f t="shared" si="116"/>
        <v>4.947839759999999</v>
      </c>
    </row>
    <row r="1624" spans="1:14" x14ac:dyDescent="0.3">
      <c r="A1624" s="6" t="s">
        <v>27</v>
      </c>
      <c r="B1624">
        <v>15</v>
      </c>
      <c r="C1624">
        <v>45</v>
      </c>
      <c r="D1624" s="1" t="s">
        <v>149</v>
      </c>
      <c r="E1624" s="1">
        <v>15000</v>
      </c>
      <c r="F1624">
        <f t="shared" si="122"/>
        <v>3962.5826528698344</v>
      </c>
      <c r="G1624">
        <f t="shared" si="118"/>
        <v>12.765887852185649</v>
      </c>
      <c r="H1624" s="1" t="s">
        <v>145</v>
      </c>
      <c r="I1624" s="1" t="s">
        <v>239</v>
      </c>
      <c r="J1624" s="1" t="s">
        <v>220</v>
      </c>
      <c r="K1624" s="9">
        <v>19.3</v>
      </c>
      <c r="L1624" t="s">
        <v>21</v>
      </c>
      <c r="M1624">
        <f t="shared" si="121"/>
        <v>1.9300000000000001E-2</v>
      </c>
      <c r="N1624">
        <f t="shared" si="116"/>
        <v>5.9907972000000003</v>
      </c>
    </row>
    <row r="1625" spans="1:14" x14ac:dyDescent="0.3">
      <c r="A1625" s="6" t="s">
        <v>27</v>
      </c>
      <c r="B1625">
        <v>15</v>
      </c>
      <c r="C1625">
        <v>42</v>
      </c>
      <c r="D1625" s="1" t="s">
        <v>146</v>
      </c>
      <c r="E1625" s="1">
        <v>28000000</v>
      </c>
      <c r="F1625">
        <f t="shared" si="122"/>
        <v>7396820.9520236906</v>
      </c>
      <c r="G1625">
        <f t="shared" si="118"/>
        <v>23829.657324079879</v>
      </c>
      <c r="H1625" s="1" t="s">
        <v>145</v>
      </c>
      <c r="I1625" s="1" t="s">
        <v>239</v>
      </c>
      <c r="J1625" s="1" t="s">
        <v>220</v>
      </c>
      <c r="K1625" s="9">
        <v>30.1</v>
      </c>
      <c r="L1625" t="s">
        <v>21</v>
      </c>
      <c r="M1625">
        <f t="shared" si="121"/>
        <v>3.0100000000000002E-2</v>
      </c>
      <c r="N1625">
        <f t="shared" si="116"/>
        <v>9.3431604000000004</v>
      </c>
    </row>
    <row r="1626" spans="1:14" x14ac:dyDescent="0.3">
      <c r="A1626" s="6" t="s">
        <v>27</v>
      </c>
      <c r="B1626">
        <v>15</v>
      </c>
      <c r="C1626">
        <v>43</v>
      </c>
      <c r="D1626" s="1" t="s">
        <v>147</v>
      </c>
      <c r="E1626" s="1">
        <v>50000</v>
      </c>
      <c r="F1626">
        <f t="shared" si="122"/>
        <v>13208.608842899448</v>
      </c>
      <c r="G1626">
        <f t="shared" si="118"/>
        <v>42.5529595072855</v>
      </c>
      <c r="H1626" s="1" t="s">
        <v>145</v>
      </c>
      <c r="I1626" s="1" t="s">
        <v>239</v>
      </c>
      <c r="J1626" s="1" t="s">
        <v>220</v>
      </c>
      <c r="K1626" s="9">
        <v>5.42</v>
      </c>
      <c r="L1626" t="s">
        <v>21</v>
      </c>
      <c r="M1626">
        <f t="shared" si="121"/>
        <v>5.4200000000000003E-3</v>
      </c>
      <c r="N1626">
        <f t="shared" si="116"/>
        <v>1.68238968</v>
      </c>
    </row>
    <row r="1627" spans="1:14" x14ac:dyDescent="0.3">
      <c r="A1627" s="6" t="s">
        <v>27</v>
      </c>
      <c r="B1627">
        <v>15</v>
      </c>
      <c r="C1627">
        <v>44</v>
      </c>
      <c r="D1627" s="1" t="s">
        <v>148</v>
      </c>
      <c r="E1627" s="1">
        <v>5000</v>
      </c>
      <c r="F1627">
        <f t="shared" si="122"/>
        <v>1320.8608842899448</v>
      </c>
      <c r="G1627">
        <f t="shared" si="118"/>
        <v>4.2552959507285504</v>
      </c>
      <c r="H1627" s="1" t="s">
        <v>145</v>
      </c>
      <c r="I1627" s="1" t="s">
        <v>239</v>
      </c>
      <c r="J1627" s="1" t="s">
        <v>220</v>
      </c>
      <c r="K1627" s="9">
        <v>14.4</v>
      </c>
      <c r="L1627" t="s">
        <v>21</v>
      </c>
      <c r="M1627">
        <f t="shared" si="121"/>
        <v>1.44E-2</v>
      </c>
      <c r="N1627">
        <f t="shared" si="116"/>
        <v>4.4698175999999989</v>
      </c>
    </row>
    <row r="1628" spans="1:14" x14ac:dyDescent="0.3">
      <c r="A1628" s="6" t="s">
        <v>27</v>
      </c>
      <c r="B1628">
        <v>15</v>
      </c>
      <c r="C1628">
        <v>45</v>
      </c>
      <c r="D1628" s="1" t="s">
        <v>149</v>
      </c>
      <c r="E1628" s="1">
        <v>15000</v>
      </c>
      <c r="F1628">
        <f t="shared" si="122"/>
        <v>3962.5826528698344</v>
      </c>
      <c r="G1628">
        <f t="shared" si="118"/>
        <v>12.765887852185649</v>
      </c>
      <c r="H1628" s="1" t="s">
        <v>145</v>
      </c>
      <c r="I1628" s="1" t="s">
        <v>239</v>
      </c>
      <c r="J1628" s="1" t="s">
        <v>220</v>
      </c>
      <c r="K1628" s="9">
        <v>9.6999999999999993</v>
      </c>
      <c r="L1628" t="s">
        <v>21</v>
      </c>
      <c r="M1628">
        <f t="shared" si="121"/>
        <v>9.6999999999999986E-3</v>
      </c>
      <c r="N1628">
        <f t="shared" si="116"/>
        <v>3.0109187999999998</v>
      </c>
    </row>
    <row r="1629" spans="1:14" x14ac:dyDescent="0.3">
      <c r="A1629" s="6" t="s">
        <v>27</v>
      </c>
      <c r="B1629">
        <v>15</v>
      </c>
      <c r="C1629">
        <v>42</v>
      </c>
      <c r="D1629" s="1" t="s">
        <v>146</v>
      </c>
      <c r="E1629" s="1">
        <v>28000000</v>
      </c>
      <c r="F1629">
        <f t="shared" si="122"/>
        <v>7396820.9520236906</v>
      </c>
      <c r="G1629">
        <f t="shared" si="118"/>
        <v>23829.657324079879</v>
      </c>
      <c r="H1629" s="1" t="s">
        <v>145</v>
      </c>
      <c r="I1629" s="1" t="s">
        <v>239</v>
      </c>
      <c r="J1629" s="1" t="s">
        <v>220</v>
      </c>
      <c r="K1629" s="9">
        <v>229.3</v>
      </c>
      <c r="L1629" t="s">
        <v>21</v>
      </c>
      <c r="M1629">
        <f t="shared" si="121"/>
        <v>0.2293</v>
      </c>
      <c r="N1629">
        <f t="shared" si="116"/>
        <v>71.175637199999997</v>
      </c>
    </row>
    <row r="1630" spans="1:14" x14ac:dyDescent="0.3">
      <c r="A1630" s="6" t="s">
        <v>27</v>
      </c>
      <c r="B1630">
        <v>15</v>
      </c>
      <c r="C1630">
        <v>43</v>
      </c>
      <c r="D1630" s="1" t="s">
        <v>147</v>
      </c>
      <c r="E1630" s="1">
        <v>50000</v>
      </c>
      <c r="F1630">
        <f t="shared" si="122"/>
        <v>13208.608842899448</v>
      </c>
      <c r="G1630">
        <f t="shared" si="118"/>
        <v>42.5529595072855</v>
      </c>
      <c r="H1630" s="1" t="s">
        <v>145</v>
      </c>
      <c r="I1630" s="1" t="s">
        <v>239</v>
      </c>
      <c r="J1630" s="1" t="s">
        <v>220</v>
      </c>
      <c r="K1630" s="9">
        <v>154.6</v>
      </c>
      <c r="L1630" t="s">
        <v>21</v>
      </c>
      <c r="M1630">
        <f t="shared" si="121"/>
        <v>0.15459999999999999</v>
      </c>
      <c r="N1630">
        <f t="shared" si="116"/>
        <v>47.988458399999999</v>
      </c>
    </row>
    <row r="1631" spans="1:14" x14ac:dyDescent="0.3">
      <c r="A1631" s="6" t="s">
        <v>27</v>
      </c>
      <c r="B1631">
        <v>15</v>
      </c>
      <c r="C1631">
        <v>44</v>
      </c>
      <c r="D1631" s="1" t="s">
        <v>148</v>
      </c>
      <c r="E1631" s="1">
        <v>5000</v>
      </c>
      <c r="F1631">
        <f t="shared" si="122"/>
        <v>1320.8608842899448</v>
      </c>
      <c r="G1631">
        <f t="shared" si="118"/>
        <v>4.2552959507285504</v>
      </c>
      <c r="H1631" s="1" t="s">
        <v>145</v>
      </c>
      <c r="I1631" s="1" t="s">
        <v>239</v>
      </c>
      <c r="J1631" s="1" t="s">
        <v>220</v>
      </c>
      <c r="K1631" s="9">
        <v>336.3</v>
      </c>
      <c r="L1631" t="s">
        <v>21</v>
      </c>
      <c r="M1631">
        <f t="shared" si="121"/>
        <v>0.33629999999999999</v>
      </c>
      <c r="N1631">
        <f t="shared" ref="N1631:N1694" si="123">IFERROR((M1631*F1631)/G1631,"ND")</f>
        <v>104.38886519999998</v>
      </c>
    </row>
    <row r="1632" spans="1:14" x14ac:dyDescent="0.3">
      <c r="A1632" s="6" t="s">
        <v>27</v>
      </c>
      <c r="B1632">
        <v>15</v>
      </c>
      <c r="C1632">
        <v>45</v>
      </c>
      <c r="D1632" s="1" t="s">
        <v>149</v>
      </c>
      <c r="E1632" s="1">
        <v>15000</v>
      </c>
      <c r="F1632">
        <f t="shared" si="122"/>
        <v>3962.5826528698344</v>
      </c>
      <c r="G1632">
        <f t="shared" si="118"/>
        <v>12.765887852185649</v>
      </c>
      <c r="H1632" s="1" t="s">
        <v>145</v>
      </c>
      <c r="I1632" s="1" t="s">
        <v>239</v>
      </c>
      <c r="J1632" s="1" t="s">
        <v>220</v>
      </c>
      <c r="K1632" s="9">
        <v>27.6</v>
      </c>
      <c r="L1632" t="s">
        <v>21</v>
      </c>
      <c r="M1632">
        <f t="shared" si="121"/>
        <v>2.7600000000000003E-2</v>
      </c>
      <c r="N1632">
        <f t="shared" si="123"/>
        <v>8.5671504000000009</v>
      </c>
    </row>
    <row r="1633" spans="1:14" x14ac:dyDescent="0.3">
      <c r="A1633" s="6" t="s">
        <v>27</v>
      </c>
      <c r="B1633">
        <v>15</v>
      </c>
      <c r="C1633">
        <v>42</v>
      </c>
      <c r="D1633" s="1" t="s">
        <v>146</v>
      </c>
      <c r="E1633" s="1">
        <v>28000000</v>
      </c>
      <c r="F1633">
        <f t="shared" si="122"/>
        <v>7396820.9520236906</v>
      </c>
      <c r="G1633">
        <f t="shared" ref="G1633:G1640" si="124">F1633/310.404</f>
        <v>23829.657324079879</v>
      </c>
      <c r="H1633" s="1" t="s">
        <v>145</v>
      </c>
      <c r="I1633" s="1" t="s">
        <v>239</v>
      </c>
      <c r="J1633" s="1" t="s">
        <v>220</v>
      </c>
      <c r="K1633" s="9">
        <v>145.30000000000001</v>
      </c>
      <c r="L1633" t="s">
        <v>21</v>
      </c>
      <c r="M1633">
        <f t="shared" si="121"/>
        <v>0.14530000000000001</v>
      </c>
      <c r="N1633">
        <f t="shared" si="123"/>
        <v>45.101701200000001</v>
      </c>
    </row>
    <row r="1634" spans="1:14" x14ac:dyDescent="0.3">
      <c r="A1634" s="6" t="s">
        <v>27</v>
      </c>
      <c r="B1634">
        <v>15</v>
      </c>
      <c r="C1634">
        <v>43</v>
      </c>
      <c r="D1634" s="1" t="s">
        <v>147</v>
      </c>
      <c r="E1634" s="1">
        <v>50000</v>
      </c>
      <c r="F1634">
        <f t="shared" si="122"/>
        <v>13208.608842899448</v>
      </c>
      <c r="G1634">
        <f t="shared" si="124"/>
        <v>42.5529595072855</v>
      </c>
      <c r="H1634" s="1" t="s">
        <v>145</v>
      </c>
      <c r="I1634" s="1" t="s">
        <v>239</v>
      </c>
      <c r="J1634" s="1" t="s">
        <v>220</v>
      </c>
      <c r="K1634" s="9">
        <v>49.5</v>
      </c>
      <c r="L1634" t="s">
        <v>21</v>
      </c>
      <c r="M1634">
        <f t="shared" si="121"/>
        <v>4.9500000000000002E-2</v>
      </c>
      <c r="N1634">
        <f t="shared" si="123"/>
        <v>15.364998</v>
      </c>
    </row>
    <row r="1635" spans="1:14" x14ac:dyDescent="0.3">
      <c r="A1635" s="6" t="s">
        <v>27</v>
      </c>
      <c r="B1635">
        <v>15</v>
      </c>
      <c r="C1635">
        <v>44</v>
      </c>
      <c r="D1635" s="1" t="s">
        <v>148</v>
      </c>
      <c r="E1635" s="1">
        <v>5000</v>
      </c>
      <c r="F1635">
        <f t="shared" si="122"/>
        <v>1320.8608842899448</v>
      </c>
      <c r="G1635">
        <f t="shared" si="124"/>
        <v>4.2552959507285504</v>
      </c>
      <c r="H1635" s="1" t="s">
        <v>145</v>
      </c>
      <c r="I1635" s="1" t="s">
        <v>239</v>
      </c>
      <c r="J1635" s="1" t="s">
        <v>220</v>
      </c>
      <c r="K1635" s="9">
        <v>27.2</v>
      </c>
      <c r="L1635" t="s">
        <v>21</v>
      </c>
      <c r="M1635">
        <f t="shared" si="121"/>
        <v>2.7199999999999998E-2</v>
      </c>
      <c r="N1635">
        <f t="shared" si="123"/>
        <v>8.4429887999999984</v>
      </c>
    </row>
    <row r="1636" spans="1:14" x14ac:dyDescent="0.3">
      <c r="A1636" s="6" t="s">
        <v>27</v>
      </c>
      <c r="B1636">
        <v>15</v>
      </c>
      <c r="C1636">
        <v>45</v>
      </c>
      <c r="D1636" s="1" t="s">
        <v>149</v>
      </c>
      <c r="E1636" s="1">
        <v>15000</v>
      </c>
      <c r="F1636">
        <f t="shared" si="122"/>
        <v>3962.5826528698344</v>
      </c>
      <c r="G1636">
        <f t="shared" si="124"/>
        <v>12.765887852185649</v>
      </c>
      <c r="H1636" s="1" t="s">
        <v>145</v>
      </c>
      <c r="I1636" s="1" t="s">
        <v>239</v>
      </c>
      <c r="J1636" s="1" t="s">
        <v>220</v>
      </c>
      <c r="K1636" s="9">
        <v>62.4</v>
      </c>
      <c r="L1636" t="s">
        <v>21</v>
      </c>
      <c r="M1636">
        <f t="shared" si="121"/>
        <v>6.2399999999999997E-2</v>
      </c>
      <c r="N1636">
        <f t="shared" si="123"/>
        <v>19.369209599999998</v>
      </c>
    </row>
    <row r="1637" spans="1:14" x14ac:dyDescent="0.3">
      <c r="A1637" s="6" t="s">
        <v>27</v>
      </c>
      <c r="B1637">
        <v>15</v>
      </c>
      <c r="C1637">
        <v>42</v>
      </c>
      <c r="D1637" s="1" t="s">
        <v>146</v>
      </c>
      <c r="E1637" s="1">
        <v>28000000</v>
      </c>
      <c r="F1637">
        <f t="shared" si="122"/>
        <v>7396820.9520236906</v>
      </c>
      <c r="G1637">
        <f t="shared" si="124"/>
        <v>23829.657324079879</v>
      </c>
      <c r="H1637" s="1" t="s">
        <v>145</v>
      </c>
      <c r="I1637" s="1" t="s">
        <v>239</v>
      </c>
      <c r="J1637" s="1" t="s">
        <v>220</v>
      </c>
      <c r="K1637" s="9">
        <v>140.5</v>
      </c>
      <c r="L1637" t="s">
        <v>21</v>
      </c>
      <c r="M1637">
        <f t="shared" si="121"/>
        <v>0.14050000000000001</v>
      </c>
      <c r="N1637">
        <f t="shared" si="123"/>
        <v>43.611761999999999</v>
      </c>
    </row>
    <row r="1638" spans="1:14" x14ac:dyDescent="0.3">
      <c r="A1638" s="6" t="s">
        <v>27</v>
      </c>
      <c r="B1638">
        <v>15</v>
      </c>
      <c r="C1638">
        <v>43</v>
      </c>
      <c r="D1638" s="1" t="s">
        <v>147</v>
      </c>
      <c r="E1638" s="1">
        <v>50000</v>
      </c>
      <c r="F1638">
        <f t="shared" si="122"/>
        <v>13208.608842899448</v>
      </c>
      <c r="G1638">
        <f t="shared" si="124"/>
        <v>42.5529595072855</v>
      </c>
      <c r="H1638" s="1" t="s">
        <v>145</v>
      </c>
      <c r="I1638" s="1" t="s">
        <v>239</v>
      </c>
      <c r="J1638" s="1" t="s">
        <v>220</v>
      </c>
      <c r="K1638" s="9">
        <v>15.9</v>
      </c>
      <c r="L1638" t="s">
        <v>21</v>
      </c>
      <c r="M1638">
        <f t="shared" si="121"/>
        <v>1.5900000000000001E-2</v>
      </c>
      <c r="N1638">
        <f t="shared" si="123"/>
        <v>4.9354236</v>
      </c>
    </row>
    <row r="1639" spans="1:14" x14ac:dyDescent="0.3">
      <c r="A1639" s="6" t="s">
        <v>27</v>
      </c>
      <c r="B1639">
        <v>15</v>
      </c>
      <c r="C1639">
        <v>44</v>
      </c>
      <c r="D1639" s="1" t="s">
        <v>148</v>
      </c>
      <c r="E1639" s="1">
        <v>5000</v>
      </c>
      <c r="F1639">
        <f t="shared" si="122"/>
        <v>1320.8608842899448</v>
      </c>
      <c r="G1639">
        <f t="shared" si="124"/>
        <v>4.2552959507285504</v>
      </c>
      <c r="H1639" s="1" t="s">
        <v>145</v>
      </c>
      <c r="I1639" s="1" t="s">
        <v>239</v>
      </c>
      <c r="J1639" s="1" t="s">
        <v>220</v>
      </c>
      <c r="K1639" s="9">
        <v>112.8</v>
      </c>
      <c r="L1639" t="s">
        <v>21</v>
      </c>
      <c r="M1639">
        <f t="shared" si="121"/>
        <v>0.1128</v>
      </c>
      <c r="N1639">
        <f t="shared" si="123"/>
        <v>35.013571200000001</v>
      </c>
    </row>
    <row r="1640" spans="1:14" x14ac:dyDescent="0.3">
      <c r="A1640" s="6" t="s">
        <v>27</v>
      </c>
      <c r="B1640">
        <v>15</v>
      </c>
      <c r="C1640">
        <v>45</v>
      </c>
      <c r="D1640" s="1" t="s">
        <v>149</v>
      </c>
      <c r="E1640" s="1">
        <v>15000</v>
      </c>
      <c r="F1640">
        <f t="shared" si="122"/>
        <v>3962.5826528698344</v>
      </c>
      <c r="G1640">
        <f t="shared" si="124"/>
        <v>12.765887852185649</v>
      </c>
      <c r="H1640" s="1" t="s">
        <v>145</v>
      </c>
      <c r="I1640" s="1" t="s">
        <v>239</v>
      </c>
      <c r="J1640" s="1" t="s">
        <v>220</v>
      </c>
      <c r="K1640" s="9">
        <v>91</v>
      </c>
      <c r="L1640" t="s">
        <v>21</v>
      </c>
      <c r="M1640">
        <f t="shared" si="121"/>
        <v>9.0999999999999998E-2</v>
      </c>
      <c r="N1640">
        <f t="shared" si="123"/>
        <v>28.246763999999999</v>
      </c>
    </row>
    <row r="1641" spans="1:14" x14ac:dyDescent="0.3">
      <c r="A1641" s="6" t="s">
        <v>151</v>
      </c>
      <c r="B1641">
        <v>16</v>
      </c>
      <c r="C1641">
        <v>46</v>
      </c>
      <c r="D1641" s="1" t="s">
        <v>150</v>
      </c>
      <c r="E1641" s="1">
        <v>180000000</v>
      </c>
      <c r="F1641">
        <f t="shared" si="122"/>
        <v>47550991.834438011</v>
      </c>
      <c r="G1641">
        <v>1300000</v>
      </c>
      <c r="H1641" s="2">
        <v>39448</v>
      </c>
      <c r="I1641" s="1" t="s">
        <v>240</v>
      </c>
      <c r="J1641" s="2" t="s">
        <v>220</v>
      </c>
      <c r="K1641" s="9">
        <v>510</v>
      </c>
      <c r="L1641" t="s">
        <v>21</v>
      </c>
      <c r="M1641">
        <f t="shared" ref="M1641:M1642" si="125">IFERROR(K1641/1000,"ND")</f>
        <v>0.51</v>
      </c>
      <c r="N1641">
        <f t="shared" si="123"/>
        <v>18.654619873510299</v>
      </c>
    </row>
    <row r="1642" spans="1:14" x14ac:dyDescent="0.3">
      <c r="A1642" s="6" t="s">
        <v>152</v>
      </c>
      <c r="B1642">
        <v>16</v>
      </c>
      <c r="C1642">
        <v>46</v>
      </c>
      <c r="D1642" s="1" t="s">
        <v>150</v>
      </c>
      <c r="E1642" s="1">
        <v>180000000</v>
      </c>
      <c r="F1642">
        <f>E1642/3.78541</f>
        <v>47550991.834438011</v>
      </c>
      <c r="G1642">
        <v>1300000</v>
      </c>
      <c r="H1642" s="2">
        <v>39448</v>
      </c>
      <c r="I1642" s="1" t="s">
        <v>240</v>
      </c>
      <c r="J1642" s="2" t="s">
        <v>220</v>
      </c>
      <c r="K1642" s="9">
        <v>1410</v>
      </c>
      <c r="L1642" t="s">
        <v>21</v>
      </c>
      <c r="M1642">
        <f t="shared" si="125"/>
        <v>1.41</v>
      </c>
      <c r="N1642">
        <f t="shared" si="123"/>
        <v>51.574537297351995</v>
      </c>
    </row>
    <row r="1643" spans="1:14" x14ac:dyDescent="0.3">
      <c r="A1643" s="6" t="s">
        <v>53</v>
      </c>
      <c r="B1643">
        <v>17</v>
      </c>
      <c r="C1643">
        <v>47</v>
      </c>
      <c r="D1643" s="1" t="s">
        <v>153</v>
      </c>
      <c r="E1643" s="1">
        <v>8000000</v>
      </c>
      <c r="F1643" s="1">
        <f>E1643</f>
        <v>8000000</v>
      </c>
      <c r="G1643">
        <f>F1643/310.404</f>
        <v>25772.863751755776</v>
      </c>
      <c r="H1643">
        <v>2009</v>
      </c>
      <c r="I1643" s="1" t="s">
        <v>241</v>
      </c>
      <c r="J1643" s="1" t="s">
        <v>242</v>
      </c>
      <c r="K1643" s="9">
        <v>2256</v>
      </c>
      <c r="L1643" t="s">
        <v>21</v>
      </c>
      <c r="M1643">
        <f t="shared" ref="M1643:M1647" si="126">IFERROR(K1643/1000,"ND")</f>
        <v>2.2559999999999998</v>
      </c>
      <c r="N1643">
        <f t="shared" si="123"/>
        <v>700.27142400000002</v>
      </c>
    </row>
    <row r="1644" spans="1:14" x14ac:dyDescent="0.3">
      <c r="A1644" s="6" t="s">
        <v>56</v>
      </c>
      <c r="B1644">
        <v>17</v>
      </c>
      <c r="C1644">
        <v>47</v>
      </c>
      <c r="D1644" s="1" t="s">
        <v>153</v>
      </c>
      <c r="E1644" s="1">
        <v>8000000</v>
      </c>
      <c r="F1644" s="1">
        <f t="shared" ref="F1644:F1647" si="127">E1644</f>
        <v>8000000</v>
      </c>
      <c r="G1644">
        <f t="shared" ref="G1644:G1647" si="128">F1644/310.404</f>
        <v>25772.863751755776</v>
      </c>
      <c r="H1644">
        <v>2009</v>
      </c>
      <c r="I1644" s="1" t="s">
        <v>241</v>
      </c>
      <c r="J1644" s="1" t="s">
        <v>242</v>
      </c>
      <c r="K1644" s="9">
        <v>1518</v>
      </c>
      <c r="L1644" t="s">
        <v>21</v>
      </c>
      <c r="M1644">
        <f t="shared" si="126"/>
        <v>1.518</v>
      </c>
      <c r="N1644">
        <f t="shared" si="123"/>
        <v>471.19327199999998</v>
      </c>
    </row>
    <row r="1645" spans="1:14" x14ac:dyDescent="0.3">
      <c r="A1645" s="6" t="s">
        <v>57</v>
      </c>
      <c r="B1645">
        <v>17</v>
      </c>
      <c r="C1645">
        <v>47</v>
      </c>
      <c r="D1645" s="1" t="s">
        <v>153</v>
      </c>
      <c r="E1645" s="1">
        <v>8000000</v>
      </c>
      <c r="F1645" s="1">
        <f t="shared" si="127"/>
        <v>8000000</v>
      </c>
      <c r="G1645">
        <f t="shared" si="128"/>
        <v>25772.863751755776</v>
      </c>
      <c r="H1645">
        <v>2009</v>
      </c>
      <c r="I1645" s="1" t="s">
        <v>241</v>
      </c>
      <c r="J1645" s="1" t="s">
        <v>242</v>
      </c>
      <c r="K1645" s="9">
        <v>95</v>
      </c>
      <c r="L1645" t="s">
        <v>21</v>
      </c>
      <c r="M1645">
        <f t="shared" si="126"/>
        <v>9.5000000000000001E-2</v>
      </c>
      <c r="N1645">
        <f t="shared" si="123"/>
        <v>29.488379999999999</v>
      </c>
    </row>
    <row r="1646" spans="1:14" x14ac:dyDescent="0.3">
      <c r="A1646" s="6" t="s">
        <v>154</v>
      </c>
      <c r="B1646">
        <v>17</v>
      </c>
      <c r="C1646">
        <v>47</v>
      </c>
      <c r="D1646" s="1" t="s">
        <v>153</v>
      </c>
      <c r="E1646" s="1">
        <v>8000000</v>
      </c>
      <c r="F1646" s="1">
        <f t="shared" si="127"/>
        <v>8000000</v>
      </c>
      <c r="G1646">
        <f t="shared" si="128"/>
        <v>25772.863751755776</v>
      </c>
      <c r="H1646">
        <v>2009</v>
      </c>
      <c r="I1646" s="1" t="s">
        <v>241</v>
      </c>
      <c r="J1646" s="1" t="s">
        <v>242</v>
      </c>
      <c r="K1646" s="9">
        <v>603</v>
      </c>
      <c r="L1646" t="s">
        <v>21</v>
      </c>
      <c r="M1646">
        <f t="shared" si="126"/>
        <v>0.60299999999999998</v>
      </c>
      <c r="N1646">
        <f t="shared" si="123"/>
        <v>187.17361199999999</v>
      </c>
    </row>
    <row r="1647" spans="1:14" x14ac:dyDescent="0.3">
      <c r="A1647" s="6" t="s">
        <v>131</v>
      </c>
      <c r="B1647">
        <v>17</v>
      </c>
      <c r="C1647">
        <v>47</v>
      </c>
      <c r="D1647" s="1" t="s">
        <v>153</v>
      </c>
      <c r="E1647" s="1">
        <v>8000000</v>
      </c>
      <c r="F1647" s="1">
        <f t="shared" si="127"/>
        <v>8000000</v>
      </c>
      <c r="G1647">
        <f t="shared" si="128"/>
        <v>25772.863751755776</v>
      </c>
      <c r="H1647">
        <v>2009</v>
      </c>
      <c r="I1647" s="1" t="s">
        <v>241</v>
      </c>
      <c r="J1647" s="1" t="s">
        <v>242</v>
      </c>
      <c r="K1647" s="9">
        <v>57</v>
      </c>
      <c r="L1647" t="s">
        <v>21</v>
      </c>
      <c r="M1647">
        <f t="shared" si="126"/>
        <v>5.7000000000000002E-2</v>
      </c>
      <c r="N1647">
        <f t="shared" si="123"/>
        <v>17.693028000000002</v>
      </c>
    </row>
    <row r="1648" spans="1:14" x14ac:dyDescent="0.3">
      <c r="A1648" s="6" t="s">
        <v>70</v>
      </c>
      <c r="B1648">
        <v>18</v>
      </c>
      <c r="C1648">
        <v>48</v>
      </c>
      <c r="D1648" s="1" t="s">
        <v>155</v>
      </c>
      <c r="E1648" s="1">
        <v>30500000</v>
      </c>
      <c r="F1648">
        <f>E1648/3.78541</f>
        <v>8057251.3941686628</v>
      </c>
      <c r="G1648">
        <v>330000</v>
      </c>
      <c r="H1648" s="1" t="s">
        <v>156</v>
      </c>
      <c r="I1648" s="1" t="s">
        <v>243</v>
      </c>
      <c r="J1648" s="1" t="s">
        <v>216</v>
      </c>
      <c r="K1648" s="9">
        <v>36.9</v>
      </c>
      <c r="L1648" t="s">
        <v>21</v>
      </c>
      <c r="M1648">
        <f t="shared" ref="M1648:M1657" si="129">IFERROR(K1648/1000,"ND")</f>
        <v>3.6899999999999995E-2</v>
      </c>
      <c r="N1648">
        <f t="shared" si="123"/>
        <v>0.90094720134795048</v>
      </c>
    </row>
    <row r="1649" spans="1:14" x14ac:dyDescent="0.3">
      <c r="A1649" s="8" t="s">
        <v>23</v>
      </c>
      <c r="B1649">
        <v>18</v>
      </c>
      <c r="C1649">
        <v>48</v>
      </c>
      <c r="D1649" s="1" t="s">
        <v>155</v>
      </c>
      <c r="E1649" s="1">
        <v>30500000</v>
      </c>
      <c r="F1649">
        <f t="shared" ref="F1649:F1712" si="130">E1649/3.78541</f>
        <v>8057251.3941686628</v>
      </c>
      <c r="G1649">
        <v>330000</v>
      </c>
      <c r="H1649" s="1" t="s">
        <v>156</v>
      </c>
      <c r="I1649" s="1" t="s">
        <v>243</v>
      </c>
      <c r="J1649" s="1" t="s">
        <v>216</v>
      </c>
      <c r="K1649" s="9">
        <f>1000*75.2</f>
        <v>75200</v>
      </c>
      <c r="L1649" t="s">
        <v>21</v>
      </c>
      <c r="M1649">
        <f t="shared" si="129"/>
        <v>75.2</v>
      </c>
      <c r="N1649">
        <f t="shared" si="123"/>
        <v>1836.0766813378286</v>
      </c>
    </row>
    <row r="1650" spans="1:14" x14ac:dyDescent="0.3">
      <c r="A1650" s="6" t="s">
        <v>53</v>
      </c>
      <c r="B1650">
        <v>18</v>
      </c>
      <c r="C1650">
        <v>48</v>
      </c>
      <c r="D1650" s="1" t="s">
        <v>155</v>
      </c>
      <c r="E1650" s="1">
        <v>30500000</v>
      </c>
      <c r="F1650">
        <f t="shared" si="130"/>
        <v>8057251.3941686628</v>
      </c>
      <c r="G1650">
        <v>330000</v>
      </c>
      <c r="H1650" s="1" t="s">
        <v>156</v>
      </c>
      <c r="I1650" s="1" t="s">
        <v>243</v>
      </c>
      <c r="J1650" s="1" t="s">
        <v>216</v>
      </c>
      <c r="K1650" s="9">
        <f>1000*0.73</f>
        <v>730</v>
      </c>
      <c r="L1650" t="s">
        <v>21</v>
      </c>
      <c r="M1650">
        <f t="shared" si="129"/>
        <v>0.73</v>
      </c>
      <c r="N1650">
        <f t="shared" si="123"/>
        <v>17.823616720433709</v>
      </c>
    </row>
    <row r="1651" spans="1:14" x14ac:dyDescent="0.3">
      <c r="A1651" s="6" t="s">
        <v>27</v>
      </c>
      <c r="B1651">
        <v>18</v>
      </c>
      <c r="C1651">
        <v>48</v>
      </c>
      <c r="D1651" s="1" t="s">
        <v>155</v>
      </c>
      <c r="E1651" s="1">
        <v>30500000</v>
      </c>
      <c r="F1651">
        <f t="shared" si="130"/>
        <v>8057251.3941686628</v>
      </c>
      <c r="G1651">
        <v>330000</v>
      </c>
      <c r="H1651" s="1" t="s">
        <v>156</v>
      </c>
      <c r="I1651" s="1" t="s">
        <v>243</v>
      </c>
      <c r="J1651" s="1" t="s">
        <v>216</v>
      </c>
      <c r="K1651" s="9">
        <f>1000*0.14</f>
        <v>140</v>
      </c>
      <c r="L1651" t="s">
        <v>21</v>
      </c>
      <c r="M1651">
        <f t="shared" si="129"/>
        <v>0.14000000000000001</v>
      </c>
      <c r="N1651">
        <f t="shared" si="123"/>
        <v>3.4182278641927661</v>
      </c>
    </row>
    <row r="1652" spans="1:14" x14ac:dyDescent="0.3">
      <c r="A1652" s="6" t="s">
        <v>46</v>
      </c>
      <c r="B1652">
        <v>18</v>
      </c>
      <c r="C1652">
        <v>48</v>
      </c>
      <c r="D1652" s="1" t="s">
        <v>155</v>
      </c>
      <c r="E1652" s="1">
        <v>30500000</v>
      </c>
      <c r="F1652">
        <f t="shared" si="130"/>
        <v>8057251.3941686628</v>
      </c>
      <c r="G1652">
        <v>330000</v>
      </c>
      <c r="H1652" s="1" t="s">
        <v>156</v>
      </c>
      <c r="I1652" s="1" t="s">
        <v>243</v>
      </c>
      <c r="J1652" s="1" t="s">
        <v>216</v>
      </c>
      <c r="K1652" s="9">
        <f>1000*0.22</f>
        <v>220</v>
      </c>
      <c r="L1652" t="s">
        <v>21</v>
      </c>
      <c r="M1652">
        <f t="shared" si="129"/>
        <v>0.22</v>
      </c>
      <c r="N1652">
        <f t="shared" si="123"/>
        <v>5.3715009294457756</v>
      </c>
    </row>
    <row r="1653" spans="1:14" x14ac:dyDescent="0.3">
      <c r="A1653" s="6" t="s">
        <v>44</v>
      </c>
      <c r="B1653">
        <v>18</v>
      </c>
      <c r="C1653">
        <v>48</v>
      </c>
      <c r="D1653" s="1" t="s">
        <v>155</v>
      </c>
      <c r="E1653" s="1">
        <v>30500000</v>
      </c>
      <c r="F1653">
        <f t="shared" si="130"/>
        <v>8057251.3941686628</v>
      </c>
      <c r="G1653">
        <v>330000</v>
      </c>
      <c r="H1653" s="1" t="s">
        <v>156</v>
      </c>
      <c r="I1653" s="1" t="s">
        <v>243</v>
      </c>
      <c r="J1653" s="1" t="s">
        <v>216</v>
      </c>
      <c r="K1653" s="9">
        <f>1000*1.35</f>
        <v>1350</v>
      </c>
      <c r="L1653" t="s">
        <v>21</v>
      </c>
      <c r="M1653">
        <f t="shared" si="129"/>
        <v>1.35</v>
      </c>
      <c r="N1653">
        <f t="shared" si="123"/>
        <v>32.961482976144531</v>
      </c>
    </row>
    <row r="1654" spans="1:14" x14ac:dyDescent="0.3">
      <c r="A1654" s="6" t="s">
        <v>56</v>
      </c>
      <c r="B1654">
        <v>18</v>
      </c>
      <c r="C1654">
        <v>48</v>
      </c>
      <c r="D1654" s="1" t="s">
        <v>155</v>
      </c>
      <c r="E1654" s="1">
        <v>30500000</v>
      </c>
      <c r="F1654">
        <f t="shared" si="130"/>
        <v>8057251.3941686628</v>
      </c>
      <c r="G1654">
        <v>330000</v>
      </c>
      <c r="H1654" s="1" t="s">
        <v>156</v>
      </c>
      <c r="I1654" s="1" t="s">
        <v>243</v>
      </c>
      <c r="J1654" s="1" t="s">
        <v>216</v>
      </c>
      <c r="K1654" s="9">
        <f>1000*1.38</f>
        <v>1380</v>
      </c>
      <c r="L1654" t="s">
        <v>21</v>
      </c>
      <c r="M1654">
        <f t="shared" si="129"/>
        <v>1.38</v>
      </c>
      <c r="N1654">
        <f t="shared" si="123"/>
        <v>33.693960375614409</v>
      </c>
    </row>
    <row r="1655" spans="1:14" x14ac:dyDescent="0.3">
      <c r="A1655" s="6" t="s">
        <v>40</v>
      </c>
      <c r="B1655">
        <v>18</v>
      </c>
      <c r="C1655">
        <v>48</v>
      </c>
      <c r="D1655" s="1" t="s">
        <v>155</v>
      </c>
      <c r="E1655" s="1">
        <v>30500000</v>
      </c>
      <c r="F1655">
        <f t="shared" si="130"/>
        <v>8057251.3941686628</v>
      </c>
      <c r="G1655">
        <v>330000</v>
      </c>
      <c r="H1655" s="1" t="s">
        <v>156</v>
      </c>
      <c r="I1655" s="1" t="s">
        <v>243</v>
      </c>
      <c r="J1655" s="1" t="s">
        <v>216</v>
      </c>
      <c r="K1655" s="9">
        <f>1000*0.77</f>
        <v>770</v>
      </c>
      <c r="L1655" t="s">
        <v>21</v>
      </c>
      <c r="M1655">
        <f t="shared" si="129"/>
        <v>0.77</v>
      </c>
      <c r="N1655">
        <f t="shared" si="123"/>
        <v>18.800253253060212</v>
      </c>
    </row>
    <row r="1656" spans="1:14" x14ac:dyDescent="0.3">
      <c r="A1656" s="6" t="s">
        <v>41</v>
      </c>
      <c r="B1656">
        <v>18</v>
      </c>
      <c r="C1656">
        <v>48</v>
      </c>
      <c r="D1656" s="1" t="s">
        <v>155</v>
      </c>
      <c r="E1656" s="1">
        <v>30500000</v>
      </c>
      <c r="F1656">
        <f t="shared" si="130"/>
        <v>8057251.3941686628</v>
      </c>
      <c r="G1656">
        <v>330000</v>
      </c>
      <c r="H1656" s="1" t="s">
        <v>156</v>
      </c>
      <c r="I1656" s="1" t="s">
        <v>243</v>
      </c>
      <c r="J1656" s="1" t="s">
        <v>216</v>
      </c>
      <c r="K1656" s="9">
        <f>1000*0.26</f>
        <v>260</v>
      </c>
      <c r="L1656" t="s">
        <v>21</v>
      </c>
      <c r="M1656">
        <f t="shared" si="129"/>
        <v>0.26</v>
      </c>
      <c r="N1656">
        <f t="shared" si="123"/>
        <v>6.3481374620722795</v>
      </c>
    </row>
    <row r="1657" spans="1:14" x14ac:dyDescent="0.3">
      <c r="A1657" s="6" t="s">
        <v>42</v>
      </c>
      <c r="B1657">
        <v>18</v>
      </c>
      <c r="C1657">
        <v>48</v>
      </c>
      <c r="D1657" s="1" t="s">
        <v>155</v>
      </c>
      <c r="E1657" s="1">
        <v>30500000</v>
      </c>
      <c r="F1657">
        <f t="shared" si="130"/>
        <v>8057251.3941686628</v>
      </c>
      <c r="G1657">
        <v>330000</v>
      </c>
      <c r="H1657" s="1" t="s">
        <v>156</v>
      </c>
      <c r="I1657" s="1" t="s">
        <v>243</v>
      </c>
      <c r="J1657" s="1" t="s">
        <v>216</v>
      </c>
      <c r="K1657" s="9">
        <f>1000*0.5</f>
        <v>500</v>
      </c>
      <c r="L1657" t="s">
        <v>21</v>
      </c>
      <c r="M1657">
        <f t="shared" si="129"/>
        <v>0.5</v>
      </c>
      <c r="N1657">
        <f t="shared" si="123"/>
        <v>12.207956657831307</v>
      </c>
    </row>
    <row r="1658" spans="1:14" x14ac:dyDescent="0.3">
      <c r="A1658" s="6" t="s">
        <v>23</v>
      </c>
      <c r="B1658">
        <v>19</v>
      </c>
      <c r="C1658">
        <v>49</v>
      </c>
      <c r="D1658" s="1" t="s">
        <v>157</v>
      </c>
      <c r="E1658" s="1">
        <v>30700000</v>
      </c>
      <c r="F1658">
        <f t="shared" si="130"/>
        <v>8110085.8295402611</v>
      </c>
      <c r="G1658">
        <v>284229</v>
      </c>
      <c r="H1658" s="4" t="s">
        <v>158</v>
      </c>
      <c r="I1658" s="1" t="s">
        <v>244</v>
      </c>
      <c r="J1658" s="1" t="s">
        <v>220</v>
      </c>
      <c r="K1658" s="9">
        <v>204615</v>
      </c>
      <c r="L1658" t="s">
        <v>21</v>
      </c>
      <c r="M1658">
        <f t="shared" ref="M1658:M1673" si="131">IFERROR(K1658/1000,"ND")</f>
        <v>204.61500000000001</v>
      </c>
      <c r="N1658">
        <f t="shared" si="123"/>
        <v>5838.4092123301307</v>
      </c>
    </row>
    <row r="1659" spans="1:14" x14ac:dyDescent="0.3">
      <c r="A1659" s="6" t="s">
        <v>17</v>
      </c>
      <c r="B1659">
        <v>19</v>
      </c>
      <c r="C1659">
        <v>49</v>
      </c>
      <c r="D1659" s="1" t="s">
        <v>157</v>
      </c>
      <c r="E1659" s="1">
        <v>30700000</v>
      </c>
      <c r="F1659">
        <f t="shared" si="130"/>
        <v>8110085.8295402611</v>
      </c>
      <c r="G1659">
        <v>284229</v>
      </c>
      <c r="H1659" s="4" t="s">
        <v>158</v>
      </c>
      <c r="I1659" s="1" t="s">
        <v>244</v>
      </c>
      <c r="J1659" s="1" t="s">
        <v>220</v>
      </c>
      <c r="K1659" s="9">
        <v>704</v>
      </c>
      <c r="L1659" t="s">
        <v>21</v>
      </c>
      <c r="M1659">
        <f t="shared" si="131"/>
        <v>0.70399999999999996</v>
      </c>
      <c r="N1659">
        <f t="shared" si="123"/>
        <v>20.087677274297636</v>
      </c>
    </row>
    <row r="1660" spans="1:14" x14ac:dyDescent="0.3">
      <c r="A1660" s="1" t="s">
        <v>53</v>
      </c>
      <c r="B1660">
        <v>19</v>
      </c>
      <c r="C1660">
        <v>49</v>
      </c>
      <c r="D1660" s="1" t="s">
        <v>157</v>
      </c>
      <c r="E1660" s="1">
        <v>30700000</v>
      </c>
      <c r="F1660">
        <f t="shared" si="130"/>
        <v>8110085.8295402611</v>
      </c>
      <c r="G1660">
        <v>284229</v>
      </c>
      <c r="H1660" s="4" t="s">
        <v>158</v>
      </c>
      <c r="I1660" s="1" t="s">
        <v>244</v>
      </c>
      <c r="J1660" s="1" t="s">
        <v>220</v>
      </c>
      <c r="K1660" s="9">
        <v>1454</v>
      </c>
      <c r="L1660" t="s">
        <v>21</v>
      </c>
      <c r="M1660">
        <f t="shared" si="131"/>
        <v>1.454</v>
      </c>
      <c r="N1660">
        <f t="shared" si="123"/>
        <v>41.487901643222678</v>
      </c>
    </row>
    <row r="1661" spans="1:14" x14ac:dyDescent="0.3">
      <c r="A1661" s="1" t="s">
        <v>27</v>
      </c>
      <c r="B1661">
        <v>19</v>
      </c>
      <c r="C1661">
        <v>49</v>
      </c>
      <c r="D1661" s="1" t="s">
        <v>157</v>
      </c>
      <c r="E1661" s="1">
        <v>30700000</v>
      </c>
      <c r="F1661">
        <f t="shared" si="130"/>
        <v>8110085.8295402611</v>
      </c>
      <c r="G1661">
        <v>284229</v>
      </c>
      <c r="H1661" s="4" t="s">
        <v>158</v>
      </c>
      <c r="I1661" s="1" t="s">
        <v>244</v>
      </c>
      <c r="J1661" s="1" t="s">
        <v>220</v>
      </c>
      <c r="K1661" s="9">
        <v>122</v>
      </c>
      <c r="L1661" t="s">
        <v>21</v>
      </c>
      <c r="M1661">
        <f t="shared" si="131"/>
        <v>0.122</v>
      </c>
      <c r="N1661">
        <f t="shared" si="123"/>
        <v>3.4811031640118069</v>
      </c>
    </row>
    <row r="1662" spans="1:14" x14ac:dyDescent="0.3">
      <c r="A1662" s="1" t="s">
        <v>4</v>
      </c>
      <c r="B1662">
        <v>19</v>
      </c>
      <c r="C1662">
        <v>49</v>
      </c>
      <c r="D1662" s="1" t="s">
        <v>157</v>
      </c>
      <c r="E1662" s="1">
        <v>30700000</v>
      </c>
      <c r="F1662">
        <f t="shared" si="130"/>
        <v>8110085.8295402611</v>
      </c>
      <c r="G1662">
        <v>284229</v>
      </c>
      <c r="H1662" s="4" t="s">
        <v>158</v>
      </c>
      <c r="I1662" s="1" t="s">
        <v>244</v>
      </c>
      <c r="J1662" s="1" t="s">
        <v>220</v>
      </c>
      <c r="K1662" s="9">
        <v>173</v>
      </c>
      <c r="L1662" t="s">
        <v>21</v>
      </c>
      <c r="M1662">
        <f t="shared" si="131"/>
        <v>0.17299999999999999</v>
      </c>
      <c r="N1662">
        <f t="shared" si="123"/>
        <v>4.9363184210987097</v>
      </c>
    </row>
    <row r="1663" spans="1:14" x14ac:dyDescent="0.3">
      <c r="A1663" s="1" t="s">
        <v>19</v>
      </c>
      <c r="B1663">
        <v>19</v>
      </c>
      <c r="C1663">
        <v>49</v>
      </c>
      <c r="D1663" s="1" t="s">
        <v>157</v>
      </c>
      <c r="E1663" s="1">
        <v>30700000</v>
      </c>
      <c r="F1663">
        <f t="shared" si="130"/>
        <v>8110085.8295402611</v>
      </c>
      <c r="G1663">
        <v>284229</v>
      </c>
      <c r="H1663" s="4" t="s">
        <v>158</v>
      </c>
      <c r="I1663" s="1" t="s">
        <v>244</v>
      </c>
      <c r="J1663" s="1" t="s">
        <v>220</v>
      </c>
      <c r="K1663" s="9">
        <v>54</v>
      </c>
      <c r="L1663" t="s">
        <v>21</v>
      </c>
      <c r="M1663">
        <f t="shared" si="131"/>
        <v>5.3999999999999999E-2</v>
      </c>
      <c r="N1663">
        <f t="shared" si="123"/>
        <v>1.5408161545626031</v>
      </c>
    </row>
    <row r="1664" spans="1:14" x14ac:dyDescent="0.3">
      <c r="A1664" s="1" t="s">
        <v>159</v>
      </c>
      <c r="B1664">
        <v>19</v>
      </c>
      <c r="C1664">
        <v>49</v>
      </c>
      <c r="D1664" s="1" t="s">
        <v>157</v>
      </c>
      <c r="E1664" s="1">
        <v>30700000</v>
      </c>
      <c r="F1664">
        <f t="shared" si="130"/>
        <v>8110085.8295402611</v>
      </c>
      <c r="G1664">
        <v>284229</v>
      </c>
      <c r="H1664" s="4" t="s">
        <v>158</v>
      </c>
      <c r="I1664" s="1" t="s">
        <v>244</v>
      </c>
      <c r="J1664" s="1" t="s">
        <v>220</v>
      </c>
      <c r="K1664" s="9">
        <v>1225</v>
      </c>
      <c r="L1664" t="s">
        <v>21</v>
      </c>
      <c r="M1664">
        <f t="shared" si="131"/>
        <v>1.2250000000000001</v>
      </c>
      <c r="N1664">
        <f t="shared" si="123"/>
        <v>34.953699802577567</v>
      </c>
    </row>
    <row r="1665" spans="1:14" x14ac:dyDescent="0.3">
      <c r="A1665" s="1" t="s">
        <v>6</v>
      </c>
      <c r="B1665">
        <v>19</v>
      </c>
      <c r="C1665">
        <v>49</v>
      </c>
      <c r="D1665" s="1" t="s">
        <v>157</v>
      </c>
      <c r="E1665" s="1">
        <v>30700000</v>
      </c>
      <c r="F1665">
        <f t="shared" si="130"/>
        <v>8110085.8295402611</v>
      </c>
      <c r="G1665">
        <v>284229</v>
      </c>
      <c r="H1665" s="4" t="s">
        <v>158</v>
      </c>
      <c r="I1665" s="1" t="s">
        <v>244</v>
      </c>
      <c r="J1665" s="1" t="s">
        <v>220</v>
      </c>
      <c r="K1665" s="9">
        <v>149</v>
      </c>
      <c r="L1665" t="s">
        <v>21</v>
      </c>
      <c r="M1665">
        <f t="shared" si="131"/>
        <v>0.14899999999999999</v>
      </c>
      <c r="N1665">
        <f t="shared" si="123"/>
        <v>4.251511241293108</v>
      </c>
    </row>
    <row r="1666" spans="1:14" x14ac:dyDescent="0.3">
      <c r="A1666" s="1" t="s">
        <v>160</v>
      </c>
      <c r="B1666">
        <v>19</v>
      </c>
      <c r="C1666">
        <v>49</v>
      </c>
      <c r="D1666" s="1" t="s">
        <v>157</v>
      </c>
      <c r="E1666" s="1">
        <v>30700000</v>
      </c>
      <c r="F1666">
        <f t="shared" si="130"/>
        <v>8110085.8295402611</v>
      </c>
      <c r="G1666">
        <v>284229</v>
      </c>
      <c r="H1666" s="4" t="s">
        <v>158</v>
      </c>
      <c r="I1666" s="1" t="s">
        <v>244</v>
      </c>
      <c r="J1666" s="1" t="s">
        <v>220</v>
      </c>
      <c r="K1666" s="9">
        <v>30885</v>
      </c>
      <c r="L1666" t="s">
        <v>21</v>
      </c>
      <c r="M1666">
        <f t="shared" si="131"/>
        <v>30.885000000000002</v>
      </c>
      <c r="N1666">
        <f t="shared" si="123"/>
        <v>881.2612395123333</v>
      </c>
    </row>
    <row r="1667" spans="1:14" x14ac:dyDescent="0.3">
      <c r="A1667" s="1" t="s">
        <v>5</v>
      </c>
      <c r="B1667">
        <v>19</v>
      </c>
      <c r="C1667">
        <v>49</v>
      </c>
      <c r="D1667" s="1" t="s">
        <v>157</v>
      </c>
      <c r="E1667" s="1">
        <v>30700000</v>
      </c>
      <c r="F1667">
        <f t="shared" si="130"/>
        <v>8110085.8295402611</v>
      </c>
      <c r="G1667">
        <v>284229</v>
      </c>
      <c r="H1667" s="4" t="s">
        <v>158</v>
      </c>
      <c r="I1667" s="1" t="s">
        <v>244</v>
      </c>
      <c r="J1667" s="1" t="s">
        <v>220</v>
      </c>
      <c r="K1667" s="9">
        <v>825</v>
      </c>
      <c r="L1667" t="s">
        <v>21</v>
      </c>
      <c r="M1667">
        <f t="shared" si="131"/>
        <v>0.82499999999999996</v>
      </c>
      <c r="N1667">
        <f t="shared" si="123"/>
        <v>23.540246805817546</v>
      </c>
    </row>
    <row r="1668" spans="1:14" x14ac:dyDescent="0.3">
      <c r="A1668" s="1" t="s">
        <v>35</v>
      </c>
      <c r="B1668">
        <v>19</v>
      </c>
      <c r="C1668">
        <v>49</v>
      </c>
      <c r="D1668" s="1" t="s">
        <v>157</v>
      </c>
      <c r="E1668" s="1">
        <v>30700000</v>
      </c>
      <c r="F1668">
        <f t="shared" si="130"/>
        <v>8110085.8295402611</v>
      </c>
      <c r="G1668">
        <v>284229</v>
      </c>
      <c r="H1668" s="4" t="s">
        <v>158</v>
      </c>
      <c r="I1668" s="1" t="s">
        <v>244</v>
      </c>
      <c r="J1668" s="1" t="s">
        <v>220</v>
      </c>
      <c r="K1668" s="9">
        <v>20615</v>
      </c>
      <c r="L1668" t="s">
        <v>21</v>
      </c>
      <c r="M1668">
        <f t="shared" si="131"/>
        <v>20.614999999999998</v>
      </c>
      <c r="N1668">
        <f t="shared" si="123"/>
        <v>588.2208338205196</v>
      </c>
    </row>
    <row r="1669" spans="1:14" x14ac:dyDescent="0.3">
      <c r="A1669" s="1" t="s">
        <v>8</v>
      </c>
      <c r="B1669">
        <v>19</v>
      </c>
      <c r="C1669">
        <v>49</v>
      </c>
      <c r="D1669" s="1" t="s">
        <v>157</v>
      </c>
      <c r="E1669" s="1">
        <v>30700000</v>
      </c>
      <c r="F1669">
        <f t="shared" si="130"/>
        <v>8110085.8295402611</v>
      </c>
      <c r="G1669">
        <v>284229</v>
      </c>
      <c r="H1669" s="4" t="s">
        <v>158</v>
      </c>
      <c r="I1669" s="1" t="s">
        <v>244</v>
      </c>
      <c r="J1669" s="1" t="s">
        <v>220</v>
      </c>
      <c r="K1669" s="9">
        <v>128</v>
      </c>
      <c r="L1669" t="s">
        <v>21</v>
      </c>
      <c r="M1669">
        <f t="shared" si="131"/>
        <v>0.128</v>
      </c>
      <c r="N1669">
        <f t="shared" si="123"/>
        <v>3.6523049589632075</v>
      </c>
    </row>
    <row r="1670" spans="1:14" x14ac:dyDescent="0.3">
      <c r="A1670" s="1" t="s">
        <v>37</v>
      </c>
      <c r="B1670">
        <v>19</v>
      </c>
      <c r="C1670">
        <v>49</v>
      </c>
      <c r="D1670" s="1" t="s">
        <v>157</v>
      </c>
      <c r="E1670" s="1">
        <v>30700000</v>
      </c>
      <c r="F1670">
        <f t="shared" si="130"/>
        <v>8110085.8295402611</v>
      </c>
      <c r="G1670">
        <v>284229</v>
      </c>
      <c r="H1670" s="4" t="s">
        <v>158</v>
      </c>
      <c r="I1670" s="1" t="s">
        <v>244</v>
      </c>
      <c r="J1670" s="1" t="s">
        <v>220</v>
      </c>
      <c r="K1670" s="9">
        <v>218</v>
      </c>
      <c r="L1670" t="s">
        <v>21</v>
      </c>
      <c r="M1670">
        <f t="shared" si="131"/>
        <v>0.218</v>
      </c>
      <c r="N1670">
        <f t="shared" si="123"/>
        <v>6.2203318832342127</v>
      </c>
    </row>
    <row r="1671" spans="1:14" x14ac:dyDescent="0.3">
      <c r="A1671" s="1" t="s">
        <v>40</v>
      </c>
      <c r="B1671">
        <v>19</v>
      </c>
      <c r="C1671">
        <v>49</v>
      </c>
      <c r="D1671" s="1" t="s">
        <v>157</v>
      </c>
      <c r="E1671" s="1">
        <v>30700000</v>
      </c>
      <c r="F1671">
        <f t="shared" si="130"/>
        <v>8110085.8295402611</v>
      </c>
      <c r="G1671">
        <v>284229</v>
      </c>
      <c r="H1671" s="4" t="s">
        <v>158</v>
      </c>
      <c r="I1671" s="1" t="s">
        <v>244</v>
      </c>
      <c r="J1671" s="1" t="s">
        <v>220</v>
      </c>
      <c r="K1671" s="9">
        <v>1010</v>
      </c>
      <c r="L1671" t="s">
        <v>21</v>
      </c>
      <c r="M1671">
        <f t="shared" si="131"/>
        <v>1.01</v>
      </c>
      <c r="N1671">
        <f t="shared" si="123"/>
        <v>28.818968816819055</v>
      </c>
    </row>
    <row r="1672" spans="1:14" x14ac:dyDescent="0.3">
      <c r="A1672" s="1" t="s">
        <v>9</v>
      </c>
      <c r="B1672">
        <v>19</v>
      </c>
      <c r="C1672">
        <v>49</v>
      </c>
      <c r="D1672" s="1" t="s">
        <v>157</v>
      </c>
      <c r="E1672" s="1">
        <v>30700000</v>
      </c>
      <c r="F1672">
        <f t="shared" si="130"/>
        <v>8110085.8295402611</v>
      </c>
      <c r="G1672">
        <v>284229</v>
      </c>
      <c r="H1672" s="4" t="s">
        <v>158</v>
      </c>
      <c r="I1672" s="1" t="s">
        <v>244</v>
      </c>
      <c r="J1672" s="1" t="s">
        <v>220</v>
      </c>
      <c r="K1672" s="9">
        <v>433</v>
      </c>
      <c r="L1672" t="s">
        <v>21</v>
      </c>
      <c r="M1672">
        <f t="shared" si="131"/>
        <v>0.433</v>
      </c>
      <c r="N1672">
        <f t="shared" si="123"/>
        <v>12.355062868992725</v>
      </c>
    </row>
    <row r="1673" spans="1:14" x14ac:dyDescent="0.3">
      <c r="A1673" s="1" t="s">
        <v>41</v>
      </c>
      <c r="B1673">
        <v>19</v>
      </c>
      <c r="C1673">
        <v>49</v>
      </c>
      <c r="D1673" s="1" t="s">
        <v>157</v>
      </c>
      <c r="E1673" s="1">
        <v>30700000</v>
      </c>
      <c r="F1673">
        <f t="shared" si="130"/>
        <v>8110085.8295402611</v>
      </c>
      <c r="G1673">
        <v>284229</v>
      </c>
      <c r="H1673" s="4" t="s">
        <v>158</v>
      </c>
      <c r="I1673" s="1" t="s">
        <v>244</v>
      </c>
      <c r="J1673" s="1" t="s">
        <v>220</v>
      </c>
      <c r="K1673" s="9">
        <v>672</v>
      </c>
      <c r="L1673" t="s">
        <v>21</v>
      </c>
      <c r="M1673">
        <f t="shared" si="131"/>
        <v>0.67200000000000004</v>
      </c>
      <c r="N1673">
        <f t="shared" si="123"/>
        <v>19.174601034556837</v>
      </c>
    </row>
    <row r="1674" spans="1:14" x14ac:dyDescent="0.3">
      <c r="A1674" s="1" t="s">
        <v>27</v>
      </c>
      <c r="B1674">
        <v>20</v>
      </c>
      <c r="C1674">
        <v>50</v>
      </c>
      <c r="D1674" s="1" t="s">
        <v>161</v>
      </c>
      <c r="E1674" s="1">
        <v>34300000</v>
      </c>
      <c r="F1674">
        <f t="shared" si="130"/>
        <v>9061105.6662290208</v>
      </c>
      <c r="G1674">
        <f>F1674/310.404</f>
        <v>29191.33022199785</v>
      </c>
      <c r="H1674" s="4" t="s">
        <v>163</v>
      </c>
      <c r="I1674" s="1" t="s">
        <v>245</v>
      </c>
      <c r="J1674" s="1" t="s">
        <v>220</v>
      </c>
      <c r="K1674" s="9">
        <v>174.6</v>
      </c>
      <c r="L1674" t="s">
        <v>21</v>
      </c>
      <c r="M1674">
        <f t="shared" ref="M1674:M1685" si="132">IFERROR(K1674/1000,"ND")</f>
        <v>0.17460000000000001</v>
      </c>
      <c r="N1674">
        <f t="shared" si="123"/>
        <v>54.196538400000001</v>
      </c>
    </row>
    <row r="1675" spans="1:14" x14ac:dyDescent="0.3">
      <c r="A1675" s="1" t="s">
        <v>41</v>
      </c>
      <c r="B1675">
        <v>20</v>
      </c>
      <c r="C1675">
        <v>50</v>
      </c>
      <c r="D1675" s="1" t="s">
        <v>161</v>
      </c>
      <c r="E1675" s="1">
        <v>34300000</v>
      </c>
      <c r="F1675">
        <f t="shared" si="130"/>
        <v>9061105.6662290208</v>
      </c>
      <c r="G1675">
        <f t="shared" ref="G1675:G1685" si="133">F1675/310.404</f>
        <v>29191.33022199785</v>
      </c>
      <c r="H1675" s="4" t="s">
        <v>163</v>
      </c>
      <c r="I1675" s="1" t="s">
        <v>245</v>
      </c>
      <c r="J1675" s="1" t="s">
        <v>220</v>
      </c>
      <c r="K1675" s="9">
        <v>438.6</v>
      </c>
      <c r="L1675" t="s">
        <v>21</v>
      </c>
      <c r="M1675">
        <f t="shared" si="132"/>
        <v>0.43860000000000005</v>
      </c>
      <c r="N1675">
        <f t="shared" si="123"/>
        <v>136.14319440000003</v>
      </c>
    </row>
    <row r="1676" spans="1:14" x14ac:dyDescent="0.3">
      <c r="A1676" s="1" t="s">
        <v>40</v>
      </c>
      <c r="B1676">
        <v>20</v>
      </c>
      <c r="C1676">
        <v>50</v>
      </c>
      <c r="D1676" s="1" t="s">
        <v>161</v>
      </c>
      <c r="E1676" s="1">
        <v>34300000</v>
      </c>
      <c r="F1676">
        <f t="shared" si="130"/>
        <v>9061105.6662290208</v>
      </c>
      <c r="G1676">
        <f t="shared" si="133"/>
        <v>29191.33022199785</v>
      </c>
      <c r="H1676" s="4" t="s">
        <v>163</v>
      </c>
      <c r="I1676" s="1" t="s">
        <v>245</v>
      </c>
      <c r="J1676" s="1" t="s">
        <v>220</v>
      </c>
      <c r="K1676" s="9" t="s">
        <v>20</v>
      </c>
      <c r="L1676" t="s">
        <v>21</v>
      </c>
      <c r="M1676" t="str">
        <f t="shared" si="132"/>
        <v>ND</v>
      </c>
      <c r="N1676" t="str">
        <f t="shared" si="123"/>
        <v>ND</v>
      </c>
    </row>
    <row r="1677" spans="1:14" x14ac:dyDescent="0.3">
      <c r="A1677" s="1" t="s">
        <v>25</v>
      </c>
      <c r="B1677">
        <v>20</v>
      </c>
      <c r="C1677">
        <v>50</v>
      </c>
      <c r="D1677" s="1" t="s">
        <v>161</v>
      </c>
      <c r="E1677" s="1">
        <v>34300000</v>
      </c>
      <c r="F1677">
        <f t="shared" si="130"/>
        <v>9061105.6662290208</v>
      </c>
      <c r="G1677">
        <f t="shared" si="133"/>
        <v>29191.33022199785</v>
      </c>
      <c r="H1677" s="4" t="s">
        <v>163</v>
      </c>
      <c r="I1677" s="1" t="s">
        <v>245</v>
      </c>
      <c r="J1677" s="1" t="s">
        <v>220</v>
      </c>
      <c r="K1677" s="9" t="s">
        <v>20</v>
      </c>
      <c r="L1677" t="s">
        <v>21</v>
      </c>
      <c r="M1677" t="str">
        <f t="shared" si="132"/>
        <v>ND</v>
      </c>
      <c r="N1677" t="str">
        <f t="shared" si="123"/>
        <v>ND</v>
      </c>
    </row>
    <row r="1678" spans="1:14" x14ac:dyDescent="0.3">
      <c r="A1678" s="1" t="s">
        <v>30</v>
      </c>
      <c r="B1678">
        <v>20</v>
      </c>
      <c r="C1678">
        <v>50</v>
      </c>
      <c r="D1678" s="1" t="s">
        <v>161</v>
      </c>
      <c r="E1678" s="1">
        <v>34300000</v>
      </c>
      <c r="F1678">
        <f t="shared" si="130"/>
        <v>9061105.6662290208</v>
      </c>
      <c r="G1678">
        <f t="shared" si="133"/>
        <v>29191.33022199785</v>
      </c>
      <c r="H1678" s="4" t="s">
        <v>163</v>
      </c>
      <c r="I1678" s="1" t="s">
        <v>245</v>
      </c>
      <c r="J1678" s="1" t="s">
        <v>220</v>
      </c>
      <c r="K1678" s="9" t="s">
        <v>20</v>
      </c>
      <c r="L1678" t="s">
        <v>21</v>
      </c>
      <c r="M1678" t="str">
        <f t="shared" si="132"/>
        <v>ND</v>
      </c>
      <c r="N1678" t="str">
        <f t="shared" si="123"/>
        <v>ND</v>
      </c>
    </row>
    <row r="1679" spans="1:14" x14ac:dyDescent="0.3">
      <c r="A1679" s="1" t="s">
        <v>28</v>
      </c>
      <c r="B1679">
        <v>20</v>
      </c>
      <c r="C1679">
        <v>50</v>
      </c>
      <c r="D1679" s="1" t="s">
        <v>161</v>
      </c>
      <c r="E1679" s="1">
        <v>34300000</v>
      </c>
      <c r="F1679">
        <f t="shared" si="130"/>
        <v>9061105.6662290208</v>
      </c>
      <c r="G1679">
        <f t="shared" si="133"/>
        <v>29191.33022199785</v>
      </c>
      <c r="H1679" s="4" t="s">
        <v>163</v>
      </c>
      <c r="I1679" s="1" t="s">
        <v>245</v>
      </c>
      <c r="J1679" s="1" t="s">
        <v>220</v>
      </c>
      <c r="K1679" s="9">
        <v>1090.2</v>
      </c>
      <c r="L1679" t="s">
        <v>21</v>
      </c>
      <c r="M1679">
        <f t="shared" si="132"/>
        <v>1.0902000000000001</v>
      </c>
      <c r="N1679">
        <f t="shared" si="123"/>
        <v>338.40244079999997</v>
      </c>
    </row>
    <row r="1680" spans="1:14" x14ac:dyDescent="0.3">
      <c r="A1680" s="1" t="s">
        <v>27</v>
      </c>
      <c r="B1680">
        <v>20</v>
      </c>
      <c r="C1680">
        <v>50</v>
      </c>
      <c r="D1680" s="1" t="s">
        <v>161</v>
      </c>
      <c r="E1680" s="1">
        <v>34300000</v>
      </c>
      <c r="F1680">
        <f t="shared" si="130"/>
        <v>9061105.6662290208</v>
      </c>
      <c r="G1680">
        <f t="shared" si="133"/>
        <v>29191.33022199785</v>
      </c>
      <c r="H1680" s="4" t="s">
        <v>163</v>
      </c>
      <c r="I1680" s="1" t="s">
        <v>245</v>
      </c>
      <c r="J1680" s="1" t="s">
        <v>220</v>
      </c>
      <c r="K1680" s="9">
        <v>82.2</v>
      </c>
      <c r="L1680" t="s">
        <v>21</v>
      </c>
      <c r="M1680">
        <f t="shared" si="132"/>
        <v>8.2200000000000009E-2</v>
      </c>
      <c r="N1680">
        <f t="shared" si="123"/>
        <v>25.515208800000003</v>
      </c>
    </row>
    <row r="1681" spans="1:14" x14ac:dyDescent="0.3">
      <c r="A1681" s="1" t="s">
        <v>41</v>
      </c>
      <c r="B1681">
        <v>20</v>
      </c>
      <c r="C1681">
        <v>50</v>
      </c>
      <c r="D1681" s="1" t="s">
        <v>161</v>
      </c>
      <c r="E1681" s="1">
        <v>34300000</v>
      </c>
      <c r="F1681">
        <f t="shared" si="130"/>
        <v>9061105.6662290208</v>
      </c>
      <c r="G1681">
        <f t="shared" si="133"/>
        <v>29191.33022199785</v>
      </c>
      <c r="H1681" s="4" t="s">
        <v>163</v>
      </c>
      <c r="I1681" s="1" t="s">
        <v>245</v>
      </c>
      <c r="J1681" s="1" t="s">
        <v>220</v>
      </c>
      <c r="K1681" s="9">
        <v>137.19999999999999</v>
      </c>
      <c r="L1681" t="s">
        <v>21</v>
      </c>
      <c r="M1681">
        <f t="shared" si="132"/>
        <v>0.13719999999999999</v>
      </c>
      <c r="N1681">
        <f t="shared" si="123"/>
        <v>42.587428799999998</v>
      </c>
    </row>
    <row r="1682" spans="1:14" x14ac:dyDescent="0.3">
      <c r="A1682" s="1" t="s">
        <v>40</v>
      </c>
      <c r="B1682">
        <v>20</v>
      </c>
      <c r="C1682">
        <v>50</v>
      </c>
      <c r="D1682" s="1" t="s">
        <v>161</v>
      </c>
      <c r="E1682" s="1">
        <v>34300000</v>
      </c>
      <c r="F1682">
        <f t="shared" si="130"/>
        <v>9061105.6662290208</v>
      </c>
      <c r="G1682">
        <f t="shared" si="133"/>
        <v>29191.33022199785</v>
      </c>
      <c r="H1682" s="4" t="s">
        <v>163</v>
      </c>
      <c r="I1682" s="1" t="s">
        <v>245</v>
      </c>
      <c r="J1682" s="1" t="s">
        <v>220</v>
      </c>
      <c r="K1682" s="9">
        <v>1941.3</v>
      </c>
      <c r="L1682" t="s">
        <v>21</v>
      </c>
      <c r="M1682">
        <f t="shared" si="132"/>
        <v>1.9413</v>
      </c>
      <c r="N1682">
        <f t="shared" si="123"/>
        <v>602.5872852</v>
      </c>
    </row>
    <row r="1683" spans="1:14" x14ac:dyDescent="0.3">
      <c r="A1683" s="1" t="s">
        <v>25</v>
      </c>
      <c r="B1683">
        <v>20</v>
      </c>
      <c r="C1683">
        <v>50</v>
      </c>
      <c r="D1683" s="1" t="s">
        <v>161</v>
      </c>
      <c r="E1683" s="1">
        <v>34300000</v>
      </c>
      <c r="F1683">
        <f t="shared" si="130"/>
        <v>9061105.6662290208</v>
      </c>
      <c r="G1683">
        <f t="shared" si="133"/>
        <v>29191.33022199785</v>
      </c>
      <c r="H1683" s="4" t="s">
        <v>163</v>
      </c>
      <c r="I1683" s="1" t="s">
        <v>245</v>
      </c>
      <c r="J1683" s="1" t="s">
        <v>220</v>
      </c>
      <c r="K1683" s="9">
        <v>212.2</v>
      </c>
      <c r="L1683" t="s">
        <v>21</v>
      </c>
      <c r="M1683">
        <f t="shared" si="132"/>
        <v>0.2122</v>
      </c>
      <c r="N1683">
        <f t="shared" si="123"/>
        <v>65.867728799999995</v>
      </c>
    </row>
    <row r="1684" spans="1:14" x14ac:dyDescent="0.3">
      <c r="A1684" s="1" t="s">
        <v>30</v>
      </c>
      <c r="B1684">
        <v>20</v>
      </c>
      <c r="C1684">
        <v>50</v>
      </c>
      <c r="D1684" s="1" t="s">
        <v>161</v>
      </c>
      <c r="E1684" s="1">
        <v>34300000</v>
      </c>
      <c r="F1684">
        <f t="shared" si="130"/>
        <v>9061105.6662290208</v>
      </c>
      <c r="G1684">
        <f t="shared" si="133"/>
        <v>29191.33022199785</v>
      </c>
      <c r="H1684" s="4" t="s">
        <v>163</v>
      </c>
      <c r="I1684" s="1" t="s">
        <v>245</v>
      </c>
      <c r="J1684" s="1" t="s">
        <v>220</v>
      </c>
      <c r="K1684" s="9">
        <v>387.3</v>
      </c>
      <c r="L1684" t="s">
        <v>21</v>
      </c>
      <c r="M1684">
        <f t="shared" si="132"/>
        <v>0.38730000000000003</v>
      </c>
      <c r="N1684">
        <f t="shared" si="123"/>
        <v>120.21946920000001</v>
      </c>
    </row>
    <row r="1685" spans="1:14" x14ac:dyDescent="0.3">
      <c r="A1685" s="1" t="s">
        <v>28</v>
      </c>
      <c r="B1685">
        <v>20</v>
      </c>
      <c r="C1685">
        <v>50</v>
      </c>
      <c r="D1685" s="1" t="s">
        <v>161</v>
      </c>
      <c r="E1685" s="1">
        <v>34300000</v>
      </c>
      <c r="F1685">
        <f t="shared" si="130"/>
        <v>9061105.6662290208</v>
      </c>
      <c r="G1685">
        <f t="shared" si="133"/>
        <v>29191.33022199785</v>
      </c>
      <c r="H1685" s="4" t="s">
        <v>163</v>
      </c>
      <c r="I1685" s="1" t="s">
        <v>245</v>
      </c>
      <c r="J1685" s="1" t="s">
        <v>220</v>
      </c>
      <c r="K1685" s="9">
        <v>514.79999999999995</v>
      </c>
      <c r="L1685" t="s">
        <v>21</v>
      </c>
      <c r="M1685">
        <f t="shared" si="132"/>
        <v>0.51479999999999992</v>
      </c>
      <c r="N1685">
        <f t="shared" si="123"/>
        <v>159.79597919999998</v>
      </c>
    </row>
    <row r="1686" spans="1:14" x14ac:dyDescent="0.3">
      <c r="A1686" s="1" t="s">
        <v>17</v>
      </c>
      <c r="B1686">
        <v>21</v>
      </c>
      <c r="C1686">
        <v>32</v>
      </c>
      <c r="D1686" s="1" t="s">
        <v>111</v>
      </c>
      <c r="E1686" s="1">
        <v>27200000</v>
      </c>
      <c r="F1686">
        <f t="shared" si="130"/>
        <v>7185483.2105372995</v>
      </c>
      <c r="G1686">
        <v>190000</v>
      </c>
      <c r="H1686" t="s">
        <v>115</v>
      </c>
      <c r="I1686" s="1" t="s">
        <v>229</v>
      </c>
      <c r="J1686" s="1" t="s">
        <v>216</v>
      </c>
      <c r="K1686" s="9">
        <v>284</v>
      </c>
      <c r="L1686" t="s">
        <v>21</v>
      </c>
      <c r="M1686">
        <f t="shared" ref="M1686:M1720" si="134">IFERROR(K1686/1000,"ND")</f>
        <v>0.28399999999999997</v>
      </c>
      <c r="N1686">
        <f t="shared" si="123"/>
        <v>10.74040648311891</v>
      </c>
    </row>
    <row r="1687" spans="1:14" x14ac:dyDescent="0.3">
      <c r="A1687" s="1" t="s">
        <v>17</v>
      </c>
      <c r="B1687">
        <v>21</v>
      </c>
      <c r="C1687">
        <v>33</v>
      </c>
      <c r="D1687" s="1" t="s">
        <v>112</v>
      </c>
      <c r="E1687" s="1">
        <v>21000000</v>
      </c>
      <c r="F1687">
        <f t="shared" si="130"/>
        <v>5547615.7140177684</v>
      </c>
      <c r="G1687">
        <v>150000</v>
      </c>
      <c r="H1687" t="s">
        <v>115</v>
      </c>
      <c r="I1687" s="1" t="s">
        <v>229</v>
      </c>
      <c r="J1687" s="1" t="s">
        <v>216</v>
      </c>
      <c r="K1687" s="9">
        <v>260</v>
      </c>
      <c r="L1687" t="s">
        <v>21</v>
      </c>
      <c r="M1687">
        <f t="shared" si="134"/>
        <v>0.26</v>
      </c>
      <c r="N1687">
        <f t="shared" si="123"/>
        <v>9.6158672376307983</v>
      </c>
    </row>
    <row r="1688" spans="1:14" x14ac:dyDescent="0.3">
      <c r="A1688" s="1" t="s">
        <v>162</v>
      </c>
      <c r="B1688">
        <v>21</v>
      </c>
      <c r="C1688">
        <v>32</v>
      </c>
      <c r="D1688" s="1" t="s">
        <v>111</v>
      </c>
      <c r="E1688" s="1">
        <v>27200000</v>
      </c>
      <c r="F1688">
        <f t="shared" si="130"/>
        <v>7185483.2105372995</v>
      </c>
      <c r="G1688">
        <v>190000</v>
      </c>
      <c r="H1688" t="s">
        <v>115</v>
      </c>
      <c r="I1688" s="1" t="s">
        <v>229</v>
      </c>
      <c r="J1688" s="1" t="s">
        <v>216</v>
      </c>
      <c r="K1688" s="9">
        <v>7.84</v>
      </c>
      <c r="L1688" t="s">
        <v>21</v>
      </c>
      <c r="M1688">
        <f t="shared" si="134"/>
        <v>7.8399999999999997E-3</v>
      </c>
      <c r="N1688">
        <f t="shared" si="123"/>
        <v>0.29649572826638121</v>
      </c>
    </row>
    <row r="1689" spans="1:14" x14ac:dyDescent="0.3">
      <c r="A1689" s="1" t="s">
        <v>162</v>
      </c>
      <c r="B1689">
        <v>21</v>
      </c>
      <c r="C1689">
        <v>33</v>
      </c>
      <c r="D1689" s="1" t="s">
        <v>112</v>
      </c>
      <c r="E1689" s="1">
        <v>21000000</v>
      </c>
      <c r="F1689">
        <f t="shared" si="130"/>
        <v>5547615.7140177684</v>
      </c>
      <c r="G1689">
        <v>150000</v>
      </c>
      <c r="H1689" t="s">
        <v>115</v>
      </c>
      <c r="I1689" s="1" t="s">
        <v>229</v>
      </c>
      <c r="J1689" s="1" t="s">
        <v>216</v>
      </c>
      <c r="K1689" s="9">
        <v>8.4700000000000006</v>
      </c>
      <c r="L1689" t="s">
        <v>21</v>
      </c>
      <c r="M1689">
        <f t="shared" si="134"/>
        <v>8.4700000000000001E-3</v>
      </c>
      <c r="N1689">
        <f t="shared" si="123"/>
        <v>0.3132553673182033</v>
      </c>
    </row>
    <row r="1690" spans="1:14" x14ac:dyDescent="0.3">
      <c r="A1690" s="1" t="s">
        <v>5</v>
      </c>
      <c r="B1690">
        <v>21</v>
      </c>
      <c r="C1690">
        <v>32</v>
      </c>
      <c r="D1690" s="1" t="s">
        <v>111</v>
      </c>
      <c r="E1690" s="1">
        <v>27200000</v>
      </c>
      <c r="F1690">
        <f t="shared" si="130"/>
        <v>7185483.2105372995</v>
      </c>
      <c r="G1690">
        <v>190000</v>
      </c>
      <c r="H1690" t="s">
        <v>115</v>
      </c>
      <c r="I1690" s="1" t="s">
        <v>229</v>
      </c>
      <c r="J1690" s="1" t="s">
        <v>216</v>
      </c>
      <c r="K1690" s="9">
        <v>387</v>
      </c>
      <c r="L1690" t="s">
        <v>21</v>
      </c>
      <c r="M1690">
        <f t="shared" si="134"/>
        <v>0.38700000000000001</v>
      </c>
      <c r="N1690">
        <f t="shared" si="123"/>
        <v>14.635694749883868</v>
      </c>
    </row>
    <row r="1691" spans="1:14" x14ac:dyDescent="0.3">
      <c r="A1691" s="1" t="s">
        <v>5</v>
      </c>
      <c r="B1691">
        <v>21</v>
      </c>
      <c r="C1691">
        <v>33</v>
      </c>
      <c r="D1691" s="1" t="s">
        <v>112</v>
      </c>
      <c r="E1691" s="1">
        <v>21000000</v>
      </c>
      <c r="F1691">
        <f t="shared" si="130"/>
        <v>5547615.7140177684</v>
      </c>
      <c r="G1691">
        <v>150000</v>
      </c>
      <c r="H1691" t="s">
        <v>115</v>
      </c>
      <c r="I1691" s="1" t="s">
        <v>229</v>
      </c>
      <c r="J1691" s="1" t="s">
        <v>216</v>
      </c>
      <c r="K1691" s="9">
        <v>303</v>
      </c>
      <c r="L1691" t="s">
        <v>21</v>
      </c>
      <c r="M1691">
        <f t="shared" si="134"/>
        <v>0.30299999999999999</v>
      </c>
      <c r="N1691">
        <f t="shared" si="123"/>
        <v>11.206183742315892</v>
      </c>
    </row>
    <row r="1692" spans="1:14" x14ac:dyDescent="0.3">
      <c r="A1692" s="1" t="s">
        <v>4</v>
      </c>
      <c r="B1692">
        <v>21</v>
      </c>
      <c r="C1692">
        <v>32</v>
      </c>
      <c r="D1692" s="1" t="s">
        <v>111</v>
      </c>
      <c r="E1692" s="1">
        <v>27200000</v>
      </c>
      <c r="F1692">
        <f t="shared" si="130"/>
        <v>7185483.2105372995</v>
      </c>
      <c r="G1692">
        <v>190000</v>
      </c>
      <c r="H1692" t="s">
        <v>115</v>
      </c>
      <c r="I1692" s="1" t="s">
        <v>229</v>
      </c>
      <c r="J1692" s="1" t="s">
        <v>216</v>
      </c>
      <c r="K1692" s="9">
        <v>51.8</v>
      </c>
      <c r="L1692" t="s">
        <v>21</v>
      </c>
      <c r="M1692">
        <f t="shared" si="134"/>
        <v>5.1799999999999999E-2</v>
      </c>
      <c r="N1692">
        <f t="shared" si="123"/>
        <v>1.9589896331885901</v>
      </c>
    </row>
    <row r="1693" spans="1:14" x14ac:dyDescent="0.3">
      <c r="A1693" s="1" t="s">
        <v>4</v>
      </c>
      <c r="B1693">
        <v>21</v>
      </c>
      <c r="C1693">
        <v>33</v>
      </c>
      <c r="D1693" s="1" t="s">
        <v>112</v>
      </c>
      <c r="E1693" s="1">
        <v>21000000</v>
      </c>
      <c r="F1693">
        <f t="shared" si="130"/>
        <v>5547615.7140177684</v>
      </c>
      <c r="G1693">
        <v>150000</v>
      </c>
      <c r="H1693" t="s">
        <v>115</v>
      </c>
      <c r="I1693" s="1" t="s">
        <v>229</v>
      </c>
      <c r="J1693" s="1" t="s">
        <v>216</v>
      </c>
      <c r="K1693" s="9">
        <v>57.2</v>
      </c>
      <c r="L1693" t="s">
        <v>21</v>
      </c>
      <c r="M1693">
        <f t="shared" si="134"/>
        <v>5.7200000000000001E-2</v>
      </c>
      <c r="N1693">
        <f t="shared" si="123"/>
        <v>2.1154907922787758</v>
      </c>
    </row>
    <row r="1694" spans="1:14" x14ac:dyDescent="0.3">
      <c r="A1694" s="1" t="s">
        <v>8</v>
      </c>
      <c r="B1694">
        <v>21</v>
      </c>
      <c r="C1694">
        <v>32</v>
      </c>
      <c r="D1694" s="1" t="s">
        <v>111</v>
      </c>
      <c r="E1694" s="1">
        <v>27200000</v>
      </c>
      <c r="F1694">
        <f t="shared" si="130"/>
        <v>7185483.2105372995</v>
      </c>
      <c r="G1694">
        <v>190000</v>
      </c>
      <c r="H1694" t="s">
        <v>115</v>
      </c>
      <c r="I1694" s="1" t="s">
        <v>229</v>
      </c>
      <c r="J1694" s="1" t="s">
        <v>216</v>
      </c>
      <c r="K1694" s="9">
        <v>118</v>
      </c>
      <c r="L1694" t="s">
        <v>21</v>
      </c>
      <c r="M1694">
        <f t="shared" si="134"/>
        <v>0.11799999999999999</v>
      </c>
      <c r="N1694">
        <f t="shared" si="123"/>
        <v>4.4625632570705331</v>
      </c>
    </row>
    <row r="1695" spans="1:14" x14ac:dyDescent="0.3">
      <c r="A1695" s="1" t="s">
        <v>8</v>
      </c>
      <c r="B1695">
        <v>21</v>
      </c>
      <c r="C1695">
        <v>33</v>
      </c>
      <c r="D1695" s="1" t="s">
        <v>112</v>
      </c>
      <c r="E1695" s="1">
        <v>21000000</v>
      </c>
      <c r="F1695">
        <f t="shared" si="130"/>
        <v>5547615.7140177684</v>
      </c>
      <c r="G1695">
        <v>150000</v>
      </c>
      <c r="H1695" t="s">
        <v>115</v>
      </c>
      <c r="I1695" s="1" t="s">
        <v>229</v>
      </c>
      <c r="J1695" s="1" t="s">
        <v>216</v>
      </c>
      <c r="K1695" s="9">
        <v>102</v>
      </c>
      <c r="L1695" t="s">
        <v>21</v>
      </c>
      <c r="M1695">
        <f t="shared" si="134"/>
        <v>0.10199999999999999</v>
      </c>
      <c r="N1695">
        <f t="shared" ref="N1695:N1758" si="135">IFERROR((M1695*F1695)/G1695,"ND")</f>
        <v>3.7723786855320824</v>
      </c>
    </row>
    <row r="1696" spans="1:14" x14ac:dyDescent="0.3">
      <c r="A1696" s="1" t="s">
        <v>6</v>
      </c>
      <c r="B1696">
        <v>21</v>
      </c>
      <c r="C1696">
        <v>32</v>
      </c>
      <c r="D1696" s="1" t="s">
        <v>111</v>
      </c>
      <c r="E1696" s="1">
        <v>27200000</v>
      </c>
      <c r="F1696">
        <f t="shared" si="130"/>
        <v>7185483.2105372995</v>
      </c>
      <c r="G1696">
        <v>190000</v>
      </c>
      <c r="H1696" t="s">
        <v>115</v>
      </c>
      <c r="I1696" s="1" t="s">
        <v>229</v>
      </c>
      <c r="J1696" s="1" t="s">
        <v>216</v>
      </c>
      <c r="K1696" s="9">
        <v>64.599999999999994</v>
      </c>
      <c r="L1696" t="s">
        <v>21</v>
      </c>
      <c r="M1696">
        <f t="shared" si="134"/>
        <v>6.4599999999999991E-2</v>
      </c>
      <c r="N1696">
        <f t="shared" si="135"/>
        <v>2.4430642915826817</v>
      </c>
    </row>
    <row r="1697" spans="1:14" x14ac:dyDescent="0.3">
      <c r="A1697" s="1" t="s">
        <v>6</v>
      </c>
      <c r="B1697">
        <v>21</v>
      </c>
      <c r="C1697">
        <v>33</v>
      </c>
      <c r="D1697" s="1" t="s">
        <v>112</v>
      </c>
      <c r="E1697" s="1">
        <v>21000000</v>
      </c>
      <c r="F1697">
        <f t="shared" si="130"/>
        <v>5547615.7140177684</v>
      </c>
      <c r="G1697">
        <v>150000</v>
      </c>
      <c r="H1697" t="s">
        <v>115</v>
      </c>
      <c r="I1697" s="1" t="s">
        <v>229</v>
      </c>
      <c r="J1697" s="1" t="s">
        <v>216</v>
      </c>
      <c r="K1697" s="9">
        <v>55.4</v>
      </c>
      <c r="L1697" t="s">
        <v>21</v>
      </c>
      <c r="M1697">
        <f t="shared" si="134"/>
        <v>5.5399999999999998E-2</v>
      </c>
      <c r="N1697">
        <f t="shared" si="135"/>
        <v>2.0489194037105625</v>
      </c>
    </row>
    <row r="1698" spans="1:14" x14ac:dyDescent="0.3">
      <c r="A1698" s="1" t="s">
        <v>7</v>
      </c>
      <c r="B1698">
        <v>21</v>
      </c>
      <c r="C1698">
        <v>32</v>
      </c>
      <c r="D1698" s="1" t="s">
        <v>111</v>
      </c>
      <c r="E1698" s="1">
        <v>27200000</v>
      </c>
      <c r="F1698">
        <f t="shared" si="130"/>
        <v>7185483.2105372995</v>
      </c>
      <c r="G1698">
        <v>190000</v>
      </c>
      <c r="H1698" t="s">
        <v>115</v>
      </c>
      <c r="I1698" s="1" t="s">
        <v>229</v>
      </c>
      <c r="J1698" s="1" t="s">
        <v>216</v>
      </c>
      <c r="K1698" s="9">
        <v>27</v>
      </c>
      <c r="L1698" t="s">
        <v>21</v>
      </c>
      <c r="M1698">
        <f t="shared" si="134"/>
        <v>2.7E-2</v>
      </c>
      <c r="N1698">
        <f t="shared" si="135"/>
        <v>1.0210949825500373</v>
      </c>
    </row>
    <row r="1699" spans="1:14" x14ac:dyDescent="0.3">
      <c r="A1699" s="1" t="s">
        <v>7</v>
      </c>
      <c r="B1699">
        <v>21</v>
      </c>
      <c r="C1699">
        <v>33</v>
      </c>
      <c r="D1699" s="1" t="s">
        <v>112</v>
      </c>
      <c r="E1699" s="1">
        <v>21000000</v>
      </c>
      <c r="F1699">
        <f t="shared" si="130"/>
        <v>5547615.7140177684</v>
      </c>
      <c r="G1699">
        <v>150000</v>
      </c>
      <c r="H1699" t="s">
        <v>115</v>
      </c>
      <c r="I1699" s="1" t="s">
        <v>229</v>
      </c>
      <c r="J1699" s="1" t="s">
        <v>216</v>
      </c>
      <c r="K1699" s="9">
        <v>17.100000000000001</v>
      </c>
      <c r="L1699" t="s">
        <v>21</v>
      </c>
      <c r="M1699">
        <f t="shared" si="134"/>
        <v>1.7100000000000001E-2</v>
      </c>
      <c r="N1699">
        <f t="shared" si="135"/>
        <v>0.63242819139802564</v>
      </c>
    </row>
    <row r="1700" spans="1:14" x14ac:dyDescent="0.3">
      <c r="A1700" s="1" t="s">
        <v>10</v>
      </c>
      <c r="B1700">
        <v>21</v>
      </c>
      <c r="C1700">
        <v>32</v>
      </c>
      <c r="D1700" s="1" t="s">
        <v>111</v>
      </c>
      <c r="E1700" s="1">
        <v>27200000</v>
      </c>
      <c r="F1700">
        <f t="shared" si="130"/>
        <v>7185483.2105372995</v>
      </c>
      <c r="G1700">
        <v>190000</v>
      </c>
      <c r="H1700" t="s">
        <v>115</v>
      </c>
      <c r="I1700" s="1" t="s">
        <v>229</v>
      </c>
      <c r="J1700" s="1" t="s">
        <v>216</v>
      </c>
      <c r="K1700" s="9">
        <v>30.2</v>
      </c>
      <c r="L1700" t="s">
        <v>21</v>
      </c>
      <c r="M1700">
        <f t="shared" si="134"/>
        <v>3.0199999999999998E-2</v>
      </c>
      <c r="N1700">
        <f t="shared" si="135"/>
        <v>1.14211364714856</v>
      </c>
    </row>
    <row r="1701" spans="1:14" x14ac:dyDescent="0.3">
      <c r="A1701" s="1" t="s">
        <v>10</v>
      </c>
      <c r="B1701">
        <v>21</v>
      </c>
      <c r="C1701">
        <v>33</v>
      </c>
      <c r="D1701" s="1" t="s">
        <v>112</v>
      </c>
      <c r="E1701" s="1">
        <v>21000000</v>
      </c>
      <c r="F1701">
        <f t="shared" si="130"/>
        <v>5547615.7140177684</v>
      </c>
      <c r="G1701">
        <v>150000</v>
      </c>
      <c r="H1701" t="s">
        <v>115</v>
      </c>
      <c r="I1701" s="1" t="s">
        <v>229</v>
      </c>
      <c r="J1701" s="1" t="s">
        <v>216</v>
      </c>
      <c r="K1701" s="9">
        <v>28.2</v>
      </c>
      <c r="L1701" t="s">
        <v>21</v>
      </c>
      <c r="M1701">
        <f t="shared" si="134"/>
        <v>2.8199999999999999E-2</v>
      </c>
      <c r="N1701">
        <f t="shared" si="135"/>
        <v>1.0429517542353404</v>
      </c>
    </row>
    <row r="1702" spans="1:14" x14ac:dyDescent="0.3">
      <c r="A1702" s="1" t="s">
        <v>96</v>
      </c>
      <c r="B1702">
        <v>21</v>
      </c>
      <c r="C1702">
        <v>32</v>
      </c>
      <c r="D1702" s="1" t="s">
        <v>111</v>
      </c>
      <c r="E1702" s="1">
        <v>27200000</v>
      </c>
      <c r="F1702">
        <f t="shared" si="130"/>
        <v>7185483.2105372995</v>
      </c>
      <c r="G1702">
        <v>190000</v>
      </c>
      <c r="H1702" t="s">
        <v>115</v>
      </c>
      <c r="I1702" s="1" t="s">
        <v>229</v>
      </c>
      <c r="J1702" s="1" t="s">
        <v>216</v>
      </c>
      <c r="K1702" s="9">
        <v>14.2</v>
      </c>
      <c r="L1702" t="s">
        <v>21</v>
      </c>
      <c r="M1702">
        <f t="shared" si="134"/>
        <v>1.4199999999999999E-2</v>
      </c>
      <c r="N1702">
        <f t="shared" si="135"/>
        <v>0.53702032415594547</v>
      </c>
    </row>
    <row r="1703" spans="1:14" x14ac:dyDescent="0.3">
      <c r="A1703" s="1" t="s">
        <v>96</v>
      </c>
      <c r="B1703">
        <v>21</v>
      </c>
      <c r="C1703">
        <v>33</v>
      </c>
      <c r="D1703" s="1" t="s">
        <v>112</v>
      </c>
      <c r="E1703" s="1">
        <v>21000000</v>
      </c>
      <c r="F1703">
        <f t="shared" si="130"/>
        <v>5547615.7140177684</v>
      </c>
      <c r="G1703">
        <v>150000</v>
      </c>
      <c r="H1703" t="s">
        <v>115</v>
      </c>
      <c r="I1703" s="1" t="s">
        <v>229</v>
      </c>
      <c r="J1703" s="1" t="s">
        <v>216</v>
      </c>
      <c r="K1703" s="9">
        <v>23.1</v>
      </c>
      <c r="L1703" t="s">
        <v>21</v>
      </c>
      <c r="M1703">
        <f t="shared" si="134"/>
        <v>2.3100000000000002E-2</v>
      </c>
      <c r="N1703">
        <f t="shared" si="135"/>
        <v>0.85433281995873644</v>
      </c>
    </row>
    <row r="1704" spans="1:14" x14ac:dyDescent="0.3">
      <c r="A1704" s="1" t="s">
        <v>11</v>
      </c>
      <c r="B1704">
        <v>21</v>
      </c>
      <c r="C1704">
        <v>32</v>
      </c>
      <c r="D1704" s="1" t="s">
        <v>111</v>
      </c>
      <c r="E1704" s="1">
        <v>27200000</v>
      </c>
      <c r="F1704">
        <f t="shared" si="130"/>
        <v>7185483.2105372995</v>
      </c>
      <c r="G1704">
        <v>190000</v>
      </c>
      <c r="H1704" t="s">
        <v>115</v>
      </c>
      <c r="I1704" s="1" t="s">
        <v>229</v>
      </c>
      <c r="J1704" s="1" t="s">
        <v>216</v>
      </c>
      <c r="K1704" s="9">
        <v>24.2</v>
      </c>
      <c r="L1704" t="s">
        <v>21</v>
      </c>
      <c r="M1704">
        <f t="shared" si="134"/>
        <v>2.4199999999999999E-2</v>
      </c>
      <c r="N1704">
        <f t="shared" si="135"/>
        <v>0.91520365102632972</v>
      </c>
    </row>
    <row r="1705" spans="1:14" x14ac:dyDescent="0.3">
      <c r="A1705" s="1" t="s">
        <v>11</v>
      </c>
      <c r="B1705">
        <v>21</v>
      </c>
      <c r="C1705">
        <v>33</v>
      </c>
      <c r="D1705" s="1" t="s">
        <v>112</v>
      </c>
      <c r="E1705" s="1">
        <v>21000000</v>
      </c>
      <c r="F1705">
        <f t="shared" si="130"/>
        <v>5547615.7140177684</v>
      </c>
      <c r="G1705">
        <v>150000</v>
      </c>
      <c r="H1705" t="s">
        <v>115</v>
      </c>
      <c r="I1705" s="1" t="s">
        <v>229</v>
      </c>
      <c r="J1705" s="1" t="s">
        <v>216</v>
      </c>
      <c r="K1705" s="9">
        <v>26.6</v>
      </c>
      <c r="L1705" t="s">
        <v>21</v>
      </c>
      <c r="M1705">
        <f t="shared" si="134"/>
        <v>2.6600000000000002E-2</v>
      </c>
      <c r="N1705">
        <f t="shared" si="135"/>
        <v>0.98377718661915103</v>
      </c>
    </row>
    <row r="1706" spans="1:14" x14ac:dyDescent="0.3">
      <c r="A1706" s="1" t="s">
        <v>12</v>
      </c>
      <c r="B1706">
        <v>21</v>
      </c>
      <c r="C1706">
        <v>32</v>
      </c>
      <c r="D1706" s="1" t="s">
        <v>111</v>
      </c>
      <c r="E1706" s="1">
        <v>27200000</v>
      </c>
      <c r="F1706">
        <f t="shared" si="130"/>
        <v>7185483.2105372995</v>
      </c>
      <c r="G1706">
        <v>190000</v>
      </c>
      <c r="H1706" t="s">
        <v>115</v>
      </c>
      <c r="I1706" s="1" t="s">
        <v>229</v>
      </c>
      <c r="J1706" s="1" t="s">
        <v>216</v>
      </c>
      <c r="K1706" s="9">
        <v>5.74</v>
      </c>
      <c r="L1706" t="s">
        <v>21</v>
      </c>
      <c r="M1706">
        <f t="shared" si="134"/>
        <v>5.7400000000000003E-3</v>
      </c>
      <c r="N1706">
        <f t="shared" si="135"/>
        <v>0.21707722962360054</v>
      </c>
    </row>
    <row r="1707" spans="1:14" x14ac:dyDescent="0.3">
      <c r="A1707" s="1" t="s">
        <v>12</v>
      </c>
      <c r="B1707">
        <v>21</v>
      </c>
      <c r="C1707">
        <v>33</v>
      </c>
      <c r="D1707" s="1" t="s">
        <v>112</v>
      </c>
      <c r="E1707" s="1">
        <v>21000000</v>
      </c>
      <c r="F1707">
        <f t="shared" si="130"/>
        <v>5547615.7140177684</v>
      </c>
      <c r="G1707">
        <v>150000</v>
      </c>
      <c r="H1707" t="s">
        <v>115</v>
      </c>
      <c r="I1707" s="1" t="s">
        <v>229</v>
      </c>
      <c r="J1707" s="1" t="s">
        <v>216</v>
      </c>
      <c r="K1707" s="9" t="s">
        <v>20</v>
      </c>
      <c r="L1707" t="s">
        <v>21</v>
      </c>
      <c r="M1707" t="str">
        <f t="shared" si="134"/>
        <v>ND</v>
      </c>
      <c r="N1707" t="str">
        <f t="shared" si="135"/>
        <v>ND</v>
      </c>
    </row>
    <row r="1708" spans="1:14" x14ac:dyDescent="0.3">
      <c r="A1708" s="1" t="s">
        <v>13</v>
      </c>
      <c r="B1708">
        <v>21</v>
      </c>
      <c r="C1708">
        <v>32</v>
      </c>
      <c r="D1708" s="1" t="s">
        <v>111</v>
      </c>
      <c r="E1708" s="1">
        <v>27200000</v>
      </c>
      <c r="F1708">
        <f t="shared" si="130"/>
        <v>7185483.2105372995</v>
      </c>
      <c r="G1708">
        <v>190000</v>
      </c>
      <c r="H1708" t="s">
        <v>115</v>
      </c>
      <c r="I1708" s="1" t="s">
        <v>229</v>
      </c>
      <c r="J1708" s="1" t="s">
        <v>216</v>
      </c>
      <c r="K1708" s="9">
        <v>23.5</v>
      </c>
      <c r="L1708" t="s">
        <v>21</v>
      </c>
      <c r="M1708">
        <f t="shared" si="134"/>
        <v>2.35E-2</v>
      </c>
      <c r="N1708">
        <f t="shared" si="135"/>
        <v>0.88873081814540278</v>
      </c>
    </row>
    <row r="1709" spans="1:14" x14ac:dyDescent="0.3">
      <c r="A1709" s="1" t="s">
        <v>13</v>
      </c>
      <c r="B1709">
        <v>21</v>
      </c>
      <c r="C1709">
        <v>33</v>
      </c>
      <c r="D1709" s="1" t="s">
        <v>112</v>
      </c>
      <c r="E1709" s="1">
        <v>21000000</v>
      </c>
      <c r="F1709">
        <f t="shared" si="130"/>
        <v>5547615.7140177684</v>
      </c>
      <c r="G1709">
        <v>150000</v>
      </c>
      <c r="H1709" t="s">
        <v>115</v>
      </c>
      <c r="I1709" s="1" t="s">
        <v>229</v>
      </c>
      <c r="J1709" s="1" t="s">
        <v>216</v>
      </c>
      <c r="K1709" s="9">
        <v>57.2</v>
      </c>
      <c r="L1709" t="s">
        <v>21</v>
      </c>
      <c r="M1709">
        <f t="shared" si="134"/>
        <v>5.7200000000000001E-2</v>
      </c>
      <c r="N1709">
        <f t="shared" si="135"/>
        <v>2.1154907922787758</v>
      </c>
    </row>
    <row r="1710" spans="1:14" x14ac:dyDescent="0.3">
      <c r="A1710" s="1" t="s">
        <v>27</v>
      </c>
      <c r="B1710">
        <v>21</v>
      </c>
      <c r="C1710">
        <v>32</v>
      </c>
      <c r="D1710" s="1" t="s">
        <v>111</v>
      </c>
      <c r="E1710" s="1">
        <v>27200000</v>
      </c>
      <c r="F1710">
        <f t="shared" si="130"/>
        <v>7185483.2105372995</v>
      </c>
      <c r="G1710">
        <v>190000</v>
      </c>
      <c r="H1710" t="s">
        <v>115</v>
      </c>
      <c r="I1710" s="1" t="s">
        <v>229</v>
      </c>
      <c r="J1710" s="1" t="s">
        <v>216</v>
      </c>
      <c r="K1710" s="9">
        <v>162</v>
      </c>
      <c r="L1710" t="s">
        <v>21</v>
      </c>
      <c r="M1710">
        <f t="shared" si="134"/>
        <v>0.16200000000000001</v>
      </c>
      <c r="N1710">
        <f t="shared" si="135"/>
        <v>6.1265698953002241</v>
      </c>
    </row>
    <row r="1711" spans="1:14" x14ac:dyDescent="0.3">
      <c r="A1711" s="1" t="s">
        <v>27</v>
      </c>
      <c r="B1711">
        <v>21</v>
      </c>
      <c r="C1711">
        <v>33</v>
      </c>
      <c r="D1711" s="1" t="s">
        <v>112</v>
      </c>
      <c r="E1711" s="1">
        <v>21000000</v>
      </c>
      <c r="F1711">
        <f t="shared" si="130"/>
        <v>5547615.7140177684</v>
      </c>
      <c r="G1711">
        <v>150000</v>
      </c>
      <c r="H1711" t="s">
        <v>115</v>
      </c>
      <c r="I1711" s="1" t="s">
        <v>229</v>
      </c>
      <c r="J1711" s="1" t="s">
        <v>216</v>
      </c>
      <c r="K1711" s="9">
        <v>366</v>
      </c>
      <c r="L1711" t="s">
        <v>21</v>
      </c>
      <c r="M1711">
        <f t="shared" si="134"/>
        <v>0.36599999999999999</v>
      </c>
      <c r="N1711">
        <f t="shared" si="135"/>
        <v>13.536182342203354</v>
      </c>
    </row>
    <row r="1712" spans="1:14" x14ac:dyDescent="0.3">
      <c r="A1712" s="1" t="s">
        <v>39</v>
      </c>
      <c r="B1712">
        <v>21</v>
      </c>
      <c r="C1712">
        <v>32</v>
      </c>
      <c r="D1712" s="1" t="s">
        <v>111</v>
      </c>
      <c r="E1712" s="1">
        <v>27200000</v>
      </c>
      <c r="F1712">
        <f t="shared" si="130"/>
        <v>7185483.2105372995</v>
      </c>
      <c r="G1712">
        <v>190000</v>
      </c>
      <c r="H1712" t="s">
        <v>115</v>
      </c>
      <c r="I1712" s="1" t="s">
        <v>229</v>
      </c>
      <c r="J1712" s="1" t="s">
        <v>216</v>
      </c>
      <c r="K1712" s="9">
        <v>216</v>
      </c>
      <c r="L1712" t="s">
        <v>21</v>
      </c>
      <c r="M1712">
        <f t="shared" si="134"/>
        <v>0.216</v>
      </c>
      <c r="N1712">
        <f t="shared" si="135"/>
        <v>8.1687598604002982</v>
      </c>
    </row>
    <row r="1713" spans="1:14" x14ac:dyDescent="0.3">
      <c r="A1713" s="1" t="s">
        <v>39</v>
      </c>
      <c r="B1713">
        <v>21</v>
      </c>
      <c r="C1713">
        <v>33</v>
      </c>
      <c r="D1713" s="1" t="s">
        <v>112</v>
      </c>
      <c r="E1713" s="1">
        <v>21000000</v>
      </c>
      <c r="F1713">
        <f t="shared" ref="F1713:F1719" si="136">E1713/3.78541</f>
        <v>5547615.7140177684</v>
      </c>
      <c r="G1713">
        <v>150000</v>
      </c>
      <c r="H1713" t="s">
        <v>115</v>
      </c>
      <c r="I1713" s="1" t="s">
        <v>229</v>
      </c>
      <c r="J1713" s="1" t="s">
        <v>216</v>
      </c>
      <c r="K1713" s="9">
        <v>280</v>
      </c>
      <c r="L1713" t="s">
        <v>21</v>
      </c>
      <c r="M1713">
        <f t="shared" si="134"/>
        <v>0.28000000000000003</v>
      </c>
      <c r="N1713">
        <f t="shared" si="135"/>
        <v>10.355549332833169</v>
      </c>
    </row>
    <row r="1714" spans="1:14" x14ac:dyDescent="0.3">
      <c r="A1714" s="1" t="s">
        <v>19</v>
      </c>
      <c r="B1714">
        <v>21</v>
      </c>
      <c r="C1714">
        <v>32</v>
      </c>
      <c r="D1714" s="1" t="s">
        <v>111</v>
      </c>
      <c r="E1714" s="1">
        <v>27200000</v>
      </c>
      <c r="F1714">
        <f t="shared" si="136"/>
        <v>7185483.2105372995</v>
      </c>
      <c r="G1714">
        <v>190000</v>
      </c>
      <c r="H1714" t="s">
        <v>115</v>
      </c>
      <c r="I1714" s="1" t="s">
        <v>229</v>
      </c>
      <c r="J1714" s="1" t="s">
        <v>216</v>
      </c>
      <c r="K1714" s="9">
        <v>117</v>
      </c>
      <c r="L1714" t="s">
        <v>21</v>
      </c>
      <c r="M1714">
        <f t="shared" si="134"/>
        <v>0.11700000000000001</v>
      </c>
      <c r="N1714">
        <f t="shared" si="135"/>
        <v>4.4247449243834955</v>
      </c>
    </row>
    <row r="1715" spans="1:14" x14ac:dyDescent="0.3">
      <c r="A1715" s="1" t="s">
        <v>19</v>
      </c>
      <c r="B1715">
        <v>21</v>
      </c>
      <c r="C1715">
        <v>33</v>
      </c>
      <c r="D1715" s="1" t="s">
        <v>112</v>
      </c>
      <c r="E1715" s="1">
        <v>21000000</v>
      </c>
      <c r="F1715">
        <f t="shared" si="136"/>
        <v>5547615.7140177684</v>
      </c>
      <c r="G1715">
        <v>150000</v>
      </c>
      <c r="H1715" t="s">
        <v>115</v>
      </c>
      <c r="I1715" s="1" t="s">
        <v>229</v>
      </c>
      <c r="J1715" s="1" t="s">
        <v>216</v>
      </c>
      <c r="K1715" s="9">
        <v>169</v>
      </c>
      <c r="L1715" t="s">
        <v>21</v>
      </c>
      <c r="M1715">
        <f t="shared" si="134"/>
        <v>0.16900000000000001</v>
      </c>
      <c r="N1715">
        <f t="shared" si="135"/>
        <v>6.2503137044600194</v>
      </c>
    </row>
    <row r="1716" spans="1:14" x14ac:dyDescent="0.3">
      <c r="A1716" s="1" t="s">
        <v>42</v>
      </c>
      <c r="B1716">
        <v>21</v>
      </c>
      <c r="C1716">
        <v>32</v>
      </c>
      <c r="D1716" s="1" t="s">
        <v>111</v>
      </c>
      <c r="E1716" s="1">
        <v>27200000</v>
      </c>
      <c r="F1716">
        <f t="shared" si="136"/>
        <v>7185483.2105372995</v>
      </c>
      <c r="G1716">
        <v>190000</v>
      </c>
      <c r="H1716" t="s">
        <v>115</v>
      </c>
      <c r="I1716" s="1" t="s">
        <v>229</v>
      </c>
      <c r="J1716" s="1" t="s">
        <v>216</v>
      </c>
      <c r="K1716" s="9">
        <v>409</v>
      </c>
      <c r="L1716" t="s">
        <v>21</v>
      </c>
      <c r="M1716">
        <f t="shared" si="134"/>
        <v>0.40899999999999997</v>
      </c>
      <c r="N1716">
        <f t="shared" si="135"/>
        <v>15.467698068998713</v>
      </c>
    </row>
    <row r="1717" spans="1:14" x14ac:dyDescent="0.3">
      <c r="A1717" s="1" t="s">
        <v>42</v>
      </c>
      <c r="B1717">
        <v>21</v>
      </c>
      <c r="C1717">
        <v>33</v>
      </c>
      <c r="D1717" s="1" t="s">
        <v>112</v>
      </c>
      <c r="E1717" s="1">
        <v>21000000</v>
      </c>
      <c r="F1717">
        <f t="shared" si="136"/>
        <v>5547615.7140177684</v>
      </c>
      <c r="G1717">
        <v>150000</v>
      </c>
      <c r="H1717" t="s">
        <v>115</v>
      </c>
      <c r="I1717" s="1" t="s">
        <v>229</v>
      </c>
      <c r="J1717" s="1" t="s">
        <v>216</v>
      </c>
      <c r="K1717" s="9">
        <v>572</v>
      </c>
      <c r="L1717" t="s">
        <v>21</v>
      </c>
      <c r="M1717">
        <f t="shared" si="134"/>
        <v>0.57199999999999995</v>
      </c>
      <c r="N1717">
        <f t="shared" si="135"/>
        <v>21.154907922787757</v>
      </c>
    </row>
    <row r="1718" spans="1:14" x14ac:dyDescent="0.3">
      <c r="A1718" s="1" t="s">
        <v>29</v>
      </c>
      <c r="B1718">
        <v>21</v>
      </c>
      <c r="C1718">
        <v>32</v>
      </c>
      <c r="D1718" s="1" t="s">
        <v>111</v>
      </c>
      <c r="E1718" s="1">
        <v>27200000</v>
      </c>
      <c r="F1718">
        <f t="shared" si="136"/>
        <v>7185483.2105372995</v>
      </c>
      <c r="G1718">
        <v>190000</v>
      </c>
      <c r="H1718" t="s">
        <v>115</v>
      </c>
      <c r="I1718" s="1" t="s">
        <v>229</v>
      </c>
      <c r="J1718" s="1" t="s">
        <v>216</v>
      </c>
      <c r="K1718" s="9">
        <v>294</v>
      </c>
      <c r="L1718" t="s">
        <v>21</v>
      </c>
      <c r="M1718">
        <f t="shared" si="134"/>
        <v>0.29399999999999998</v>
      </c>
      <c r="N1718">
        <f t="shared" si="135"/>
        <v>11.118589809989295</v>
      </c>
    </row>
    <row r="1719" spans="1:14" x14ac:dyDescent="0.3">
      <c r="A1719" s="1" t="s">
        <v>29</v>
      </c>
      <c r="B1719">
        <v>21</v>
      </c>
      <c r="C1719">
        <v>33</v>
      </c>
      <c r="D1719" s="1" t="s">
        <v>112</v>
      </c>
      <c r="E1719" s="1">
        <v>21000000</v>
      </c>
      <c r="F1719">
        <f t="shared" si="136"/>
        <v>5547615.7140177684</v>
      </c>
      <c r="G1719">
        <v>150000</v>
      </c>
      <c r="H1719" t="s">
        <v>115</v>
      </c>
      <c r="I1719" s="1" t="s">
        <v>229</v>
      </c>
      <c r="J1719" s="1" t="s">
        <v>216</v>
      </c>
      <c r="K1719" s="9">
        <v>367</v>
      </c>
      <c r="L1719" t="s">
        <v>21</v>
      </c>
      <c r="M1719">
        <f t="shared" si="134"/>
        <v>0.36699999999999999</v>
      </c>
      <c r="N1719">
        <f t="shared" si="135"/>
        <v>13.573166446963473</v>
      </c>
    </row>
    <row r="1720" spans="1:14" x14ac:dyDescent="0.3">
      <c r="A1720" s="1" t="s">
        <v>162</v>
      </c>
      <c r="B1720">
        <v>22</v>
      </c>
      <c r="C1720">
        <v>35</v>
      </c>
      <c r="D1720" s="1" t="s">
        <v>113</v>
      </c>
      <c r="E1720" s="1">
        <v>5000000</v>
      </c>
      <c r="F1720">
        <f>E1720/3.78541</f>
        <v>1320860.8842899448</v>
      </c>
      <c r="G1720">
        <v>20000</v>
      </c>
      <c r="H1720" s="2">
        <v>43009</v>
      </c>
      <c r="I1720" s="1" t="s">
        <v>229</v>
      </c>
      <c r="J1720" s="1" t="s">
        <v>216</v>
      </c>
      <c r="K1720" s="9">
        <v>10.7</v>
      </c>
      <c r="L1720" t="s">
        <v>21</v>
      </c>
      <c r="M1720">
        <f t="shared" si="134"/>
        <v>1.0699999999999999E-2</v>
      </c>
      <c r="N1720">
        <f t="shared" si="135"/>
        <v>0.70666057309512043</v>
      </c>
    </row>
    <row r="1721" spans="1:14" x14ac:dyDescent="0.3">
      <c r="A1721" s="1" t="s">
        <v>27</v>
      </c>
      <c r="B1721">
        <v>23</v>
      </c>
      <c r="C1721">
        <v>51</v>
      </c>
      <c r="D1721" s="1" t="s">
        <v>164</v>
      </c>
      <c r="E1721" s="1">
        <v>28425</v>
      </c>
      <c r="F1721">
        <f>E1721*1000</f>
        <v>28425000</v>
      </c>
      <c r="G1721">
        <f>F1721/310.404</f>
        <v>91574.206517957238</v>
      </c>
      <c r="H1721" s="1" t="s">
        <v>114</v>
      </c>
      <c r="I1721" s="1" t="s">
        <v>98</v>
      </c>
      <c r="J1721" s="1" t="s">
        <v>216</v>
      </c>
      <c r="K1721" s="9">
        <f>AVERAGE(0.16,0.57)*1000</f>
        <v>365</v>
      </c>
      <c r="L1721" t="s">
        <v>21</v>
      </c>
      <c r="M1721">
        <f t="shared" ref="M1721:M1726" si="137">IFERROR(K1721/1000,"ND")</f>
        <v>0.36499999999999999</v>
      </c>
      <c r="N1721">
        <f t="shared" si="135"/>
        <v>113.29746</v>
      </c>
    </row>
    <row r="1722" spans="1:14" x14ac:dyDescent="0.3">
      <c r="A1722" s="1" t="s">
        <v>30</v>
      </c>
      <c r="B1722">
        <v>23</v>
      </c>
      <c r="C1722">
        <v>51</v>
      </c>
      <c r="D1722" s="1" t="s">
        <v>164</v>
      </c>
      <c r="E1722" s="1">
        <v>28425</v>
      </c>
      <c r="F1722">
        <f t="shared" ref="F1722:F1726" si="138">E1722*1000</f>
        <v>28425000</v>
      </c>
      <c r="G1722">
        <f t="shared" ref="G1722:G1785" si="139">F1722/310.404</f>
        <v>91574.206517957238</v>
      </c>
      <c r="H1722" s="1" t="s">
        <v>114</v>
      </c>
      <c r="I1722" s="1" t="s">
        <v>98</v>
      </c>
      <c r="J1722" s="1" t="s">
        <v>216</v>
      </c>
      <c r="K1722" s="9">
        <f>AVERAGE(0.17,0.36)*1000</f>
        <v>265</v>
      </c>
      <c r="L1722" t="s">
        <v>21</v>
      </c>
      <c r="M1722">
        <f t="shared" si="137"/>
        <v>0.26500000000000001</v>
      </c>
      <c r="N1722">
        <f t="shared" si="135"/>
        <v>82.25706000000001</v>
      </c>
    </row>
    <row r="1723" spans="1:14" x14ac:dyDescent="0.3">
      <c r="A1723" s="1" t="s">
        <v>32</v>
      </c>
      <c r="B1723">
        <v>23</v>
      </c>
      <c r="C1723">
        <v>51</v>
      </c>
      <c r="D1723" s="1" t="s">
        <v>164</v>
      </c>
      <c r="E1723" s="1">
        <v>28425</v>
      </c>
      <c r="F1723">
        <f t="shared" si="138"/>
        <v>28425000</v>
      </c>
      <c r="G1723">
        <f t="shared" si="139"/>
        <v>91574.206517957238</v>
      </c>
      <c r="H1723" s="1" t="s">
        <v>114</v>
      </c>
      <c r="I1723" s="1" t="s">
        <v>98</v>
      </c>
      <c r="J1723" s="1" t="s">
        <v>216</v>
      </c>
      <c r="K1723" s="9">
        <f>0.11*1000</f>
        <v>110</v>
      </c>
      <c r="L1723" t="s">
        <v>21</v>
      </c>
      <c r="M1723">
        <f t="shared" si="137"/>
        <v>0.11</v>
      </c>
      <c r="N1723">
        <f t="shared" si="135"/>
        <v>34.144440000000003</v>
      </c>
    </row>
    <row r="1724" spans="1:14" x14ac:dyDescent="0.3">
      <c r="A1724" s="1" t="s">
        <v>53</v>
      </c>
      <c r="B1724">
        <v>23</v>
      </c>
      <c r="C1724">
        <v>51</v>
      </c>
      <c r="D1724" s="1" t="s">
        <v>164</v>
      </c>
      <c r="E1724" s="1">
        <v>28425</v>
      </c>
      <c r="F1724">
        <f t="shared" si="138"/>
        <v>28425000</v>
      </c>
      <c r="G1724">
        <f t="shared" si="139"/>
        <v>91574.206517957238</v>
      </c>
      <c r="H1724" s="1" t="s">
        <v>114</v>
      </c>
      <c r="I1724" s="1" t="s">
        <v>98</v>
      </c>
      <c r="J1724" s="1" t="s">
        <v>216</v>
      </c>
      <c r="K1724" s="9">
        <f>AVERAGE(1.35,6.03)*1000</f>
        <v>3690.0000000000005</v>
      </c>
      <c r="L1724" t="s">
        <v>21</v>
      </c>
      <c r="M1724">
        <f t="shared" si="137"/>
        <v>3.6900000000000004</v>
      </c>
      <c r="N1724">
        <f t="shared" si="135"/>
        <v>1145.3907600000002</v>
      </c>
    </row>
    <row r="1725" spans="1:14" x14ac:dyDescent="0.3">
      <c r="A1725" s="1" t="s">
        <v>57</v>
      </c>
      <c r="B1725">
        <v>23</v>
      </c>
      <c r="C1725">
        <v>51</v>
      </c>
      <c r="D1725" s="1" t="s">
        <v>164</v>
      </c>
      <c r="E1725" s="1">
        <v>28425</v>
      </c>
      <c r="F1725">
        <f t="shared" si="138"/>
        <v>28425000</v>
      </c>
      <c r="G1725">
        <f t="shared" si="139"/>
        <v>91574.206517957238</v>
      </c>
      <c r="H1725" s="1" t="s">
        <v>114</v>
      </c>
      <c r="I1725" s="1" t="s">
        <v>98</v>
      </c>
      <c r="J1725" s="1" t="s">
        <v>216</v>
      </c>
      <c r="K1725" s="9">
        <f>AVERAGE(0.03,0.07)*1000</f>
        <v>50</v>
      </c>
      <c r="L1725" t="s">
        <v>21</v>
      </c>
      <c r="M1725">
        <f t="shared" si="137"/>
        <v>0.05</v>
      </c>
      <c r="N1725">
        <f t="shared" si="135"/>
        <v>15.520200000000001</v>
      </c>
    </row>
    <row r="1726" spans="1:14" x14ac:dyDescent="0.3">
      <c r="A1726" s="1" t="s">
        <v>138</v>
      </c>
      <c r="B1726">
        <v>23</v>
      </c>
      <c r="C1726">
        <v>51</v>
      </c>
      <c r="D1726" s="1" t="s">
        <v>164</v>
      </c>
      <c r="E1726" s="1">
        <v>28425</v>
      </c>
      <c r="F1726">
        <f t="shared" si="138"/>
        <v>28425000</v>
      </c>
      <c r="G1726">
        <f t="shared" si="139"/>
        <v>91574.206517957238</v>
      </c>
      <c r="H1726" s="1" t="s">
        <v>114</v>
      </c>
      <c r="I1726" s="1" t="s">
        <v>98</v>
      </c>
      <c r="J1726" s="1" t="s">
        <v>216</v>
      </c>
      <c r="K1726" s="9">
        <v>715</v>
      </c>
      <c r="L1726" t="s">
        <v>21</v>
      </c>
      <c r="M1726">
        <f t="shared" si="137"/>
        <v>0.71499999999999997</v>
      </c>
      <c r="N1726">
        <f t="shared" si="135"/>
        <v>221.93886000000001</v>
      </c>
    </row>
    <row r="1727" spans="1:14" x14ac:dyDescent="0.3">
      <c r="A1727" s="1" t="s">
        <v>171</v>
      </c>
      <c r="B1727">
        <v>24</v>
      </c>
      <c r="C1727">
        <v>52</v>
      </c>
      <c r="D1727" s="1" t="s">
        <v>165</v>
      </c>
      <c r="E1727" s="1">
        <v>10000000</v>
      </c>
      <c r="F1727">
        <f>E1727/3.78541</f>
        <v>2641721.7685798896</v>
      </c>
      <c r="G1727">
        <f t="shared" si="139"/>
        <v>8510.5919014570991</v>
      </c>
      <c r="H1727" s="1" t="s">
        <v>168</v>
      </c>
      <c r="I1727" s="1" t="s">
        <v>246</v>
      </c>
      <c r="J1727" s="1" t="s">
        <v>247</v>
      </c>
      <c r="K1727" s="9">
        <v>0</v>
      </c>
      <c r="L1727" t="s">
        <v>21</v>
      </c>
      <c r="M1727">
        <f t="shared" ref="M1727:M1790" si="140">IFERROR(K1727/1000,"ND")</f>
        <v>0</v>
      </c>
      <c r="N1727">
        <f t="shared" si="135"/>
        <v>0</v>
      </c>
    </row>
    <row r="1728" spans="1:14" x14ac:dyDescent="0.3">
      <c r="A1728" s="1" t="s">
        <v>171</v>
      </c>
      <c r="B1728">
        <v>24</v>
      </c>
      <c r="C1728">
        <v>53</v>
      </c>
      <c r="D1728" s="1" t="s">
        <v>166</v>
      </c>
      <c r="E1728" s="1">
        <v>14000000</v>
      </c>
      <c r="F1728">
        <f t="shared" ref="F1728:F1791" si="141">E1728/3.78541</f>
        <v>3698410.4760118453</v>
      </c>
      <c r="G1728">
        <f t="shared" si="139"/>
        <v>11914.828662039939</v>
      </c>
      <c r="H1728" s="1" t="s">
        <v>168</v>
      </c>
      <c r="I1728" s="1" t="s">
        <v>246</v>
      </c>
      <c r="J1728" s="1" t="s">
        <v>247</v>
      </c>
      <c r="K1728" s="9">
        <v>0</v>
      </c>
      <c r="L1728" t="s">
        <v>21</v>
      </c>
      <c r="M1728">
        <f t="shared" si="140"/>
        <v>0</v>
      </c>
      <c r="N1728">
        <f t="shared" si="135"/>
        <v>0</v>
      </c>
    </row>
    <row r="1729" spans="1:14" x14ac:dyDescent="0.3">
      <c r="A1729" s="1" t="s">
        <v>171</v>
      </c>
      <c r="B1729">
        <v>24</v>
      </c>
      <c r="C1729">
        <v>54</v>
      </c>
      <c r="D1729" s="1" t="s">
        <v>167</v>
      </c>
      <c r="E1729" s="1">
        <v>4000000</v>
      </c>
      <c r="F1729">
        <f t="shared" si="141"/>
        <v>1056688.7074319557</v>
      </c>
      <c r="G1729">
        <f t="shared" si="139"/>
        <v>3404.2367605828395</v>
      </c>
      <c r="H1729" s="1" t="s">
        <v>168</v>
      </c>
      <c r="I1729" s="1" t="s">
        <v>246</v>
      </c>
      <c r="J1729" s="1" t="s">
        <v>247</v>
      </c>
      <c r="K1729" s="9">
        <v>0</v>
      </c>
      <c r="L1729" t="s">
        <v>21</v>
      </c>
      <c r="M1729">
        <f t="shared" si="140"/>
        <v>0</v>
      </c>
      <c r="N1729">
        <f t="shared" si="135"/>
        <v>0</v>
      </c>
    </row>
    <row r="1730" spans="1:14" x14ac:dyDescent="0.3">
      <c r="A1730" s="1" t="s">
        <v>68</v>
      </c>
      <c r="B1730">
        <v>24</v>
      </c>
      <c r="C1730">
        <v>52</v>
      </c>
      <c r="D1730" s="1" t="s">
        <v>165</v>
      </c>
      <c r="E1730" s="1">
        <v>10000000</v>
      </c>
      <c r="F1730">
        <f t="shared" si="141"/>
        <v>2641721.7685798896</v>
      </c>
      <c r="G1730">
        <f t="shared" si="139"/>
        <v>8510.5919014570991</v>
      </c>
      <c r="H1730" s="1" t="s">
        <v>168</v>
      </c>
      <c r="I1730" s="1" t="s">
        <v>246</v>
      </c>
      <c r="J1730" s="1" t="s">
        <v>247</v>
      </c>
      <c r="K1730" s="9">
        <v>13.6</v>
      </c>
      <c r="L1730" t="s">
        <v>21</v>
      </c>
      <c r="M1730">
        <f t="shared" si="140"/>
        <v>1.3599999999999999E-2</v>
      </c>
      <c r="N1730">
        <f t="shared" si="135"/>
        <v>4.2214944000000001</v>
      </c>
    </row>
    <row r="1731" spans="1:14" x14ac:dyDescent="0.3">
      <c r="A1731" s="1" t="s">
        <v>68</v>
      </c>
      <c r="B1731">
        <v>24</v>
      </c>
      <c r="C1731">
        <v>53</v>
      </c>
      <c r="D1731" s="1" t="s">
        <v>166</v>
      </c>
      <c r="E1731" s="1">
        <v>14000000</v>
      </c>
      <c r="F1731">
        <f t="shared" si="141"/>
        <v>3698410.4760118453</v>
      </c>
      <c r="G1731">
        <f t="shared" si="139"/>
        <v>11914.828662039939</v>
      </c>
      <c r="H1731" s="1" t="s">
        <v>168</v>
      </c>
      <c r="I1731" s="1" t="s">
        <v>246</v>
      </c>
      <c r="J1731" s="1" t="s">
        <v>247</v>
      </c>
      <c r="K1731" s="9">
        <v>0</v>
      </c>
      <c r="L1731" t="s">
        <v>21</v>
      </c>
      <c r="M1731">
        <f t="shared" si="140"/>
        <v>0</v>
      </c>
      <c r="N1731">
        <f t="shared" si="135"/>
        <v>0</v>
      </c>
    </row>
    <row r="1732" spans="1:14" x14ac:dyDescent="0.3">
      <c r="A1732" s="1" t="s">
        <v>68</v>
      </c>
      <c r="B1732">
        <v>24</v>
      </c>
      <c r="C1732">
        <v>54</v>
      </c>
      <c r="D1732" s="1" t="s">
        <v>167</v>
      </c>
      <c r="E1732" s="1">
        <v>4000000</v>
      </c>
      <c r="F1732">
        <f t="shared" si="141"/>
        <v>1056688.7074319557</v>
      </c>
      <c r="G1732">
        <f t="shared" si="139"/>
        <v>3404.2367605828395</v>
      </c>
      <c r="H1732" s="1" t="s">
        <v>168</v>
      </c>
      <c r="I1732" s="1" t="s">
        <v>246</v>
      </c>
      <c r="J1732" s="1" t="s">
        <v>247</v>
      </c>
      <c r="K1732" s="9">
        <v>52.8</v>
      </c>
      <c r="L1732" t="s">
        <v>21</v>
      </c>
      <c r="M1732">
        <f t="shared" si="140"/>
        <v>5.28E-2</v>
      </c>
      <c r="N1732">
        <f t="shared" si="135"/>
        <v>16.389331200000001</v>
      </c>
    </row>
    <row r="1733" spans="1:14" x14ac:dyDescent="0.3">
      <c r="A1733" s="1" t="s">
        <v>25</v>
      </c>
      <c r="B1733">
        <v>24</v>
      </c>
      <c r="C1733">
        <v>52</v>
      </c>
      <c r="D1733" s="1" t="s">
        <v>165</v>
      </c>
      <c r="E1733" s="1">
        <v>10000000</v>
      </c>
      <c r="F1733">
        <f t="shared" si="141"/>
        <v>2641721.7685798896</v>
      </c>
      <c r="G1733">
        <f t="shared" si="139"/>
        <v>8510.5919014570991</v>
      </c>
      <c r="H1733" s="1" t="s">
        <v>168</v>
      </c>
      <c r="I1733" s="1" t="s">
        <v>246</v>
      </c>
      <c r="J1733" s="1" t="s">
        <v>247</v>
      </c>
      <c r="K1733" s="9">
        <v>4.3</v>
      </c>
      <c r="L1733" t="s">
        <v>21</v>
      </c>
      <c r="M1733">
        <f t="shared" si="140"/>
        <v>4.3E-3</v>
      </c>
      <c r="N1733">
        <f t="shared" si="135"/>
        <v>1.3347372000000002</v>
      </c>
    </row>
    <row r="1734" spans="1:14" x14ac:dyDescent="0.3">
      <c r="A1734" s="1" t="s">
        <v>25</v>
      </c>
      <c r="B1734">
        <v>24</v>
      </c>
      <c r="C1734">
        <v>53</v>
      </c>
      <c r="D1734" s="1" t="s">
        <v>166</v>
      </c>
      <c r="E1734" s="1">
        <v>14000000</v>
      </c>
      <c r="F1734">
        <f t="shared" si="141"/>
        <v>3698410.4760118453</v>
      </c>
      <c r="G1734">
        <f t="shared" si="139"/>
        <v>11914.828662039939</v>
      </c>
      <c r="H1734" s="1" t="s">
        <v>168</v>
      </c>
      <c r="I1734" s="1" t="s">
        <v>246</v>
      </c>
      <c r="J1734" s="1" t="s">
        <v>247</v>
      </c>
      <c r="K1734" s="9">
        <v>120.6</v>
      </c>
      <c r="L1734" t="s">
        <v>21</v>
      </c>
      <c r="M1734">
        <f t="shared" si="140"/>
        <v>0.1206</v>
      </c>
      <c r="N1734">
        <f t="shared" si="135"/>
        <v>37.434722399999998</v>
      </c>
    </row>
    <row r="1735" spans="1:14" x14ac:dyDescent="0.3">
      <c r="A1735" s="1" t="s">
        <v>25</v>
      </c>
      <c r="B1735">
        <v>24</v>
      </c>
      <c r="C1735">
        <v>54</v>
      </c>
      <c r="D1735" s="1" t="s">
        <v>167</v>
      </c>
      <c r="E1735" s="1">
        <v>4000000</v>
      </c>
      <c r="F1735">
        <f t="shared" si="141"/>
        <v>1056688.7074319557</v>
      </c>
      <c r="G1735">
        <f t="shared" si="139"/>
        <v>3404.2367605828395</v>
      </c>
      <c r="H1735" s="1" t="s">
        <v>168</v>
      </c>
      <c r="I1735" s="1" t="s">
        <v>246</v>
      </c>
      <c r="J1735" s="1" t="s">
        <v>247</v>
      </c>
      <c r="K1735" s="9">
        <v>26.4</v>
      </c>
      <c r="L1735" t="s">
        <v>21</v>
      </c>
      <c r="M1735">
        <f t="shared" si="140"/>
        <v>2.64E-2</v>
      </c>
      <c r="N1735">
        <f t="shared" si="135"/>
        <v>8.1946656000000004</v>
      </c>
    </row>
    <row r="1736" spans="1:14" x14ac:dyDescent="0.3">
      <c r="A1736" s="1" t="s">
        <v>28</v>
      </c>
      <c r="B1736">
        <v>24</v>
      </c>
      <c r="C1736">
        <v>52</v>
      </c>
      <c r="D1736" s="1" t="s">
        <v>165</v>
      </c>
      <c r="E1736" s="1">
        <v>10000000</v>
      </c>
      <c r="F1736">
        <f t="shared" si="141"/>
        <v>2641721.7685798896</v>
      </c>
      <c r="G1736">
        <f t="shared" si="139"/>
        <v>8510.5919014570991</v>
      </c>
      <c r="H1736" s="1" t="s">
        <v>168</v>
      </c>
      <c r="I1736" s="1" t="s">
        <v>246</v>
      </c>
      <c r="J1736" s="1" t="s">
        <v>247</v>
      </c>
      <c r="K1736" s="9">
        <v>0.2</v>
      </c>
      <c r="L1736" t="s">
        <v>21</v>
      </c>
      <c r="M1736">
        <f t="shared" si="140"/>
        <v>2.0000000000000001E-4</v>
      </c>
      <c r="N1736">
        <f t="shared" si="135"/>
        <v>6.2080800000000005E-2</v>
      </c>
    </row>
    <row r="1737" spans="1:14" x14ac:dyDescent="0.3">
      <c r="A1737" s="1" t="s">
        <v>28</v>
      </c>
      <c r="B1737">
        <v>24</v>
      </c>
      <c r="C1737">
        <v>53</v>
      </c>
      <c r="D1737" s="1" t="s">
        <v>166</v>
      </c>
      <c r="E1737" s="1">
        <v>14000000</v>
      </c>
      <c r="F1737">
        <f t="shared" si="141"/>
        <v>3698410.4760118453</v>
      </c>
      <c r="G1737">
        <f t="shared" si="139"/>
        <v>11914.828662039939</v>
      </c>
      <c r="H1737" s="1" t="s">
        <v>168</v>
      </c>
      <c r="I1737" s="1" t="s">
        <v>246</v>
      </c>
      <c r="J1737" s="1" t="s">
        <v>247</v>
      </c>
      <c r="K1737" s="9">
        <v>55.9</v>
      </c>
      <c r="L1737" t="s">
        <v>21</v>
      </c>
      <c r="M1737">
        <f t="shared" si="140"/>
        <v>5.5899999999999998E-2</v>
      </c>
      <c r="N1737">
        <f t="shared" si="135"/>
        <v>17.351583599999998</v>
      </c>
    </row>
    <row r="1738" spans="1:14" x14ac:dyDescent="0.3">
      <c r="A1738" s="1" t="s">
        <v>28</v>
      </c>
      <c r="B1738">
        <v>24</v>
      </c>
      <c r="C1738">
        <v>54</v>
      </c>
      <c r="D1738" s="1" t="s">
        <v>167</v>
      </c>
      <c r="E1738" s="1">
        <v>4000000</v>
      </c>
      <c r="F1738">
        <f t="shared" si="141"/>
        <v>1056688.7074319557</v>
      </c>
      <c r="G1738">
        <f t="shared" si="139"/>
        <v>3404.2367605828395</v>
      </c>
      <c r="H1738" s="1" t="s">
        <v>168</v>
      </c>
      <c r="I1738" s="1" t="s">
        <v>246</v>
      </c>
      <c r="J1738" s="1" t="s">
        <v>247</v>
      </c>
      <c r="K1738" s="9">
        <v>123.7</v>
      </c>
      <c r="L1738" t="s">
        <v>21</v>
      </c>
      <c r="M1738">
        <f t="shared" si="140"/>
        <v>0.1237</v>
      </c>
      <c r="N1738">
        <f t="shared" si="135"/>
        <v>38.396974800000002</v>
      </c>
    </row>
    <row r="1739" spans="1:14" x14ac:dyDescent="0.3">
      <c r="A1739" s="1" t="s">
        <v>32</v>
      </c>
      <c r="B1739">
        <v>24</v>
      </c>
      <c r="C1739">
        <v>52</v>
      </c>
      <c r="D1739" s="1" t="s">
        <v>165</v>
      </c>
      <c r="E1739" s="1">
        <v>10000000</v>
      </c>
      <c r="F1739">
        <f t="shared" si="141"/>
        <v>2641721.7685798896</v>
      </c>
      <c r="G1739">
        <f t="shared" si="139"/>
        <v>8510.5919014570991</v>
      </c>
      <c r="H1739" s="1" t="s">
        <v>168</v>
      </c>
      <c r="I1739" s="1" t="s">
        <v>246</v>
      </c>
      <c r="J1739" s="1" t="s">
        <v>247</v>
      </c>
      <c r="K1739" s="9">
        <v>0</v>
      </c>
      <c r="L1739" t="s">
        <v>21</v>
      </c>
      <c r="M1739">
        <f t="shared" si="140"/>
        <v>0</v>
      </c>
      <c r="N1739">
        <f t="shared" si="135"/>
        <v>0</v>
      </c>
    </row>
    <row r="1740" spans="1:14" x14ac:dyDescent="0.3">
      <c r="A1740" s="1" t="s">
        <v>32</v>
      </c>
      <c r="B1740">
        <v>24</v>
      </c>
      <c r="C1740">
        <v>53</v>
      </c>
      <c r="D1740" s="1" t="s">
        <v>166</v>
      </c>
      <c r="E1740" s="1">
        <v>14000000</v>
      </c>
      <c r="F1740">
        <f t="shared" si="141"/>
        <v>3698410.4760118453</v>
      </c>
      <c r="G1740">
        <f t="shared" si="139"/>
        <v>11914.828662039939</v>
      </c>
      <c r="H1740" s="1" t="s">
        <v>168</v>
      </c>
      <c r="I1740" s="1" t="s">
        <v>246</v>
      </c>
      <c r="J1740" s="1" t="s">
        <v>247</v>
      </c>
      <c r="K1740" s="9">
        <v>1.9</v>
      </c>
      <c r="L1740" t="s">
        <v>21</v>
      </c>
      <c r="M1740">
        <f t="shared" si="140"/>
        <v>1.9E-3</v>
      </c>
      <c r="N1740">
        <f t="shared" si="135"/>
        <v>0.58976759999999995</v>
      </c>
    </row>
    <row r="1741" spans="1:14" x14ac:dyDescent="0.3">
      <c r="A1741" s="1" t="s">
        <v>32</v>
      </c>
      <c r="B1741">
        <v>24</v>
      </c>
      <c r="C1741">
        <v>54</v>
      </c>
      <c r="D1741" s="1" t="s">
        <v>167</v>
      </c>
      <c r="E1741" s="1">
        <v>4000000</v>
      </c>
      <c r="F1741">
        <f t="shared" si="141"/>
        <v>1056688.7074319557</v>
      </c>
      <c r="G1741">
        <f t="shared" si="139"/>
        <v>3404.2367605828395</v>
      </c>
      <c r="H1741" s="1" t="s">
        <v>168</v>
      </c>
      <c r="I1741" s="1" t="s">
        <v>246</v>
      </c>
      <c r="J1741" s="1" t="s">
        <v>247</v>
      </c>
      <c r="K1741" s="9">
        <v>20.5</v>
      </c>
      <c r="L1741" t="s">
        <v>21</v>
      </c>
      <c r="M1741">
        <f t="shared" si="140"/>
        <v>2.0500000000000001E-2</v>
      </c>
      <c r="N1741">
        <f t="shared" si="135"/>
        <v>6.3632820000000008</v>
      </c>
    </row>
    <row r="1742" spans="1:14" x14ac:dyDescent="0.3">
      <c r="A1742" s="1" t="s">
        <v>172</v>
      </c>
      <c r="B1742">
        <v>24</v>
      </c>
      <c r="C1742">
        <v>52</v>
      </c>
      <c r="D1742" s="1" t="s">
        <v>165</v>
      </c>
      <c r="E1742" s="1">
        <v>10000000</v>
      </c>
      <c r="F1742">
        <f t="shared" si="141"/>
        <v>2641721.7685798896</v>
      </c>
      <c r="G1742">
        <f t="shared" si="139"/>
        <v>8510.5919014570991</v>
      </c>
      <c r="H1742" s="1" t="s">
        <v>168</v>
      </c>
      <c r="I1742" s="1" t="s">
        <v>246</v>
      </c>
      <c r="J1742" s="1" t="s">
        <v>247</v>
      </c>
      <c r="K1742" s="9">
        <v>0</v>
      </c>
      <c r="L1742" t="s">
        <v>21</v>
      </c>
      <c r="M1742">
        <f t="shared" si="140"/>
        <v>0</v>
      </c>
      <c r="N1742">
        <f t="shared" si="135"/>
        <v>0</v>
      </c>
    </row>
    <row r="1743" spans="1:14" x14ac:dyDescent="0.3">
      <c r="A1743" s="1" t="s">
        <v>172</v>
      </c>
      <c r="B1743">
        <v>24</v>
      </c>
      <c r="C1743">
        <v>53</v>
      </c>
      <c r="D1743" s="1" t="s">
        <v>166</v>
      </c>
      <c r="E1743" s="1">
        <v>14000000</v>
      </c>
      <c r="F1743">
        <f t="shared" si="141"/>
        <v>3698410.4760118453</v>
      </c>
      <c r="G1743">
        <f t="shared" si="139"/>
        <v>11914.828662039939</v>
      </c>
      <c r="H1743" s="1" t="s">
        <v>168</v>
      </c>
      <c r="I1743" s="1" t="s">
        <v>246</v>
      </c>
      <c r="J1743" s="1" t="s">
        <v>247</v>
      </c>
      <c r="K1743" s="9">
        <v>26.8</v>
      </c>
      <c r="L1743" t="s">
        <v>21</v>
      </c>
      <c r="M1743">
        <f t="shared" si="140"/>
        <v>2.6800000000000001E-2</v>
      </c>
      <c r="N1743">
        <f t="shared" si="135"/>
        <v>8.3188271999999994</v>
      </c>
    </row>
    <row r="1744" spans="1:14" x14ac:dyDescent="0.3">
      <c r="A1744" s="1" t="s">
        <v>172</v>
      </c>
      <c r="B1744">
        <v>24</v>
      </c>
      <c r="C1744">
        <v>54</v>
      </c>
      <c r="D1744" s="1" t="s">
        <v>167</v>
      </c>
      <c r="E1744" s="1">
        <v>4000000</v>
      </c>
      <c r="F1744">
        <f t="shared" si="141"/>
        <v>1056688.7074319557</v>
      </c>
      <c r="G1744">
        <f t="shared" si="139"/>
        <v>3404.2367605828395</v>
      </c>
      <c r="H1744" s="1" t="s">
        <v>168</v>
      </c>
      <c r="I1744" s="1" t="s">
        <v>246</v>
      </c>
      <c r="J1744" s="1" t="s">
        <v>247</v>
      </c>
      <c r="K1744" s="9">
        <v>0</v>
      </c>
      <c r="L1744" t="s">
        <v>21</v>
      </c>
      <c r="M1744">
        <f t="shared" si="140"/>
        <v>0</v>
      </c>
      <c r="N1744">
        <f t="shared" si="135"/>
        <v>0</v>
      </c>
    </row>
    <row r="1745" spans="1:14" x14ac:dyDescent="0.3">
      <c r="A1745" s="1" t="s">
        <v>40</v>
      </c>
      <c r="B1745">
        <v>24</v>
      </c>
      <c r="C1745">
        <v>52</v>
      </c>
      <c r="D1745" s="1" t="s">
        <v>165</v>
      </c>
      <c r="E1745" s="1">
        <v>10000000</v>
      </c>
      <c r="F1745">
        <f t="shared" si="141"/>
        <v>2641721.7685798896</v>
      </c>
      <c r="G1745">
        <f t="shared" si="139"/>
        <v>8510.5919014570991</v>
      </c>
      <c r="H1745" s="1" t="s">
        <v>168</v>
      </c>
      <c r="I1745" s="1" t="s">
        <v>246</v>
      </c>
      <c r="J1745" s="1" t="s">
        <v>247</v>
      </c>
      <c r="K1745" s="9">
        <v>13</v>
      </c>
      <c r="L1745" t="s">
        <v>21</v>
      </c>
      <c r="M1745">
        <f t="shared" si="140"/>
        <v>1.2999999999999999E-2</v>
      </c>
      <c r="N1745">
        <f t="shared" si="135"/>
        <v>4.0352520000000007</v>
      </c>
    </row>
    <row r="1746" spans="1:14" x14ac:dyDescent="0.3">
      <c r="A1746" s="1" t="s">
        <v>40</v>
      </c>
      <c r="B1746">
        <v>24</v>
      </c>
      <c r="C1746">
        <v>53</v>
      </c>
      <c r="D1746" s="1" t="s">
        <v>166</v>
      </c>
      <c r="E1746" s="1">
        <v>14000000</v>
      </c>
      <c r="F1746">
        <f t="shared" si="141"/>
        <v>3698410.4760118453</v>
      </c>
      <c r="G1746">
        <f t="shared" si="139"/>
        <v>11914.828662039939</v>
      </c>
      <c r="H1746" s="1" t="s">
        <v>168</v>
      </c>
      <c r="I1746" s="1" t="s">
        <v>246</v>
      </c>
      <c r="J1746" s="1" t="s">
        <v>247</v>
      </c>
      <c r="K1746" s="9">
        <v>114.5</v>
      </c>
      <c r="L1746" t="s">
        <v>21</v>
      </c>
      <c r="M1746">
        <f t="shared" si="140"/>
        <v>0.1145</v>
      </c>
      <c r="N1746">
        <f t="shared" si="135"/>
        <v>35.541257999999999</v>
      </c>
    </row>
    <row r="1747" spans="1:14" x14ac:dyDescent="0.3">
      <c r="A1747" s="1" t="s">
        <v>40</v>
      </c>
      <c r="B1747">
        <v>24</v>
      </c>
      <c r="C1747">
        <v>54</v>
      </c>
      <c r="D1747" s="1" t="s">
        <v>167</v>
      </c>
      <c r="E1747" s="1">
        <v>4000000</v>
      </c>
      <c r="F1747">
        <f t="shared" si="141"/>
        <v>1056688.7074319557</v>
      </c>
      <c r="G1747">
        <f t="shared" si="139"/>
        <v>3404.2367605828395</v>
      </c>
      <c r="H1747" s="1" t="s">
        <v>168</v>
      </c>
      <c r="I1747" s="1" t="s">
        <v>246</v>
      </c>
      <c r="J1747" s="1" t="s">
        <v>247</v>
      </c>
      <c r="K1747" s="9">
        <v>173.5</v>
      </c>
      <c r="L1747" t="s">
        <v>21</v>
      </c>
      <c r="M1747">
        <f t="shared" si="140"/>
        <v>0.17349999999999999</v>
      </c>
      <c r="N1747">
        <f t="shared" si="135"/>
        <v>53.855093999999994</v>
      </c>
    </row>
    <row r="1748" spans="1:14" x14ac:dyDescent="0.3">
      <c r="A1748" s="1" t="s">
        <v>41</v>
      </c>
      <c r="B1748">
        <v>24</v>
      </c>
      <c r="C1748">
        <v>52</v>
      </c>
      <c r="D1748" s="1" t="s">
        <v>165</v>
      </c>
      <c r="E1748" s="1">
        <v>10000000</v>
      </c>
      <c r="F1748">
        <f t="shared" si="141"/>
        <v>2641721.7685798896</v>
      </c>
      <c r="G1748">
        <f t="shared" si="139"/>
        <v>8510.5919014570991</v>
      </c>
      <c r="H1748" s="1" t="s">
        <v>168</v>
      </c>
      <c r="I1748" s="1" t="s">
        <v>246</v>
      </c>
      <c r="J1748" s="1" t="s">
        <v>247</v>
      </c>
      <c r="K1748" s="9">
        <v>7.2</v>
      </c>
      <c r="L1748" t="s">
        <v>21</v>
      </c>
      <c r="M1748">
        <f t="shared" si="140"/>
        <v>7.1999999999999998E-3</v>
      </c>
      <c r="N1748">
        <f t="shared" si="135"/>
        <v>2.2349087999999999</v>
      </c>
    </row>
    <row r="1749" spans="1:14" x14ac:dyDescent="0.3">
      <c r="A1749" s="1" t="s">
        <v>41</v>
      </c>
      <c r="B1749">
        <v>24</v>
      </c>
      <c r="C1749">
        <v>53</v>
      </c>
      <c r="D1749" s="1" t="s">
        <v>166</v>
      </c>
      <c r="E1749" s="1">
        <v>14000000</v>
      </c>
      <c r="F1749">
        <f t="shared" si="141"/>
        <v>3698410.4760118453</v>
      </c>
      <c r="G1749">
        <f t="shared" si="139"/>
        <v>11914.828662039939</v>
      </c>
      <c r="H1749" s="1" t="s">
        <v>168</v>
      </c>
      <c r="I1749" s="1" t="s">
        <v>246</v>
      </c>
      <c r="J1749" s="1" t="s">
        <v>247</v>
      </c>
      <c r="K1749" s="9">
        <v>42.7</v>
      </c>
      <c r="L1749" t="s">
        <v>21</v>
      </c>
      <c r="M1749">
        <f t="shared" si="140"/>
        <v>4.2700000000000002E-2</v>
      </c>
      <c r="N1749">
        <f t="shared" si="135"/>
        <v>13.254250800000001</v>
      </c>
    </row>
    <row r="1750" spans="1:14" x14ac:dyDescent="0.3">
      <c r="A1750" s="1" t="s">
        <v>41</v>
      </c>
      <c r="B1750">
        <v>24</v>
      </c>
      <c r="C1750">
        <v>54</v>
      </c>
      <c r="D1750" s="1" t="s">
        <v>167</v>
      </c>
      <c r="E1750" s="1">
        <v>4000000</v>
      </c>
      <c r="F1750">
        <f t="shared" si="141"/>
        <v>1056688.7074319557</v>
      </c>
      <c r="G1750">
        <f t="shared" si="139"/>
        <v>3404.2367605828395</v>
      </c>
      <c r="H1750" s="1" t="s">
        <v>168</v>
      </c>
      <c r="I1750" s="1" t="s">
        <v>246</v>
      </c>
      <c r="J1750" s="1" t="s">
        <v>247</v>
      </c>
      <c r="K1750" s="9">
        <v>70.7</v>
      </c>
      <c r="L1750" t="s">
        <v>21</v>
      </c>
      <c r="M1750">
        <f t="shared" si="140"/>
        <v>7.0699999999999999E-2</v>
      </c>
      <c r="N1750">
        <f t="shared" si="135"/>
        <v>21.945562799999998</v>
      </c>
    </row>
    <row r="1751" spans="1:14" x14ac:dyDescent="0.3">
      <c r="A1751" s="1" t="s">
        <v>171</v>
      </c>
      <c r="B1751">
        <v>24</v>
      </c>
      <c r="C1751">
        <v>52</v>
      </c>
      <c r="D1751" s="1" t="s">
        <v>165</v>
      </c>
      <c r="E1751" s="1">
        <v>10000000</v>
      </c>
      <c r="F1751">
        <f t="shared" si="141"/>
        <v>2641721.7685798896</v>
      </c>
      <c r="G1751">
        <f t="shared" si="139"/>
        <v>8510.5919014570991</v>
      </c>
      <c r="H1751" s="1" t="s">
        <v>169</v>
      </c>
      <c r="I1751" s="1" t="s">
        <v>246</v>
      </c>
      <c r="J1751" s="1" t="s">
        <v>247</v>
      </c>
      <c r="K1751" s="9">
        <v>0</v>
      </c>
      <c r="L1751" t="s">
        <v>21</v>
      </c>
      <c r="M1751">
        <f t="shared" si="140"/>
        <v>0</v>
      </c>
      <c r="N1751">
        <f t="shared" si="135"/>
        <v>0</v>
      </c>
    </row>
    <row r="1752" spans="1:14" x14ac:dyDescent="0.3">
      <c r="A1752" s="1" t="s">
        <v>171</v>
      </c>
      <c r="B1752">
        <v>24</v>
      </c>
      <c r="C1752">
        <v>53</v>
      </c>
      <c r="D1752" s="1" t="s">
        <v>166</v>
      </c>
      <c r="E1752" s="1">
        <v>14000000</v>
      </c>
      <c r="F1752">
        <f t="shared" si="141"/>
        <v>3698410.4760118453</v>
      </c>
      <c r="G1752">
        <f t="shared" si="139"/>
        <v>11914.828662039939</v>
      </c>
      <c r="H1752" s="1" t="s">
        <v>169</v>
      </c>
      <c r="I1752" s="1" t="s">
        <v>246</v>
      </c>
      <c r="J1752" s="1" t="s">
        <v>247</v>
      </c>
      <c r="K1752" s="9">
        <v>0</v>
      </c>
      <c r="L1752" t="s">
        <v>21</v>
      </c>
      <c r="M1752">
        <f t="shared" si="140"/>
        <v>0</v>
      </c>
      <c r="N1752">
        <f t="shared" si="135"/>
        <v>0</v>
      </c>
    </row>
    <row r="1753" spans="1:14" x14ac:dyDescent="0.3">
      <c r="A1753" s="1" t="s">
        <v>171</v>
      </c>
      <c r="B1753">
        <v>24</v>
      </c>
      <c r="C1753">
        <v>54</v>
      </c>
      <c r="D1753" s="1" t="s">
        <v>167</v>
      </c>
      <c r="E1753" s="1">
        <v>4000000</v>
      </c>
      <c r="F1753">
        <f t="shared" si="141"/>
        <v>1056688.7074319557</v>
      </c>
      <c r="G1753">
        <f t="shared" si="139"/>
        <v>3404.2367605828395</v>
      </c>
      <c r="H1753" s="1" t="s">
        <v>169</v>
      </c>
      <c r="I1753" s="1" t="s">
        <v>246</v>
      </c>
      <c r="J1753" s="1" t="s">
        <v>247</v>
      </c>
      <c r="K1753" s="9">
        <v>0</v>
      </c>
      <c r="L1753" t="s">
        <v>21</v>
      </c>
      <c r="M1753">
        <f t="shared" si="140"/>
        <v>0</v>
      </c>
      <c r="N1753">
        <f t="shared" si="135"/>
        <v>0</v>
      </c>
    </row>
    <row r="1754" spans="1:14" x14ac:dyDescent="0.3">
      <c r="A1754" s="1" t="s">
        <v>68</v>
      </c>
      <c r="B1754">
        <v>24</v>
      </c>
      <c r="C1754">
        <v>52</v>
      </c>
      <c r="D1754" s="1" t="s">
        <v>165</v>
      </c>
      <c r="E1754" s="1">
        <v>10000000</v>
      </c>
      <c r="F1754">
        <f t="shared" si="141"/>
        <v>2641721.7685798896</v>
      </c>
      <c r="G1754">
        <f t="shared" si="139"/>
        <v>8510.5919014570991</v>
      </c>
      <c r="H1754" s="1" t="s">
        <v>169</v>
      </c>
      <c r="I1754" s="1" t="s">
        <v>246</v>
      </c>
      <c r="J1754" s="1" t="s">
        <v>247</v>
      </c>
      <c r="K1754" s="9">
        <v>0</v>
      </c>
      <c r="L1754" t="s">
        <v>21</v>
      </c>
      <c r="M1754">
        <f t="shared" si="140"/>
        <v>0</v>
      </c>
      <c r="N1754">
        <f t="shared" si="135"/>
        <v>0</v>
      </c>
    </row>
    <row r="1755" spans="1:14" x14ac:dyDescent="0.3">
      <c r="A1755" s="1" t="s">
        <v>68</v>
      </c>
      <c r="B1755">
        <v>24</v>
      </c>
      <c r="C1755">
        <v>53</v>
      </c>
      <c r="D1755" s="1" t="s">
        <v>166</v>
      </c>
      <c r="E1755" s="1">
        <v>14000000</v>
      </c>
      <c r="F1755">
        <f t="shared" si="141"/>
        <v>3698410.4760118453</v>
      </c>
      <c r="G1755">
        <f t="shared" si="139"/>
        <v>11914.828662039939</v>
      </c>
      <c r="H1755" s="1" t="s">
        <v>169</v>
      </c>
      <c r="I1755" s="1" t="s">
        <v>246</v>
      </c>
      <c r="J1755" s="1" t="s">
        <v>247</v>
      </c>
      <c r="K1755" s="9">
        <v>0</v>
      </c>
      <c r="L1755" t="s">
        <v>21</v>
      </c>
      <c r="M1755">
        <f t="shared" si="140"/>
        <v>0</v>
      </c>
      <c r="N1755">
        <f t="shared" si="135"/>
        <v>0</v>
      </c>
    </row>
    <row r="1756" spans="1:14" x14ac:dyDescent="0.3">
      <c r="A1756" s="1" t="s">
        <v>68</v>
      </c>
      <c r="B1756">
        <v>24</v>
      </c>
      <c r="C1756">
        <v>54</v>
      </c>
      <c r="D1756" s="1" t="s">
        <v>167</v>
      </c>
      <c r="E1756" s="1">
        <v>4000000</v>
      </c>
      <c r="F1756">
        <f t="shared" si="141"/>
        <v>1056688.7074319557</v>
      </c>
      <c r="G1756">
        <f t="shared" si="139"/>
        <v>3404.2367605828395</v>
      </c>
      <c r="H1756" s="1" t="s">
        <v>169</v>
      </c>
      <c r="I1756" s="1" t="s">
        <v>246</v>
      </c>
      <c r="J1756" s="1" t="s">
        <v>247</v>
      </c>
      <c r="K1756" s="9">
        <v>18.3</v>
      </c>
      <c r="L1756" t="s">
        <v>21</v>
      </c>
      <c r="M1756">
        <f t="shared" si="140"/>
        <v>1.83E-2</v>
      </c>
      <c r="N1756">
        <f t="shared" si="135"/>
        <v>5.6803932000000001</v>
      </c>
    </row>
    <row r="1757" spans="1:14" x14ac:dyDescent="0.3">
      <c r="A1757" s="1" t="s">
        <v>25</v>
      </c>
      <c r="B1757">
        <v>24</v>
      </c>
      <c r="C1757">
        <v>52</v>
      </c>
      <c r="D1757" s="1" t="s">
        <v>165</v>
      </c>
      <c r="E1757" s="1">
        <v>10000000</v>
      </c>
      <c r="F1757">
        <f t="shared" si="141"/>
        <v>2641721.7685798896</v>
      </c>
      <c r="G1757">
        <f t="shared" si="139"/>
        <v>8510.5919014570991</v>
      </c>
      <c r="H1757" s="1" t="s">
        <v>169</v>
      </c>
      <c r="I1757" s="1" t="s">
        <v>246</v>
      </c>
      <c r="J1757" s="1" t="s">
        <v>247</v>
      </c>
      <c r="K1757" s="9">
        <v>0</v>
      </c>
      <c r="L1757" t="s">
        <v>21</v>
      </c>
      <c r="M1757">
        <f t="shared" si="140"/>
        <v>0</v>
      </c>
      <c r="N1757">
        <f t="shared" si="135"/>
        <v>0</v>
      </c>
    </row>
    <row r="1758" spans="1:14" x14ac:dyDescent="0.3">
      <c r="A1758" s="1" t="s">
        <v>25</v>
      </c>
      <c r="B1758">
        <v>24</v>
      </c>
      <c r="C1758">
        <v>53</v>
      </c>
      <c r="D1758" s="1" t="s">
        <v>166</v>
      </c>
      <c r="E1758" s="1">
        <v>14000000</v>
      </c>
      <c r="F1758">
        <f t="shared" si="141"/>
        <v>3698410.4760118453</v>
      </c>
      <c r="G1758">
        <f t="shared" si="139"/>
        <v>11914.828662039939</v>
      </c>
      <c r="H1758" s="1" t="s">
        <v>169</v>
      </c>
      <c r="I1758" s="1" t="s">
        <v>246</v>
      </c>
      <c r="J1758" s="1" t="s">
        <v>247</v>
      </c>
      <c r="K1758" s="9">
        <v>0</v>
      </c>
      <c r="L1758" t="s">
        <v>21</v>
      </c>
      <c r="M1758">
        <f t="shared" si="140"/>
        <v>0</v>
      </c>
      <c r="N1758">
        <f t="shared" si="135"/>
        <v>0</v>
      </c>
    </row>
    <row r="1759" spans="1:14" x14ac:dyDescent="0.3">
      <c r="A1759" s="1" t="s">
        <v>25</v>
      </c>
      <c r="B1759">
        <v>24</v>
      </c>
      <c r="C1759">
        <v>54</v>
      </c>
      <c r="D1759" s="1" t="s">
        <v>167</v>
      </c>
      <c r="E1759" s="1">
        <v>4000000</v>
      </c>
      <c r="F1759">
        <f t="shared" si="141"/>
        <v>1056688.7074319557</v>
      </c>
      <c r="G1759">
        <f t="shared" si="139"/>
        <v>3404.2367605828395</v>
      </c>
      <c r="H1759" s="1" t="s">
        <v>169</v>
      </c>
      <c r="I1759" s="1" t="s">
        <v>246</v>
      </c>
      <c r="J1759" s="1" t="s">
        <v>247</v>
      </c>
      <c r="K1759" s="9">
        <v>0</v>
      </c>
      <c r="L1759" t="s">
        <v>21</v>
      </c>
      <c r="M1759">
        <f t="shared" si="140"/>
        <v>0</v>
      </c>
      <c r="N1759">
        <f t="shared" ref="N1759:N1822" si="142">IFERROR((M1759*F1759)/G1759,"ND")</f>
        <v>0</v>
      </c>
    </row>
    <row r="1760" spans="1:14" x14ac:dyDescent="0.3">
      <c r="A1760" s="1" t="s">
        <v>28</v>
      </c>
      <c r="B1760">
        <v>24</v>
      </c>
      <c r="C1760">
        <v>52</v>
      </c>
      <c r="D1760" s="1" t="s">
        <v>165</v>
      </c>
      <c r="E1760" s="1">
        <v>10000000</v>
      </c>
      <c r="F1760">
        <f t="shared" si="141"/>
        <v>2641721.7685798896</v>
      </c>
      <c r="G1760">
        <f t="shared" si="139"/>
        <v>8510.5919014570991</v>
      </c>
      <c r="H1760" s="1" t="s">
        <v>169</v>
      </c>
      <c r="I1760" s="1" t="s">
        <v>246</v>
      </c>
      <c r="J1760" s="1" t="s">
        <v>247</v>
      </c>
      <c r="K1760" s="9">
        <v>0</v>
      </c>
      <c r="L1760" t="s">
        <v>21</v>
      </c>
      <c r="M1760">
        <f t="shared" si="140"/>
        <v>0</v>
      </c>
      <c r="N1760">
        <f t="shared" si="142"/>
        <v>0</v>
      </c>
    </row>
    <row r="1761" spans="1:14" x14ac:dyDescent="0.3">
      <c r="A1761" s="1" t="s">
        <v>28</v>
      </c>
      <c r="B1761">
        <v>24</v>
      </c>
      <c r="C1761">
        <v>53</v>
      </c>
      <c r="D1761" s="1" t="s">
        <v>166</v>
      </c>
      <c r="E1761" s="1">
        <v>14000000</v>
      </c>
      <c r="F1761">
        <f t="shared" si="141"/>
        <v>3698410.4760118453</v>
      </c>
      <c r="G1761">
        <f t="shared" si="139"/>
        <v>11914.828662039939</v>
      </c>
      <c r="H1761" s="1" t="s">
        <v>169</v>
      </c>
      <c r="I1761" s="1" t="s">
        <v>246</v>
      </c>
      <c r="J1761" s="1" t="s">
        <v>247</v>
      </c>
      <c r="K1761" s="9">
        <v>0</v>
      </c>
      <c r="L1761" t="s">
        <v>21</v>
      </c>
      <c r="M1761">
        <f t="shared" si="140"/>
        <v>0</v>
      </c>
      <c r="N1761">
        <f t="shared" si="142"/>
        <v>0</v>
      </c>
    </row>
    <row r="1762" spans="1:14" x14ac:dyDescent="0.3">
      <c r="A1762" s="1" t="s">
        <v>28</v>
      </c>
      <c r="B1762">
        <v>24</v>
      </c>
      <c r="C1762">
        <v>54</v>
      </c>
      <c r="D1762" s="1" t="s">
        <v>167</v>
      </c>
      <c r="E1762" s="1">
        <v>4000000</v>
      </c>
      <c r="F1762">
        <f t="shared" si="141"/>
        <v>1056688.7074319557</v>
      </c>
      <c r="G1762">
        <f t="shared" si="139"/>
        <v>3404.2367605828395</v>
      </c>
      <c r="H1762" s="1" t="s">
        <v>169</v>
      </c>
      <c r="I1762" s="1" t="s">
        <v>246</v>
      </c>
      <c r="J1762" s="1" t="s">
        <v>247</v>
      </c>
      <c r="K1762" s="9">
        <v>0</v>
      </c>
      <c r="L1762" t="s">
        <v>21</v>
      </c>
      <c r="M1762">
        <f t="shared" si="140"/>
        <v>0</v>
      </c>
      <c r="N1762">
        <f t="shared" si="142"/>
        <v>0</v>
      </c>
    </row>
    <row r="1763" spans="1:14" x14ac:dyDescent="0.3">
      <c r="A1763" s="1" t="s">
        <v>32</v>
      </c>
      <c r="B1763">
        <v>24</v>
      </c>
      <c r="C1763">
        <v>52</v>
      </c>
      <c r="D1763" s="1" t="s">
        <v>165</v>
      </c>
      <c r="E1763" s="1">
        <v>10000000</v>
      </c>
      <c r="F1763">
        <f t="shared" si="141"/>
        <v>2641721.7685798896</v>
      </c>
      <c r="G1763">
        <f t="shared" si="139"/>
        <v>8510.5919014570991</v>
      </c>
      <c r="H1763" s="1" t="s">
        <v>169</v>
      </c>
      <c r="I1763" s="1" t="s">
        <v>246</v>
      </c>
      <c r="J1763" s="1" t="s">
        <v>247</v>
      </c>
      <c r="K1763" s="9">
        <v>0</v>
      </c>
      <c r="L1763" t="s">
        <v>21</v>
      </c>
      <c r="M1763">
        <f t="shared" si="140"/>
        <v>0</v>
      </c>
      <c r="N1763">
        <f t="shared" si="142"/>
        <v>0</v>
      </c>
    </row>
    <row r="1764" spans="1:14" x14ac:dyDescent="0.3">
      <c r="A1764" s="1" t="s">
        <v>32</v>
      </c>
      <c r="B1764">
        <v>24</v>
      </c>
      <c r="C1764">
        <v>53</v>
      </c>
      <c r="D1764" s="1" t="s">
        <v>166</v>
      </c>
      <c r="E1764" s="1">
        <v>14000000</v>
      </c>
      <c r="F1764">
        <f t="shared" si="141"/>
        <v>3698410.4760118453</v>
      </c>
      <c r="G1764">
        <f t="shared" si="139"/>
        <v>11914.828662039939</v>
      </c>
      <c r="H1764" s="1" t="s">
        <v>169</v>
      </c>
      <c r="I1764" s="1" t="s">
        <v>246</v>
      </c>
      <c r="J1764" s="1" t="s">
        <v>247</v>
      </c>
      <c r="K1764" s="9">
        <v>0</v>
      </c>
      <c r="L1764" t="s">
        <v>21</v>
      </c>
      <c r="M1764">
        <f t="shared" si="140"/>
        <v>0</v>
      </c>
      <c r="N1764">
        <f t="shared" si="142"/>
        <v>0</v>
      </c>
    </row>
    <row r="1765" spans="1:14" x14ac:dyDescent="0.3">
      <c r="A1765" s="1" t="s">
        <v>32</v>
      </c>
      <c r="B1765">
        <v>24</v>
      </c>
      <c r="C1765">
        <v>54</v>
      </c>
      <c r="D1765" s="1" t="s">
        <v>167</v>
      </c>
      <c r="E1765" s="1">
        <v>4000000</v>
      </c>
      <c r="F1765">
        <f t="shared" si="141"/>
        <v>1056688.7074319557</v>
      </c>
      <c r="G1765">
        <f t="shared" si="139"/>
        <v>3404.2367605828395</v>
      </c>
      <c r="H1765" s="1" t="s">
        <v>169</v>
      </c>
      <c r="I1765" s="1" t="s">
        <v>246</v>
      </c>
      <c r="J1765" s="1" t="s">
        <v>247</v>
      </c>
      <c r="K1765" s="9">
        <v>0</v>
      </c>
      <c r="L1765" t="s">
        <v>21</v>
      </c>
      <c r="M1765">
        <f t="shared" si="140"/>
        <v>0</v>
      </c>
      <c r="N1765">
        <f t="shared" si="142"/>
        <v>0</v>
      </c>
    </row>
    <row r="1766" spans="1:14" x14ac:dyDescent="0.3">
      <c r="A1766" s="1" t="s">
        <v>172</v>
      </c>
      <c r="B1766">
        <v>24</v>
      </c>
      <c r="C1766">
        <v>52</v>
      </c>
      <c r="D1766" s="1" t="s">
        <v>165</v>
      </c>
      <c r="E1766" s="1">
        <v>10000000</v>
      </c>
      <c r="F1766">
        <f t="shared" si="141"/>
        <v>2641721.7685798896</v>
      </c>
      <c r="G1766">
        <f t="shared" si="139"/>
        <v>8510.5919014570991</v>
      </c>
      <c r="H1766" s="1" t="s">
        <v>169</v>
      </c>
      <c r="I1766" s="1" t="s">
        <v>246</v>
      </c>
      <c r="J1766" s="1" t="s">
        <v>247</v>
      </c>
      <c r="K1766" s="9">
        <v>0</v>
      </c>
      <c r="L1766" t="s">
        <v>21</v>
      </c>
      <c r="M1766">
        <f t="shared" si="140"/>
        <v>0</v>
      </c>
      <c r="N1766">
        <f t="shared" si="142"/>
        <v>0</v>
      </c>
    </row>
    <row r="1767" spans="1:14" x14ac:dyDescent="0.3">
      <c r="A1767" s="1" t="s">
        <v>172</v>
      </c>
      <c r="B1767">
        <v>24</v>
      </c>
      <c r="C1767">
        <v>53</v>
      </c>
      <c r="D1767" s="1" t="s">
        <v>166</v>
      </c>
      <c r="E1767" s="1">
        <v>14000000</v>
      </c>
      <c r="F1767">
        <f t="shared" si="141"/>
        <v>3698410.4760118453</v>
      </c>
      <c r="G1767">
        <f t="shared" si="139"/>
        <v>11914.828662039939</v>
      </c>
      <c r="H1767" s="1" t="s">
        <v>169</v>
      </c>
      <c r="I1767" s="1" t="s">
        <v>246</v>
      </c>
      <c r="J1767" s="1" t="s">
        <v>247</v>
      </c>
      <c r="K1767" s="9">
        <v>0</v>
      </c>
      <c r="L1767" t="s">
        <v>21</v>
      </c>
      <c r="M1767">
        <f t="shared" si="140"/>
        <v>0</v>
      </c>
      <c r="N1767">
        <f t="shared" si="142"/>
        <v>0</v>
      </c>
    </row>
    <row r="1768" spans="1:14" x14ac:dyDescent="0.3">
      <c r="A1768" s="1" t="s">
        <v>172</v>
      </c>
      <c r="B1768">
        <v>24</v>
      </c>
      <c r="C1768">
        <v>54</v>
      </c>
      <c r="D1768" s="1" t="s">
        <v>167</v>
      </c>
      <c r="E1768" s="1">
        <v>4000000</v>
      </c>
      <c r="F1768">
        <f t="shared" si="141"/>
        <v>1056688.7074319557</v>
      </c>
      <c r="G1768">
        <f t="shared" si="139"/>
        <v>3404.2367605828395</v>
      </c>
      <c r="H1768" s="1" t="s">
        <v>169</v>
      </c>
      <c r="I1768" s="1" t="s">
        <v>246</v>
      </c>
      <c r="J1768" s="1" t="s">
        <v>247</v>
      </c>
      <c r="K1768" s="9">
        <v>0</v>
      </c>
      <c r="L1768" t="s">
        <v>21</v>
      </c>
      <c r="M1768">
        <f t="shared" si="140"/>
        <v>0</v>
      </c>
      <c r="N1768">
        <f t="shared" si="142"/>
        <v>0</v>
      </c>
    </row>
    <row r="1769" spans="1:14" x14ac:dyDescent="0.3">
      <c r="A1769" s="1" t="s">
        <v>40</v>
      </c>
      <c r="B1769">
        <v>24</v>
      </c>
      <c r="C1769">
        <v>52</v>
      </c>
      <c r="D1769" s="1" t="s">
        <v>165</v>
      </c>
      <c r="E1769" s="1">
        <v>10000000</v>
      </c>
      <c r="F1769">
        <f t="shared" si="141"/>
        <v>2641721.7685798896</v>
      </c>
      <c r="G1769">
        <f t="shared" si="139"/>
        <v>8510.5919014570991</v>
      </c>
      <c r="H1769" s="1" t="s">
        <v>169</v>
      </c>
      <c r="I1769" s="1" t="s">
        <v>246</v>
      </c>
      <c r="J1769" s="1" t="s">
        <v>247</v>
      </c>
      <c r="K1769" s="9">
        <v>0.1</v>
      </c>
      <c r="L1769" t="s">
        <v>21</v>
      </c>
      <c r="M1769">
        <f t="shared" si="140"/>
        <v>1E-4</v>
      </c>
      <c r="N1769">
        <f t="shared" si="142"/>
        <v>3.1040400000000003E-2</v>
      </c>
    </row>
    <row r="1770" spans="1:14" x14ac:dyDescent="0.3">
      <c r="A1770" s="1" t="s">
        <v>40</v>
      </c>
      <c r="B1770">
        <v>24</v>
      </c>
      <c r="C1770">
        <v>53</v>
      </c>
      <c r="D1770" s="1" t="s">
        <v>166</v>
      </c>
      <c r="E1770" s="1">
        <v>14000000</v>
      </c>
      <c r="F1770">
        <f t="shared" si="141"/>
        <v>3698410.4760118453</v>
      </c>
      <c r="G1770">
        <f t="shared" si="139"/>
        <v>11914.828662039939</v>
      </c>
      <c r="H1770" s="1" t="s">
        <v>169</v>
      </c>
      <c r="I1770" s="1" t="s">
        <v>246</v>
      </c>
      <c r="J1770" s="1" t="s">
        <v>247</v>
      </c>
      <c r="K1770" s="9">
        <v>27.3</v>
      </c>
      <c r="L1770" t="s">
        <v>21</v>
      </c>
      <c r="M1770">
        <f t="shared" si="140"/>
        <v>2.7300000000000001E-2</v>
      </c>
      <c r="N1770">
        <f t="shared" si="142"/>
        <v>8.4740292000000004</v>
      </c>
    </row>
    <row r="1771" spans="1:14" x14ac:dyDescent="0.3">
      <c r="A1771" s="1" t="s">
        <v>40</v>
      </c>
      <c r="B1771">
        <v>24</v>
      </c>
      <c r="C1771">
        <v>54</v>
      </c>
      <c r="D1771" s="1" t="s">
        <v>167</v>
      </c>
      <c r="E1771" s="1">
        <v>4000000</v>
      </c>
      <c r="F1771">
        <f t="shared" si="141"/>
        <v>1056688.7074319557</v>
      </c>
      <c r="G1771">
        <f t="shared" si="139"/>
        <v>3404.2367605828395</v>
      </c>
      <c r="H1771" s="1" t="s">
        <v>169</v>
      </c>
      <c r="I1771" s="1" t="s">
        <v>246</v>
      </c>
      <c r="J1771" s="1" t="s">
        <v>247</v>
      </c>
      <c r="K1771" s="9">
        <v>27.3</v>
      </c>
      <c r="L1771" t="s">
        <v>21</v>
      </c>
      <c r="M1771">
        <f t="shared" si="140"/>
        <v>2.7300000000000001E-2</v>
      </c>
      <c r="N1771">
        <f t="shared" si="142"/>
        <v>8.4740292000000004</v>
      </c>
    </row>
    <row r="1772" spans="1:14" x14ac:dyDescent="0.3">
      <c r="A1772" s="1" t="s">
        <v>41</v>
      </c>
      <c r="B1772">
        <v>24</v>
      </c>
      <c r="C1772">
        <v>52</v>
      </c>
      <c r="D1772" s="1" t="s">
        <v>165</v>
      </c>
      <c r="E1772" s="1">
        <v>10000000</v>
      </c>
      <c r="F1772">
        <f t="shared" si="141"/>
        <v>2641721.7685798896</v>
      </c>
      <c r="G1772">
        <f t="shared" si="139"/>
        <v>8510.5919014570991</v>
      </c>
      <c r="H1772" s="1" t="s">
        <v>169</v>
      </c>
      <c r="I1772" s="1" t="s">
        <v>246</v>
      </c>
      <c r="J1772" s="1" t="s">
        <v>247</v>
      </c>
      <c r="K1772" s="9">
        <v>0.4</v>
      </c>
      <c r="L1772" t="s">
        <v>21</v>
      </c>
      <c r="M1772">
        <f t="shared" si="140"/>
        <v>4.0000000000000002E-4</v>
      </c>
      <c r="N1772">
        <f t="shared" si="142"/>
        <v>0.12416160000000001</v>
      </c>
    </row>
    <row r="1773" spans="1:14" x14ac:dyDescent="0.3">
      <c r="A1773" s="1" t="s">
        <v>41</v>
      </c>
      <c r="B1773">
        <v>24</v>
      </c>
      <c r="C1773">
        <v>53</v>
      </c>
      <c r="D1773" s="1" t="s">
        <v>166</v>
      </c>
      <c r="E1773" s="1">
        <v>14000000</v>
      </c>
      <c r="F1773">
        <f t="shared" si="141"/>
        <v>3698410.4760118453</v>
      </c>
      <c r="G1773">
        <f t="shared" si="139"/>
        <v>11914.828662039939</v>
      </c>
      <c r="H1773" s="1" t="s">
        <v>169</v>
      </c>
      <c r="I1773" s="1" t="s">
        <v>246</v>
      </c>
      <c r="J1773" s="1" t="s">
        <v>247</v>
      </c>
      <c r="K1773" s="9">
        <v>0</v>
      </c>
      <c r="L1773" t="s">
        <v>21</v>
      </c>
      <c r="M1773">
        <f t="shared" si="140"/>
        <v>0</v>
      </c>
      <c r="N1773">
        <f t="shared" si="142"/>
        <v>0</v>
      </c>
    </row>
    <row r="1774" spans="1:14" x14ac:dyDescent="0.3">
      <c r="A1774" s="1" t="s">
        <v>41</v>
      </c>
      <c r="B1774">
        <v>24</v>
      </c>
      <c r="C1774">
        <v>54</v>
      </c>
      <c r="D1774" s="1" t="s">
        <v>167</v>
      </c>
      <c r="E1774" s="1">
        <v>4000000</v>
      </c>
      <c r="F1774">
        <f t="shared" si="141"/>
        <v>1056688.7074319557</v>
      </c>
      <c r="G1774">
        <f t="shared" si="139"/>
        <v>3404.2367605828395</v>
      </c>
      <c r="H1774" s="1" t="s">
        <v>169</v>
      </c>
      <c r="I1774" s="1" t="s">
        <v>246</v>
      </c>
      <c r="J1774" s="1" t="s">
        <v>247</v>
      </c>
      <c r="K1774" s="9">
        <v>0</v>
      </c>
      <c r="L1774" t="s">
        <v>21</v>
      </c>
      <c r="M1774">
        <f t="shared" si="140"/>
        <v>0</v>
      </c>
      <c r="N1774">
        <f t="shared" si="142"/>
        <v>0</v>
      </c>
    </row>
    <row r="1775" spans="1:14" x14ac:dyDescent="0.3">
      <c r="A1775" s="1" t="s">
        <v>171</v>
      </c>
      <c r="B1775">
        <v>24</v>
      </c>
      <c r="C1775">
        <v>52</v>
      </c>
      <c r="D1775" s="1" t="s">
        <v>165</v>
      </c>
      <c r="E1775" s="1">
        <v>10000000</v>
      </c>
      <c r="F1775">
        <f t="shared" si="141"/>
        <v>2641721.7685798896</v>
      </c>
      <c r="G1775">
        <f t="shared" si="139"/>
        <v>8510.5919014570991</v>
      </c>
      <c r="H1775" s="1" t="s">
        <v>170</v>
      </c>
      <c r="I1775" s="1" t="s">
        <v>246</v>
      </c>
      <c r="J1775" s="1" t="s">
        <v>247</v>
      </c>
      <c r="K1775" s="9">
        <v>0</v>
      </c>
      <c r="L1775" t="s">
        <v>21</v>
      </c>
      <c r="M1775">
        <f t="shared" si="140"/>
        <v>0</v>
      </c>
      <c r="N1775">
        <f t="shared" si="142"/>
        <v>0</v>
      </c>
    </row>
    <row r="1776" spans="1:14" x14ac:dyDescent="0.3">
      <c r="A1776" s="1" t="s">
        <v>171</v>
      </c>
      <c r="B1776">
        <v>24</v>
      </c>
      <c r="C1776">
        <v>53</v>
      </c>
      <c r="D1776" s="1" t="s">
        <v>166</v>
      </c>
      <c r="E1776" s="1">
        <v>14000000</v>
      </c>
      <c r="F1776">
        <f t="shared" si="141"/>
        <v>3698410.4760118453</v>
      </c>
      <c r="G1776">
        <f t="shared" si="139"/>
        <v>11914.828662039939</v>
      </c>
      <c r="H1776" s="1" t="s">
        <v>170</v>
      </c>
      <c r="I1776" s="1" t="s">
        <v>246</v>
      </c>
      <c r="J1776" s="1" t="s">
        <v>247</v>
      </c>
      <c r="K1776" s="9">
        <v>6.9</v>
      </c>
      <c r="L1776" t="s">
        <v>21</v>
      </c>
      <c r="M1776">
        <f t="shared" si="140"/>
        <v>6.9000000000000008E-3</v>
      </c>
      <c r="N1776">
        <f t="shared" si="142"/>
        <v>2.1417876000000002</v>
      </c>
    </row>
    <row r="1777" spans="1:14" x14ac:dyDescent="0.3">
      <c r="A1777" s="1" t="s">
        <v>171</v>
      </c>
      <c r="B1777">
        <v>24</v>
      </c>
      <c r="C1777">
        <v>54</v>
      </c>
      <c r="D1777" s="1" t="s">
        <v>167</v>
      </c>
      <c r="E1777" s="1">
        <v>4000000</v>
      </c>
      <c r="F1777">
        <f t="shared" si="141"/>
        <v>1056688.7074319557</v>
      </c>
      <c r="G1777">
        <f t="shared" si="139"/>
        <v>3404.2367605828395</v>
      </c>
      <c r="H1777" s="1" t="s">
        <v>170</v>
      </c>
      <c r="I1777" s="1" t="s">
        <v>246</v>
      </c>
      <c r="J1777" s="1" t="s">
        <v>247</v>
      </c>
      <c r="K1777" s="9">
        <v>0</v>
      </c>
      <c r="L1777" t="s">
        <v>21</v>
      </c>
      <c r="M1777">
        <f t="shared" si="140"/>
        <v>0</v>
      </c>
      <c r="N1777">
        <f t="shared" si="142"/>
        <v>0</v>
      </c>
    </row>
    <row r="1778" spans="1:14" x14ac:dyDescent="0.3">
      <c r="A1778" s="1" t="s">
        <v>68</v>
      </c>
      <c r="B1778">
        <v>24</v>
      </c>
      <c r="C1778">
        <v>52</v>
      </c>
      <c r="D1778" s="1" t="s">
        <v>165</v>
      </c>
      <c r="E1778" s="1">
        <v>10000000</v>
      </c>
      <c r="F1778">
        <f t="shared" si="141"/>
        <v>2641721.7685798896</v>
      </c>
      <c r="G1778">
        <f t="shared" si="139"/>
        <v>8510.5919014570991</v>
      </c>
      <c r="H1778" s="1" t="s">
        <v>170</v>
      </c>
      <c r="I1778" s="1" t="s">
        <v>246</v>
      </c>
      <c r="J1778" s="1" t="s">
        <v>247</v>
      </c>
      <c r="K1778" s="9">
        <v>0</v>
      </c>
      <c r="L1778" t="s">
        <v>21</v>
      </c>
      <c r="M1778">
        <f t="shared" si="140"/>
        <v>0</v>
      </c>
      <c r="N1778">
        <f t="shared" si="142"/>
        <v>0</v>
      </c>
    </row>
    <row r="1779" spans="1:14" x14ac:dyDescent="0.3">
      <c r="A1779" s="1" t="s">
        <v>68</v>
      </c>
      <c r="B1779">
        <v>24</v>
      </c>
      <c r="C1779">
        <v>53</v>
      </c>
      <c r="D1779" s="1" t="s">
        <v>166</v>
      </c>
      <c r="E1779" s="1">
        <v>14000000</v>
      </c>
      <c r="F1779">
        <f t="shared" si="141"/>
        <v>3698410.4760118453</v>
      </c>
      <c r="G1779">
        <f t="shared" si="139"/>
        <v>11914.828662039939</v>
      </c>
      <c r="H1779" s="1" t="s">
        <v>170</v>
      </c>
      <c r="I1779" s="1" t="s">
        <v>246</v>
      </c>
      <c r="J1779" s="1" t="s">
        <v>247</v>
      </c>
      <c r="K1779" s="9">
        <v>95.6</v>
      </c>
      <c r="L1779" t="s">
        <v>21</v>
      </c>
      <c r="M1779">
        <f t="shared" si="140"/>
        <v>9.5599999999999991E-2</v>
      </c>
      <c r="N1779">
        <f t="shared" si="142"/>
        <v>29.674622399999993</v>
      </c>
    </row>
    <row r="1780" spans="1:14" x14ac:dyDescent="0.3">
      <c r="A1780" s="1" t="s">
        <v>68</v>
      </c>
      <c r="B1780">
        <v>24</v>
      </c>
      <c r="C1780">
        <v>54</v>
      </c>
      <c r="D1780" s="1" t="s">
        <v>167</v>
      </c>
      <c r="E1780" s="1">
        <v>4000000</v>
      </c>
      <c r="F1780">
        <f t="shared" si="141"/>
        <v>1056688.7074319557</v>
      </c>
      <c r="G1780">
        <f t="shared" si="139"/>
        <v>3404.2367605828395</v>
      </c>
      <c r="H1780" s="1" t="s">
        <v>170</v>
      </c>
      <c r="I1780" s="1" t="s">
        <v>246</v>
      </c>
      <c r="J1780" s="1" t="s">
        <v>247</v>
      </c>
      <c r="K1780" s="9">
        <v>0</v>
      </c>
      <c r="L1780" t="s">
        <v>21</v>
      </c>
      <c r="M1780">
        <f t="shared" si="140"/>
        <v>0</v>
      </c>
      <c r="N1780">
        <f t="shared" si="142"/>
        <v>0</v>
      </c>
    </row>
    <row r="1781" spans="1:14" x14ac:dyDescent="0.3">
      <c r="A1781" s="1" t="s">
        <v>25</v>
      </c>
      <c r="B1781">
        <v>24</v>
      </c>
      <c r="C1781">
        <v>52</v>
      </c>
      <c r="D1781" s="1" t="s">
        <v>165</v>
      </c>
      <c r="E1781" s="1">
        <v>10000000</v>
      </c>
      <c r="F1781">
        <f t="shared" si="141"/>
        <v>2641721.7685798896</v>
      </c>
      <c r="G1781">
        <f t="shared" si="139"/>
        <v>8510.5919014570991</v>
      </c>
      <c r="H1781" s="1" t="s">
        <v>170</v>
      </c>
      <c r="I1781" s="1" t="s">
        <v>246</v>
      </c>
      <c r="J1781" s="1" t="s">
        <v>247</v>
      </c>
      <c r="K1781" s="9">
        <v>0</v>
      </c>
      <c r="L1781" t="s">
        <v>21</v>
      </c>
      <c r="M1781">
        <f t="shared" si="140"/>
        <v>0</v>
      </c>
      <c r="N1781">
        <f t="shared" si="142"/>
        <v>0</v>
      </c>
    </row>
    <row r="1782" spans="1:14" x14ac:dyDescent="0.3">
      <c r="A1782" s="1" t="s">
        <v>25</v>
      </c>
      <c r="B1782">
        <v>24</v>
      </c>
      <c r="C1782">
        <v>53</v>
      </c>
      <c r="D1782" s="1" t="s">
        <v>166</v>
      </c>
      <c r="E1782" s="1">
        <v>14000000</v>
      </c>
      <c r="F1782">
        <f t="shared" si="141"/>
        <v>3698410.4760118453</v>
      </c>
      <c r="G1782">
        <f t="shared" si="139"/>
        <v>11914.828662039939</v>
      </c>
      <c r="H1782" s="1" t="s">
        <v>170</v>
      </c>
      <c r="I1782" s="1" t="s">
        <v>246</v>
      </c>
      <c r="J1782" s="1" t="s">
        <v>247</v>
      </c>
      <c r="K1782" s="9">
        <v>0.3</v>
      </c>
      <c r="L1782" t="s">
        <v>21</v>
      </c>
      <c r="M1782">
        <f t="shared" si="140"/>
        <v>2.9999999999999997E-4</v>
      </c>
      <c r="N1782">
        <f t="shared" si="142"/>
        <v>9.3121200000000001E-2</v>
      </c>
    </row>
    <row r="1783" spans="1:14" x14ac:dyDescent="0.3">
      <c r="A1783" s="1" t="s">
        <v>25</v>
      </c>
      <c r="B1783">
        <v>24</v>
      </c>
      <c r="C1783">
        <v>54</v>
      </c>
      <c r="D1783" s="1" t="s">
        <v>167</v>
      </c>
      <c r="E1783" s="1">
        <v>4000000</v>
      </c>
      <c r="F1783">
        <f t="shared" si="141"/>
        <v>1056688.7074319557</v>
      </c>
      <c r="G1783">
        <f t="shared" si="139"/>
        <v>3404.2367605828395</v>
      </c>
      <c r="H1783" s="1" t="s">
        <v>170</v>
      </c>
      <c r="I1783" s="1" t="s">
        <v>246</v>
      </c>
      <c r="J1783" s="1" t="s">
        <v>247</v>
      </c>
      <c r="K1783" s="9">
        <v>19.899999999999999</v>
      </c>
      <c r="L1783" t="s">
        <v>21</v>
      </c>
      <c r="M1783">
        <f t="shared" si="140"/>
        <v>1.9899999999999998E-2</v>
      </c>
      <c r="N1783">
        <f t="shared" si="142"/>
        <v>6.1770395999999996</v>
      </c>
    </row>
    <row r="1784" spans="1:14" x14ac:dyDescent="0.3">
      <c r="A1784" s="1" t="s">
        <v>28</v>
      </c>
      <c r="B1784">
        <v>24</v>
      </c>
      <c r="C1784">
        <v>52</v>
      </c>
      <c r="D1784" s="1" t="s">
        <v>165</v>
      </c>
      <c r="E1784" s="1">
        <v>10000000</v>
      </c>
      <c r="F1784">
        <f t="shared" si="141"/>
        <v>2641721.7685798896</v>
      </c>
      <c r="G1784">
        <f t="shared" si="139"/>
        <v>8510.5919014570991</v>
      </c>
      <c r="H1784" s="1" t="s">
        <v>170</v>
      </c>
      <c r="I1784" s="1" t="s">
        <v>246</v>
      </c>
      <c r="J1784" s="1" t="s">
        <v>247</v>
      </c>
      <c r="K1784" s="9">
        <v>67.099999999999994</v>
      </c>
      <c r="L1784" t="s">
        <v>21</v>
      </c>
      <c r="M1784">
        <f t="shared" si="140"/>
        <v>6.7099999999999993E-2</v>
      </c>
      <c r="N1784">
        <f t="shared" si="142"/>
        <v>20.828108400000001</v>
      </c>
    </row>
    <row r="1785" spans="1:14" x14ac:dyDescent="0.3">
      <c r="A1785" s="1" t="s">
        <v>28</v>
      </c>
      <c r="B1785">
        <v>24</v>
      </c>
      <c r="C1785">
        <v>53</v>
      </c>
      <c r="D1785" s="1" t="s">
        <v>166</v>
      </c>
      <c r="E1785" s="1">
        <v>14000000</v>
      </c>
      <c r="F1785">
        <f t="shared" si="141"/>
        <v>3698410.4760118453</v>
      </c>
      <c r="G1785">
        <f t="shared" si="139"/>
        <v>11914.828662039939</v>
      </c>
      <c r="H1785" s="1" t="s">
        <v>170</v>
      </c>
      <c r="I1785" s="1" t="s">
        <v>246</v>
      </c>
      <c r="J1785" s="1" t="s">
        <v>247</v>
      </c>
      <c r="K1785" s="9">
        <v>61</v>
      </c>
      <c r="L1785" t="s">
        <v>21</v>
      </c>
      <c r="M1785">
        <f t="shared" si="140"/>
        <v>6.0999999999999999E-2</v>
      </c>
      <c r="N1785">
        <f t="shared" si="142"/>
        <v>18.934643999999999</v>
      </c>
    </row>
    <row r="1786" spans="1:14" x14ac:dyDescent="0.3">
      <c r="A1786" s="1" t="s">
        <v>28</v>
      </c>
      <c r="B1786">
        <v>24</v>
      </c>
      <c r="C1786">
        <v>54</v>
      </c>
      <c r="D1786" s="1" t="s">
        <v>167</v>
      </c>
      <c r="E1786" s="1">
        <v>4000000</v>
      </c>
      <c r="F1786">
        <f t="shared" si="141"/>
        <v>1056688.7074319557</v>
      </c>
      <c r="G1786">
        <f t="shared" ref="G1786:G1849" si="143">F1786/310.404</f>
        <v>3404.2367605828395</v>
      </c>
      <c r="H1786" s="1" t="s">
        <v>170</v>
      </c>
      <c r="I1786" s="1" t="s">
        <v>246</v>
      </c>
      <c r="J1786" s="1" t="s">
        <v>247</v>
      </c>
      <c r="K1786" s="9">
        <v>0</v>
      </c>
      <c r="L1786" t="s">
        <v>21</v>
      </c>
      <c r="M1786">
        <f t="shared" si="140"/>
        <v>0</v>
      </c>
      <c r="N1786">
        <f t="shared" si="142"/>
        <v>0</v>
      </c>
    </row>
    <row r="1787" spans="1:14" x14ac:dyDescent="0.3">
      <c r="A1787" s="1" t="s">
        <v>32</v>
      </c>
      <c r="B1787">
        <v>24</v>
      </c>
      <c r="C1787">
        <v>52</v>
      </c>
      <c r="D1787" s="1" t="s">
        <v>165</v>
      </c>
      <c r="E1787" s="1">
        <v>10000000</v>
      </c>
      <c r="F1787">
        <f t="shared" si="141"/>
        <v>2641721.7685798896</v>
      </c>
      <c r="G1787">
        <f t="shared" si="143"/>
        <v>8510.5919014570991</v>
      </c>
      <c r="H1787" s="1" t="s">
        <v>170</v>
      </c>
      <c r="I1787" s="1" t="s">
        <v>246</v>
      </c>
      <c r="J1787" s="1" t="s">
        <v>247</v>
      </c>
      <c r="K1787" s="9">
        <v>0</v>
      </c>
      <c r="L1787" t="s">
        <v>21</v>
      </c>
      <c r="M1787">
        <f t="shared" si="140"/>
        <v>0</v>
      </c>
      <c r="N1787">
        <f t="shared" si="142"/>
        <v>0</v>
      </c>
    </row>
    <row r="1788" spans="1:14" x14ac:dyDescent="0.3">
      <c r="A1788" s="1" t="s">
        <v>32</v>
      </c>
      <c r="B1788">
        <v>24</v>
      </c>
      <c r="C1788">
        <v>53</v>
      </c>
      <c r="D1788" s="1" t="s">
        <v>166</v>
      </c>
      <c r="E1788" s="1">
        <v>14000000</v>
      </c>
      <c r="F1788">
        <f t="shared" si="141"/>
        <v>3698410.4760118453</v>
      </c>
      <c r="G1788">
        <f t="shared" si="143"/>
        <v>11914.828662039939</v>
      </c>
      <c r="H1788" s="1" t="s">
        <v>170</v>
      </c>
      <c r="I1788" s="1" t="s">
        <v>246</v>
      </c>
      <c r="J1788" s="1" t="s">
        <v>247</v>
      </c>
      <c r="K1788" s="9">
        <v>0</v>
      </c>
      <c r="L1788" t="s">
        <v>21</v>
      </c>
      <c r="M1788">
        <f t="shared" si="140"/>
        <v>0</v>
      </c>
      <c r="N1788">
        <f t="shared" si="142"/>
        <v>0</v>
      </c>
    </row>
    <row r="1789" spans="1:14" x14ac:dyDescent="0.3">
      <c r="A1789" s="1" t="s">
        <v>32</v>
      </c>
      <c r="B1789">
        <v>24</v>
      </c>
      <c r="C1789">
        <v>54</v>
      </c>
      <c r="D1789" s="1" t="s">
        <v>167</v>
      </c>
      <c r="E1789" s="1">
        <v>4000000</v>
      </c>
      <c r="F1789">
        <f t="shared" si="141"/>
        <v>1056688.7074319557</v>
      </c>
      <c r="G1789">
        <f t="shared" si="143"/>
        <v>3404.2367605828395</v>
      </c>
      <c r="H1789" s="1" t="s">
        <v>170</v>
      </c>
      <c r="I1789" s="1" t="s">
        <v>246</v>
      </c>
      <c r="J1789" s="1" t="s">
        <v>247</v>
      </c>
      <c r="K1789" s="9">
        <v>0</v>
      </c>
      <c r="L1789" t="s">
        <v>21</v>
      </c>
      <c r="M1789">
        <f t="shared" si="140"/>
        <v>0</v>
      </c>
      <c r="N1789">
        <f t="shared" si="142"/>
        <v>0</v>
      </c>
    </row>
    <row r="1790" spans="1:14" x14ac:dyDescent="0.3">
      <c r="A1790" s="1" t="s">
        <v>172</v>
      </c>
      <c r="B1790">
        <v>24</v>
      </c>
      <c r="C1790">
        <v>52</v>
      </c>
      <c r="D1790" s="1" t="s">
        <v>165</v>
      </c>
      <c r="E1790" s="1">
        <v>10000000</v>
      </c>
      <c r="F1790">
        <f t="shared" si="141"/>
        <v>2641721.7685798896</v>
      </c>
      <c r="G1790">
        <f t="shared" si="143"/>
        <v>8510.5919014570991</v>
      </c>
      <c r="H1790" s="1" t="s">
        <v>170</v>
      </c>
      <c r="I1790" s="1" t="s">
        <v>246</v>
      </c>
      <c r="J1790" s="1" t="s">
        <v>247</v>
      </c>
      <c r="K1790" s="9">
        <v>99.7</v>
      </c>
      <c r="L1790" t="s">
        <v>21</v>
      </c>
      <c r="M1790">
        <f t="shared" si="140"/>
        <v>9.9699999999999997E-2</v>
      </c>
      <c r="N1790">
        <f t="shared" si="142"/>
        <v>30.947278800000003</v>
      </c>
    </row>
    <row r="1791" spans="1:14" x14ac:dyDescent="0.3">
      <c r="A1791" s="1" t="s">
        <v>172</v>
      </c>
      <c r="B1791">
        <v>24</v>
      </c>
      <c r="C1791">
        <v>53</v>
      </c>
      <c r="D1791" s="1" t="s">
        <v>166</v>
      </c>
      <c r="E1791" s="1">
        <v>14000000</v>
      </c>
      <c r="F1791">
        <f t="shared" si="141"/>
        <v>3698410.4760118453</v>
      </c>
      <c r="G1791">
        <f t="shared" si="143"/>
        <v>11914.828662039939</v>
      </c>
      <c r="H1791" s="1" t="s">
        <v>170</v>
      </c>
      <c r="I1791" s="1" t="s">
        <v>246</v>
      </c>
      <c r="J1791" s="1" t="s">
        <v>247</v>
      </c>
      <c r="K1791" s="9">
        <v>0</v>
      </c>
      <c r="L1791" t="s">
        <v>21</v>
      </c>
      <c r="M1791">
        <f t="shared" ref="M1791:M1822" si="144">IFERROR(K1791/1000,"ND")</f>
        <v>0</v>
      </c>
      <c r="N1791">
        <f t="shared" si="142"/>
        <v>0</v>
      </c>
    </row>
    <row r="1792" spans="1:14" x14ac:dyDescent="0.3">
      <c r="A1792" s="1" t="s">
        <v>172</v>
      </c>
      <c r="B1792">
        <v>24</v>
      </c>
      <c r="C1792">
        <v>54</v>
      </c>
      <c r="D1792" s="1" t="s">
        <v>167</v>
      </c>
      <c r="E1792" s="1">
        <v>4000000</v>
      </c>
      <c r="F1792">
        <f t="shared" ref="F1792:F1841" si="145">E1792/3.78541</f>
        <v>1056688.7074319557</v>
      </c>
      <c r="G1792">
        <f t="shared" si="143"/>
        <v>3404.2367605828395</v>
      </c>
      <c r="H1792" s="1" t="s">
        <v>170</v>
      </c>
      <c r="I1792" s="1" t="s">
        <v>246</v>
      </c>
      <c r="J1792" s="1" t="s">
        <v>247</v>
      </c>
      <c r="K1792" s="9">
        <v>19</v>
      </c>
      <c r="L1792" t="s">
        <v>21</v>
      </c>
      <c r="M1792">
        <f t="shared" si="144"/>
        <v>1.9E-2</v>
      </c>
      <c r="N1792">
        <f t="shared" si="142"/>
        <v>5.8976759999999997</v>
      </c>
    </row>
    <row r="1793" spans="1:14" x14ac:dyDescent="0.3">
      <c r="A1793" s="1" t="s">
        <v>40</v>
      </c>
      <c r="B1793">
        <v>24</v>
      </c>
      <c r="C1793">
        <v>52</v>
      </c>
      <c r="D1793" s="1" t="s">
        <v>165</v>
      </c>
      <c r="E1793" s="1">
        <v>10000000</v>
      </c>
      <c r="F1793">
        <f t="shared" si="145"/>
        <v>2641721.7685798896</v>
      </c>
      <c r="G1793">
        <f t="shared" si="143"/>
        <v>8510.5919014570991</v>
      </c>
      <c r="H1793" s="1" t="s">
        <v>170</v>
      </c>
      <c r="I1793" s="1" t="s">
        <v>246</v>
      </c>
      <c r="J1793" s="1" t="s">
        <v>247</v>
      </c>
      <c r="K1793" s="9">
        <v>232</v>
      </c>
      <c r="L1793" t="s">
        <v>21</v>
      </c>
      <c r="M1793">
        <f t="shared" si="144"/>
        <v>0.23200000000000001</v>
      </c>
      <c r="N1793">
        <f t="shared" si="142"/>
        <v>72.013728000000015</v>
      </c>
    </row>
    <row r="1794" spans="1:14" x14ac:dyDescent="0.3">
      <c r="A1794" s="1" t="s">
        <v>40</v>
      </c>
      <c r="B1794">
        <v>24</v>
      </c>
      <c r="C1794">
        <v>53</v>
      </c>
      <c r="D1794" s="1" t="s">
        <v>166</v>
      </c>
      <c r="E1794" s="1">
        <v>14000000</v>
      </c>
      <c r="F1794">
        <f t="shared" si="145"/>
        <v>3698410.4760118453</v>
      </c>
      <c r="G1794">
        <f t="shared" si="143"/>
        <v>11914.828662039939</v>
      </c>
      <c r="H1794" s="1" t="s">
        <v>170</v>
      </c>
      <c r="I1794" s="1" t="s">
        <v>246</v>
      </c>
      <c r="J1794" s="1" t="s">
        <v>247</v>
      </c>
      <c r="K1794" s="9">
        <v>17.100000000000001</v>
      </c>
      <c r="L1794" t="s">
        <v>21</v>
      </c>
      <c r="M1794">
        <f t="shared" si="144"/>
        <v>1.7100000000000001E-2</v>
      </c>
      <c r="N1794">
        <f t="shared" si="142"/>
        <v>5.3079084000000005</v>
      </c>
    </row>
    <row r="1795" spans="1:14" x14ac:dyDescent="0.3">
      <c r="A1795" s="1" t="s">
        <v>40</v>
      </c>
      <c r="B1795">
        <v>24</v>
      </c>
      <c r="C1795">
        <v>54</v>
      </c>
      <c r="D1795" s="1" t="s">
        <v>167</v>
      </c>
      <c r="E1795" s="1">
        <v>4000000</v>
      </c>
      <c r="F1795">
        <f t="shared" si="145"/>
        <v>1056688.7074319557</v>
      </c>
      <c r="G1795">
        <f t="shared" si="143"/>
        <v>3404.2367605828395</v>
      </c>
      <c r="H1795" s="1" t="s">
        <v>170</v>
      </c>
      <c r="I1795" s="1" t="s">
        <v>246</v>
      </c>
      <c r="J1795" s="1" t="s">
        <v>247</v>
      </c>
      <c r="K1795" s="9">
        <v>208.7</v>
      </c>
      <c r="L1795" t="s">
        <v>21</v>
      </c>
      <c r="M1795">
        <f t="shared" si="144"/>
        <v>0.2087</v>
      </c>
      <c r="N1795">
        <f t="shared" si="142"/>
        <v>64.781314800000004</v>
      </c>
    </row>
    <row r="1796" spans="1:14" x14ac:dyDescent="0.3">
      <c r="A1796" s="1" t="s">
        <v>41</v>
      </c>
      <c r="B1796">
        <v>24</v>
      </c>
      <c r="C1796">
        <v>52</v>
      </c>
      <c r="D1796" s="1" t="s">
        <v>165</v>
      </c>
      <c r="E1796" s="1">
        <v>10000000</v>
      </c>
      <c r="F1796">
        <f t="shared" si="145"/>
        <v>2641721.7685798896</v>
      </c>
      <c r="G1796">
        <f t="shared" si="143"/>
        <v>8510.5919014570991</v>
      </c>
      <c r="H1796" s="1" t="s">
        <v>170</v>
      </c>
      <c r="I1796" s="1" t="s">
        <v>246</v>
      </c>
      <c r="J1796" s="1" t="s">
        <v>247</v>
      </c>
      <c r="K1796" s="9">
        <v>168.9</v>
      </c>
      <c r="L1796" t="s">
        <v>21</v>
      </c>
      <c r="M1796">
        <f t="shared" si="144"/>
        <v>0.16889999999999999</v>
      </c>
      <c r="N1796">
        <f t="shared" si="142"/>
        <v>52.427235599999996</v>
      </c>
    </row>
    <row r="1797" spans="1:14" x14ac:dyDescent="0.3">
      <c r="A1797" s="1" t="s">
        <v>41</v>
      </c>
      <c r="B1797">
        <v>24</v>
      </c>
      <c r="C1797">
        <v>53</v>
      </c>
      <c r="D1797" s="1" t="s">
        <v>166</v>
      </c>
      <c r="E1797" s="1">
        <v>14000000</v>
      </c>
      <c r="F1797">
        <f t="shared" si="145"/>
        <v>3698410.4760118453</v>
      </c>
      <c r="G1797">
        <f t="shared" si="143"/>
        <v>11914.828662039939</v>
      </c>
      <c r="H1797" s="1" t="s">
        <v>170</v>
      </c>
      <c r="I1797" s="1" t="s">
        <v>246</v>
      </c>
      <c r="J1797" s="1" t="s">
        <v>247</v>
      </c>
      <c r="K1797" s="9">
        <v>3.1</v>
      </c>
      <c r="L1797" t="s">
        <v>21</v>
      </c>
      <c r="M1797">
        <f t="shared" si="144"/>
        <v>3.0999999999999999E-3</v>
      </c>
      <c r="N1797">
        <f t="shared" si="142"/>
        <v>0.9622523999999999</v>
      </c>
    </row>
    <row r="1798" spans="1:14" x14ac:dyDescent="0.3">
      <c r="A1798" s="1" t="s">
        <v>41</v>
      </c>
      <c r="B1798">
        <v>24</v>
      </c>
      <c r="C1798">
        <v>54</v>
      </c>
      <c r="D1798" s="1" t="s">
        <v>167</v>
      </c>
      <c r="E1798" s="1">
        <v>4000000</v>
      </c>
      <c r="F1798">
        <f t="shared" si="145"/>
        <v>1056688.7074319557</v>
      </c>
      <c r="G1798">
        <f t="shared" si="143"/>
        <v>3404.2367605828395</v>
      </c>
      <c r="H1798" s="1" t="s">
        <v>170</v>
      </c>
      <c r="I1798" s="1" t="s">
        <v>246</v>
      </c>
      <c r="J1798" s="1" t="s">
        <v>247</v>
      </c>
      <c r="K1798" s="9">
        <v>132.1</v>
      </c>
      <c r="L1798" t="s">
        <v>21</v>
      </c>
      <c r="M1798">
        <f t="shared" si="144"/>
        <v>0.1321</v>
      </c>
      <c r="N1798">
        <f t="shared" si="142"/>
        <v>41.004368400000004</v>
      </c>
    </row>
    <row r="1799" spans="1:14" x14ac:dyDescent="0.3">
      <c r="A1799" s="1" t="s">
        <v>171</v>
      </c>
      <c r="B1799">
        <v>24</v>
      </c>
      <c r="C1799">
        <v>52</v>
      </c>
      <c r="D1799" s="1" t="s">
        <v>165</v>
      </c>
      <c r="E1799" s="1">
        <v>10000000</v>
      </c>
      <c r="F1799">
        <f t="shared" si="145"/>
        <v>2641721.7685798896</v>
      </c>
      <c r="G1799">
        <f t="shared" si="143"/>
        <v>8510.5919014570991</v>
      </c>
      <c r="H1799" s="1" t="s">
        <v>115</v>
      </c>
      <c r="I1799" s="1" t="s">
        <v>246</v>
      </c>
      <c r="J1799" s="1" t="s">
        <v>247</v>
      </c>
      <c r="K1799" s="9">
        <v>0</v>
      </c>
      <c r="L1799" t="s">
        <v>21</v>
      </c>
      <c r="M1799">
        <f t="shared" si="144"/>
        <v>0</v>
      </c>
      <c r="N1799">
        <f t="shared" si="142"/>
        <v>0</v>
      </c>
    </row>
    <row r="1800" spans="1:14" x14ac:dyDescent="0.3">
      <c r="A1800" s="1" t="s">
        <v>171</v>
      </c>
      <c r="B1800">
        <v>24</v>
      </c>
      <c r="C1800">
        <v>53</v>
      </c>
      <c r="D1800" s="1" t="s">
        <v>166</v>
      </c>
      <c r="E1800" s="1">
        <v>14000000</v>
      </c>
      <c r="F1800">
        <f t="shared" si="145"/>
        <v>3698410.4760118453</v>
      </c>
      <c r="G1800">
        <f t="shared" si="143"/>
        <v>11914.828662039939</v>
      </c>
      <c r="H1800" s="1" t="s">
        <v>115</v>
      </c>
      <c r="I1800" s="1" t="s">
        <v>246</v>
      </c>
      <c r="J1800" s="1" t="s">
        <v>247</v>
      </c>
      <c r="K1800" s="9">
        <v>0</v>
      </c>
      <c r="L1800" t="s">
        <v>21</v>
      </c>
      <c r="M1800">
        <f t="shared" si="144"/>
        <v>0</v>
      </c>
      <c r="N1800">
        <f t="shared" si="142"/>
        <v>0</v>
      </c>
    </row>
    <row r="1801" spans="1:14" x14ac:dyDescent="0.3">
      <c r="A1801" s="1" t="s">
        <v>171</v>
      </c>
      <c r="B1801">
        <v>24</v>
      </c>
      <c r="C1801">
        <v>54</v>
      </c>
      <c r="D1801" s="1" t="s">
        <v>167</v>
      </c>
      <c r="E1801" s="1">
        <v>4000000</v>
      </c>
      <c r="F1801">
        <f t="shared" si="145"/>
        <v>1056688.7074319557</v>
      </c>
      <c r="G1801">
        <f t="shared" si="143"/>
        <v>3404.2367605828395</v>
      </c>
      <c r="H1801" s="1" t="s">
        <v>115</v>
      </c>
      <c r="I1801" s="1" t="s">
        <v>246</v>
      </c>
      <c r="J1801" s="1" t="s">
        <v>247</v>
      </c>
      <c r="K1801" s="9">
        <v>0</v>
      </c>
      <c r="L1801" t="s">
        <v>21</v>
      </c>
      <c r="M1801">
        <f t="shared" si="144"/>
        <v>0</v>
      </c>
      <c r="N1801">
        <f t="shared" si="142"/>
        <v>0</v>
      </c>
    </row>
    <row r="1802" spans="1:14" x14ac:dyDescent="0.3">
      <c r="A1802" s="1" t="s">
        <v>68</v>
      </c>
      <c r="B1802">
        <v>24</v>
      </c>
      <c r="C1802">
        <v>52</v>
      </c>
      <c r="D1802" s="1" t="s">
        <v>165</v>
      </c>
      <c r="E1802" s="1">
        <v>10000000</v>
      </c>
      <c r="F1802">
        <f t="shared" si="145"/>
        <v>2641721.7685798896</v>
      </c>
      <c r="G1802">
        <f t="shared" si="143"/>
        <v>8510.5919014570991</v>
      </c>
      <c r="H1802" s="1" t="s">
        <v>115</v>
      </c>
      <c r="I1802" s="1" t="s">
        <v>246</v>
      </c>
      <c r="J1802" s="1" t="s">
        <v>247</v>
      </c>
      <c r="K1802" s="9">
        <v>0</v>
      </c>
      <c r="L1802" t="s">
        <v>21</v>
      </c>
      <c r="M1802">
        <f t="shared" si="144"/>
        <v>0</v>
      </c>
      <c r="N1802">
        <f t="shared" si="142"/>
        <v>0</v>
      </c>
    </row>
    <row r="1803" spans="1:14" x14ac:dyDescent="0.3">
      <c r="A1803" s="1" t="s">
        <v>68</v>
      </c>
      <c r="B1803">
        <v>24</v>
      </c>
      <c r="C1803">
        <v>53</v>
      </c>
      <c r="D1803" s="1" t="s">
        <v>166</v>
      </c>
      <c r="E1803" s="1">
        <v>14000000</v>
      </c>
      <c r="F1803">
        <f t="shared" si="145"/>
        <v>3698410.4760118453</v>
      </c>
      <c r="G1803">
        <f t="shared" si="143"/>
        <v>11914.828662039939</v>
      </c>
      <c r="H1803" s="1" t="s">
        <v>115</v>
      </c>
      <c r="I1803" s="1" t="s">
        <v>246</v>
      </c>
      <c r="J1803" s="1" t="s">
        <v>247</v>
      </c>
      <c r="K1803" s="9">
        <v>0</v>
      </c>
      <c r="L1803" t="s">
        <v>21</v>
      </c>
      <c r="M1803">
        <f t="shared" si="144"/>
        <v>0</v>
      </c>
      <c r="N1803">
        <f t="shared" si="142"/>
        <v>0</v>
      </c>
    </row>
    <row r="1804" spans="1:14" x14ac:dyDescent="0.3">
      <c r="A1804" s="1" t="s">
        <v>68</v>
      </c>
      <c r="B1804">
        <v>24</v>
      </c>
      <c r="C1804">
        <v>54</v>
      </c>
      <c r="D1804" s="1" t="s">
        <v>167</v>
      </c>
      <c r="E1804" s="1">
        <v>4000000</v>
      </c>
      <c r="F1804">
        <f t="shared" si="145"/>
        <v>1056688.7074319557</v>
      </c>
      <c r="G1804">
        <f t="shared" si="143"/>
        <v>3404.2367605828395</v>
      </c>
      <c r="H1804" s="1" t="s">
        <v>115</v>
      </c>
      <c r="I1804" s="1" t="s">
        <v>246</v>
      </c>
      <c r="J1804" s="1" t="s">
        <v>247</v>
      </c>
      <c r="K1804" s="9">
        <v>0</v>
      </c>
      <c r="L1804" t="s">
        <v>21</v>
      </c>
      <c r="M1804">
        <f t="shared" si="144"/>
        <v>0</v>
      </c>
      <c r="N1804">
        <f t="shared" si="142"/>
        <v>0</v>
      </c>
    </row>
    <row r="1805" spans="1:14" x14ac:dyDescent="0.3">
      <c r="A1805" s="1" t="s">
        <v>25</v>
      </c>
      <c r="B1805">
        <v>24</v>
      </c>
      <c r="C1805">
        <v>52</v>
      </c>
      <c r="D1805" s="1" t="s">
        <v>165</v>
      </c>
      <c r="E1805" s="1">
        <v>10000000</v>
      </c>
      <c r="F1805">
        <f t="shared" si="145"/>
        <v>2641721.7685798896</v>
      </c>
      <c r="G1805">
        <f t="shared" si="143"/>
        <v>8510.5919014570991</v>
      </c>
      <c r="H1805" s="1" t="s">
        <v>115</v>
      </c>
      <c r="I1805" s="1" t="s">
        <v>246</v>
      </c>
      <c r="J1805" s="1" t="s">
        <v>247</v>
      </c>
      <c r="K1805" s="9">
        <v>0</v>
      </c>
      <c r="L1805" t="s">
        <v>21</v>
      </c>
      <c r="M1805">
        <f t="shared" si="144"/>
        <v>0</v>
      </c>
      <c r="N1805">
        <f t="shared" si="142"/>
        <v>0</v>
      </c>
    </row>
    <row r="1806" spans="1:14" x14ac:dyDescent="0.3">
      <c r="A1806" s="1" t="s">
        <v>25</v>
      </c>
      <c r="B1806">
        <v>24</v>
      </c>
      <c r="C1806">
        <v>53</v>
      </c>
      <c r="D1806" s="1" t="s">
        <v>166</v>
      </c>
      <c r="E1806" s="1">
        <v>14000000</v>
      </c>
      <c r="F1806">
        <f t="shared" si="145"/>
        <v>3698410.4760118453</v>
      </c>
      <c r="G1806">
        <f t="shared" si="143"/>
        <v>11914.828662039939</v>
      </c>
      <c r="H1806" s="1" t="s">
        <v>115</v>
      </c>
      <c r="I1806" s="1" t="s">
        <v>246</v>
      </c>
      <c r="J1806" s="1" t="s">
        <v>247</v>
      </c>
      <c r="K1806" s="9">
        <v>0</v>
      </c>
      <c r="L1806" t="s">
        <v>21</v>
      </c>
      <c r="M1806">
        <f t="shared" si="144"/>
        <v>0</v>
      </c>
      <c r="N1806">
        <f t="shared" si="142"/>
        <v>0</v>
      </c>
    </row>
    <row r="1807" spans="1:14" x14ac:dyDescent="0.3">
      <c r="A1807" s="1" t="s">
        <v>25</v>
      </c>
      <c r="B1807">
        <v>24</v>
      </c>
      <c r="C1807">
        <v>54</v>
      </c>
      <c r="D1807" s="1" t="s">
        <v>167</v>
      </c>
      <c r="E1807" s="1">
        <v>4000000</v>
      </c>
      <c r="F1807">
        <f t="shared" si="145"/>
        <v>1056688.7074319557</v>
      </c>
      <c r="G1807">
        <f t="shared" si="143"/>
        <v>3404.2367605828395</v>
      </c>
      <c r="H1807" s="1" t="s">
        <v>115</v>
      </c>
      <c r="I1807" s="1" t="s">
        <v>246</v>
      </c>
      <c r="J1807" s="1" t="s">
        <v>247</v>
      </c>
      <c r="K1807" s="9">
        <v>0</v>
      </c>
      <c r="L1807" t="s">
        <v>21</v>
      </c>
      <c r="M1807">
        <f t="shared" si="144"/>
        <v>0</v>
      </c>
      <c r="N1807">
        <f t="shared" si="142"/>
        <v>0</v>
      </c>
    </row>
    <row r="1808" spans="1:14" x14ac:dyDescent="0.3">
      <c r="A1808" s="1" t="s">
        <v>28</v>
      </c>
      <c r="B1808">
        <v>24</v>
      </c>
      <c r="C1808">
        <v>52</v>
      </c>
      <c r="D1808" s="1" t="s">
        <v>165</v>
      </c>
      <c r="E1808" s="1">
        <v>10000000</v>
      </c>
      <c r="F1808">
        <f t="shared" si="145"/>
        <v>2641721.7685798896</v>
      </c>
      <c r="G1808">
        <f t="shared" si="143"/>
        <v>8510.5919014570991</v>
      </c>
      <c r="H1808" s="1" t="s">
        <v>115</v>
      </c>
      <c r="I1808" s="1" t="s">
        <v>246</v>
      </c>
      <c r="J1808" s="1" t="s">
        <v>247</v>
      </c>
      <c r="K1808" s="9">
        <v>0</v>
      </c>
      <c r="L1808" t="s">
        <v>21</v>
      </c>
      <c r="M1808">
        <f t="shared" si="144"/>
        <v>0</v>
      </c>
      <c r="N1808">
        <f t="shared" si="142"/>
        <v>0</v>
      </c>
    </row>
    <row r="1809" spans="1:14" x14ac:dyDescent="0.3">
      <c r="A1809" s="1" t="s">
        <v>28</v>
      </c>
      <c r="B1809">
        <v>24</v>
      </c>
      <c r="C1809">
        <v>53</v>
      </c>
      <c r="D1809" s="1" t="s">
        <v>166</v>
      </c>
      <c r="E1809" s="1">
        <v>14000000</v>
      </c>
      <c r="F1809">
        <f t="shared" si="145"/>
        <v>3698410.4760118453</v>
      </c>
      <c r="G1809">
        <f t="shared" si="143"/>
        <v>11914.828662039939</v>
      </c>
      <c r="H1809" s="1" t="s">
        <v>115</v>
      </c>
      <c r="I1809" s="1" t="s">
        <v>246</v>
      </c>
      <c r="J1809" s="1" t="s">
        <v>247</v>
      </c>
      <c r="K1809" s="9">
        <v>0</v>
      </c>
      <c r="L1809" t="s">
        <v>21</v>
      </c>
      <c r="M1809">
        <f t="shared" si="144"/>
        <v>0</v>
      </c>
      <c r="N1809">
        <f t="shared" si="142"/>
        <v>0</v>
      </c>
    </row>
    <row r="1810" spans="1:14" x14ac:dyDescent="0.3">
      <c r="A1810" s="1" t="s">
        <v>28</v>
      </c>
      <c r="B1810">
        <v>24</v>
      </c>
      <c r="C1810">
        <v>54</v>
      </c>
      <c r="D1810" s="1" t="s">
        <v>167</v>
      </c>
      <c r="E1810" s="1">
        <v>4000000</v>
      </c>
      <c r="F1810">
        <f t="shared" si="145"/>
        <v>1056688.7074319557</v>
      </c>
      <c r="G1810">
        <f t="shared" si="143"/>
        <v>3404.2367605828395</v>
      </c>
      <c r="H1810" s="1" t="s">
        <v>115</v>
      </c>
      <c r="I1810" s="1" t="s">
        <v>246</v>
      </c>
      <c r="J1810" s="1" t="s">
        <v>247</v>
      </c>
      <c r="K1810" s="9">
        <v>0</v>
      </c>
      <c r="L1810" t="s">
        <v>21</v>
      </c>
      <c r="M1810">
        <f t="shared" si="144"/>
        <v>0</v>
      </c>
      <c r="N1810">
        <f t="shared" si="142"/>
        <v>0</v>
      </c>
    </row>
    <row r="1811" spans="1:14" x14ac:dyDescent="0.3">
      <c r="A1811" s="1" t="s">
        <v>32</v>
      </c>
      <c r="B1811">
        <v>24</v>
      </c>
      <c r="C1811">
        <v>52</v>
      </c>
      <c r="D1811" s="1" t="s">
        <v>165</v>
      </c>
      <c r="E1811" s="1">
        <v>10000000</v>
      </c>
      <c r="F1811">
        <f t="shared" si="145"/>
        <v>2641721.7685798896</v>
      </c>
      <c r="G1811">
        <f t="shared" si="143"/>
        <v>8510.5919014570991</v>
      </c>
      <c r="H1811" s="1" t="s">
        <v>115</v>
      </c>
      <c r="I1811" s="1" t="s">
        <v>246</v>
      </c>
      <c r="J1811" s="1" t="s">
        <v>247</v>
      </c>
      <c r="K1811" s="9">
        <v>0</v>
      </c>
      <c r="L1811" t="s">
        <v>21</v>
      </c>
      <c r="M1811">
        <f t="shared" si="144"/>
        <v>0</v>
      </c>
      <c r="N1811">
        <f t="shared" si="142"/>
        <v>0</v>
      </c>
    </row>
    <row r="1812" spans="1:14" x14ac:dyDescent="0.3">
      <c r="A1812" s="1" t="s">
        <v>32</v>
      </c>
      <c r="B1812">
        <v>24</v>
      </c>
      <c r="C1812">
        <v>53</v>
      </c>
      <c r="D1812" s="1" t="s">
        <v>166</v>
      </c>
      <c r="E1812" s="1">
        <v>14000000</v>
      </c>
      <c r="F1812">
        <f t="shared" si="145"/>
        <v>3698410.4760118453</v>
      </c>
      <c r="G1812">
        <f t="shared" si="143"/>
        <v>11914.828662039939</v>
      </c>
      <c r="H1812" s="1" t="s">
        <v>115</v>
      </c>
      <c r="I1812" s="1" t="s">
        <v>246</v>
      </c>
      <c r="J1812" s="1" t="s">
        <v>247</v>
      </c>
      <c r="K1812" s="9">
        <v>0</v>
      </c>
      <c r="L1812" t="s">
        <v>21</v>
      </c>
      <c r="M1812">
        <f t="shared" si="144"/>
        <v>0</v>
      </c>
      <c r="N1812">
        <f t="shared" si="142"/>
        <v>0</v>
      </c>
    </row>
    <row r="1813" spans="1:14" x14ac:dyDescent="0.3">
      <c r="A1813" s="1" t="s">
        <v>32</v>
      </c>
      <c r="B1813">
        <v>24</v>
      </c>
      <c r="C1813">
        <v>54</v>
      </c>
      <c r="D1813" s="1" t="s">
        <v>167</v>
      </c>
      <c r="E1813" s="1">
        <v>4000000</v>
      </c>
      <c r="F1813">
        <f t="shared" si="145"/>
        <v>1056688.7074319557</v>
      </c>
      <c r="G1813">
        <f t="shared" si="143"/>
        <v>3404.2367605828395</v>
      </c>
      <c r="H1813" s="1" t="s">
        <v>115</v>
      </c>
      <c r="I1813" s="1" t="s">
        <v>246</v>
      </c>
      <c r="J1813" s="1" t="s">
        <v>247</v>
      </c>
      <c r="K1813" s="9">
        <v>0</v>
      </c>
      <c r="L1813" t="s">
        <v>21</v>
      </c>
      <c r="M1813">
        <f t="shared" si="144"/>
        <v>0</v>
      </c>
      <c r="N1813">
        <f t="shared" si="142"/>
        <v>0</v>
      </c>
    </row>
    <row r="1814" spans="1:14" x14ac:dyDescent="0.3">
      <c r="A1814" s="1" t="s">
        <v>172</v>
      </c>
      <c r="B1814">
        <v>24</v>
      </c>
      <c r="C1814">
        <v>52</v>
      </c>
      <c r="D1814" s="1" t="s">
        <v>165</v>
      </c>
      <c r="E1814" s="1">
        <v>10000000</v>
      </c>
      <c r="F1814">
        <f t="shared" si="145"/>
        <v>2641721.7685798896</v>
      </c>
      <c r="G1814">
        <f t="shared" si="143"/>
        <v>8510.5919014570991</v>
      </c>
      <c r="H1814" s="1" t="s">
        <v>115</v>
      </c>
      <c r="I1814" s="1" t="s">
        <v>246</v>
      </c>
      <c r="J1814" s="1" t="s">
        <v>247</v>
      </c>
      <c r="K1814" s="9">
        <v>0</v>
      </c>
      <c r="L1814" t="s">
        <v>21</v>
      </c>
      <c r="M1814">
        <f t="shared" si="144"/>
        <v>0</v>
      </c>
      <c r="N1814">
        <f t="shared" si="142"/>
        <v>0</v>
      </c>
    </row>
    <row r="1815" spans="1:14" x14ac:dyDescent="0.3">
      <c r="A1815" s="1" t="s">
        <v>172</v>
      </c>
      <c r="B1815">
        <v>24</v>
      </c>
      <c r="C1815">
        <v>53</v>
      </c>
      <c r="D1815" s="1" t="s">
        <v>166</v>
      </c>
      <c r="E1815" s="1">
        <v>14000000</v>
      </c>
      <c r="F1815">
        <f t="shared" si="145"/>
        <v>3698410.4760118453</v>
      </c>
      <c r="G1815">
        <f t="shared" si="143"/>
        <v>11914.828662039939</v>
      </c>
      <c r="H1815" s="1" t="s">
        <v>115</v>
      </c>
      <c r="I1815" s="1" t="s">
        <v>246</v>
      </c>
      <c r="J1815" s="1" t="s">
        <v>247</v>
      </c>
      <c r="K1815" s="9">
        <v>0</v>
      </c>
      <c r="L1815" t="s">
        <v>21</v>
      </c>
      <c r="M1815">
        <f t="shared" si="144"/>
        <v>0</v>
      </c>
      <c r="N1815">
        <f t="shared" si="142"/>
        <v>0</v>
      </c>
    </row>
    <row r="1816" spans="1:14" x14ac:dyDescent="0.3">
      <c r="A1816" s="1" t="s">
        <v>172</v>
      </c>
      <c r="B1816">
        <v>24</v>
      </c>
      <c r="C1816">
        <v>54</v>
      </c>
      <c r="D1816" s="1" t="s">
        <v>167</v>
      </c>
      <c r="E1816" s="1">
        <v>4000000</v>
      </c>
      <c r="F1816">
        <f t="shared" si="145"/>
        <v>1056688.7074319557</v>
      </c>
      <c r="G1816">
        <f t="shared" si="143"/>
        <v>3404.2367605828395</v>
      </c>
      <c r="H1816" s="1" t="s">
        <v>115</v>
      </c>
      <c r="I1816" s="1" t="s">
        <v>246</v>
      </c>
      <c r="J1816" s="1" t="s">
        <v>247</v>
      </c>
      <c r="K1816" s="9">
        <v>0</v>
      </c>
      <c r="L1816" t="s">
        <v>21</v>
      </c>
      <c r="M1816">
        <f t="shared" si="144"/>
        <v>0</v>
      </c>
      <c r="N1816">
        <f t="shared" si="142"/>
        <v>0</v>
      </c>
    </row>
    <row r="1817" spans="1:14" x14ac:dyDescent="0.3">
      <c r="A1817" s="1" t="s">
        <v>40</v>
      </c>
      <c r="B1817">
        <v>24</v>
      </c>
      <c r="C1817">
        <v>52</v>
      </c>
      <c r="D1817" s="1" t="s">
        <v>165</v>
      </c>
      <c r="E1817" s="1">
        <v>10000000</v>
      </c>
      <c r="F1817">
        <f t="shared" si="145"/>
        <v>2641721.7685798896</v>
      </c>
      <c r="G1817">
        <f t="shared" si="143"/>
        <v>8510.5919014570991</v>
      </c>
      <c r="H1817" s="1" t="s">
        <v>115</v>
      </c>
      <c r="I1817" s="1" t="s">
        <v>246</v>
      </c>
      <c r="J1817" s="1" t="s">
        <v>247</v>
      </c>
      <c r="K1817" s="9">
        <v>885</v>
      </c>
      <c r="L1817" t="s">
        <v>21</v>
      </c>
      <c r="M1817">
        <f t="shared" si="144"/>
        <v>0.88500000000000001</v>
      </c>
      <c r="N1817">
        <f t="shared" si="142"/>
        <v>274.70753999999999</v>
      </c>
    </row>
    <row r="1818" spans="1:14" x14ac:dyDescent="0.3">
      <c r="A1818" s="1" t="s">
        <v>40</v>
      </c>
      <c r="B1818">
        <v>24</v>
      </c>
      <c r="C1818">
        <v>53</v>
      </c>
      <c r="D1818" s="1" t="s">
        <v>166</v>
      </c>
      <c r="E1818" s="1">
        <v>14000000</v>
      </c>
      <c r="F1818">
        <f t="shared" si="145"/>
        <v>3698410.4760118453</v>
      </c>
      <c r="G1818">
        <f t="shared" si="143"/>
        <v>11914.828662039939</v>
      </c>
      <c r="H1818" s="1" t="s">
        <v>115</v>
      </c>
      <c r="I1818" s="1" t="s">
        <v>246</v>
      </c>
      <c r="J1818" s="1" t="s">
        <v>247</v>
      </c>
      <c r="K1818" s="9">
        <v>345.8</v>
      </c>
      <c r="L1818" t="s">
        <v>21</v>
      </c>
      <c r="M1818">
        <f t="shared" si="144"/>
        <v>0.3458</v>
      </c>
      <c r="N1818">
        <f t="shared" si="142"/>
        <v>107.33770319999999</v>
      </c>
    </row>
    <row r="1819" spans="1:14" x14ac:dyDescent="0.3">
      <c r="A1819" s="1" t="s">
        <v>40</v>
      </c>
      <c r="B1819">
        <v>24</v>
      </c>
      <c r="C1819">
        <v>54</v>
      </c>
      <c r="D1819" s="1" t="s">
        <v>167</v>
      </c>
      <c r="E1819" s="1">
        <v>4000000</v>
      </c>
      <c r="F1819">
        <f t="shared" si="145"/>
        <v>1056688.7074319557</v>
      </c>
      <c r="G1819">
        <f t="shared" si="143"/>
        <v>3404.2367605828395</v>
      </c>
      <c r="H1819" s="1" t="s">
        <v>115</v>
      </c>
      <c r="I1819" s="1" t="s">
        <v>246</v>
      </c>
      <c r="J1819" s="1" t="s">
        <v>247</v>
      </c>
      <c r="K1819" s="9">
        <v>284.7</v>
      </c>
      <c r="L1819" t="s">
        <v>21</v>
      </c>
      <c r="M1819">
        <f t="shared" si="144"/>
        <v>0.28470000000000001</v>
      </c>
      <c r="N1819">
        <f t="shared" si="142"/>
        <v>88.372018800000006</v>
      </c>
    </row>
    <row r="1820" spans="1:14" x14ac:dyDescent="0.3">
      <c r="A1820" s="1" t="s">
        <v>41</v>
      </c>
      <c r="B1820">
        <v>24</v>
      </c>
      <c r="C1820">
        <v>52</v>
      </c>
      <c r="D1820" s="1" t="s">
        <v>165</v>
      </c>
      <c r="E1820" s="1">
        <v>10000000</v>
      </c>
      <c r="F1820">
        <f t="shared" si="145"/>
        <v>2641721.7685798896</v>
      </c>
      <c r="G1820">
        <f t="shared" si="143"/>
        <v>8510.5919014570991</v>
      </c>
      <c r="H1820" s="1" t="s">
        <v>115</v>
      </c>
      <c r="I1820" s="1" t="s">
        <v>246</v>
      </c>
      <c r="J1820" s="1" t="s">
        <v>247</v>
      </c>
      <c r="K1820" s="9">
        <v>557</v>
      </c>
      <c r="L1820" t="s">
        <v>21</v>
      </c>
      <c r="M1820">
        <f t="shared" si="144"/>
        <v>0.55700000000000005</v>
      </c>
      <c r="N1820">
        <f t="shared" si="142"/>
        <v>172.89502800000002</v>
      </c>
    </row>
    <row r="1821" spans="1:14" x14ac:dyDescent="0.3">
      <c r="A1821" s="1" t="s">
        <v>41</v>
      </c>
      <c r="B1821">
        <v>24</v>
      </c>
      <c r="C1821">
        <v>53</v>
      </c>
      <c r="D1821" s="1" t="s">
        <v>166</v>
      </c>
      <c r="E1821" s="1">
        <v>14000000</v>
      </c>
      <c r="F1821">
        <f t="shared" si="145"/>
        <v>3698410.4760118453</v>
      </c>
      <c r="G1821">
        <f t="shared" si="143"/>
        <v>11914.828662039939</v>
      </c>
      <c r="H1821" s="1" t="s">
        <v>115</v>
      </c>
      <c r="I1821" s="1" t="s">
        <v>246</v>
      </c>
      <c r="J1821" s="1" t="s">
        <v>247</v>
      </c>
      <c r="K1821" s="9">
        <v>916</v>
      </c>
      <c r="L1821" t="s">
        <v>21</v>
      </c>
      <c r="M1821">
        <f t="shared" si="144"/>
        <v>0.91600000000000004</v>
      </c>
      <c r="N1821">
        <f t="shared" si="142"/>
        <v>284.33006399999999</v>
      </c>
    </row>
    <row r="1822" spans="1:14" x14ac:dyDescent="0.3">
      <c r="A1822" s="1" t="s">
        <v>41</v>
      </c>
      <c r="B1822">
        <v>24</v>
      </c>
      <c r="C1822">
        <v>54</v>
      </c>
      <c r="D1822" s="1" t="s">
        <v>167</v>
      </c>
      <c r="E1822" s="1">
        <v>4000000</v>
      </c>
      <c r="F1822">
        <f t="shared" si="145"/>
        <v>1056688.7074319557</v>
      </c>
      <c r="G1822">
        <f t="shared" si="143"/>
        <v>3404.2367605828395</v>
      </c>
      <c r="H1822" s="1" t="s">
        <v>115</v>
      </c>
      <c r="I1822" s="1" t="s">
        <v>246</v>
      </c>
      <c r="J1822" s="1" t="s">
        <v>247</v>
      </c>
      <c r="K1822" s="9">
        <v>31.6</v>
      </c>
      <c r="L1822" t="s">
        <v>21</v>
      </c>
      <c r="M1822">
        <f t="shared" si="144"/>
        <v>3.1600000000000003E-2</v>
      </c>
      <c r="N1822">
        <f t="shared" si="142"/>
        <v>9.8087663999999997</v>
      </c>
    </row>
    <row r="1823" spans="1:14" x14ac:dyDescent="0.3">
      <c r="A1823" s="1" t="s">
        <v>27</v>
      </c>
      <c r="B1823">
        <v>25</v>
      </c>
      <c r="C1823">
        <v>55</v>
      </c>
      <c r="D1823" s="1" t="s">
        <v>173</v>
      </c>
      <c r="E1823" s="1">
        <v>8990000</v>
      </c>
      <c r="F1823">
        <f t="shared" si="145"/>
        <v>2374907.8699533208</v>
      </c>
      <c r="G1823">
        <f t="shared" si="143"/>
        <v>7651.0221194099331</v>
      </c>
      <c r="H1823" s="1" t="s">
        <v>174</v>
      </c>
      <c r="I1823" s="1" t="s">
        <v>248</v>
      </c>
      <c r="J1823" s="1" t="s">
        <v>216</v>
      </c>
      <c r="K1823" s="9">
        <f>AVERAGE(0.89,1.7)*1000</f>
        <v>1295</v>
      </c>
      <c r="L1823" t="s">
        <v>21</v>
      </c>
      <c r="M1823">
        <f t="shared" ref="M1823:M1841" si="146">IFERROR(K1823/1000,"ND")</f>
        <v>1.2949999999999999</v>
      </c>
      <c r="N1823">
        <f t="shared" ref="N1823:N1875" si="147">IFERROR((M1823*F1823)/G1823,"ND")</f>
        <v>401.97317999999996</v>
      </c>
    </row>
    <row r="1824" spans="1:14" x14ac:dyDescent="0.3">
      <c r="A1824" s="1" t="s">
        <v>175</v>
      </c>
      <c r="B1824">
        <v>25</v>
      </c>
      <c r="C1824">
        <v>55</v>
      </c>
      <c r="D1824" s="1" t="s">
        <v>173</v>
      </c>
      <c r="E1824" s="1">
        <v>8990000</v>
      </c>
      <c r="F1824">
        <f t="shared" si="145"/>
        <v>2374907.8699533208</v>
      </c>
      <c r="G1824">
        <f t="shared" si="143"/>
        <v>7651.0221194099331</v>
      </c>
      <c r="H1824" s="1" t="s">
        <v>174</v>
      </c>
      <c r="I1824" s="1" t="s">
        <v>248</v>
      </c>
      <c r="J1824" s="1" t="s">
        <v>216</v>
      </c>
      <c r="K1824" s="9">
        <f>AVERAGE(0.28,0.35)*1000</f>
        <v>315</v>
      </c>
      <c r="L1824" t="s">
        <v>21</v>
      </c>
      <c r="M1824">
        <f t="shared" si="146"/>
        <v>0.315</v>
      </c>
      <c r="N1824">
        <f t="shared" si="147"/>
        <v>97.777259999999998</v>
      </c>
    </row>
    <row r="1825" spans="1:14" x14ac:dyDescent="0.3">
      <c r="A1825" s="1" t="s">
        <v>29</v>
      </c>
      <c r="B1825">
        <v>25</v>
      </c>
      <c r="C1825">
        <v>55</v>
      </c>
      <c r="D1825" s="1" t="s">
        <v>173</v>
      </c>
      <c r="E1825" s="1">
        <v>8990000</v>
      </c>
      <c r="F1825">
        <f t="shared" si="145"/>
        <v>2374907.8699533208</v>
      </c>
      <c r="G1825">
        <f t="shared" si="143"/>
        <v>7651.0221194099331</v>
      </c>
      <c r="H1825" s="1" t="s">
        <v>174</v>
      </c>
      <c r="I1825" s="1" t="s">
        <v>248</v>
      </c>
      <c r="J1825" s="1" t="s">
        <v>216</v>
      </c>
      <c r="K1825" s="9">
        <f>AVERAGE(0.02, 0.33)*1000</f>
        <v>175.00000000000003</v>
      </c>
      <c r="L1825" t="s">
        <v>21</v>
      </c>
      <c r="M1825">
        <f t="shared" si="146"/>
        <v>0.17500000000000002</v>
      </c>
      <c r="N1825">
        <f t="shared" si="147"/>
        <v>54.320700000000002</v>
      </c>
    </row>
    <row r="1826" spans="1:14" x14ac:dyDescent="0.3">
      <c r="A1826" s="1" t="s">
        <v>124</v>
      </c>
      <c r="B1826">
        <v>25</v>
      </c>
      <c r="C1826">
        <v>55</v>
      </c>
      <c r="D1826" s="1" t="s">
        <v>173</v>
      </c>
      <c r="E1826" s="1">
        <v>8990000</v>
      </c>
      <c r="F1826">
        <f t="shared" si="145"/>
        <v>2374907.8699533208</v>
      </c>
      <c r="G1826">
        <f t="shared" si="143"/>
        <v>7651.0221194099331</v>
      </c>
      <c r="H1826" s="1" t="s">
        <v>174</v>
      </c>
      <c r="I1826" s="1" t="s">
        <v>248</v>
      </c>
      <c r="J1826" s="1" t="s">
        <v>216</v>
      </c>
      <c r="K1826" s="9">
        <f>AVERAGE(0.43,1.9)*1000</f>
        <v>1165</v>
      </c>
      <c r="L1826" t="s">
        <v>21</v>
      </c>
      <c r="M1826">
        <f t="shared" si="146"/>
        <v>1.165</v>
      </c>
      <c r="N1826">
        <f t="shared" si="147"/>
        <v>361.62065999999999</v>
      </c>
    </row>
    <row r="1827" spans="1:14" x14ac:dyDescent="0.3">
      <c r="A1827" s="1" t="s">
        <v>176</v>
      </c>
      <c r="B1827">
        <v>25</v>
      </c>
      <c r="C1827">
        <v>55</v>
      </c>
      <c r="D1827" s="1" t="s">
        <v>173</v>
      </c>
      <c r="E1827" s="1">
        <v>8990000</v>
      </c>
      <c r="F1827">
        <f t="shared" si="145"/>
        <v>2374907.8699533208</v>
      </c>
      <c r="G1827">
        <f t="shared" si="143"/>
        <v>7651.0221194099331</v>
      </c>
      <c r="H1827" s="1" t="s">
        <v>174</v>
      </c>
      <c r="I1827" s="1" t="s">
        <v>248</v>
      </c>
      <c r="J1827" s="1" t="s">
        <v>216</v>
      </c>
      <c r="K1827" s="9">
        <f>AVERAGE(0.03,0.33)*1000</f>
        <v>180</v>
      </c>
      <c r="L1827" t="s">
        <v>21</v>
      </c>
      <c r="M1827">
        <f t="shared" si="146"/>
        <v>0.18</v>
      </c>
      <c r="N1827">
        <f t="shared" si="147"/>
        <v>55.872719999999994</v>
      </c>
    </row>
    <row r="1828" spans="1:14" x14ac:dyDescent="0.3">
      <c r="A1828" s="1" t="s">
        <v>177</v>
      </c>
      <c r="B1828">
        <v>25</v>
      </c>
      <c r="C1828">
        <v>55</v>
      </c>
      <c r="D1828" s="1" t="s">
        <v>173</v>
      </c>
      <c r="E1828" s="1">
        <v>8990000</v>
      </c>
      <c r="F1828">
        <f t="shared" si="145"/>
        <v>2374907.8699533208</v>
      </c>
      <c r="G1828">
        <f t="shared" si="143"/>
        <v>7651.0221194099331</v>
      </c>
      <c r="H1828" s="1" t="s">
        <v>174</v>
      </c>
      <c r="I1828" s="1" t="s">
        <v>248</v>
      </c>
      <c r="J1828" s="1" t="s">
        <v>216</v>
      </c>
      <c r="K1828" s="9">
        <f>AVERAGE(26.8,78.5)*1000</f>
        <v>52650</v>
      </c>
      <c r="L1828" t="s">
        <v>21</v>
      </c>
      <c r="M1828">
        <f t="shared" si="146"/>
        <v>52.65</v>
      </c>
      <c r="N1828">
        <f t="shared" si="147"/>
        <v>16342.770599999998</v>
      </c>
    </row>
    <row r="1829" spans="1:14" x14ac:dyDescent="0.3">
      <c r="A1829" s="1" t="s">
        <v>178</v>
      </c>
      <c r="B1829">
        <v>25</v>
      </c>
      <c r="C1829">
        <v>55</v>
      </c>
      <c r="D1829" s="1" t="s">
        <v>173</v>
      </c>
      <c r="E1829" s="1">
        <v>8990000</v>
      </c>
      <c r="F1829">
        <f t="shared" si="145"/>
        <v>2374907.8699533208</v>
      </c>
      <c r="G1829">
        <f t="shared" si="143"/>
        <v>7651.0221194099331</v>
      </c>
      <c r="H1829" s="1" t="s">
        <v>174</v>
      </c>
      <c r="I1829" s="1" t="s">
        <v>248</v>
      </c>
      <c r="J1829" s="1" t="s">
        <v>216</v>
      </c>
      <c r="K1829" s="9">
        <f>AVERAGE(0.18,0.43)*1000</f>
        <v>305</v>
      </c>
      <c r="L1829" t="s">
        <v>21</v>
      </c>
      <c r="M1829">
        <f t="shared" si="146"/>
        <v>0.30499999999999999</v>
      </c>
      <c r="N1829">
        <f t="shared" si="147"/>
        <v>94.673220000000001</v>
      </c>
    </row>
    <row r="1830" spans="1:14" x14ac:dyDescent="0.3">
      <c r="A1830" s="1" t="s">
        <v>128</v>
      </c>
      <c r="B1830">
        <v>25</v>
      </c>
      <c r="C1830">
        <v>55</v>
      </c>
      <c r="D1830" s="1" t="s">
        <v>173</v>
      </c>
      <c r="E1830" s="1">
        <v>8990000</v>
      </c>
      <c r="F1830">
        <f t="shared" si="145"/>
        <v>2374907.8699533208</v>
      </c>
      <c r="G1830">
        <f t="shared" si="143"/>
        <v>7651.0221194099331</v>
      </c>
      <c r="H1830" s="1" t="s">
        <v>174</v>
      </c>
      <c r="I1830" s="1" t="s">
        <v>248</v>
      </c>
      <c r="J1830" s="1" t="s">
        <v>216</v>
      </c>
      <c r="K1830" s="9">
        <f>AVERAGE(0.63,3.4)*1000</f>
        <v>2015.0000000000002</v>
      </c>
      <c r="L1830" t="s">
        <v>21</v>
      </c>
      <c r="M1830">
        <f t="shared" si="146"/>
        <v>2.0150000000000001</v>
      </c>
      <c r="N1830">
        <f t="shared" si="147"/>
        <v>625.46406000000002</v>
      </c>
    </row>
    <row r="1831" spans="1:14" x14ac:dyDescent="0.3">
      <c r="A1831" s="1" t="s">
        <v>129</v>
      </c>
      <c r="B1831">
        <v>25</v>
      </c>
      <c r="C1831">
        <v>55</v>
      </c>
      <c r="D1831" s="1" t="s">
        <v>173</v>
      </c>
      <c r="E1831" s="1">
        <v>8990000</v>
      </c>
      <c r="F1831">
        <f t="shared" si="145"/>
        <v>2374907.8699533208</v>
      </c>
      <c r="G1831">
        <f t="shared" si="143"/>
        <v>7651.0221194099331</v>
      </c>
      <c r="H1831" s="1" t="s">
        <v>174</v>
      </c>
      <c r="I1831" s="1" t="s">
        <v>248</v>
      </c>
      <c r="J1831" s="1" t="s">
        <v>216</v>
      </c>
      <c r="K1831" s="9">
        <f>AVERAGE(36.1,73.3)*1000</f>
        <v>54700</v>
      </c>
      <c r="L1831" t="s">
        <v>21</v>
      </c>
      <c r="M1831">
        <f t="shared" si="146"/>
        <v>54.7</v>
      </c>
      <c r="N1831">
        <f t="shared" si="147"/>
        <v>16979.0988</v>
      </c>
    </row>
    <row r="1832" spans="1:14" x14ac:dyDescent="0.3">
      <c r="A1832" s="1" t="s">
        <v>56</v>
      </c>
      <c r="B1832">
        <v>25</v>
      </c>
      <c r="C1832">
        <v>55</v>
      </c>
      <c r="D1832" s="1" t="s">
        <v>173</v>
      </c>
      <c r="E1832" s="1">
        <v>8990000</v>
      </c>
      <c r="F1832">
        <f t="shared" si="145"/>
        <v>2374907.8699533208</v>
      </c>
      <c r="G1832">
        <f t="shared" si="143"/>
        <v>7651.0221194099331</v>
      </c>
      <c r="H1832" s="1" t="s">
        <v>174</v>
      </c>
      <c r="I1832" s="1" t="s">
        <v>248</v>
      </c>
      <c r="J1832" s="1" t="s">
        <v>216</v>
      </c>
      <c r="K1832" s="9">
        <f>AVERAGE(0.44,0.82)*1000</f>
        <v>630</v>
      </c>
      <c r="L1832" t="s">
        <v>21</v>
      </c>
      <c r="M1832">
        <f t="shared" si="146"/>
        <v>0.63</v>
      </c>
      <c r="N1832">
        <f t="shared" si="147"/>
        <v>195.55452</v>
      </c>
    </row>
    <row r="1833" spans="1:14" x14ac:dyDescent="0.3">
      <c r="A1833" s="1" t="s">
        <v>179</v>
      </c>
      <c r="B1833">
        <v>25</v>
      </c>
      <c r="C1833">
        <v>55</v>
      </c>
      <c r="D1833" s="1" t="s">
        <v>173</v>
      </c>
      <c r="E1833" s="1">
        <v>8990000</v>
      </c>
      <c r="F1833">
        <f t="shared" si="145"/>
        <v>2374907.8699533208</v>
      </c>
      <c r="G1833">
        <f t="shared" si="143"/>
        <v>7651.0221194099331</v>
      </c>
      <c r="H1833" s="1" t="s">
        <v>174</v>
      </c>
      <c r="I1833" s="1" t="s">
        <v>248</v>
      </c>
      <c r="J1833" s="1" t="s">
        <v>216</v>
      </c>
      <c r="K1833" s="9">
        <f>AVERAGE(0.13,0.44)*1000</f>
        <v>285.00000000000006</v>
      </c>
      <c r="L1833" t="s">
        <v>21</v>
      </c>
      <c r="M1833">
        <f t="shared" si="146"/>
        <v>0.28500000000000003</v>
      </c>
      <c r="N1833">
        <f t="shared" si="147"/>
        <v>88.465140000000005</v>
      </c>
    </row>
    <row r="1834" spans="1:14" x14ac:dyDescent="0.3">
      <c r="A1834" s="1" t="s">
        <v>180</v>
      </c>
      <c r="B1834">
        <v>25</v>
      </c>
      <c r="C1834">
        <v>55</v>
      </c>
      <c r="D1834" s="1" t="s">
        <v>173</v>
      </c>
      <c r="E1834" s="1">
        <v>8990000</v>
      </c>
      <c r="F1834">
        <f t="shared" si="145"/>
        <v>2374907.8699533208</v>
      </c>
      <c r="G1834">
        <f t="shared" si="143"/>
        <v>7651.0221194099331</v>
      </c>
      <c r="H1834" s="1" t="s">
        <v>174</v>
      </c>
      <c r="I1834" s="1" t="s">
        <v>248</v>
      </c>
      <c r="J1834" s="1" t="s">
        <v>216</v>
      </c>
      <c r="K1834" s="9">
        <f>AVERAGE(0.12,0.33)*1000</f>
        <v>225</v>
      </c>
      <c r="L1834" t="s">
        <v>21</v>
      </c>
      <c r="M1834">
        <f t="shared" si="146"/>
        <v>0.22500000000000001</v>
      </c>
      <c r="N1834">
        <f t="shared" si="147"/>
        <v>69.840899999999991</v>
      </c>
    </row>
    <row r="1835" spans="1:14" x14ac:dyDescent="0.3">
      <c r="A1835" s="1" t="s">
        <v>23</v>
      </c>
      <c r="B1835">
        <v>25</v>
      </c>
      <c r="C1835">
        <v>55</v>
      </c>
      <c r="D1835" s="1" t="s">
        <v>173</v>
      </c>
      <c r="E1835" s="1">
        <v>8990000</v>
      </c>
      <c r="F1835">
        <f t="shared" si="145"/>
        <v>2374907.8699533208</v>
      </c>
      <c r="G1835">
        <f t="shared" si="143"/>
        <v>7651.0221194099331</v>
      </c>
      <c r="H1835" s="1" t="s">
        <v>174</v>
      </c>
      <c r="I1835" s="1" t="s">
        <v>248</v>
      </c>
      <c r="J1835" s="1" t="s">
        <v>216</v>
      </c>
      <c r="K1835" s="9">
        <f>AVERAGE(24.9,46.6)*1000</f>
        <v>35750</v>
      </c>
      <c r="L1835" t="s">
        <v>21</v>
      </c>
      <c r="M1835">
        <f t="shared" si="146"/>
        <v>35.75</v>
      </c>
      <c r="N1835">
        <f t="shared" si="147"/>
        <v>11096.943000000001</v>
      </c>
    </row>
    <row r="1836" spans="1:14" x14ac:dyDescent="0.3">
      <c r="A1836" s="1" t="s">
        <v>58</v>
      </c>
      <c r="B1836">
        <v>25</v>
      </c>
      <c r="C1836">
        <v>55</v>
      </c>
      <c r="D1836" s="1" t="s">
        <v>173</v>
      </c>
      <c r="E1836" s="1">
        <v>8990000</v>
      </c>
      <c r="F1836">
        <f t="shared" si="145"/>
        <v>2374907.8699533208</v>
      </c>
      <c r="G1836">
        <f t="shared" si="143"/>
        <v>7651.0221194099331</v>
      </c>
      <c r="H1836" s="1" t="s">
        <v>174</v>
      </c>
      <c r="I1836" s="1" t="s">
        <v>248</v>
      </c>
      <c r="J1836" s="1" t="s">
        <v>216</v>
      </c>
      <c r="K1836" s="9">
        <f>AVERAGE(0.22,1.5)*1000</f>
        <v>860</v>
      </c>
      <c r="L1836" t="s">
        <v>21</v>
      </c>
      <c r="M1836">
        <f t="shared" si="146"/>
        <v>0.86</v>
      </c>
      <c r="N1836">
        <f t="shared" si="147"/>
        <v>266.94743999999997</v>
      </c>
    </row>
    <row r="1837" spans="1:14" x14ac:dyDescent="0.3">
      <c r="A1837" s="1" t="s">
        <v>40</v>
      </c>
      <c r="B1837">
        <v>25</v>
      </c>
      <c r="C1837">
        <v>55</v>
      </c>
      <c r="D1837" s="1" t="s">
        <v>173</v>
      </c>
      <c r="E1837" s="1">
        <v>8990000</v>
      </c>
      <c r="F1837">
        <f t="shared" si="145"/>
        <v>2374907.8699533208</v>
      </c>
      <c r="G1837">
        <f t="shared" si="143"/>
        <v>7651.0221194099331</v>
      </c>
      <c r="H1837" s="1" t="s">
        <v>174</v>
      </c>
      <c r="I1837" s="1" t="s">
        <v>248</v>
      </c>
      <c r="J1837" s="1" t="s">
        <v>216</v>
      </c>
      <c r="K1837" s="9">
        <f>AVERAGE(0.44,1)*1000</f>
        <v>720</v>
      </c>
      <c r="L1837" t="s">
        <v>21</v>
      </c>
      <c r="M1837">
        <f t="shared" si="146"/>
        <v>0.72</v>
      </c>
      <c r="N1837">
        <f t="shared" si="147"/>
        <v>223.49087999999998</v>
      </c>
    </row>
    <row r="1838" spans="1:14" x14ac:dyDescent="0.3">
      <c r="A1838" s="1" t="s">
        <v>9</v>
      </c>
      <c r="B1838">
        <v>25</v>
      </c>
      <c r="C1838">
        <v>55</v>
      </c>
      <c r="D1838" s="1" t="s">
        <v>173</v>
      </c>
      <c r="E1838" s="1">
        <v>8990000</v>
      </c>
      <c r="F1838">
        <f t="shared" si="145"/>
        <v>2374907.8699533208</v>
      </c>
      <c r="G1838">
        <f t="shared" si="143"/>
        <v>7651.0221194099331</v>
      </c>
      <c r="H1838" s="1" t="s">
        <v>174</v>
      </c>
      <c r="I1838" s="1" t="s">
        <v>248</v>
      </c>
      <c r="J1838" s="1" t="s">
        <v>216</v>
      </c>
      <c r="K1838" s="9">
        <f>AVERAGE(0.33,0.8)*1000</f>
        <v>565.00000000000011</v>
      </c>
      <c r="L1838" t="s">
        <v>21</v>
      </c>
      <c r="M1838">
        <f t="shared" si="146"/>
        <v>0.56500000000000017</v>
      </c>
      <c r="N1838">
        <f t="shared" si="147"/>
        <v>175.37826000000004</v>
      </c>
    </row>
    <row r="1839" spans="1:14" x14ac:dyDescent="0.3">
      <c r="A1839" s="1" t="s">
        <v>41</v>
      </c>
      <c r="B1839">
        <v>25</v>
      </c>
      <c r="C1839">
        <v>55</v>
      </c>
      <c r="D1839" s="1" t="s">
        <v>173</v>
      </c>
      <c r="E1839" s="1">
        <v>8990000</v>
      </c>
      <c r="F1839">
        <f t="shared" si="145"/>
        <v>2374907.8699533208</v>
      </c>
      <c r="G1839">
        <f t="shared" si="143"/>
        <v>7651.0221194099331</v>
      </c>
      <c r="H1839" s="1" t="s">
        <v>174</v>
      </c>
      <c r="I1839" s="1" t="s">
        <v>248</v>
      </c>
      <c r="J1839" s="1" t="s">
        <v>216</v>
      </c>
      <c r="K1839" s="9">
        <f>AVERAGE(0.44,0.5)*1000</f>
        <v>470</v>
      </c>
      <c r="L1839" t="s">
        <v>21</v>
      </c>
      <c r="M1839">
        <f t="shared" si="146"/>
        <v>0.47</v>
      </c>
      <c r="N1839">
        <f t="shared" si="147"/>
        <v>145.88988000000001</v>
      </c>
    </row>
    <row r="1840" spans="1:14" x14ac:dyDescent="0.3">
      <c r="A1840" s="1" t="s">
        <v>181</v>
      </c>
      <c r="B1840">
        <v>25</v>
      </c>
      <c r="C1840">
        <v>55</v>
      </c>
      <c r="D1840" s="1" t="s">
        <v>173</v>
      </c>
      <c r="E1840" s="1">
        <v>8990000</v>
      </c>
      <c r="F1840">
        <f>E1840/3.78541</f>
        <v>2374907.8699533208</v>
      </c>
      <c r="G1840">
        <f t="shared" si="143"/>
        <v>7651.0221194099331</v>
      </c>
      <c r="H1840" s="1" t="s">
        <v>174</v>
      </c>
      <c r="I1840" s="1" t="s">
        <v>248</v>
      </c>
      <c r="J1840" s="1" t="s">
        <v>216</v>
      </c>
      <c r="K1840" s="9">
        <f>AVERAGE(0.91,5.4)*1000</f>
        <v>3155.0000000000005</v>
      </c>
      <c r="L1840" t="s">
        <v>21</v>
      </c>
      <c r="M1840">
        <f t="shared" si="146"/>
        <v>3.1550000000000002</v>
      </c>
      <c r="N1840">
        <f t="shared" si="147"/>
        <v>979.32461999999998</v>
      </c>
    </row>
    <row r="1841" spans="1:14" x14ac:dyDescent="0.3">
      <c r="A1841" s="1" t="s">
        <v>42</v>
      </c>
      <c r="B1841">
        <v>25</v>
      </c>
      <c r="C1841">
        <v>55</v>
      </c>
      <c r="D1841" s="1" t="s">
        <v>173</v>
      </c>
      <c r="E1841" s="1">
        <v>8990000</v>
      </c>
      <c r="F1841">
        <f t="shared" si="145"/>
        <v>2374907.8699533208</v>
      </c>
      <c r="G1841">
        <f t="shared" si="143"/>
        <v>7651.0221194099331</v>
      </c>
      <c r="H1841" s="1" t="s">
        <v>174</v>
      </c>
      <c r="I1841" s="1" t="s">
        <v>248</v>
      </c>
      <c r="J1841" s="1" t="s">
        <v>216</v>
      </c>
      <c r="K1841" s="9">
        <f>AVERAGE(0.33,0.61)*1000</f>
        <v>470</v>
      </c>
      <c r="L1841" t="s">
        <v>21</v>
      </c>
      <c r="M1841">
        <f t="shared" si="146"/>
        <v>0.47</v>
      </c>
      <c r="N1841">
        <f t="shared" si="147"/>
        <v>145.88988000000001</v>
      </c>
    </row>
    <row r="1842" spans="1:14" x14ac:dyDescent="0.3">
      <c r="A1842" s="1" t="s">
        <v>40</v>
      </c>
      <c r="B1842">
        <v>26</v>
      </c>
      <c r="C1842">
        <v>56</v>
      </c>
      <c r="D1842" s="1" t="s">
        <v>71</v>
      </c>
      <c r="E1842" s="1">
        <v>4000000</v>
      </c>
      <c r="F1842" s="1">
        <f>E1842</f>
        <v>4000000</v>
      </c>
      <c r="G1842">
        <f t="shared" si="143"/>
        <v>12886.431875877888</v>
      </c>
      <c r="H1842" s="1" t="s">
        <v>182</v>
      </c>
      <c r="I1842" s="1" t="s">
        <v>224</v>
      </c>
      <c r="J1842" s="1" t="s">
        <v>220</v>
      </c>
      <c r="K1842" s="9">
        <v>754</v>
      </c>
      <c r="L1842" t="s">
        <v>21</v>
      </c>
      <c r="M1842">
        <f t="shared" ref="M1842:M1862" si="148">IFERROR(K1842/1000,"ND")</f>
        <v>0.754</v>
      </c>
      <c r="N1842">
        <f t="shared" si="147"/>
        <v>234.04461599999999</v>
      </c>
    </row>
    <row r="1843" spans="1:14" x14ac:dyDescent="0.3">
      <c r="A1843" s="1" t="s">
        <v>40</v>
      </c>
      <c r="B1843">
        <v>26</v>
      </c>
      <c r="C1843">
        <v>56</v>
      </c>
      <c r="D1843" s="1" t="s">
        <v>71</v>
      </c>
      <c r="E1843" s="1">
        <v>4000000</v>
      </c>
      <c r="F1843" s="1">
        <f t="shared" ref="F1843:F1862" si="149">E1843</f>
        <v>4000000</v>
      </c>
      <c r="G1843">
        <f t="shared" si="143"/>
        <v>12886.431875877888</v>
      </c>
      <c r="H1843" s="1" t="s">
        <v>183</v>
      </c>
      <c r="I1843" s="1" t="s">
        <v>224</v>
      </c>
      <c r="J1843" s="1" t="s">
        <v>220</v>
      </c>
      <c r="K1843" s="9">
        <v>4000</v>
      </c>
      <c r="L1843" t="s">
        <v>21</v>
      </c>
      <c r="M1843">
        <f t="shared" si="148"/>
        <v>4</v>
      </c>
      <c r="N1843">
        <f t="shared" si="147"/>
        <v>1241.616</v>
      </c>
    </row>
    <row r="1844" spans="1:14" x14ac:dyDescent="0.3">
      <c r="A1844" s="1" t="s">
        <v>40</v>
      </c>
      <c r="B1844">
        <v>26</v>
      </c>
      <c r="C1844">
        <v>56</v>
      </c>
      <c r="D1844" s="1" t="s">
        <v>71</v>
      </c>
      <c r="E1844" s="1">
        <v>4000000</v>
      </c>
      <c r="F1844" s="1">
        <f t="shared" si="149"/>
        <v>4000000</v>
      </c>
      <c r="G1844">
        <f t="shared" si="143"/>
        <v>12886.431875877888</v>
      </c>
      <c r="H1844" s="1" t="s">
        <v>184</v>
      </c>
      <c r="I1844" s="1" t="s">
        <v>224</v>
      </c>
      <c r="J1844" s="1" t="s">
        <v>220</v>
      </c>
      <c r="K1844" s="9">
        <v>140</v>
      </c>
      <c r="L1844" t="s">
        <v>21</v>
      </c>
      <c r="M1844">
        <f t="shared" si="148"/>
        <v>0.14000000000000001</v>
      </c>
      <c r="N1844">
        <f t="shared" si="147"/>
        <v>43.456560000000003</v>
      </c>
    </row>
    <row r="1845" spans="1:14" x14ac:dyDescent="0.3">
      <c r="A1845" s="1" t="s">
        <v>40</v>
      </c>
      <c r="B1845">
        <v>26</v>
      </c>
      <c r="C1845">
        <v>56</v>
      </c>
      <c r="D1845" s="1" t="s">
        <v>71</v>
      </c>
      <c r="E1845" s="1">
        <v>4000000</v>
      </c>
      <c r="F1845" s="1">
        <f t="shared" si="149"/>
        <v>4000000</v>
      </c>
      <c r="G1845">
        <f t="shared" si="143"/>
        <v>12886.431875877888</v>
      </c>
      <c r="H1845" s="1" t="s">
        <v>185</v>
      </c>
      <c r="I1845" s="1" t="s">
        <v>224</v>
      </c>
      <c r="J1845" s="1" t="s">
        <v>220</v>
      </c>
      <c r="K1845" s="9">
        <v>191</v>
      </c>
      <c r="L1845" t="s">
        <v>21</v>
      </c>
      <c r="M1845">
        <f t="shared" si="148"/>
        <v>0.191</v>
      </c>
      <c r="N1845">
        <f t="shared" si="147"/>
        <v>59.287163999999997</v>
      </c>
    </row>
    <row r="1846" spans="1:14" x14ac:dyDescent="0.3">
      <c r="A1846" s="1" t="s">
        <v>40</v>
      </c>
      <c r="B1846">
        <v>26</v>
      </c>
      <c r="C1846">
        <v>56</v>
      </c>
      <c r="D1846" s="1" t="s">
        <v>71</v>
      </c>
      <c r="E1846" s="1">
        <v>4000000</v>
      </c>
      <c r="F1846" s="1">
        <f t="shared" si="149"/>
        <v>4000000</v>
      </c>
      <c r="G1846">
        <f t="shared" si="143"/>
        <v>12886.431875877888</v>
      </c>
      <c r="H1846" s="1" t="s">
        <v>186</v>
      </c>
      <c r="I1846" s="1" t="s">
        <v>224</v>
      </c>
      <c r="J1846" s="1" t="s">
        <v>220</v>
      </c>
      <c r="K1846" s="9">
        <v>115</v>
      </c>
      <c r="L1846" t="s">
        <v>21</v>
      </c>
      <c r="M1846">
        <f t="shared" si="148"/>
        <v>0.115</v>
      </c>
      <c r="N1846">
        <f t="shared" si="147"/>
        <v>35.696460000000002</v>
      </c>
    </row>
    <row r="1847" spans="1:14" x14ac:dyDescent="0.3">
      <c r="A1847" s="1" t="s">
        <v>40</v>
      </c>
      <c r="B1847">
        <v>26</v>
      </c>
      <c r="C1847">
        <v>56</v>
      </c>
      <c r="D1847" s="1" t="s">
        <v>71</v>
      </c>
      <c r="E1847" s="1">
        <v>4000000</v>
      </c>
      <c r="F1847" s="1">
        <f t="shared" si="149"/>
        <v>4000000</v>
      </c>
      <c r="G1847">
        <f t="shared" si="143"/>
        <v>12886.431875877888</v>
      </c>
      <c r="H1847" s="1" t="s">
        <v>187</v>
      </c>
      <c r="I1847" s="1" t="s">
        <v>224</v>
      </c>
      <c r="J1847" s="1" t="s">
        <v>220</v>
      </c>
      <c r="K1847" s="9">
        <v>400</v>
      </c>
      <c r="L1847" t="s">
        <v>21</v>
      </c>
      <c r="M1847">
        <f t="shared" si="148"/>
        <v>0.4</v>
      </c>
      <c r="N1847">
        <f t="shared" si="147"/>
        <v>124.16160000000001</v>
      </c>
    </row>
    <row r="1848" spans="1:14" x14ac:dyDescent="0.3">
      <c r="A1848" s="1" t="s">
        <v>40</v>
      </c>
      <c r="B1848">
        <v>26</v>
      </c>
      <c r="C1848">
        <v>56</v>
      </c>
      <c r="D1848" s="1" t="s">
        <v>71</v>
      </c>
      <c r="E1848" s="1">
        <v>4000000</v>
      </c>
      <c r="F1848" s="1">
        <f t="shared" si="149"/>
        <v>4000000</v>
      </c>
      <c r="G1848">
        <f t="shared" si="143"/>
        <v>12886.431875877888</v>
      </c>
      <c r="H1848" s="1" t="s">
        <v>188</v>
      </c>
      <c r="I1848" s="1" t="s">
        <v>224</v>
      </c>
      <c r="J1848" s="1" t="s">
        <v>220</v>
      </c>
      <c r="K1848" s="9">
        <v>540</v>
      </c>
      <c r="L1848" t="s">
        <v>21</v>
      </c>
      <c r="M1848">
        <f t="shared" si="148"/>
        <v>0.54</v>
      </c>
      <c r="N1848">
        <f t="shared" si="147"/>
        <v>167.61815999999999</v>
      </c>
    </row>
    <row r="1849" spans="1:14" x14ac:dyDescent="0.3">
      <c r="A1849" s="1" t="s">
        <v>41</v>
      </c>
      <c r="B1849">
        <v>26</v>
      </c>
      <c r="C1849">
        <v>56</v>
      </c>
      <c r="D1849" s="1" t="s">
        <v>71</v>
      </c>
      <c r="E1849" s="1">
        <v>4000000</v>
      </c>
      <c r="F1849" s="1">
        <f t="shared" si="149"/>
        <v>4000000</v>
      </c>
      <c r="G1849">
        <f t="shared" si="143"/>
        <v>12886.431875877888</v>
      </c>
      <c r="H1849" s="1" t="s">
        <v>182</v>
      </c>
      <c r="I1849" s="1" t="s">
        <v>224</v>
      </c>
      <c r="J1849" s="1" t="s">
        <v>220</v>
      </c>
      <c r="K1849" s="9">
        <v>488</v>
      </c>
      <c r="L1849" t="s">
        <v>21</v>
      </c>
      <c r="M1849">
        <f t="shared" si="148"/>
        <v>0.48799999999999999</v>
      </c>
      <c r="N1849">
        <f t="shared" si="147"/>
        <v>151.47715199999999</v>
      </c>
    </row>
    <row r="1850" spans="1:14" x14ac:dyDescent="0.3">
      <c r="A1850" s="1" t="s">
        <v>41</v>
      </c>
      <c r="B1850">
        <v>26</v>
      </c>
      <c r="C1850">
        <v>56</v>
      </c>
      <c r="D1850" s="1" t="s">
        <v>71</v>
      </c>
      <c r="E1850" s="1">
        <v>4000000</v>
      </c>
      <c r="F1850" s="1">
        <f t="shared" si="149"/>
        <v>4000000</v>
      </c>
      <c r="G1850">
        <f t="shared" ref="G1850:G1862" si="150">F1850/310.404</f>
        <v>12886.431875877888</v>
      </c>
      <c r="H1850" s="1" t="s">
        <v>183</v>
      </c>
      <c r="I1850" s="1" t="s">
        <v>224</v>
      </c>
      <c r="J1850" s="1" t="s">
        <v>220</v>
      </c>
      <c r="K1850" s="9">
        <v>2000</v>
      </c>
      <c r="L1850" t="s">
        <v>21</v>
      </c>
      <c r="M1850">
        <f t="shared" si="148"/>
        <v>2</v>
      </c>
      <c r="N1850">
        <f t="shared" si="147"/>
        <v>620.80799999999999</v>
      </c>
    </row>
    <row r="1851" spans="1:14" x14ac:dyDescent="0.3">
      <c r="A1851" s="1" t="s">
        <v>41</v>
      </c>
      <c r="B1851">
        <v>26</v>
      </c>
      <c r="C1851">
        <v>56</v>
      </c>
      <c r="D1851" s="1" t="s">
        <v>71</v>
      </c>
      <c r="E1851" s="1">
        <v>4000000</v>
      </c>
      <c r="F1851" s="1">
        <f t="shared" si="149"/>
        <v>4000000</v>
      </c>
      <c r="G1851">
        <f t="shared" si="150"/>
        <v>12886.431875877888</v>
      </c>
      <c r="H1851" s="1" t="s">
        <v>184</v>
      </c>
      <c r="I1851" s="1" t="s">
        <v>224</v>
      </c>
      <c r="J1851" s="1" t="s">
        <v>220</v>
      </c>
      <c r="K1851" s="9">
        <v>1100</v>
      </c>
      <c r="L1851" t="s">
        <v>21</v>
      </c>
      <c r="M1851">
        <f t="shared" si="148"/>
        <v>1.1000000000000001</v>
      </c>
      <c r="N1851">
        <f t="shared" si="147"/>
        <v>341.44439999999997</v>
      </c>
    </row>
    <row r="1852" spans="1:14" x14ac:dyDescent="0.3">
      <c r="A1852" s="1" t="s">
        <v>41</v>
      </c>
      <c r="B1852">
        <v>26</v>
      </c>
      <c r="C1852">
        <v>56</v>
      </c>
      <c r="D1852" s="1" t="s">
        <v>71</v>
      </c>
      <c r="E1852" s="1">
        <v>4000000</v>
      </c>
      <c r="F1852" s="1">
        <f t="shared" si="149"/>
        <v>4000000</v>
      </c>
      <c r="G1852">
        <f t="shared" si="150"/>
        <v>12886.431875877888</v>
      </c>
      <c r="H1852" s="1" t="s">
        <v>185</v>
      </c>
      <c r="I1852" s="1" t="s">
        <v>224</v>
      </c>
      <c r="J1852" s="1" t="s">
        <v>220</v>
      </c>
      <c r="K1852" s="9">
        <v>212</v>
      </c>
      <c r="L1852" t="s">
        <v>21</v>
      </c>
      <c r="M1852">
        <f t="shared" si="148"/>
        <v>0.21199999999999999</v>
      </c>
      <c r="N1852">
        <f t="shared" si="147"/>
        <v>65.805648000000005</v>
      </c>
    </row>
    <row r="1853" spans="1:14" x14ac:dyDescent="0.3">
      <c r="A1853" s="1" t="s">
        <v>41</v>
      </c>
      <c r="B1853">
        <v>26</v>
      </c>
      <c r="C1853">
        <v>56</v>
      </c>
      <c r="D1853" s="1" t="s">
        <v>71</v>
      </c>
      <c r="E1853" s="1">
        <v>4000000</v>
      </c>
      <c r="F1853" s="1">
        <f t="shared" si="149"/>
        <v>4000000</v>
      </c>
      <c r="G1853">
        <f t="shared" si="150"/>
        <v>12886.431875877888</v>
      </c>
      <c r="H1853" s="1" t="s">
        <v>186</v>
      </c>
      <c r="I1853" s="1" t="s">
        <v>224</v>
      </c>
      <c r="J1853" s="1" t="s">
        <v>220</v>
      </c>
      <c r="K1853" s="9">
        <v>458</v>
      </c>
      <c r="L1853" t="s">
        <v>21</v>
      </c>
      <c r="M1853">
        <f t="shared" si="148"/>
        <v>0.45800000000000002</v>
      </c>
      <c r="N1853">
        <f t="shared" si="147"/>
        <v>142.165032</v>
      </c>
    </row>
    <row r="1854" spans="1:14" x14ac:dyDescent="0.3">
      <c r="A1854" s="1" t="s">
        <v>41</v>
      </c>
      <c r="B1854">
        <v>26</v>
      </c>
      <c r="C1854">
        <v>56</v>
      </c>
      <c r="D1854" s="1" t="s">
        <v>71</v>
      </c>
      <c r="E1854" s="1">
        <v>4000000</v>
      </c>
      <c r="F1854" s="1">
        <f t="shared" si="149"/>
        <v>4000000</v>
      </c>
      <c r="G1854">
        <f t="shared" si="150"/>
        <v>12886.431875877888</v>
      </c>
      <c r="H1854" s="1" t="s">
        <v>187</v>
      </c>
      <c r="I1854" s="1" t="s">
        <v>224</v>
      </c>
      <c r="J1854" s="1" t="s">
        <v>220</v>
      </c>
      <c r="K1854" s="9">
        <v>1049</v>
      </c>
      <c r="L1854" t="s">
        <v>21</v>
      </c>
      <c r="M1854">
        <f t="shared" si="148"/>
        <v>1.0489999999999999</v>
      </c>
      <c r="N1854">
        <f t="shared" si="147"/>
        <v>325.61379599999998</v>
      </c>
    </row>
    <row r="1855" spans="1:14" x14ac:dyDescent="0.3">
      <c r="A1855" s="1" t="s">
        <v>41</v>
      </c>
      <c r="B1855">
        <v>26</v>
      </c>
      <c r="C1855">
        <v>56</v>
      </c>
      <c r="D1855" s="1" t="s">
        <v>71</v>
      </c>
      <c r="E1855" s="1">
        <v>4000000</v>
      </c>
      <c r="F1855" s="1">
        <f t="shared" si="149"/>
        <v>4000000</v>
      </c>
      <c r="G1855">
        <f t="shared" si="150"/>
        <v>12886.431875877888</v>
      </c>
      <c r="H1855" s="1" t="s">
        <v>188</v>
      </c>
      <c r="I1855" s="1" t="s">
        <v>224</v>
      </c>
      <c r="J1855" s="1" t="s">
        <v>220</v>
      </c>
      <c r="K1855" s="9">
        <v>1115</v>
      </c>
      <c r="L1855" t="s">
        <v>21</v>
      </c>
      <c r="M1855">
        <f t="shared" si="148"/>
        <v>1.115</v>
      </c>
      <c r="N1855">
        <f t="shared" si="147"/>
        <v>346.10046</v>
      </c>
    </row>
    <row r="1856" spans="1:14" x14ac:dyDescent="0.3">
      <c r="A1856" s="1" t="s">
        <v>49</v>
      </c>
      <c r="B1856">
        <v>26</v>
      </c>
      <c r="C1856">
        <v>56</v>
      </c>
      <c r="D1856" s="1" t="s">
        <v>71</v>
      </c>
      <c r="E1856" s="1">
        <v>4000000</v>
      </c>
      <c r="F1856" s="1">
        <f t="shared" si="149"/>
        <v>4000000</v>
      </c>
      <c r="G1856">
        <f t="shared" si="150"/>
        <v>12886.431875877888</v>
      </c>
      <c r="H1856" s="1" t="s">
        <v>182</v>
      </c>
      <c r="I1856" s="1" t="s">
        <v>224</v>
      </c>
      <c r="J1856" s="1" t="s">
        <v>220</v>
      </c>
      <c r="K1856" s="9">
        <v>59</v>
      </c>
      <c r="L1856" t="s">
        <v>21</v>
      </c>
      <c r="M1856">
        <f t="shared" si="148"/>
        <v>5.8999999999999997E-2</v>
      </c>
      <c r="N1856">
        <f t="shared" si="147"/>
        <v>18.313835999999998</v>
      </c>
    </row>
    <row r="1857" spans="1:14" x14ac:dyDescent="0.3">
      <c r="A1857" s="1" t="s">
        <v>49</v>
      </c>
      <c r="B1857">
        <v>26</v>
      </c>
      <c r="C1857">
        <v>56</v>
      </c>
      <c r="D1857" s="1" t="s">
        <v>71</v>
      </c>
      <c r="E1857" s="1">
        <v>4000000</v>
      </c>
      <c r="F1857" s="1">
        <f t="shared" si="149"/>
        <v>4000000</v>
      </c>
      <c r="G1857">
        <f t="shared" si="150"/>
        <v>12886.431875877888</v>
      </c>
      <c r="H1857" s="1" t="s">
        <v>183</v>
      </c>
      <c r="I1857" s="1" t="s">
        <v>224</v>
      </c>
      <c r="J1857" s="1" t="s">
        <v>220</v>
      </c>
      <c r="K1857" s="9">
        <v>400</v>
      </c>
      <c r="L1857" t="s">
        <v>21</v>
      </c>
      <c r="M1857">
        <f t="shared" si="148"/>
        <v>0.4</v>
      </c>
      <c r="N1857">
        <f t="shared" si="147"/>
        <v>124.16160000000001</v>
      </c>
    </row>
    <row r="1858" spans="1:14" x14ac:dyDescent="0.3">
      <c r="A1858" s="1" t="s">
        <v>49</v>
      </c>
      <c r="B1858">
        <v>26</v>
      </c>
      <c r="C1858">
        <v>56</v>
      </c>
      <c r="D1858" s="1" t="s">
        <v>71</v>
      </c>
      <c r="E1858" s="1">
        <v>4000000</v>
      </c>
      <c r="F1858" s="1">
        <f t="shared" si="149"/>
        <v>4000000</v>
      </c>
      <c r="G1858">
        <f t="shared" si="150"/>
        <v>12886.431875877888</v>
      </c>
      <c r="H1858" s="1" t="s">
        <v>184</v>
      </c>
      <c r="I1858" s="1" t="s">
        <v>224</v>
      </c>
      <c r="J1858" s="1" t="s">
        <v>220</v>
      </c>
      <c r="K1858" s="9">
        <v>620</v>
      </c>
      <c r="L1858" t="s">
        <v>21</v>
      </c>
      <c r="M1858">
        <f t="shared" si="148"/>
        <v>0.62</v>
      </c>
      <c r="N1858">
        <f t="shared" si="147"/>
        <v>192.45048</v>
      </c>
    </row>
    <row r="1859" spans="1:14" x14ac:dyDescent="0.3">
      <c r="A1859" s="1" t="s">
        <v>49</v>
      </c>
      <c r="B1859">
        <v>26</v>
      </c>
      <c r="C1859">
        <v>56</v>
      </c>
      <c r="D1859" s="1" t="s">
        <v>71</v>
      </c>
      <c r="E1859" s="1">
        <v>4000000</v>
      </c>
      <c r="F1859" s="1">
        <f t="shared" si="149"/>
        <v>4000000</v>
      </c>
      <c r="G1859">
        <f t="shared" si="150"/>
        <v>12886.431875877888</v>
      </c>
      <c r="H1859" s="1" t="s">
        <v>185</v>
      </c>
      <c r="I1859" s="1" t="s">
        <v>224</v>
      </c>
      <c r="J1859" s="1" t="s">
        <v>220</v>
      </c>
      <c r="K1859" s="9">
        <v>177</v>
      </c>
      <c r="L1859" t="s">
        <v>21</v>
      </c>
      <c r="M1859">
        <f t="shared" si="148"/>
        <v>0.17699999999999999</v>
      </c>
      <c r="N1859">
        <f t="shared" si="147"/>
        <v>54.941507999999999</v>
      </c>
    </row>
    <row r="1860" spans="1:14" x14ac:dyDescent="0.3">
      <c r="A1860" s="1" t="s">
        <v>49</v>
      </c>
      <c r="B1860">
        <v>26</v>
      </c>
      <c r="C1860">
        <v>56</v>
      </c>
      <c r="D1860" s="1" t="s">
        <v>71</v>
      </c>
      <c r="E1860" s="1">
        <v>4000000</v>
      </c>
      <c r="F1860" s="1">
        <f t="shared" si="149"/>
        <v>4000000</v>
      </c>
      <c r="G1860">
        <f t="shared" si="150"/>
        <v>12886.431875877888</v>
      </c>
      <c r="H1860" s="1" t="s">
        <v>186</v>
      </c>
      <c r="I1860" s="1" t="s">
        <v>224</v>
      </c>
      <c r="J1860" s="1" t="s">
        <v>220</v>
      </c>
      <c r="K1860" s="9">
        <v>169</v>
      </c>
      <c r="L1860" t="s">
        <v>21</v>
      </c>
      <c r="M1860">
        <f t="shared" si="148"/>
        <v>0.16900000000000001</v>
      </c>
      <c r="N1860">
        <f t="shared" si="147"/>
        <v>52.458275999999998</v>
      </c>
    </row>
    <row r="1861" spans="1:14" x14ac:dyDescent="0.3">
      <c r="A1861" s="1" t="s">
        <v>49</v>
      </c>
      <c r="B1861">
        <v>26</v>
      </c>
      <c r="C1861">
        <v>56</v>
      </c>
      <c r="D1861" s="1" t="s">
        <v>71</v>
      </c>
      <c r="E1861" s="1">
        <v>4000000</v>
      </c>
      <c r="F1861" s="1">
        <f t="shared" si="149"/>
        <v>4000000</v>
      </c>
      <c r="G1861">
        <f t="shared" si="150"/>
        <v>12886.431875877888</v>
      </c>
      <c r="H1861" s="1" t="s">
        <v>187</v>
      </c>
      <c r="I1861" s="1" t="s">
        <v>224</v>
      </c>
      <c r="J1861" s="1" t="s">
        <v>220</v>
      </c>
      <c r="K1861" s="9">
        <v>266</v>
      </c>
      <c r="L1861" t="s">
        <v>21</v>
      </c>
      <c r="M1861">
        <f t="shared" si="148"/>
        <v>0.26600000000000001</v>
      </c>
      <c r="N1861">
        <f t="shared" si="147"/>
        <v>82.567464000000001</v>
      </c>
    </row>
    <row r="1862" spans="1:14" x14ac:dyDescent="0.3">
      <c r="A1862" s="1" t="s">
        <v>49</v>
      </c>
      <c r="B1862">
        <v>26</v>
      </c>
      <c r="C1862">
        <v>56</v>
      </c>
      <c r="D1862" s="1" t="s">
        <v>71</v>
      </c>
      <c r="E1862" s="1">
        <v>4000000</v>
      </c>
      <c r="F1862" s="1">
        <f t="shared" si="149"/>
        <v>4000000</v>
      </c>
      <c r="G1862">
        <f t="shared" si="150"/>
        <v>12886.431875877888</v>
      </c>
      <c r="H1862" s="1" t="s">
        <v>188</v>
      </c>
      <c r="I1862" s="1" t="s">
        <v>224</v>
      </c>
      <c r="J1862" s="1" t="s">
        <v>220</v>
      </c>
      <c r="K1862" s="9">
        <v>563</v>
      </c>
      <c r="L1862" t="s">
        <v>21</v>
      </c>
      <c r="M1862">
        <f t="shared" si="148"/>
        <v>0.56299999999999994</v>
      </c>
      <c r="N1862">
        <f t="shared" si="147"/>
        <v>174.757452</v>
      </c>
    </row>
    <row r="1863" spans="1:14" x14ac:dyDescent="0.3">
      <c r="A1863" s="1" t="s">
        <v>28</v>
      </c>
      <c r="B1863">
        <v>27</v>
      </c>
      <c r="C1863">
        <v>57</v>
      </c>
      <c r="D1863" s="1" t="s">
        <v>189</v>
      </c>
      <c r="E1863" s="1">
        <v>43250000</v>
      </c>
      <c r="F1863" s="1">
        <f>E1863</f>
        <v>43250000</v>
      </c>
      <c r="G1863">
        <f>F1863/310.404</f>
        <v>139334.54465792965</v>
      </c>
      <c r="H1863" s="1" t="s">
        <v>190</v>
      </c>
      <c r="I1863" s="1" t="s">
        <v>249</v>
      </c>
      <c r="J1863" s="1" t="s">
        <v>220</v>
      </c>
      <c r="K1863" s="9">
        <f>1000*1.44</f>
        <v>1440</v>
      </c>
      <c r="L1863" t="s">
        <v>21</v>
      </c>
      <c r="M1863">
        <f t="shared" ref="M1863:M1864" si="151">IFERROR(K1863/1000,"ND")</f>
        <v>1.44</v>
      </c>
      <c r="N1863">
        <f t="shared" si="147"/>
        <v>446.98176000000001</v>
      </c>
    </row>
    <row r="1864" spans="1:14" x14ac:dyDescent="0.3">
      <c r="A1864" s="1" t="s">
        <v>40</v>
      </c>
      <c r="B1864">
        <v>27</v>
      </c>
      <c r="C1864">
        <v>57</v>
      </c>
      <c r="D1864" s="1" t="s">
        <v>189</v>
      </c>
      <c r="E1864" s="1">
        <v>43250000</v>
      </c>
      <c r="F1864" s="1">
        <f>E1864</f>
        <v>43250000</v>
      </c>
      <c r="G1864">
        <f>F1864/310.404</f>
        <v>139334.54465792965</v>
      </c>
      <c r="H1864" s="1" t="s">
        <v>190</v>
      </c>
      <c r="I1864" s="1" t="s">
        <v>249</v>
      </c>
      <c r="J1864" s="1" t="s">
        <v>220</v>
      </c>
      <c r="K1864" s="9">
        <f>1000*18.3</f>
        <v>18300</v>
      </c>
      <c r="L1864" t="s">
        <v>21</v>
      </c>
      <c r="M1864">
        <f t="shared" si="151"/>
        <v>18.3</v>
      </c>
      <c r="N1864">
        <f t="shared" si="147"/>
        <v>5680.3932000000004</v>
      </c>
    </row>
    <row r="1865" spans="1:14" x14ac:dyDescent="0.3">
      <c r="A1865" s="8" t="s">
        <v>129</v>
      </c>
      <c r="B1865">
        <v>28</v>
      </c>
      <c r="C1865">
        <v>58</v>
      </c>
      <c r="D1865" s="1" t="s">
        <v>191</v>
      </c>
      <c r="E1865" s="1">
        <v>2000000</v>
      </c>
      <c r="F1865">
        <f>E1865/3.78541</f>
        <v>528344.35371597786</v>
      </c>
      <c r="G1865">
        <f>F1865/310.404</f>
        <v>1702.1183802914197</v>
      </c>
      <c r="H1865" s="4">
        <v>39398</v>
      </c>
      <c r="I1865" s="1" t="s">
        <v>245</v>
      </c>
      <c r="J1865" s="1" t="s">
        <v>216</v>
      </c>
      <c r="K1865" s="9">
        <f>1000*17.4</f>
        <v>17400</v>
      </c>
      <c r="L1865" t="s">
        <v>21</v>
      </c>
      <c r="M1865">
        <f t="shared" ref="M1865:M1869" si="152">IFERROR(K1865/1000,"ND")</f>
        <v>17.399999999999999</v>
      </c>
      <c r="N1865">
        <f t="shared" si="147"/>
        <v>5401.0295999999998</v>
      </c>
    </row>
    <row r="1866" spans="1:14" x14ac:dyDescent="0.3">
      <c r="A1866" s="8" t="s">
        <v>129</v>
      </c>
      <c r="B1866">
        <v>28</v>
      </c>
      <c r="C1866">
        <v>59</v>
      </c>
      <c r="D1866" s="1" t="s">
        <v>192</v>
      </c>
      <c r="E1866" s="1">
        <v>6700000</v>
      </c>
      <c r="F1866">
        <f t="shared" ref="F1866:F1873" si="153">E1866/3.78541</f>
        <v>1769953.584948526</v>
      </c>
      <c r="G1866">
        <f t="shared" ref="G1866:G1869" si="154">F1866/310.404</f>
        <v>5702.0965739762569</v>
      </c>
      <c r="H1866" s="4">
        <v>39401</v>
      </c>
      <c r="I1866" s="1" t="s">
        <v>245</v>
      </c>
      <c r="J1866" s="1" t="s">
        <v>216</v>
      </c>
      <c r="K1866" s="9">
        <f>1000*29.4</f>
        <v>29400</v>
      </c>
      <c r="L1866" t="s">
        <v>21</v>
      </c>
      <c r="M1866">
        <f t="shared" si="152"/>
        <v>29.4</v>
      </c>
      <c r="N1866">
        <f t="shared" si="147"/>
        <v>9125.8775999999998</v>
      </c>
    </row>
    <row r="1867" spans="1:14" x14ac:dyDescent="0.3">
      <c r="A1867" s="8" t="s">
        <v>129</v>
      </c>
      <c r="B1867">
        <v>28</v>
      </c>
      <c r="C1867">
        <v>60</v>
      </c>
      <c r="D1867" s="1" t="s">
        <v>193</v>
      </c>
      <c r="E1867" s="1">
        <v>1500000</v>
      </c>
      <c r="F1867">
        <f t="shared" si="153"/>
        <v>396258.2652869834</v>
      </c>
      <c r="G1867">
        <f t="shared" si="154"/>
        <v>1276.5887852185649</v>
      </c>
      <c r="H1867" s="4">
        <v>39546</v>
      </c>
      <c r="I1867" s="1" t="s">
        <v>245</v>
      </c>
      <c r="J1867" s="1" t="s">
        <v>220</v>
      </c>
      <c r="K1867" s="9">
        <f>1000*36.5</f>
        <v>36500</v>
      </c>
      <c r="L1867" t="s">
        <v>21</v>
      </c>
      <c r="M1867">
        <f t="shared" si="152"/>
        <v>36.5</v>
      </c>
      <c r="N1867">
        <f t="shared" si="147"/>
        <v>11329.745999999999</v>
      </c>
    </row>
    <row r="1868" spans="1:14" x14ac:dyDescent="0.3">
      <c r="A1868" s="8" t="s">
        <v>129</v>
      </c>
      <c r="B1868">
        <v>28</v>
      </c>
      <c r="C1868">
        <v>61</v>
      </c>
      <c r="D1868" s="1" t="s">
        <v>194</v>
      </c>
      <c r="E1868" s="1">
        <v>2000000</v>
      </c>
      <c r="F1868">
        <f t="shared" si="153"/>
        <v>528344.35371597786</v>
      </c>
      <c r="G1868">
        <f t="shared" si="154"/>
        <v>1702.1183802914197</v>
      </c>
      <c r="H1868" s="4">
        <v>39548</v>
      </c>
      <c r="I1868" s="1" t="s">
        <v>245</v>
      </c>
      <c r="J1868" s="1" t="s">
        <v>220</v>
      </c>
      <c r="K1868" s="9">
        <f>1000*248</f>
        <v>248000</v>
      </c>
      <c r="L1868" t="s">
        <v>21</v>
      </c>
      <c r="M1868">
        <f t="shared" si="152"/>
        <v>248</v>
      </c>
      <c r="N1868">
        <f t="shared" si="147"/>
        <v>76980.191999999995</v>
      </c>
    </row>
    <row r="1869" spans="1:14" x14ac:dyDescent="0.3">
      <c r="A1869" s="8" t="s">
        <v>129</v>
      </c>
      <c r="B1869">
        <v>28</v>
      </c>
      <c r="C1869">
        <v>19</v>
      </c>
      <c r="D1869" s="1" t="s">
        <v>195</v>
      </c>
      <c r="E1869" s="1">
        <v>85000000</v>
      </c>
      <c r="F1869">
        <f t="shared" si="153"/>
        <v>22454635.032929059</v>
      </c>
      <c r="G1869">
        <f t="shared" si="154"/>
        <v>72340.031162385334</v>
      </c>
      <c r="H1869" s="4">
        <v>38391</v>
      </c>
      <c r="I1869" s="1" t="s">
        <v>260</v>
      </c>
      <c r="J1869" s="1" t="s">
        <v>220</v>
      </c>
      <c r="K1869" s="9">
        <f>1000*26</f>
        <v>26000</v>
      </c>
      <c r="L1869" t="s">
        <v>21</v>
      </c>
      <c r="M1869">
        <f t="shared" si="152"/>
        <v>26</v>
      </c>
      <c r="N1869">
        <f t="shared" si="147"/>
        <v>8070.5040000000008</v>
      </c>
    </row>
    <row r="1870" spans="1:14" x14ac:dyDescent="0.3">
      <c r="A1870" s="8" t="s">
        <v>27</v>
      </c>
      <c r="B1870">
        <v>29</v>
      </c>
      <c r="C1870">
        <v>35</v>
      </c>
      <c r="D1870" s="1" t="s">
        <v>113</v>
      </c>
      <c r="E1870" s="1">
        <v>5000000</v>
      </c>
      <c r="F1870">
        <f t="shared" si="153"/>
        <v>1320860.8842899448</v>
      </c>
      <c r="G1870">
        <v>20000</v>
      </c>
      <c r="H1870" s="2">
        <v>43009</v>
      </c>
      <c r="I1870" s="1" t="s">
        <v>229</v>
      </c>
      <c r="J1870" s="1" t="s">
        <v>216</v>
      </c>
      <c r="K1870" s="9">
        <v>99.1</v>
      </c>
      <c r="L1870" t="s">
        <v>21</v>
      </c>
      <c r="M1870">
        <f t="shared" ref="M1870:M1872" si="155">IFERROR(K1870/1000,"ND")</f>
        <v>9.9099999999999994E-2</v>
      </c>
      <c r="N1870">
        <f t="shared" si="147"/>
        <v>6.5448656816566766</v>
      </c>
    </row>
    <row r="1871" spans="1:14" x14ac:dyDescent="0.3">
      <c r="A1871" s="8" t="s">
        <v>27</v>
      </c>
      <c r="B1871">
        <v>29</v>
      </c>
      <c r="C1871">
        <v>62</v>
      </c>
      <c r="D1871" s="1" t="s">
        <v>196</v>
      </c>
      <c r="E1871" s="1">
        <v>20170000</v>
      </c>
      <c r="F1871">
        <f t="shared" si="153"/>
        <v>5328352.8072256371</v>
      </c>
      <c r="G1871">
        <v>123000</v>
      </c>
      <c r="H1871" s="1" t="s">
        <v>197</v>
      </c>
      <c r="I1871" s="1" t="s">
        <v>250</v>
      </c>
      <c r="J1871" s="1" t="s">
        <v>220</v>
      </c>
      <c r="K1871" s="9">
        <v>137</v>
      </c>
      <c r="L1871" t="s">
        <v>21</v>
      </c>
      <c r="M1871">
        <f t="shared" si="155"/>
        <v>0.13700000000000001</v>
      </c>
      <c r="N1871">
        <f t="shared" si="147"/>
        <v>5.9348319885358727</v>
      </c>
    </row>
    <row r="1872" spans="1:14" x14ac:dyDescent="0.3">
      <c r="A1872" s="8" t="s">
        <v>27</v>
      </c>
      <c r="B1872">
        <v>29</v>
      </c>
      <c r="C1872">
        <v>19</v>
      </c>
      <c r="D1872" s="1" t="s">
        <v>195</v>
      </c>
      <c r="E1872" s="1">
        <v>85000000</v>
      </c>
      <c r="F1872">
        <f t="shared" si="153"/>
        <v>22454635.032929059</v>
      </c>
      <c r="G1872">
        <f>F1872/310.404</f>
        <v>72340.031162385334</v>
      </c>
      <c r="H1872" s="4">
        <v>38391</v>
      </c>
      <c r="I1872" s="1" t="s">
        <v>260</v>
      </c>
      <c r="J1872" s="1" t="s">
        <v>220</v>
      </c>
      <c r="K1872" s="9">
        <v>100</v>
      </c>
      <c r="L1872" t="s">
        <v>21</v>
      </c>
      <c r="M1872">
        <f t="shared" si="155"/>
        <v>0.1</v>
      </c>
      <c r="N1872">
        <f t="shared" si="147"/>
        <v>31.040400000000005</v>
      </c>
    </row>
    <row r="1873" spans="1:14" x14ac:dyDescent="0.3">
      <c r="A1873" s="8" t="s">
        <v>40</v>
      </c>
      <c r="B1873">
        <v>30</v>
      </c>
      <c r="C1873">
        <v>62</v>
      </c>
      <c r="D1873" s="1" t="s">
        <v>196</v>
      </c>
      <c r="E1873" s="1">
        <v>20170000</v>
      </c>
      <c r="F1873">
        <f t="shared" si="153"/>
        <v>5328352.8072256371</v>
      </c>
      <c r="G1873">
        <v>123000</v>
      </c>
      <c r="H1873" s="1" t="s">
        <v>197</v>
      </c>
      <c r="I1873" s="1" t="s">
        <v>250</v>
      </c>
      <c r="J1873" s="1" t="s">
        <v>220</v>
      </c>
      <c r="K1873" s="9">
        <v>3800</v>
      </c>
      <c r="L1873" t="s">
        <v>21</v>
      </c>
      <c r="M1873">
        <f t="shared" ref="M1873" si="156">IFERROR(K1873/1000,"ND")</f>
        <v>3.8</v>
      </c>
      <c r="N1873">
        <f t="shared" si="147"/>
        <v>164.61577778420667</v>
      </c>
    </row>
    <row r="1874" spans="1:14" x14ac:dyDescent="0.3">
      <c r="A1874" s="8" t="s">
        <v>41</v>
      </c>
      <c r="B1874">
        <v>30</v>
      </c>
      <c r="C1874">
        <v>63</v>
      </c>
      <c r="D1874" s="1" t="s">
        <v>198</v>
      </c>
      <c r="E1874" s="1">
        <v>1400000</v>
      </c>
      <c r="F1874">
        <f>E1874/3.78541</f>
        <v>369841.04760118452</v>
      </c>
      <c r="G1874">
        <f>F1874/310.404</f>
        <v>1191.4828662039938</v>
      </c>
      <c r="H1874" s="1" t="s">
        <v>199</v>
      </c>
      <c r="I1874" s="1" t="s">
        <v>251</v>
      </c>
      <c r="J1874" s="1" t="s">
        <v>247</v>
      </c>
      <c r="K1874" s="9">
        <v>1170</v>
      </c>
      <c r="L1874" t="s">
        <v>21</v>
      </c>
      <c r="M1874">
        <f t="shared" ref="M1874:M1877" si="157">IFERROR(K1874/1000,"ND")</f>
        <v>1.17</v>
      </c>
      <c r="N1874">
        <f t="shared" si="147"/>
        <v>363.17268000000001</v>
      </c>
    </row>
    <row r="1875" spans="1:14" x14ac:dyDescent="0.3">
      <c r="A1875" s="8" t="s">
        <v>27</v>
      </c>
      <c r="B1875">
        <v>31</v>
      </c>
      <c r="C1875">
        <v>64</v>
      </c>
      <c r="D1875" s="1" t="s">
        <v>201</v>
      </c>
      <c r="E1875" s="8">
        <v>37200000</v>
      </c>
      <c r="F1875" s="1">
        <f>E1875</f>
        <v>37200000</v>
      </c>
      <c r="G1875">
        <v>148000</v>
      </c>
      <c r="H1875" s="8" t="s">
        <v>200</v>
      </c>
      <c r="I1875" s="8" t="s">
        <v>252</v>
      </c>
      <c r="J1875" s="8" t="s">
        <v>216</v>
      </c>
      <c r="K1875" s="9">
        <v>115</v>
      </c>
      <c r="L1875" t="s">
        <v>21</v>
      </c>
      <c r="M1875">
        <f t="shared" si="157"/>
        <v>0.115</v>
      </c>
      <c r="N1875">
        <f t="shared" si="147"/>
        <v>28.905405405405407</v>
      </c>
    </row>
    <row r="1876" spans="1:14" s="13" customFormat="1" x14ac:dyDescent="0.3">
      <c r="A1876" s="8" t="s">
        <v>17</v>
      </c>
      <c r="B1876" s="13">
        <v>32</v>
      </c>
      <c r="C1876">
        <v>65</v>
      </c>
      <c r="D1876" s="13" t="s">
        <v>204</v>
      </c>
      <c r="E1876" s="8">
        <f>F1876</f>
        <v>16579608.852</v>
      </c>
      <c r="F1876" s="13">
        <f>G1876*310.404</f>
        <v>16579608.852</v>
      </c>
      <c r="G1876" s="13">
        <v>53413</v>
      </c>
      <c r="H1876" s="8" t="s">
        <v>203</v>
      </c>
      <c r="I1876" s="8" t="s">
        <v>253</v>
      </c>
      <c r="J1876" s="8" t="s">
        <v>216</v>
      </c>
      <c r="K1876" s="10">
        <v>590990</v>
      </c>
      <c r="L1876" s="13" t="s">
        <v>202</v>
      </c>
      <c r="M1876" s="13">
        <f t="shared" si="157"/>
        <v>590.99</v>
      </c>
      <c r="N1876" s="13">
        <f>M1876</f>
        <v>590.99</v>
      </c>
    </row>
    <row r="1877" spans="1:14" x14ac:dyDescent="0.3">
      <c r="A1877" s="1" t="s">
        <v>5</v>
      </c>
      <c r="B1877">
        <v>33</v>
      </c>
      <c r="C1877">
        <v>66</v>
      </c>
      <c r="D1877" s="1" t="s">
        <v>205</v>
      </c>
      <c r="E1877" s="1">
        <v>20000000</v>
      </c>
      <c r="F1877">
        <f>E1877/3.78541</f>
        <v>5283443.5371597791</v>
      </c>
      <c r="G1877">
        <v>220000</v>
      </c>
      <c r="H1877" s="2">
        <v>43252</v>
      </c>
      <c r="I1877" s="1" t="s">
        <v>254</v>
      </c>
      <c r="J1877" s="1" t="s">
        <v>220</v>
      </c>
      <c r="K1877" s="9">
        <v>173</v>
      </c>
      <c r="L1877" t="s">
        <v>21</v>
      </c>
      <c r="M1877">
        <f t="shared" si="157"/>
        <v>0.17299999999999999</v>
      </c>
      <c r="N1877">
        <f t="shared" ref="N1877:N1900" si="158">IFERROR((M1877*F1877)/G1877,"ND")</f>
        <v>4.1547078724029163</v>
      </c>
    </row>
    <row r="1878" spans="1:14" x14ac:dyDescent="0.3">
      <c r="A1878" s="1" t="s">
        <v>5</v>
      </c>
      <c r="B1878">
        <v>33</v>
      </c>
      <c r="C1878">
        <v>66</v>
      </c>
      <c r="D1878" s="1" t="s">
        <v>205</v>
      </c>
      <c r="E1878" s="1">
        <v>20000000</v>
      </c>
      <c r="F1878">
        <f t="shared" ref="F1878:F1899" si="159">E1878/3.78541</f>
        <v>5283443.5371597791</v>
      </c>
      <c r="G1878">
        <v>220000</v>
      </c>
      <c r="H1878" s="2">
        <v>43313</v>
      </c>
      <c r="I1878" s="1" t="s">
        <v>254</v>
      </c>
      <c r="J1878" s="1" t="s">
        <v>220</v>
      </c>
      <c r="K1878" s="9">
        <v>219</v>
      </c>
      <c r="L1878" t="s">
        <v>21</v>
      </c>
      <c r="M1878">
        <f t="shared" ref="M1878:M1899" si="160">IFERROR(K1878/1000,"ND")</f>
        <v>0.219</v>
      </c>
      <c r="N1878">
        <f t="shared" si="158"/>
        <v>5.2594278847181437</v>
      </c>
    </row>
    <row r="1879" spans="1:14" x14ac:dyDescent="0.3">
      <c r="A1879" s="1" t="s">
        <v>4</v>
      </c>
      <c r="B1879">
        <v>33</v>
      </c>
      <c r="C1879">
        <v>66</v>
      </c>
      <c r="D1879" s="1" t="s">
        <v>205</v>
      </c>
      <c r="E1879" s="1">
        <v>20000000</v>
      </c>
      <c r="F1879">
        <f t="shared" si="159"/>
        <v>5283443.5371597791</v>
      </c>
      <c r="G1879">
        <v>220000</v>
      </c>
      <c r="H1879" s="2">
        <v>43252</v>
      </c>
      <c r="I1879" s="1" t="s">
        <v>254</v>
      </c>
      <c r="J1879" s="1" t="s">
        <v>220</v>
      </c>
      <c r="K1879" s="9">
        <v>152</v>
      </c>
      <c r="L1879" t="s">
        <v>21</v>
      </c>
      <c r="M1879">
        <f t="shared" si="160"/>
        <v>0.152</v>
      </c>
      <c r="N1879">
        <f t="shared" si="158"/>
        <v>3.6503791711285749</v>
      </c>
    </row>
    <row r="1880" spans="1:14" x14ac:dyDescent="0.3">
      <c r="A1880" s="1" t="s">
        <v>4</v>
      </c>
      <c r="B1880">
        <v>33</v>
      </c>
      <c r="C1880">
        <v>66</v>
      </c>
      <c r="D1880" s="1" t="s">
        <v>205</v>
      </c>
      <c r="E1880" s="1">
        <v>20000000</v>
      </c>
      <c r="F1880">
        <f t="shared" si="159"/>
        <v>5283443.5371597791</v>
      </c>
      <c r="G1880">
        <v>220000</v>
      </c>
      <c r="H1880" s="2">
        <v>43313</v>
      </c>
      <c r="I1880" s="1" t="s">
        <v>254</v>
      </c>
      <c r="J1880" s="1" t="s">
        <v>220</v>
      </c>
      <c r="K1880" s="9">
        <v>137</v>
      </c>
      <c r="L1880" t="s">
        <v>21</v>
      </c>
      <c r="M1880">
        <f t="shared" si="160"/>
        <v>0.13700000000000001</v>
      </c>
      <c r="N1880">
        <f t="shared" si="158"/>
        <v>3.2901443845040443</v>
      </c>
    </row>
    <row r="1881" spans="1:14" x14ac:dyDescent="0.3">
      <c r="A1881" s="1" t="s">
        <v>6</v>
      </c>
      <c r="B1881">
        <v>33</v>
      </c>
      <c r="C1881">
        <v>66</v>
      </c>
      <c r="D1881" s="1" t="s">
        <v>205</v>
      </c>
      <c r="E1881" s="1">
        <v>20000000</v>
      </c>
      <c r="F1881">
        <f t="shared" si="159"/>
        <v>5283443.5371597791</v>
      </c>
      <c r="G1881">
        <v>220000</v>
      </c>
      <c r="H1881" s="2">
        <v>43252</v>
      </c>
      <c r="I1881" s="1" t="s">
        <v>254</v>
      </c>
      <c r="J1881" s="1" t="s">
        <v>220</v>
      </c>
      <c r="K1881" s="9">
        <v>15</v>
      </c>
      <c r="L1881" t="s">
        <v>21</v>
      </c>
      <c r="M1881">
        <f t="shared" si="160"/>
        <v>1.4999999999999999E-2</v>
      </c>
      <c r="N1881">
        <f t="shared" si="158"/>
        <v>0.3602347866245304</v>
      </c>
    </row>
    <row r="1882" spans="1:14" x14ac:dyDescent="0.3">
      <c r="A1882" s="1" t="s">
        <v>6</v>
      </c>
      <c r="B1882">
        <v>33</v>
      </c>
      <c r="C1882">
        <v>66</v>
      </c>
      <c r="D1882" s="1" t="s">
        <v>205</v>
      </c>
      <c r="E1882" s="1">
        <v>20000000</v>
      </c>
      <c r="F1882">
        <f t="shared" si="159"/>
        <v>5283443.5371597791</v>
      </c>
      <c r="G1882">
        <v>220000</v>
      </c>
      <c r="H1882" s="2">
        <v>43313</v>
      </c>
      <c r="I1882" s="1" t="s">
        <v>254</v>
      </c>
      <c r="J1882" s="1" t="s">
        <v>220</v>
      </c>
      <c r="K1882" s="9">
        <v>14</v>
      </c>
      <c r="L1882" t="s">
        <v>21</v>
      </c>
      <c r="M1882">
        <f t="shared" si="160"/>
        <v>1.4E-2</v>
      </c>
      <c r="N1882">
        <f t="shared" si="158"/>
        <v>0.33621913418289506</v>
      </c>
    </row>
    <row r="1883" spans="1:14" x14ac:dyDescent="0.3">
      <c r="A1883" s="1" t="s">
        <v>17</v>
      </c>
      <c r="B1883">
        <v>33</v>
      </c>
      <c r="C1883">
        <v>66</v>
      </c>
      <c r="D1883" s="1" t="s">
        <v>205</v>
      </c>
      <c r="E1883" s="1">
        <v>20000000</v>
      </c>
      <c r="F1883">
        <f t="shared" si="159"/>
        <v>5283443.5371597791</v>
      </c>
      <c r="G1883">
        <v>220000</v>
      </c>
      <c r="H1883" s="2">
        <v>43252</v>
      </c>
      <c r="I1883" s="1" t="s">
        <v>254</v>
      </c>
      <c r="J1883" s="1" t="s">
        <v>220</v>
      </c>
      <c r="K1883" s="9">
        <v>544</v>
      </c>
      <c r="L1883" t="s">
        <v>21</v>
      </c>
      <c r="M1883">
        <f t="shared" si="160"/>
        <v>0.54400000000000004</v>
      </c>
      <c r="N1883">
        <f t="shared" si="158"/>
        <v>13.064514928249636</v>
      </c>
    </row>
    <row r="1884" spans="1:14" x14ac:dyDescent="0.3">
      <c r="A1884" s="1" t="s">
        <v>17</v>
      </c>
      <c r="B1884">
        <v>33</v>
      </c>
      <c r="C1884">
        <v>66</v>
      </c>
      <c r="D1884" s="1" t="s">
        <v>205</v>
      </c>
      <c r="E1884" s="1">
        <v>20000000</v>
      </c>
      <c r="F1884">
        <f t="shared" si="159"/>
        <v>5283443.5371597791</v>
      </c>
      <c r="G1884">
        <v>220000</v>
      </c>
      <c r="H1884" s="2">
        <v>43313</v>
      </c>
      <c r="I1884" s="1" t="s">
        <v>254</v>
      </c>
      <c r="J1884" s="1" t="s">
        <v>220</v>
      </c>
      <c r="K1884" s="9">
        <v>455</v>
      </c>
      <c r="L1884" t="s">
        <v>21</v>
      </c>
      <c r="M1884">
        <f t="shared" si="160"/>
        <v>0.45500000000000002</v>
      </c>
      <c r="N1884">
        <f t="shared" si="158"/>
        <v>10.927121860944089</v>
      </c>
    </row>
    <row r="1885" spans="1:14" x14ac:dyDescent="0.3">
      <c r="A1885" s="1" t="s">
        <v>5</v>
      </c>
      <c r="B1885">
        <v>33</v>
      </c>
      <c r="C1885">
        <v>67</v>
      </c>
      <c r="D1885" s="1" t="s">
        <v>206</v>
      </c>
      <c r="E1885" s="1">
        <v>4000000</v>
      </c>
      <c r="F1885">
        <f t="shared" si="159"/>
        <v>1056688.7074319557</v>
      </c>
      <c r="G1885">
        <v>40000</v>
      </c>
      <c r="H1885" s="1" t="s">
        <v>209</v>
      </c>
      <c r="I1885" s="1" t="s">
        <v>254</v>
      </c>
      <c r="J1885" s="1" t="s">
        <v>216</v>
      </c>
      <c r="K1885" s="9">
        <v>108</v>
      </c>
      <c r="L1885" t="s">
        <v>21</v>
      </c>
      <c r="M1885">
        <f t="shared" si="160"/>
        <v>0.108</v>
      </c>
      <c r="N1885">
        <f t="shared" si="158"/>
        <v>2.8530595100662808</v>
      </c>
    </row>
    <row r="1886" spans="1:14" x14ac:dyDescent="0.3">
      <c r="A1886" s="1" t="s">
        <v>5</v>
      </c>
      <c r="B1886">
        <v>33</v>
      </c>
      <c r="C1886">
        <v>66</v>
      </c>
      <c r="D1886" s="1" t="s">
        <v>205</v>
      </c>
      <c r="E1886" s="1">
        <v>20000000</v>
      </c>
      <c r="F1886">
        <f t="shared" si="159"/>
        <v>5283443.5371597791</v>
      </c>
      <c r="G1886">
        <v>220000</v>
      </c>
      <c r="H1886" s="1" t="s">
        <v>209</v>
      </c>
      <c r="I1886" s="1" t="s">
        <v>254</v>
      </c>
      <c r="J1886" s="1" t="s">
        <v>216</v>
      </c>
      <c r="K1886" s="9">
        <v>126</v>
      </c>
      <c r="L1886" t="s">
        <v>21</v>
      </c>
      <c r="M1886">
        <f t="shared" si="160"/>
        <v>0.126</v>
      </c>
      <c r="N1886">
        <f t="shared" si="158"/>
        <v>3.0259722076460553</v>
      </c>
    </row>
    <row r="1887" spans="1:14" x14ac:dyDescent="0.3">
      <c r="A1887" s="1" t="s">
        <v>5</v>
      </c>
      <c r="B1887">
        <v>33</v>
      </c>
      <c r="C1887">
        <v>68</v>
      </c>
      <c r="D1887" s="1" t="s">
        <v>207</v>
      </c>
      <c r="E1887" s="1">
        <v>120000000</v>
      </c>
      <c r="F1887">
        <f t="shared" si="159"/>
        <v>31700661.222958673</v>
      </c>
      <c r="G1887">
        <v>788900</v>
      </c>
      <c r="H1887" s="1" t="s">
        <v>209</v>
      </c>
      <c r="I1887" s="1" t="s">
        <v>254</v>
      </c>
      <c r="J1887" s="1" t="s">
        <v>216</v>
      </c>
      <c r="K1887" s="9">
        <v>91</v>
      </c>
      <c r="L1887" t="s">
        <v>21</v>
      </c>
      <c r="M1887">
        <f t="shared" si="160"/>
        <v>9.0999999999999998E-2</v>
      </c>
      <c r="N1887">
        <f t="shared" si="158"/>
        <v>3.6566867426660403</v>
      </c>
    </row>
    <row r="1888" spans="1:14" x14ac:dyDescent="0.3">
      <c r="A1888" s="1" t="s">
        <v>5</v>
      </c>
      <c r="B1888">
        <v>33</v>
      </c>
      <c r="C1888">
        <v>69</v>
      </c>
      <c r="D1888" s="1" t="s">
        <v>208</v>
      </c>
      <c r="E1888" s="1">
        <v>230000000</v>
      </c>
      <c r="F1888">
        <f t="shared" si="159"/>
        <v>60759600.67733746</v>
      </c>
      <c r="G1888">
        <v>1511100</v>
      </c>
      <c r="H1888" s="1" t="s">
        <v>209</v>
      </c>
      <c r="I1888" s="1" t="s">
        <v>254</v>
      </c>
      <c r="J1888" s="1" t="s">
        <v>216</v>
      </c>
      <c r="K1888" s="9">
        <v>100</v>
      </c>
      <c r="L1888" t="s">
        <v>21</v>
      </c>
      <c r="M1888">
        <f t="shared" si="160"/>
        <v>0.1</v>
      </c>
      <c r="N1888">
        <f t="shared" si="158"/>
        <v>4.0208854925112476</v>
      </c>
    </row>
    <row r="1889" spans="1:14" x14ac:dyDescent="0.3">
      <c r="A1889" s="1" t="s">
        <v>4</v>
      </c>
      <c r="B1889">
        <v>33</v>
      </c>
      <c r="C1889">
        <v>67</v>
      </c>
      <c r="D1889" s="1" t="s">
        <v>206</v>
      </c>
      <c r="E1889" s="1">
        <v>4000000</v>
      </c>
      <c r="F1889">
        <f t="shared" si="159"/>
        <v>1056688.7074319557</v>
      </c>
      <c r="G1889">
        <v>40000</v>
      </c>
      <c r="H1889" s="1" t="s">
        <v>209</v>
      </c>
      <c r="I1889" s="1" t="s">
        <v>254</v>
      </c>
      <c r="J1889" s="1" t="s">
        <v>216</v>
      </c>
      <c r="K1889" s="9">
        <v>45</v>
      </c>
      <c r="L1889" t="s">
        <v>21</v>
      </c>
      <c r="M1889">
        <f t="shared" si="160"/>
        <v>4.4999999999999998E-2</v>
      </c>
      <c r="N1889">
        <f t="shared" si="158"/>
        <v>1.1887747958609503</v>
      </c>
    </row>
    <row r="1890" spans="1:14" x14ac:dyDescent="0.3">
      <c r="A1890" s="1" t="s">
        <v>4</v>
      </c>
      <c r="B1890">
        <v>33</v>
      </c>
      <c r="C1890">
        <v>66</v>
      </c>
      <c r="D1890" s="1" t="s">
        <v>205</v>
      </c>
      <c r="E1890" s="1">
        <v>20000000</v>
      </c>
      <c r="F1890">
        <f t="shared" si="159"/>
        <v>5283443.5371597791</v>
      </c>
      <c r="G1890">
        <v>220000</v>
      </c>
      <c r="H1890" s="1" t="s">
        <v>209</v>
      </c>
      <c r="I1890" s="1" t="s">
        <v>254</v>
      </c>
      <c r="J1890" s="1" t="s">
        <v>216</v>
      </c>
      <c r="K1890" s="9">
        <v>107</v>
      </c>
      <c r="L1890" t="s">
        <v>21</v>
      </c>
      <c r="M1890">
        <f t="shared" si="160"/>
        <v>0.107</v>
      </c>
      <c r="N1890">
        <f t="shared" si="158"/>
        <v>2.5696748112549836</v>
      </c>
    </row>
    <row r="1891" spans="1:14" x14ac:dyDescent="0.3">
      <c r="A1891" s="1" t="s">
        <v>4</v>
      </c>
      <c r="B1891">
        <v>33</v>
      </c>
      <c r="C1891">
        <v>68</v>
      </c>
      <c r="D1891" s="1" t="s">
        <v>207</v>
      </c>
      <c r="E1891" s="1">
        <v>120000000</v>
      </c>
      <c r="F1891">
        <f t="shared" si="159"/>
        <v>31700661.222958673</v>
      </c>
      <c r="G1891">
        <v>788900</v>
      </c>
      <c r="H1891" s="1" t="s">
        <v>209</v>
      </c>
      <c r="I1891" s="1" t="s">
        <v>254</v>
      </c>
      <c r="J1891" s="1" t="s">
        <v>216</v>
      </c>
      <c r="K1891" s="9">
        <v>58</v>
      </c>
      <c r="L1891" t="s">
        <v>21</v>
      </c>
      <c r="M1891">
        <f t="shared" si="160"/>
        <v>5.8000000000000003E-2</v>
      </c>
      <c r="N1891">
        <f t="shared" si="158"/>
        <v>2.3306355063146196</v>
      </c>
    </row>
    <row r="1892" spans="1:14" x14ac:dyDescent="0.3">
      <c r="A1892" s="1" t="s">
        <v>4</v>
      </c>
      <c r="B1892">
        <v>33</v>
      </c>
      <c r="C1892">
        <v>69</v>
      </c>
      <c r="D1892" s="1" t="s">
        <v>208</v>
      </c>
      <c r="E1892" s="1">
        <v>230000000</v>
      </c>
      <c r="F1892">
        <f t="shared" si="159"/>
        <v>60759600.67733746</v>
      </c>
      <c r="G1892">
        <v>1511100</v>
      </c>
      <c r="H1892" s="1" t="s">
        <v>209</v>
      </c>
      <c r="I1892" s="1" t="s">
        <v>254</v>
      </c>
      <c r="J1892" s="1" t="s">
        <v>216</v>
      </c>
      <c r="K1892" s="9">
        <v>67</v>
      </c>
      <c r="L1892" t="s">
        <v>21</v>
      </c>
      <c r="M1892">
        <f t="shared" si="160"/>
        <v>6.7000000000000004E-2</v>
      </c>
      <c r="N1892">
        <f t="shared" si="158"/>
        <v>2.6939932799825357</v>
      </c>
    </row>
    <row r="1893" spans="1:14" x14ac:dyDescent="0.3">
      <c r="A1893" s="1" t="s">
        <v>6</v>
      </c>
      <c r="B1893">
        <v>33</v>
      </c>
      <c r="C1893">
        <v>67</v>
      </c>
      <c r="D1893" s="1" t="s">
        <v>206</v>
      </c>
      <c r="E1893" s="1">
        <v>4000000</v>
      </c>
      <c r="F1893">
        <f t="shared" si="159"/>
        <v>1056688.7074319557</v>
      </c>
      <c r="G1893">
        <v>40000</v>
      </c>
      <c r="H1893" s="1" t="s">
        <v>209</v>
      </c>
      <c r="I1893" s="1" t="s">
        <v>254</v>
      </c>
      <c r="J1893" s="1" t="s">
        <v>216</v>
      </c>
      <c r="K1893" s="9">
        <v>7</v>
      </c>
      <c r="L1893" t="s">
        <v>21</v>
      </c>
      <c r="M1893">
        <f t="shared" si="160"/>
        <v>7.0000000000000001E-3</v>
      </c>
      <c r="N1893">
        <f t="shared" si="158"/>
        <v>0.18492052380059226</v>
      </c>
    </row>
    <row r="1894" spans="1:14" x14ac:dyDescent="0.3">
      <c r="A1894" s="1" t="s">
        <v>6</v>
      </c>
      <c r="B1894">
        <v>33</v>
      </c>
      <c r="C1894">
        <v>66</v>
      </c>
      <c r="D1894" s="1" t="s">
        <v>205</v>
      </c>
      <c r="E1894" s="1">
        <v>20000000</v>
      </c>
      <c r="F1894">
        <f t="shared" si="159"/>
        <v>5283443.5371597791</v>
      </c>
      <c r="G1894">
        <v>220000</v>
      </c>
      <c r="H1894" s="1" t="s">
        <v>209</v>
      </c>
      <c r="I1894" s="1" t="s">
        <v>254</v>
      </c>
      <c r="J1894" s="1" t="s">
        <v>216</v>
      </c>
      <c r="K1894" s="9">
        <v>13</v>
      </c>
      <c r="L1894" t="s">
        <v>21</v>
      </c>
      <c r="M1894">
        <f t="shared" si="160"/>
        <v>1.2999999999999999E-2</v>
      </c>
      <c r="N1894">
        <f t="shared" si="158"/>
        <v>0.31220348174125967</v>
      </c>
    </row>
    <row r="1895" spans="1:14" x14ac:dyDescent="0.3">
      <c r="A1895" s="1" t="s">
        <v>6</v>
      </c>
      <c r="B1895">
        <v>33</v>
      </c>
      <c r="C1895">
        <v>68</v>
      </c>
      <c r="D1895" s="1" t="s">
        <v>207</v>
      </c>
      <c r="E1895" s="1">
        <v>120000000</v>
      </c>
      <c r="F1895">
        <f t="shared" si="159"/>
        <v>31700661.222958673</v>
      </c>
      <c r="G1895">
        <v>788900</v>
      </c>
      <c r="H1895" s="1" t="s">
        <v>209</v>
      </c>
      <c r="I1895" s="1" t="s">
        <v>254</v>
      </c>
      <c r="J1895" s="1" t="s">
        <v>216</v>
      </c>
      <c r="K1895" s="9">
        <v>8</v>
      </c>
      <c r="L1895" t="s">
        <v>21</v>
      </c>
      <c r="M1895">
        <f t="shared" si="160"/>
        <v>8.0000000000000002E-3</v>
      </c>
      <c r="N1895">
        <f t="shared" si="158"/>
        <v>0.32146696638822331</v>
      </c>
    </row>
    <row r="1896" spans="1:14" x14ac:dyDescent="0.3">
      <c r="A1896" s="1" t="s">
        <v>6</v>
      </c>
      <c r="B1896">
        <v>33</v>
      </c>
      <c r="C1896">
        <v>69</v>
      </c>
      <c r="D1896" s="1" t="s">
        <v>208</v>
      </c>
      <c r="E1896" s="1">
        <v>230000000</v>
      </c>
      <c r="F1896">
        <f t="shared" si="159"/>
        <v>60759600.67733746</v>
      </c>
      <c r="G1896">
        <v>1511100</v>
      </c>
      <c r="H1896" s="1" t="s">
        <v>209</v>
      </c>
      <c r="I1896" s="1" t="s">
        <v>254</v>
      </c>
      <c r="J1896" s="1" t="s">
        <v>216</v>
      </c>
      <c r="K1896" s="9">
        <v>9</v>
      </c>
      <c r="L1896" t="s">
        <v>21</v>
      </c>
      <c r="M1896">
        <f t="shared" si="160"/>
        <v>8.9999999999999993E-3</v>
      </c>
      <c r="N1896">
        <f t="shared" si="158"/>
        <v>0.36187969432601225</v>
      </c>
    </row>
    <row r="1897" spans="1:14" x14ac:dyDescent="0.3">
      <c r="A1897" s="1" t="s">
        <v>17</v>
      </c>
      <c r="B1897">
        <v>33</v>
      </c>
      <c r="C1897">
        <v>67</v>
      </c>
      <c r="D1897" s="1" t="s">
        <v>206</v>
      </c>
      <c r="E1897" s="1">
        <v>4000000</v>
      </c>
      <c r="F1897">
        <f t="shared" si="159"/>
        <v>1056688.7074319557</v>
      </c>
      <c r="G1897">
        <v>40000</v>
      </c>
      <c r="H1897" s="1" t="s">
        <v>209</v>
      </c>
      <c r="I1897" s="1" t="s">
        <v>254</v>
      </c>
      <c r="J1897" s="1" t="s">
        <v>216</v>
      </c>
      <c r="K1897" s="9">
        <v>285</v>
      </c>
      <c r="L1897" t="s">
        <v>21</v>
      </c>
      <c r="M1897">
        <f t="shared" si="160"/>
        <v>0.28499999999999998</v>
      </c>
      <c r="N1897">
        <f t="shared" si="158"/>
        <v>7.5289070404526832</v>
      </c>
    </row>
    <row r="1898" spans="1:14" x14ac:dyDescent="0.3">
      <c r="A1898" s="1" t="s">
        <v>17</v>
      </c>
      <c r="B1898">
        <v>33</v>
      </c>
      <c r="C1898">
        <v>66</v>
      </c>
      <c r="D1898" s="1" t="s">
        <v>205</v>
      </c>
      <c r="E1898" s="1">
        <v>20000000</v>
      </c>
      <c r="F1898">
        <f t="shared" si="159"/>
        <v>5283443.5371597791</v>
      </c>
      <c r="G1898">
        <v>220000</v>
      </c>
      <c r="H1898" s="1" t="s">
        <v>209</v>
      </c>
      <c r="I1898" s="1" t="s">
        <v>254</v>
      </c>
      <c r="J1898" s="1" t="s">
        <v>216</v>
      </c>
      <c r="K1898" s="9">
        <v>366</v>
      </c>
      <c r="L1898" t="s">
        <v>21</v>
      </c>
      <c r="M1898">
        <f t="shared" si="160"/>
        <v>0.36599999999999999</v>
      </c>
      <c r="N1898">
        <f t="shared" si="158"/>
        <v>8.7897287936385418</v>
      </c>
    </row>
    <row r="1899" spans="1:14" x14ac:dyDescent="0.3">
      <c r="A1899" s="1" t="s">
        <v>17</v>
      </c>
      <c r="B1899">
        <v>33</v>
      </c>
      <c r="C1899">
        <v>68</v>
      </c>
      <c r="D1899" s="1" t="s">
        <v>207</v>
      </c>
      <c r="E1899" s="1">
        <v>120000000</v>
      </c>
      <c r="F1899">
        <f t="shared" si="159"/>
        <v>31700661.222958673</v>
      </c>
      <c r="G1899">
        <v>788900</v>
      </c>
      <c r="H1899" s="1" t="s">
        <v>209</v>
      </c>
      <c r="I1899" s="1" t="s">
        <v>254</v>
      </c>
      <c r="J1899" s="1" t="s">
        <v>216</v>
      </c>
      <c r="K1899" s="9">
        <v>307</v>
      </c>
      <c r="L1899" t="s">
        <v>21</v>
      </c>
      <c r="M1899">
        <f t="shared" si="160"/>
        <v>0.307</v>
      </c>
      <c r="N1899">
        <f t="shared" si="158"/>
        <v>12.336294835148069</v>
      </c>
    </row>
    <row r="1900" spans="1:14" x14ac:dyDescent="0.3">
      <c r="A1900" s="1" t="s">
        <v>17</v>
      </c>
      <c r="B1900">
        <v>33</v>
      </c>
      <c r="C1900">
        <v>69</v>
      </c>
      <c r="D1900" s="1" t="s">
        <v>208</v>
      </c>
      <c r="E1900" s="1">
        <v>230000000</v>
      </c>
      <c r="F1900">
        <f>E1900/3.78541</f>
        <v>60759600.67733746</v>
      </c>
      <c r="G1900">
        <v>1511100</v>
      </c>
      <c r="H1900" s="1" t="s">
        <v>209</v>
      </c>
      <c r="I1900" s="1" t="s">
        <v>254</v>
      </c>
      <c r="J1900" s="1" t="s">
        <v>216</v>
      </c>
      <c r="K1900" s="9">
        <v>310</v>
      </c>
      <c r="L1900" t="s">
        <v>21</v>
      </c>
      <c r="M1900">
        <f>IFERROR(K1900/1000,"ND")</f>
        <v>0.31</v>
      </c>
      <c r="N1900">
        <f t="shared" si="158"/>
        <v>12.464745026784867</v>
      </c>
    </row>
    <row r="1902" spans="1:14" x14ac:dyDescent="0.3">
      <c r="A1902" s="1"/>
    </row>
    <row r="1903" spans="1:14" ht="16.2" x14ac:dyDescent="0.3">
      <c r="A1903" s="16"/>
    </row>
    <row r="1904" spans="1:14" ht="16.2" x14ac:dyDescent="0.3">
      <c r="A1904" s="16"/>
    </row>
    <row r="1905" spans="1:1" ht="16.2" x14ac:dyDescent="0.3">
      <c r="A1905" s="16"/>
    </row>
    <row r="1906" spans="1:1" ht="16.2" x14ac:dyDescent="0.3">
      <c r="A1906" s="16"/>
    </row>
    <row r="1907" spans="1:1" ht="16.2" x14ac:dyDescent="0.3">
      <c r="A1907" s="16"/>
    </row>
    <row r="1908" spans="1:1" ht="16.2" x14ac:dyDescent="0.3">
      <c r="A1908" s="16"/>
    </row>
    <row r="1909" spans="1:1" ht="16.2" x14ac:dyDescent="0.3">
      <c r="A1909" s="1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lit_values_all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Maybruck</dc:creator>
  <cp:lastModifiedBy>Vanessa Maybruck</cp:lastModifiedBy>
  <dcterms:created xsi:type="dcterms:W3CDTF">2025-11-17T18:52:59Z</dcterms:created>
  <dcterms:modified xsi:type="dcterms:W3CDTF">2025-12-08T05:37:16Z</dcterms:modified>
</cp:coreProperties>
</file>